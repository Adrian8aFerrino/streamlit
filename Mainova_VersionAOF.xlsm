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ochoa\PycharmProjects\Fraunhofer\"/>
    </mc:Choice>
  </mc:AlternateContent>
  <xr:revisionPtr revIDLastSave="0" documentId="13_ncr:1_{869DAE80-AFB9-470B-B9E2-5BCB83C1D4B9}" xr6:coauthVersionLast="47" xr6:coauthVersionMax="47" xr10:uidLastSave="{00000000-0000-0000-0000-000000000000}"/>
  <bookViews>
    <workbookView xWindow="-120" yWindow="-120" windowWidth="29040" windowHeight="15840" tabRatio="769" activeTab="1" xr2:uid="{00000000-000D-0000-FFFF-FFFF00000000}"/>
  </bookViews>
  <sheets>
    <sheet name="Lies_Mich" sheetId="45" r:id="rId1"/>
    <sheet name="Dashboard" sheetId="1" r:id="rId2"/>
    <sheet name="Originalpreisannahmen" sheetId="46" state="hidden" r:id="rId3"/>
    <sheet name="Preisannahmen_Kopie" sheetId="49" r:id="rId4"/>
    <sheet name="Preisannahmen" sheetId="8" r:id="rId5"/>
    <sheet name="destatis_Daten_Kopie" sheetId="47" r:id="rId6"/>
    <sheet name="destatis-Daten" sheetId="16" r:id="rId7"/>
    <sheet name="Fernwärmepreise" sheetId="44" r:id="rId8"/>
    <sheet name="Wärmegestehungskosten" sheetId="31" r:id="rId9"/>
    <sheet name="Energieträgermatrix" sheetId="27" r:id="rId10"/>
    <sheet name="Inputparameter_2023" sheetId="32" state="hidden" r:id="rId11"/>
    <sheet name="Inputparameter_2028" sheetId="33" state="hidden" r:id="rId12"/>
    <sheet name="Inputparameter_2033" sheetId="34" state="hidden" r:id="rId13"/>
    <sheet name="Inputparameter_2038" sheetId="35" state="hidden" r:id="rId14"/>
    <sheet name="Inputparameter_2043" sheetId="36" state="hidden" r:id="rId15"/>
    <sheet name="Inputparameter_2048" sheetId="37" state="hidden" r:id="rId16"/>
    <sheet name="Inputparameter_Kopie" sheetId="51" r:id="rId17"/>
    <sheet name="Energieträger_Kopie" sheetId="52" r:id="rId18"/>
    <sheet name="Originalparameter_2023" sheetId="38" state="hidden" r:id="rId19"/>
    <sheet name="Originalparameter_2028" sheetId="39" state="hidden" r:id="rId20"/>
    <sheet name="Originalparameter_2033" sheetId="40" state="hidden" r:id="rId21"/>
    <sheet name="Originalparameter_2038" sheetId="41" state="hidden" r:id="rId22"/>
    <sheet name="Originalparameter_2043" sheetId="42" state="hidden" r:id="rId23"/>
    <sheet name="Originalparameter_2048" sheetId="43" state="hidden" r:id="rId24"/>
  </sheets>
  <externalReferences>
    <externalReference r:id="rId25"/>
    <externalReference r:id="rId26"/>
  </externalReferences>
  <definedNames>
    <definedName name="aa">#REF!</definedName>
    <definedName name="Årstal">#REF!</definedName>
    <definedName name="asdf">#REF!</definedName>
    <definedName name="asdfasfd">#REF!</definedName>
    <definedName name="b">#REF!</definedName>
    <definedName name="BTV11_15">'[1]arbejds ark LARGE New'!$K$33</definedName>
    <definedName name="bvcxx">#REF!</definedName>
    <definedName name="bvcxxx">#REF!</definedName>
    <definedName name="BVT17_15">'[1]arbejds ark LARGE New'!$S$67</definedName>
    <definedName name="d">#REF!</definedName>
    <definedName name="D€_DK€">'[2]Holzhackschnitzel-HKW Rechn.'!$K$2</definedName>
    <definedName name="ddd">#REF!</definedName>
    <definedName name="ddddd">#REF!</definedName>
    <definedName name="e">#REF!</definedName>
    <definedName name="Elpriser">#REF!</definedName>
    <definedName name="EUR16tilEUR15">'[1]22 Photovoltaics  LARGE Old'!$N$2</definedName>
    <definedName name="ewr">#REF!</definedName>
    <definedName name="f">#REF!</definedName>
    <definedName name="fds">#REF!</definedName>
    <definedName name="Gas_ex_app">#REF!</definedName>
    <definedName name="Gas_ex_single">#REF!</definedName>
    <definedName name="Gas_new_app">#REF!</definedName>
    <definedName name="Gas_new_single">#REF!</definedName>
    <definedName name="h">#REF!</definedName>
    <definedName name="Heat_production_capacity_for_one_unit__kW_h">#REF!</definedName>
    <definedName name="HP_ground_ex_app">#REF!</definedName>
    <definedName name="HP_ground_ex_single">#REF!</definedName>
    <definedName name="HP_ground_new_app">#REF!</definedName>
    <definedName name="HP_ground_new_single">#REF!</definedName>
    <definedName name="index">#REF!</definedName>
    <definedName name="Kategorier">#REF!</definedName>
    <definedName name="Oil_ex_app">#REF!</definedName>
    <definedName name="Oil_ex_single">#REF!</definedName>
    <definedName name="Oil_new_app">#REF!</definedName>
    <definedName name="Oil_new_single">#REF!</definedName>
    <definedName name="Olpriser">#REF!</definedName>
    <definedName name="qwer">#REF!</definedName>
    <definedName name="sadf">#REF!</definedName>
    <definedName name="Sheet">#REF!</definedName>
    <definedName name="sheet10">#REF!</definedName>
    <definedName name="sheet11">#REF!</definedName>
    <definedName name="sheet12">#REF!</definedName>
    <definedName name="sheet13">#REF!</definedName>
    <definedName name="sheet14">#REF!</definedName>
    <definedName name="sheet15">#REF!</definedName>
    <definedName name="sheet16">#REF!</definedName>
    <definedName name="sheet17">#REF!</definedName>
    <definedName name="sheet18">#REF!</definedName>
    <definedName name="sheet19">#REF!</definedName>
    <definedName name="sheet2">#REF!</definedName>
    <definedName name="sheet20">#REF!</definedName>
    <definedName name="sheet21">#REF!</definedName>
    <definedName name="sheet22">#REF!</definedName>
    <definedName name="sheet23">#REF!</definedName>
    <definedName name="sheet24">#REF!</definedName>
    <definedName name="sheet25">#REF!</definedName>
    <definedName name="sheet26">#REF!</definedName>
    <definedName name="sheet27">#REF!</definedName>
    <definedName name="sheet28">#REF!</definedName>
    <definedName name="sheet29">#REF!</definedName>
    <definedName name="sheet3">#REF!</definedName>
    <definedName name="sheet30">#REF!</definedName>
    <definedName name="sheet31">#REF!</definedName>
    <definedName name="sheet32">#REF!</definedName>
    <definedName name="sheet33">#REF!</definedName>
    <definedName name="sheet34">#REF!</definedName>
    <definedName name="sheet35">#REF!</definedName>
    <definedName name="sheet36">#REF!</definedName>
    <definedName name="sheet37">#REF!</definedName>
    <definedName name="sheet38">#REF!</definedName>
    <definedName name="sheet39">#REF!</definedName>
    <definedName name="sheet4">#REF!</definedName>
    <definedName name="sheet40">#REF!</definedName>
    <definedName name="sheet41">#REF!</definedName>
    <definedName name="sheet42">#REF!</definedName>
    <definedName name="sheet43">#REF!</definedName>
    <definedName name="sheet44">#REF!</definedName>
    <definedName name="sheet45">#REF!</definedName>
    <definedName name="sheet46">#REF!</definedName>
    <definedName name="sheet47">#REF!</definedName>
    <definedName name="sheet48">#REF!</definedName>
    <definedName name="sheet49">#REF!</definedName>
    <definedName name="sheet5">#REF!</definedName>
    <definedName name="sheet50">#REF!</definedName>
    <definedName name="sheet51">#REF!</definedName>
    <definedName name="sheet6">#REF!</definedName>
    <definedName name="sheet60">#REF!</definedName>
    <definedName name="sheet61">#REF!</definedName>
    <definedName name="sheet62">#REF!</definedName>
    <definedName name="sheet63">#REF!</definedName>
    <definedName name="sheet64">#REF!</definedName>
    <definedName name="sheet65">#REF!</definedName>
    <definedName name="sheet66">#REF!</definedName>
    <definedName name="sheet67">#REF!</definedName>
    <definedName name="sheet68">#REF!</definedName>
    <definedName name="sheet69">#REF!</definedName>
    <definedName name="sheet7">#REF!</definedName>
    <definedName name="sheet70">#REF!</definedName>
    <definedName name="sheet71">#REF!</definedName>
    <definedName name="sheet72">#REF!</definedName>
    <definedName name="sheet8">#REF!</definedName>
    <definedName name="sheet9">#REF!</definedName>
    <definedName name="Start14">#REF!</definedName>
    <definedName name="Start15">#REF!</definedName>
    <definedName name="Start16">#REF!</definedName>
    <definedName name="Start17">#REF!</definedName>
    <definedName name="Start18">#REF!</definedName>
    <definedName name="Start19">#REF!</definedName>
    <definedName name="Start2">#REF!</definedName>
    <definedName name="Start20">#REF!</definedName>
    <definedName name="Start21">#REF!</definedName>
    <definedName name="Start22">#REF!</definedName>
    <definedName name="Start23">#REF!</definedName>
    <definedName name="Start24">#REF!</definedName>
    <definedName name="Start25">#REF!</definedName>
    <definedName name="Start26">#REF!</definedName>
    <definedName name="Start27">#REF!</definedName>
    <definedName name="Start28">#REF!</definedName>
    <definedName name="Start29">#REF!</definedName>
    <definedName name="Start3">#REF!</definedName>
    <definedName name="Start30">#REF!</definedName>
    <definedName name="Start31">#REF!</definedName>
    <definedName name="Start32">#REF!</definedName>
    <definedName name="Start33">#REF!</definedName>
    <definedName name="Start34">#REF!</definedName>
    <definedName name="Start35">#REF!</definedName>
    <definedName name="Start36">#REF!</definedName>
    <definedName name="Start37">#REF!</definedName>
    <definedName name="Start38">#REF!</definedName>
    <definedName name="Start39">#REF!</definedName>
    <definedName name="Start4">#REF!</definedName>
    <definedName name="Start40">#REF!</definedName>
    <definedName name="Start41">#REF!</definedName>
    <definedName name="Start42">#REF!</definedName>
    <definedName name="Start43">#REF!</definedName>
    <definedName name="Start44">#REF!</definedName>
    <definedName name="Start45">#REF!</definedName>
    <definedName name="Start46">#REF!</definedName>
    <definedName name="Start47">#REF!</definedName>
    <definedName name="Varmebehov">#REF!</definedName>
    <definedName name="w">#REF!</definedName>
    <definedName name="werwer">#REF!</definedName>
    <definedName name="Wood_single_ex">#REF!</definedName>
    <definedName name="Wood_single_with">#REF!</definedName>
    <definedName name="www">#REF!</definedName>
    <definedName name="xcv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1" i="52" l="1"/>
  <c r="K31" i="52"/>
  <c r="L29" i="52"/>
  <c r="K29" i="52"/>
  <c r="L27" i="52"/>
  <c r="K27" i="52"/>
  <c r="L25" i="52"/>
  <c r="K25" i="52"/>
  <c r="L23" i="52"/>
  <c r="K23" i="52"/>
  <c r="L21" i="52"/>
  <c r="K21" i="52"/>
  <c r="L19" i="52"/>
  <c r="K19" i="52"/>
  <c r="L17" i="52"/>
  <c r="K17" i="52"/>
  <c r="L15" i="52"/>
  <c r="K15" i="52"/>
  <c r="L13" i="52"/>
  <c r="K13" i="52"/>
  <c r="L11" i="52"/>
  <c r="K11" i="52"/>
  <c r="L9" i="52"/>
  <c r="K9" i="52"/>
  <c r="L7" i="52"/>
  <c r="K7" i="52"/>
  <c r="L5" i="52"/>
  <c r="K5" i="52"/>
  <c r="L3" i="52"/>
  <c r="K3" i="52"/>
  <c r="F31" i="52"/>
  <c r="E31" i="52"/>
  <c r="F29" i="52"/>
  <c r="E29" i="52"/>
  <c r="F27" i="52"/>
  <c r="E27" i="52"/>
  <c r="F25" i="52"/>
  <c r="E25" i="52"/>
  <c r="F23" i="52"/>
  <c r="E23" i="52"/>
  <c r="F21" i="52"/>
  <c r="E21" i="52"/>
  <c r="F19" i="52"/>
  <c r="E19" i="52"/>
  <c r="F17" i="52"/>
  <c r="E17" i="52"/>
  <c r="F15" i="52"/>
  <c r="E15" i="52"/>
  <c r="F13" i="52"/>
  <c r="E13" i="52"/>
  <c r="F11" i="52"/>
  <c r="E11" i="52"/>
  <c r="F9" i="52"/>
  <c r="E9" i="52"/>
  <c r="F7" i="52"/>
  <c r="E7" i="52"/>
  <c r="F5" i="52"/>
  <c r="E5" i="52"/>
  <c r="F3" i="52"/>
  <c r="E3" i="52"/>
  <c r="V2" i="51" l="1"/>
  <c r="AE2" i="51" s="1"/>
  <c r="AN2" i="51" s="1"/>
  <c r="AW2" i="51" s="1"/>
  <c r="M2" i="51"/>
  <c r="N5" i="49"/>
  <c r="N6" i="49"/>
  <c r="N7" i="49"/>
  <c r="N8" i="49"/>
  <c r="N9" i="49"/>
  <c r="N10" i="49"/>
  <c r="N11" i="49"/>
  <c r="N12" i="49"/>
  <c r="N13" i="49"/>
  <c r="N14" i="49"/>
  <c r="N15" i="49"/>
  <c r="N16" i="49"/>
  <c r="N17" i="49"/>
  <c r="N18" i="49"/>
  <c r="N19" i="49"/>
  <c r="N20" i="49"/>
  <c r="N21" i="49"/>
  <c r="N22" i="49"/>
  <c r="N23" i="49"/>
  <c r="N24" i="49"/>
  <c r="N25" i="49"/>
  <c r="N26" i="49"/>
  <c r="N27" i="49"/>
  <c r="N28" i="49"/>
  <c r="N29" i="49"/>
  <c r="N30" i="49"/>
  <c r="N31" i="49"/>
  <c r="N32" i="49"/>
  <c r="N33" i="49"/>
  <c r="N34" i="49"/>
  <c r="N35" i="49"/>
  <c r="N36" i="49"/>
  <c r="N37" i="49"/>
  <c r="N38" i="49"/>
  <c r="N39" i="49"/>
  <c r="N40" i="49"/>
  <c r="N41" i="49"/>
  <c r="N42" i="49"/>
  <c r="N43" i="49"/>
  <c r="N44" i="49"/>
  <c r="N45" i="49"/>
  <c r="N46" i="49"/>
  <c r="N47" i="49"/>
  <c r="N48" i="49"/>
  <c r="N49" i="49"/>
  <c r="N50" i="49"/>
  <c r="N51" i="49"/>
  <c r="N52" i="49"/>
  <c r="N53" i="49"/>
  <c r="N54" i="49"/>
  <c r="N4" i="49"/>
  <c r="P4" i="8"/>
  <c r="R5" i="49"/>
  <c r="R6" i="49" s="1"/>
  <c r="R7" i="49" s="1"/>
  <c r="R8" i="49" s="1"/>
  <c r="R9" i="49" s="1"/>
  <c r="R10" i="49" s="1"/>
  <c r="R11" i="49" s="1"/>
  <c r="R12" i="49" s="1"/>
  <c r="R13" i="49" s="1"/>
  <c r="R14" i="49" s="1"/>
  <c r="R15" i="49" s="1"/>
  <c r="R16" i="49" s="1"/>
  <c r="R17" i="49" s="1"/>
  <c r="R18" i="49" s="1"/>
  <c r="R19" i="49" s="1"/>
  <c r="R20" i="49" s="1"/>
  <c r="R21" i="49" s="1"/>
  <c r="R22" i="49" s="1"/>
  <c r="R23" i="49" s="1"/>
  <c r="R24" i="49" s="1"/>
  <c r="R25" i="49" s="1"/>
  <c r="R26" i="49" s="1"/>
  <c r="R27" i="49" s="1"/>
  <c r="R28" i="49" s="1"/>
  <c r="R29" i="49" s="1"/>
  <c r="R30" i="49" s="1"/>
  <c r="R31" i="49" s="1"/>
  <c r="R32" i="49" s="1"/>
  <c r="R33" i="49" s="1"/>
  <c r="R34" i="49" s="1"/>
  <c r="R35" i="49" s="1"/>
  <c r="R36" i="49" s="1"/>
  <c r="R37" i="49" s="1"/>
  <c r="R38" i="49" s="1"/>
  <c r="R39" i="49" s="1"/>
  <c r="R40" i="49" s="1"/>
  <c r="R41" i="49" s="1"/>
  <c r="R42" i="49" s="1"/>
  <c r="R43" i="49" s="1"/>
  <c r="R44" i="49" s="1"/>
  <c r="R45" i="49" s="1"/>
  <c r="R46" i="49" s="1"/>
  <c r="R47" i="49" s="1"/>
  <c r="R48" i="49" s="1"/>
  <c r="R49" i="49" s="1"/>
  <c r="R50" i="49" s="1"/>
  <c r="R51" i="49" s="1"/>
  <c r="R52" i="49" s="1"/>
  <c r="R53" i="49" s="1"/>
  <c r="R54" i="49" s="1"/>
  <c r="O4" i="8"/>
  <c r="Y10" i="8" s="1"/>
  <c r="P5" i="8"/>
  <c r="P6" i="8" s="1"/>
  <c r="P7" i="8" s="1"/>
  <c r="P8" i="8" s="1"/>
  <c r="P9" i="8" s="1"/>
  <c r="P10" i="8" s="1"/>
  <c r="P11" i="8" s="1"/>
  <c r="P12" i="8" s="1"/>
  <c r="P13" i="8" s="1"/>
  <c r="P14" i="8" s="1"/>
  <c r="P15" i="8" s="1"/>
  <c r="P16" i="8" s="1"/>
  <c r="P17" i="8" s="1"/>
  <c r="P18" i="8" s="1"/>
  <c r="P19" i="8" s="1"/>
  <c r="P20" i="8" s="1"/>
  <c r="P21" i="8" s="1"/>
  <c r="P22" i="8" s="1"/>
  <c r="P23" i="8" s="1"/>
  <c r="P24" i="8" s="1"/>
  <c r="P25" i="8" s="1"/>
  <c r="P26" i="8" s="1"/>
  <c r="P27" i="8" s="1"/>
  <c r="P28" i="8" s="1"/>
  <c r="P29" i="8" s="1"/>
  <c r="P30" i="8" s="1"/>
  <c r="P31" i="8" s="1"/>
  <c r="P32" i="8" s="1"/>
  <c r="P33" i="8" s="1"/>
  <c r="P34" i="8" s="1"/>
  <c r="P35" i="8" s="1"/>
  <c r="P36" i="8" s="1"/>
  <c r="P37" i="8" s="1"/>
  <c r="P38" i="8" s="1"/>
  <c r="P39" i="8" s="1"/>
  <c r="P40" i="8" s="1"/>
  <c r="P41" i="8" s="1"/>
  <c r="P42" i="8" s="1"/>
  <c r="P43" i="8" s="1"/>
  <c r="P44" i="8" s="1"/>
  <c r="P45" i="8" s="1"/>
  <c r="P46" i="8" s="1"/>
  <c r="P47" i="8" s="1"/>
  <c r="P48" i="8" s="1"/>
  <c r="P49" i="8" s="1"/>
  <c r="P50" i="8" s="1"/>
  <c r="Q4" i="8"/>
  <c r="Y8" i="8" s="1"/>
  <c r="R4" i="8"/>
  <c r="R5" i="8" s="1"/>
  <c r="R6" i="8" s="1"/>
  <c r="R7" i="8" s="1"/>
  <c r="R8" i="8" s="1"/>
  <c r="R9" i="8" s="1"/>
  <c r="R10" i="8" s="1"/>
  <c r="R11" i="8" s="1"/>
  <c r="R12" i="8" s="1"/>
  <c r="R13" i="8" s="1"/>
  <c r="R14" i="8" s="1"/>
  <c r="R15" i="8" s="1"/>
  <c r="R16" i="8" s="1"/>
  <c r="R17" i="8" s="1"/>
  <c r="R18" i="8" s="1"/>
  <c r="R19" i="8" s="1"/>
  <c r="R20" i="8" s="1"/>
  <c r="R21" i="8" s="1"/>
  <c r="R22" i="8" s="1"/>
  <c r="R23" i="8" s="1"/>
  <c r="R24" i="8" s="1"/>
  <c r="R25" i="8" s="1"/>
  <c r="R26" i="8" s="1"/>
  <c r="R27" i="8" s="1"/>
  <c r="R28" i="8" s="1"/>
  <c r="R29" i="8" s="1"/>
  <c r="R30" i="8" s="1"/>
  <c r="R31" i="8" s="1"/>
  <c r="R32" i="8" s="1"/>
  <c r="R33" i="8" s="1"/>
  <c r="R34" i="8" s="1"/>
  <c r="R35" i="8" s="1"/>
  <c r="R36" i="8" s="1"/>
  <c r="R37" i="8" s="1"/>
  <c r="R38" i="8" s="1"/>
  <c r="R39" i="8" s="1"/>
  <c r="R40" i="8" s="1"/>
  <c r="R41" i="8" s="1"/>
  <c r="R42" i="8" s="1"/>
  <c r="R43" i="8" s="1"/>
  <c r="R44" i="8" s="1"/>
  <c r="R45" i="8" s="1"/>
  <c r="R46" i="8" s="1"/>
  <c r="R47" i="8" s="1"/>
  <c r="R48" i="8" s="1"/>
  <c r="R49" i="8" s="1"/>
  <c r="R50" i="8" s="1"/>
  <c r="A54" i="49"/>
  <c r="A51" i="49"/>
  <c r="A52" i="49"/>
  <c r="A53" i="49"/>
  <c r="A7" i="49"/>
  <c r="A8" i="49"/>
  <c r="A9" i="49" s="1"/>
  <c r="A10" i="49" s="1"/>
  <c r="A11" i="49" s="1"/>
  <c r="A12" i="49" s="1"/>
  <c r="A13" i="49" s="1"/>
  <c r="A14" i="49" s="1"/>
  <c r="A15" i="49" s="1"/>
  <c r="A16" i="49" s="1"/>
  <c r="A17" i="49" s="1"/>
  <c r="A18" i="49" s="1"/>
  <c r="A19" i="49" s="1"/>
  <c r="A20" i="49" s="1"/>
  <c r="A21" i="49" s="1"/>
  <c r="A22" i="49" s="1"/>
  <c r="A23" i="49" s="1"/>
  <c r="A24" i="49" s="1"/>
  <c r="A25" i="49" s="1"/>
  <c r="A26" i="49" s="1"/>
  <c r="A27" i="49" s="1"/>
  <c r="A28" i="49" s="1"/>
  <c r="A29" i="49" s="1"/>
  <c r="A30" i="49" s="1"/>
  <c r="A31" i="49" s="1"/>
  <c r="A32" i="49" s="1"/>
  <c r="A33" i="49" s="1"/>
  <c r="A34" i="49" s="1"/>
  <c r="A35" i="49" s="1"/>
  <c r="A36" i="49" s="1"/>
  <c r="A37" i="49" s="1"/>
  <c r="A38" i="49" s="1"/>
  <c r="A39" i="49" s="1"/>
  <c r="A40" i="49" s="1"/>
  <c r="A41" i="49" s="1"/>
  <c r="A42" i="49" s="1"/>
  <c r="A43" i="49" s="1"/>
  <c r="A44" i="49" s="1"/>
  <c r="A45" i="49" s="1"/>
  <c r="A46" i="49" s="1"/>
  <c r="A47" i="49" s="1"/>
  <c r="A48" i="49" s="1"/>
  <c r="A49" i="49" s="1"/>
  <c r="A50" i="49" s="1"/>
  <c r="A6" i="49"/>
  <c r="A5" i="49"/>
  <c r="X11" i="49"/>
  <c r="Y10" i="49"/>
  <c r="X10" i="49"/>
  <c r="X9" i="49"/>
  <c r="X8" i="49"/>
  <c r="U6" i="49"/>
  <c r="P5" i="49" s="1"/>
  <c r="P6" i="49" s="1"/>
  <c r="P7" i="49" s="1"/>
  <c r="P8" i="49" s="1"/>
  <c r="P9" i="49" s="1"/>
  <c r="P10" i="49" s="1"/>
  <c r="P11" i="49" s="1"/>
  <c r="P12" i="49" s="1"/>
  <c r="P13" i="49" s="1"/>
  <c r="P14" i="49" s="1"/>
  <c r="P15" i="49" s="1"/>
  <c r="P16" i="49" s="1"/>
  <c r="P17" i="49" s="1"/>
  <c r="P18" i="49" s="1"/>
  <c r="P19" i="49" s="1"/>
  <c r="P20" i="49" s="1"/>
  <c r="P21" i="49" s="1"/>
  <c r="P22" i="49" s="1"/>
  <c r="P23" i="49" s="1"/>
  <c r="P24" i="49" s="1"/>
  <c r="P25" i="49" s="1"/>
  <c r="P26" i="49" s="1"/>
  <c r="P27" i="49" s="1"/>
  <c r="P28" i="49" s="1"/>
  <c r="P29" i="49" s="1"/>
  <c r="P30" i="49" s="1"/>
  <c r="P31" i="49" s="1"/>
  <c r="P32" i="49" s="1"/>
  <c r="P33" i="49" s="1"/>
  <c r="P34" i="49" s="1"/>
  <c r="P35" i="49" s="1"/>
  <c r="P36" i="49" s="1"/>
  <c r="P37" i="49" s="1"/>
  <c r="P38" i="49" s="1"/>
  <c r="P39" i="49" s="1"/>
  <c r="P40" i="49" s="1"/>
  <c r="P41" i="49" s="1"/>
  <c r="P42" i="49" s="1"/>
  <c r="P43" i="49" s="1"/>
  <c r="P44" i="49" s="1"/>
  <c r="P45" i="49" s="1"/>
  <c r="P46" i="49" s="1"/>
  <c r="P47" i="49" s="1"/>
  <c r="P48" i="49" s="1"/>
  <c r="P49" i="49" s="1"/>
  <c r="P50" i="49" s="1"/>
  <c r="P51" i="49" s="1"/>
  <c r="P52" i="49" s="1"/>
  <c r="P53" i="49" s="1"/>
  <c r="P54" i="49" s="1"/>
  <c r="Y8" i="49"/>
  <c r="X11" i="8"/>
  <c r="X10" i="8"/>
  <c r="X9" i="8"/>
  <c r="X8" i="8"/>
  <c r="E22" i="47"/>
  <c r="O26" i="47"/>
  <c r="P26" i="47"/>
  <c r="Q26" i="47"/>
  <c r="O27" i="47"/>
  <c r="P27" i="47"/>
  <c r="Q27" i="47"/>
  <c r="O28" i="47"/>
  <c r="P28" i="47"/>
  <c r="Q28" i="47"/>
  <c r="O29" i="47"/>
  <c r="P29" i="47"/>
  <c r="Q29" i="47"/>
  <c r="O30" i="47"/>
  <c r="P30" i="47"/>
  <c r="Q30" i="47"/>
  <c r="P25" i="47"/>
  <c r="Q25" i="47"/>
  <c r="O25" i="47"/>
  <c r="P24" i="47"/>
  <c r="Q24" i="47"/>
  <c r="O24" i="47"/>
  <c r="O21" i="47"/>
  <c r="P21" i="47"/>
  <c r="Q21" i="47"/>
  <c r="O22" i="47"/>
  <c r="P22" i="47"/>
  <c r="Q22" i="47"/>
  <c r="O23" i="47"/>
  <c r="P23" i="47"/>
  <c r="Q23" i="47"/>
  <c r="P20" i="47"/>
  <c r="Q20" i="47"/>
  <c r="O20" i="47"/>
  <c r="F22" i="47"/>
  <c r="G22" i="47"/>
  <c r="E24" i="47"/>
  <c r="F24" i="47"/>
  <c r="G24" i="47"/>
  <c r="E25" i="47"/>
  <c r="F25" i="47"/>
  <c r="G25" i="47"/>
  <c r="E26" i="47"/>
  <c r="F26" i="47"/>
  <c r="G26" i="47"/>
  <c r="E27" i="47"/>
  <c r="F27" i="47"/>
  <c r="G27" i="47"/>
  <c r="F23" i="47"/>
  <c r="G23" i="47"/>
  <c r="E23" i="47"/>
  <c r="E21" i="47"/>
  <c r="F21" i="47"/>
  <c r="G21" i="47"/>
  <c r="F20" i="47"/>
  <c r="G20" i="47"/>
  <c r="E20" i="47"/>
  <c r="U6" i="46"/>
  <c r="O5" i="49" l="1"/>
  <c r="O6" i="49" s="1"/>
  <c r="O7" i="49" s="1"/>
  <c r="O8" i="49" s="1"/>
  <c r="O9" i="49" s="1"/>
  <c r="O10" i="49" s="1"/>
  <c r="O11" i="49" s="1"/>
  <c r="O12" i="49" s="1"/>
  <c r="O13" i="49" s="1"/>
  <c r="O14" i="49" s="1"/>
  <c r="O15" i="49" s="1"/>
  <c r="O16" i="49" s="1"/>
  <c r="O17" i="49" s="1"/>
  <c r="O18" i="49" s="1"/>
  <c r="O19" i="49" s="1"/>
  <c r="O20" i="49" s="1"/>
  <c r="O21" i="49" s="1"/>
  <c r="O22" i="49" s="1"/>
  <c r="O23" i="49" s="1"/>
  <c r="O24" i="49" s="1"/>
  <c r="O25" i="49" s="1"/>
  <c r="O26" i="49" s="1"/>
  <c r="O27" i="49" s="1"/>
  <c r="O28" i="49" s="1"/>
  <c r="O29" i="49" s="1"/>
  <c r="O30" i="49" s="1"/>
  <c r="O31" i="49" s="1"/>
  <c r="O32" i="49" s="1"/>
  <c r="O33" i="49" s="1"/>
  <c r="O34" i="49" s="1"/>
  <c r="O35" i="49" s="1"/>
  <c r="O36" i="49" s="1"/>
  <c r="O37" i="49" s="1"/>
  <c r="O38" i="49" s="1"/>
  <c r="O39" i="49" s="1"/>
  <c r="O40" i="49" s="1"/>
  <c r="O41" i="49" s="1"/>
  <c r="O42" i="49" s="1"/>
  <c r="O43" i="49" s="1"/>
  <c r="O44" i="49" s="1"/>
  <c r="O45" i="49" s="1"/>
  <c r="O46" i="49" s="1"/>
  <c r="O47" i="49" s="1"/>
  <c r="O48" i="49" s="1"/>
  <c r="O49" i="49" s="1"/>
  <c r="O50" i="49" s="1"/>
  <c r="O51" i="49" s="1"/>
  <c r="O52" i="49" s="1"/>
  <c r="O53" i="49" s="1"/>
  <c r="O54" i="49" s="1"/>
  <c r="Q5" i="49"/>
  <c r="Q6" i="49" s="1"/>
  <c r="Q7" i="49" s="1"/>
  <c r="Q8" i="49" s="1"/>
  <c r="Q9" i="49" s="1"/>
  <c r="Q10" i="49" s="1"/>
  <c r="Q11" i="49" s="1"/>
  <c r="Q12" i="49" s="1"/>
  <c r="Q13" i="49" s="1"/>
  <c r="Q14" i="49" s="1"/>
  <c r="Q15" i="49" s="1"/>
  <c r="Q16" i="49" s="1"/>
  <c r="Q17" i="49" s="1"/>
  <c r="Q18" i="49" s="1"/>
  <c r="Q19" i="49" s="1"/>
  <c r="Q20" i="49" s="1"/>
  <c r="Q21" i="49" s="1"/>
  <c r="Q22" i="49" s="1"/>
  <c r="Q23" i="49" s="1"/>
  <c r="Q24" i="49" s="1"/>
  <c r="Q25" i="49" s="1"/>
  <c r="Q26" i="49" s="1"/>
  <c r="Q27" i="49" s="1"/>
  <c r="Q28" i="49" s="1"/>
  <c r="Q29" i="49" s="1"/>
  <c r="Q30" i="49" s="1"/>
  <c r="Q31" i="49" s="1"/>
  <c r="Q32" i="49" s="1"/>
  <c r="Q33" i="49" s="1"/>
  <c r="Q34" i="49" s="1"/>
  <c r="Q35" i="49" s="1"/>
  <c r="Q36" i="49" s="1"/>
  <c r="Q37" i="49" s="1"/>
  <c r="Q38" i="49" s="1"/>
  <c r="Q39" i="49" s="1"/>
  <c r="Q40" i="49" s="1"/>
  <c r="Q41" i="49" s="1"/>
  <c r="Q42" i="49" s="1"/>
  <c r="Q43" i="49" s="1"/>
  <c r="Q44" i="49" s="1"/>
  <c r="Q45" i="49" s="1"/>
  <c r="Q46" i="49" s="1"/>
  <c r="Q47" i="49" s="1"/>
  <c r="Q48" i="49" s="1"/>
  <c r="Q49" i="49" s="1"/>
  <c r="Q50" i="49" s="1"/>
  <c r="Q51" i="49" s="1"/>
  <c r="Q52" i="49" s="1"/>
  <c r="Q53" i="49" s="1"/>
  <c r="Q54" i="49" s="1"/>
  <c r="Q5" i="8"/>
  <c r="Q6" i="8" s="1"/>
  <c r="Q7" i="8" s="1"/>
  <c r="Q8" i="8" s="1"/>
  <c r="Q9" i="8" s="1"/>
  <c r="Q10" i="8" s="1"/>
  <c r="Q11" i="8" s="1"/>
  <c r="Q12" i="8" s="1"/>
  <c r="Q13" i="8" s="1"/>
  <c r="Q14" i="8" s="1"/>
  <c r="Q15" i="8" s="1"/>
  <c r="Q16" i="8" s="1"/>
  <c r="Q17" i="8" s="1"/>
  <c r="Q18" i="8" s="1"/>
  <c r="Q19" i="8" s="1"/>
  <c r="Q20" i="8" s="1"/>
  <c r="Q21" i="8" s="1"/>
  <c r="Q22" i="8" s="1"/>
  <c r="Q23" i="8" s="1"/>
  <c r="Q24" i="8" s="1"/>
  <c r="Q25" i="8" s="1"/>
  <c r="Q26" i="8" s="1"/>
  <c r="Q27" i="8" s="1"/>
  <c r="Q28" i="8" s="1"/>
  <c r="Q29" i="8" s="1"/>
  <c r="Q30" i="8" s="1"/>
  <c r="Q31" i="8" s="1"/>
  <c r="Q32" i="8" s="1"/>
  <c r="Q33" i="8" s="1"/>
  <c r="Q34" i="8" s="1"/>
  <c r="Q35" i="8" s="1"/>
  <c r="Q36" i="8" s="1"/>
  <c r="Q37" i="8" s="1"/>
  <c r="Q38" i="8" s="1"/>
  <c r="Q39" i="8" s="1"/>
  <c r="Q40" i="8" s="1"/>
  <c r="Q41" i="8" s="1"/>
  <c r="Q42" i="8" s="1"/>
  <c r="Q43" i="8" s="1"/>
  <c r="Q44" i="8" s="1"/>
  <c r="Q45" i="8" s="1"/>
  <c r="Q46" i="8" s="1"/>
  <c r="Q47" i="8" s="1"/>
  <c r="Q48" i="8" s="1"/>
  <c r="Q49" i="8" s="1"/>
  <c r="Q50" i="8" s="1"/>
  <c r="O5" i="8"/>
  <c r="O6" i="8" s="1"/>
  <c r="O7" i="8" s="1"/>
  <c r="O8" i="8" s="1"/>
  <c r="O9" i="8" s="1"/>
  <c r="O10" i="8" s="1"/>
  <c r="O11" i="8" s="1"/>
  <c r="O12" i="8" s="1"/>
  <c r="O13" i="8" s="1"/>
  <c r="O14" i="8" s="1"/>
  <c r="O15" i="8" s="1"/>
  <c r="O16" i="8" s="1"/>
  <c r="O17" i="8" s="1"/>
  <c r="O18" i="8" s="1"/>
  <c r="O19" i="8" s="1"/>
  <c r="O20" i="8" s="1"/>
  <c r="O21" i="8" s="1"/>
  <c r="O22" i="8" s="1"/>
  <c r="O23" i="8" s="1"/>
  <c r="O24" i="8" s="1"/>
  <c r="O25" i="8" s="1"/>
  <c r="O26" i="8" s="1"/>
  <c r="O27" i="8" s="1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X11" i="46"/>
  <c r="X10" i="46"/>
  <c r="X9" i="46"/>
  <c r="X8" i="46"/>
  <c r="P4" i="46"/>
  <c r="P5" i="46" s="1"/>
  <c r="P6" i="46" s="1"/>
  <c r="P7" i="46" s="1"/>
  <c r="P8" i="46" s="1"/>
  <c r="P9" i="46" s="1"/>
  <c r="P10" i="46" s="1"/>
  <c r="P11" i="46" s="1"/>
  <c r="P12" i="46" s="1"/>
  <c r="P13" i="46" s="1"/>
  <c r="P14" i="46" s="1"/>
  <c r="P15" i="46" s="1"/>
  <c r="P16" i="46" s="1"/>
  <c r="P17" i="46" s="1"/>
  <c r="P18" i="46" s="1"/>
  <c r="P19" i="46" s="1"/>
  <c r="P20" i="46" s="1"/>
  <c r="P21" i="46" s="1"/>
  <c r="P22" i="46" s="1"/>
  <c r="P23" i="46" s="1"/>
  <c r="P24" i="46" s="1"/>
  <c r="P25" i="46" s="1"/>
  <c r="P26" i="46" s="1"/>
  <c r="P27" i="46" s="1"/>
  <c r="P28" i="46" s="1"/>
  <c r="P29" i="46" s="1"/>
  <c r="P30" i="46" s="1"/>
  <c r="P31" i="46" s="1"/>
  <c r="P32" i="46" s="1"/>
  <c r="P33" i="46" s="1"/>
  <c r="P34" i="46" s="1"/>
  <c r="P35" i="46" s="1"/>
  <c r="P36" i="46" s="1"/>
  <c r="P37" i="46" s="1"/>
  <c r="P38" i="46" s="1"/>
  <c r="P39" i="46" s="1"/>
  <c r="P40" i="46" s="1"/>
  <c r="P41" i="46" s="1"/>
  <c r="P42" i="46" s="1"/>
  <c r="P43" i="46" s="1"/>
  <c r="P44" i="46" s="1"/>
  <c r="P45" i="46" s="1"/>
  <c r="P46" i="46" s="1"/>
  <c r="P47" i="46" s="1"/>
  <c r="P48" i="46" s="1"/>
  <c r="P49" i="46" s="1"/>
  <c r="P50" i="46" s="1"/>
  <c r="R4" i="46"/>
  <c r="R5" i="46" s="1"/>
  <c r="R6" i="46" s="1"/>
  <c r="R7" i="46" s="1"/>
  <c r="R8" i="46" s="1"/>
  <c r="R9" i="46" s="1"/>
  <c r="R10" i="46" s="1"/>
  <c r="R11" i="46" s="1"/>
  <c r="R12" i="46" s="1"/>
  <c r="R13" i="46" s="1"/>
  <c r="R14" i="46" s="1"/>
  <c r="R15" i="46" s="1"/>
  <c r="R16" i="46" s="1"/>
  <c r="R17" i="46" s="1"/>
  <c r="R18" i="46" s="1"/>
  <c r="R19" i="46" s="1"/>
  <c r="R20" i="46" s="1"/>
  <c r="R21" i="46" s="1"/>
  <c r="R22" i="46" s="1"/>
  <c r="R23" i="46" s="1"/>
  <c r="R24" i="46" s="1"/>
  <c r="R25" i="46" s="1"/>
  <c r="R26" i="46" s="1"/>
  <c r="R27" i="46" s="1"/>
  <c r="R28" i="46" s="1"/>
  <c r="R29" i="46" s="1"/>
  <c r="R30" i="46" s="1"/>
  <c r="R31" i="46" s="1"/>
  <c r="R32" i="46" s="1"/>
  <c r="R33" i="46" s="1"/>
  <c r="R34" i="46" s="1"/>
  <c r="R35" i="46" s="1"/>
  <c r="R36" i="46" s="1"/>
  <c r="R37" i="46" s="1"/>
  <c r="R38" i="46" s="1"/>
  <c r="R39" i="46" s="1"/>
  <c r="R40" i="46" s="1"/>
  <c r="R41" i="46" s="1"/>
  <c r="R42" i="46" s="1"/>
  <c r="R43" i="46" s="1"/>
  <c r="R44" i="46" s="1"/>
  <c r="R45" i="46" s="1"/>
  <c r="R46" i="46" s="1"/>
  <c r="R47" i="46" s="1"/>
  <c r="R48" i="46" s="1"/>
  <c r="R49" i="46" s="1"/>
  <c r="R50" i="46" s="1"/>
  <c r="Q4" i="46"/>
  <c r="Y8" i="46" s="1"/>
  <c r="O4" i="46"/>
  <c r="Y10" i="46" s="1"/>
  <c r="O5" i="46" l="1"/>
  <c r="O6" i="46" s="1"/>
  <c r="O7" i="46" s="1"/>
  <c r="O8" i="46" s="1"/>
  <c r="O9" i="46" s="1"/>
  <c r="O10" i="46" s="1"/>
  <c r="O11" i="46" s="1"/>
  <c r="O12" i="46" s="1"/>
  <c r="O13" i="46" s="1"/>
  <c r="O14" i="46" s="1"/>
  <c r="O15" i="46" s="1"/>
  <c r="O16" i="46" s="1"/>
  <c r="O17" i="46" s="1"/>
  <c r="O18" i="46" s="1"/>
  <c r="O19" i="46" s="1"/>
  <c r="O20" i="46" s="1"/>
  <c r="O21" i="46" s="1"/>
  <c r="O22" i="46" s="1"/>
  <c r="O23" i="46" s="1"/>
  <c r="O24" i="46" s="1"/>
  <c r="O25" i="46" s="1"/>
  <c r="O26" i="46" s="1"/>
  <c r="O27" i="46" s="1"/>
  <c r="O28" i="46" s="1"/>
  <c r="O29" i="46" s="1"/>
  <c r="O30" i="46" s="1"/>
  <c r="O31" i="46" s="1"/>
  <c r="O32" i="46" s="1"/>
  <c r="O33" i="46" s="1"/>
  <c r="O34" i="46" s="1"/>
  <c r="O35" i="46" s="1"/>
  <c r="O36" i="46" s="1"/>
  <c r="O37" i="46" s="1"/>
  <c r="O38" i="46" s="1"/>
  <c r="O39" i="46" s="1"/>
  <c r="O40" i="46" s="1"/>
  <c r="O41" i="46" s="1"/>
  <c r="O42" i="46" s="1"/>
  <c r="O43" i="46" s="1"/>
  <c r="O44" i="46" s="1"/>
  <c r="O45" i="46" s="1"/>
  <c r="O46" i="46" s="1"/>
  <c r="O47" i="46" s="1"/>
  <c r="O48" i="46" s="1"/>
  <c r="O49" i="46" s="1"/>
  <c r="O50" i="46" s="1"/>
  <c r="Q5" i="46"/>
  <c r="Q6" i="46" s="1"/>
  <c r="Q7" i="46" s="1"/>
  <c r="Q8" i="46" s="1"/>
  <c r="Q9" i="46" s="1"/>
  <c r="Q10" i="46" s="1"/>
  <c r="Q11" i="46" s="1"/>
  <c r="Q12" i="46" s="1"/>
  <c r="Q13" i="46" s="1"/>
  <c r="Q14" i="46" s="1"/>
  <c r="Q15" i="46" s="1"/>
  <c r="Q16" i="46" s="1"/>
  <c r="Q17" i="46" s="1"/>
  <c r="Q18" i="46" s="1"/>
  <c r="Q19" i="46" s="1"/>
  <c r="Q20" i="46" s="1"/>
  <c r="Q21" i="46" s="1"/>
  <c r="Q22" i="46" s="1"/>
  <c r="Q23" i="46" s="1"/>
  <c r="Q24" i="46" s="1"/>
  <c r="Q25" i="46" s="1"/>
  <c r="Q26" i="46" s="1"/>
  <c r="Q27" i="46" s="1"/>
  <c r="Q28" i="46" s="1"/>
  <c r="Q29" i="46" s="1"/>
  <c r="Q30" i="46" s="1"/>
  <c r="Q31" i="46" s="1"/>
  <c r="Q32" i="46" s="1"/>
  <c r="Q33" i="46" s="1"/>
  <c r="Q34" i="46" s="1"/>
  <c r="Q35" i="46" s="1"/>
  <c r="Q36" i="46" s="1"/>
  <c r="Q37" i="46" s="1"/>
  <c r="Q38" i="46" s="1"/>
  <c r="Q39" i="46" s="1"/>
  <c r="Q40" i="46" s="1"/>
  <c r="Q41" i="46" s="1"/>
  <c r="Q42" i="46" s="1"/>
  <c r="Q43" i="46" s="1"/>
  <c r="Q44" i="46" s="1"/>
  <c r="Q45" i="46" s="1"/>
  <c r="Q46" i="46" s="1"/>
  <c r="Q47" i="46" s="1"/>
  <c r="Q48" i="46" s="1"/>
  <c r="Q49" i="46" s="1"/>
  <c r="Q50" i="46" s="1"/>
  <c r="U6" i="8" l="1"/>
  <c r="I67" i="44" l="1"/>
  <c r="I71" i="44" s="1"/>
  <c r="I63" i="44"/>
  <c r="I60" i="44"/>
  <c r="I59" i="44"/>
  <c r="I55" i="44"/>
  <c r="I52" i="44"/>
  <c r="J51" i="44"/>
  <c r="I51" i="44"/>
  <c r="J50" i="44"/>
  <c r="I50" i="44"/>
  <c r="J49" i="44"/>
  <c r="I43" i="44"/>
  <c r="J42" i="44"/>
  <c r="I42" i="44"/>
  <c r="K41" i="44"/>
  <c r="J41" i="44"/>
  <c r="K40" i="44"/>
  <c r="K38" i="44"/>
  <c r="K63" i="44" s="1"/>
  <c r="J38" i="44"/>
  <c r="J67" i="44" s="1"/>
  <c r="J72" i="44" s="1"/>
  <c r="I38" i="44"/>
  <c r="I65" i="44" s="1"/>
  <c r="H38" i="44"/>
  <c r="H61" i="44" s="1"/>
  <c r="G38" i="44"/>
  <c r="G46" i="44" s="1"/>
  <c r="F38" i="44"/>
  <c r="F63" i="44" s="1"/>
  <c r="E38" i="44"/>
  <c r="E40" i="44" s="1"/>
  <c r="D38" i="44"/>
  <c r="D62" i="44" s="1"/>
  <c r="C38" i="44"/>
  <c r="C63" i="44" s="1"/>
  <c r="D39" i="44" l="1"/>
  <c r="D40" i="44"/>
  <c r="H43" i="44"/>
  <c r="D44" i="44"/>
  <c r="C45" i="44"/>
  <c r="K45" i="44"/>
  <c r="D48" i="44"/>
  <c r="D55" i="44"/>
  <c r="K56" i="44"/>
  <c r="C58" i="44"/>
  <c r="C59" i="44"/>
  <c r="D63" i="44"/>
  <c r="K64" i="44"/>
  <c r="C66" i="44"/>
  <c r="C67" i="44"/>
  <c r="I82" i="44"/>
  <c r="I78" i="44"/>
  <c r="I74" i="44"/>
  <c r="I70" i="44"/>
  <c r="J83" i="44"/>
  <c r="J79" i="44"/>
  <c r="J75" i="44"/>
  <c r="J71" i="44"/>
  <c r="I68" i="44"/>
  <c r="I81" i="44"/>
  <c r="I77" i="44"/>
  <c r="I73" i="44"/>
  <c r="I69" i="44"/>
  <c r="J82" i="44"/>
  <c r="J78" i="44"/>
  <c r="J74" i="44"/>
  <c r="J70" i="44"/>
  <c r="H44" i="44"/>
  <c r="G45" i="44"/>
  <c r="D47" i="44"/>
  <c r="K48" i="44"/>
  <c r="K49" i="44"/>
  <c r="C53" i="44"/>
  <c r="C57" i="44"/>
  <c r="D58" i="44"/>
  <c r="C61" i="44"/>
  <c r="C65" i="44"/>
  <c r="D66" i="44"/>
  <c r="I39" i="44"/>
  <c r="C41" i="44"/>
  <c r="C42" i="44"/>
  <c r="K42" i="44"/>
  <c r="J43" i="44"/>
  <c r="I44" i="44"/>
  <c r="H45" i="44"/>
  <c r="I47" i="44"/>
  <c r="C49" i="44"/>
  <c r="C50" i="44"/>
  <c r="K50" i="44"/>
  <c r="K51" i="44"/>
  <c r="I53" i="44"/>
  <c r="C56" i="44"/>
  <c r="D57" i="44"/>
  <c r="I58" i="44"/>
  <c r="K59" i="44"/>
  <c r="I61" i="44"/>
  <c r="C64" i="44"/>
  <c r="D65" i="44"/>
  <c r="I66" i="44"/>
  <c r="K67" i="44"/>
  <c r="I84" i="44"/>
  <c r="I80" i="44"/>
  <c r="I76" i="44"/>
  <c r="I72" i="44"/>
  <c r="J68" i="44"/>
  <c r="J81" i="44"/>
  <c r="J77" i="44"/>
  <c r="J73" i="44"/>
  <c r="J69" i="44"/>
  <c r="C40" i="44"/>
  <c r="D41" i="44"/>
  <c r="D42" i="44"/>
  <c r="C43" i="44"/>
  <c r="K43" i="44"/>
  <c r="J44" i="44"/>
  <c r="I45" i="44"/>
  <c r="C48" i="44"/>
  <c r="D49" i="44"/>
  <c r="D50" i="44"/>
  <c r="C51" i="44"/>
  <c r="D52" i="44"/>
  <c r="K53" i="44"/>
  <c r="D56" i="44"/>
  <c r="K57" i="44"/>
  <c r="K58" i="44"/>
  <c r="D60" i="44"/>
  <c r="K61" i="44"/>
  <c r="D64" i="44"/>
  <c r="K65" i="44"/>
  <c r="K66" i="44"/>
  <c r="I83" i="44"/>
  <c r="I79" i="44"/>
  <c r="I75" i="44"/>
  <c r="J84" i="44"/>
  <c r="J80" i="44"/>
  <c r="J76" i="44"/>
  <c r="F39" i="44"/>
  <c r="F40" i="44"/>
  <c r="G47" i="44"/>
  <c r="F48" i="44"/>
  <c r="E49" i="44"/>
  <c r="J52" i="44"/>
  <c r="H54" i="44"/>
  <c r="G55" i="44"/>
  <c r="F56" i="44"/>
  <c r="E57" i="44"/>
  <c r="J60" i="44"/>
  <c r="H62" i="44"/>
  <c r="G63" i="44"/>
  <c r="F64" i="44"/>
  <c r="E65" i="44"/>
  <c r="H39" i="44"/>
  <c r="G40" i="44"/>
  <c r="F41" i="44"/>
  <c r="E42" i="44"/>
  <c r="D43" i="44"/>
  <c r="C44" i="44"/>
  <c r="K44" i="44"/>
  <c r="J45" i="44"/>
  <c r="I46" i="44"/>
  <c r="H47" i="44"/>
  <c r="G48" i="44"/>
  <c r="F49" i="44"/>
  <c r="E50" i="44"/>
  <c r="D51" i="44"/>
  <c r="C52" i="44"/>
  <c r="K52" i="44"/>
  <c r="J53" i="44"/>
  <c r="I54" i="44"/>
  <c r="H55" i="44"/>
  <c r="G56" i="44"/>
  <c r="F57" i="44"/>
  <c r="E58" i="44"/>
  <c r="D59" i="44"/>
  <c r="C60" i="44"/>
  <c r="K60" i="44"/>
  <c r="J61" i="44"/>
  <c r="I62" i="44"/>
  <c r="H63" i="44"/>
  <c r="G64" i="44"/>
  <c r="F65" i="44"/>
  <c r="E66" i="44"/>
  <c r="D67" i="44"/>
  <c r="E39" i="44"/>
  <c r="E47" i="44"/>
  <c r="F47" i="44"/>
  <c r="E48" i="44"/>
  <c r="J46" i="44"/>
  <c r="J54" i="44"/>
  <c r="H56" i="44"/>
  <c r="F58" i="44"/>
  <c r="G65" i="44"/>
  <c r="F66" i="44"/>
  <c r="J39" i="44"/>
  <c r="I40" i="44"/>
  <c r="H41" i="44"/>
  <c r="G42" i="44"/>
  <c r="F43" i="44"/>
  <c r="E44" i="44"/>
  <c r="D45" i="44"/>
  <c r="C46" i="44"/>
  <c r="K46" i="44"/>
  <c r="J47" i="44"/>
  <c r="I48" i="44"/>
  <c r="H49" i="44"/>
  <c r="G50" i="44"/>
  <c r="F51" i="44"/>
  <c r="E52" i="44"/>
  <c r="D53" i="44"/>
  <c r="C54" i="44"/>
  <c r="K54" i="44"/>
  <c r="J55" i="44"/>
  <c r="I56" i="44"/>
  <c r="H57" i="44"/>
  <c r="G58" i="44"/>
  <c r="F59" i="44"/>
  <c r="E60" i="44"/>
  <c r="D61" i="44"/>
  <c r="C62" i="44"/>
  <c r="K62" i="44"/>
  <c r="J63" i="44"/>
  <c r="I64" i="44"/>
  <c r="H65" i="44"/>
  <c r="G66" i="44"/>
  <c r="F67" i="44"/>
  <c r="F46" i="44"/>
  <c r="G39" i="44"/>
  <c r="E41" i="44"/>
  <c r="H46" i="44"/>
  <c r="H40" i="44"/>
  <c r="G41" i="44"/>
  <c r="F42" i="44"/>
  <c r="E43" i="44"/>
  <c r="H48" i="44"/>
  <c r="G49" i="44"/>
  <c r="F50" i="44"/>
  <c r="E51" i="44"/>
  <c r="G57" i="44"/>
  <c r="E59" i="44"/>
  <c r="J62" i="44"/>
  <c r="H64" i="44"/>
  <c r="E67" i="44"/>
  <c r="C39" i="44"/>
  <c r="K39" i="44"/>
  <c r="J40" i="44"/>
  <c r="I41" i="44"/>
  <c r="H42" i="44"/>
  <c r="G43" i="44"/>
  <c r="F44" i="44"/>
  <c r="E45" i="44"/>
  <c r="D46" i="44"/>
  <c r="C47" i="44"/>
  <c r="K47" i="44"/>
  <c r="J48" i="44"/>
  <c r="I49" i="44"/>
  <c r="H50" i="44"/>
  <c r="G51" i="44"/>
  <c r="F52" i="44"/>
  <c r="E53" i="44"/>
  <c r="D54" i="44"/>
  <c r="C55" i="44"/>
  <c r="K55" i="44"/>
  <c r="J56" i="44"/>
  <c r="I57" i="44"/>
  <c r="H58" i="44"/>
  <c r="G59" i="44"/>
  <c r="F60" i="44"/>
  <c r="E61" i="44"/>
  <c r="J64" i="44"/>
  <c r="H66" i="44"/>
  <c r="G67" i="44"/>
  <c r="G44" i="44"/>
  <c r="F45" i="44"/>
  <c r="E46" i="44"/>
  <c r="H51" i="44"/>
  <c r="G52" i="44"/>
  <c r="F53" i="44"/>
  <c r="E54" i="44"/>
  <c r="J57" i="44"/>
  <c r="H59" i="44"/>
  <c r="G60" i="44"/>
  <c r="F61" i="44"/>
  <c r="E62" i="44"/>
  <c r="J65" i="44"/>
  <c r="H67" i="44"/>
  <c r="H52" i="44"/>
  <c r="G53" i="44"/>
  <c r="F54" i="44"/>
  <c r="E55" i="44"/>
  <c r="J58" i="44"/>
  <c r="H60" i="44"/>
  <c r="G61" i="44"/>
  <c r="F62" i="44"/>
  <c r="E63" i="44"/>
  <c r="J66" i="44"/>
  <c r="H53" i="44"/>
  <c r="G54" i="44"/>
  <c r="F55" i="44"/>
  <c r="E56" i="44"/>
  <c r="J59" i="44"/>
  <c r="G62" i="44"/>
  <c r="E64" i="44"/>
  <c r="G69" i="44" l="1"/>
  <c r="G73" i="44"/>
  <c r="G77" i="44"/>
  <c r="G81" i="44"/>
  <c r="G68" i="44"/>
  <c r="G70" i="44"/>
  <c r="G74" i="44"/>
  <c r="G78" i="44"/>
  <c r="G82" i="44"/>
  <c r="G71" i="44"/>
  <c r="G75" i="44"/>
  <c r="G79" i="44"/>
  <c r="G83" i="44"/>
  <c r="G72" i="44"/>
  <c r="G76" i="44"/>
  <c r="G80" i="44"/>
  <c r="G84" i="44"/>
  <c r="D70" i="44"/>
  <c r="D74" i="44"/>
  <c r="D78" i="44"/>
  <c r="D82" i="44"/>
  <c r="D71" i="44"/>
  <c r="D75" i="44"/>
  <c r="D79" i="44"/>
  <c r="D83" i="44"/>
  <c r="D72" i="44"/>
  <c r="D76" i="44"/>
  <c r="D80" i="44"/>
  <c r="D84" i="44"/>
  <c r="D69" i="44"/>
  <c r="D73" i="44"/>
  <c r="D77" i="44"/>
  <c r="D81" i="44"/>
  <c r="D68" i="44"/>
  <c r="E71" i="44"/>
  <c r="E75" i="44"/>
  <c r="E79" i="44"/>
  <c r="E83" i="44"/>
  <c r="E72" i="44"/>
  <c r="E76" i="44"/>
  <c r="E80" i="44"/>
  <c r="E84" i="44"/>
  <c r="E69" i="44"/>
  <c r="E73" i="44"/>
  <c r="E77" i="44"/>
  <c r="E81" i="44"/>
  <c r="E68" i="44"/>
  <c r="E70" i="44"/>
  <c r="E74" i="44"/>
  <c r="E78" i="44"/>
  <c r="E82" i="44"/>
  <c r="H70" i="44"/>
  <c r="H74" i="44"/>
  <c r="H78" i="44"/>
  <c r="H82" i="44"/>
  <c r="H71" i="44"/>
  <c r="H75" i="44"/>
  <c r="H79" i="44"/>
  <c r="H83" i="44"/>
  <c r="H72" i="44"/>
  <c r="H76" i="44"/>
  <c r="H80" i="44"/>
  <c r="H84" i="44"/>
  <c r="H69" i="44"/>
  <c r="H73" i="44"/>
  <c r="H77" i="44"/>
  <c r="H81" i="44"/>
  <c r="H68" i="44"/>
  <c r="F72" i="44"/>
  <c r="F76" i="44"/>
  <c r="F80" i="44"/>
  <c r="F84" i="44"/>
  <c r="F69" i="44"/>
  <c r="F73" i="44"/>
  <c r="F77" i="44"/>
  <c r="F81" i="44"/>
  <c r="F68" i="44"/>
  <c r="F70" i="44"/>
  <c r="F74" i="44"/>
  <c r="F78" i="44"/>
  <c r="F82" i="44"/>
  <c r="F71" i="44"/>
  <c r="F75" i="44"/>
  <c r="F79" i="44"/>
  <c r="F83" i="44"/>
  <c r="C69" i="44"/>
  <c r="C73" i="44"/>
  <c r="C77" i="44"/>
  <c r="C81" i="44"/>
  <c r="C68" i="44"/>
  <c r="C70" i="44"/>
  <c r="C74" i="44"/>
  <c r="C78" i="44"/>
  <c r="C82" i="44"/>
  <c r="C71" i="44"/>
  <c r="C75" i="44"/>
  <c r="C79" i="44"/>
  <c r="C83" i="44"/>
  <c r="C72" i="44"/>
  <c r="C76" i="44"/>
  <c r="C80" i="44"/>
  <c r="C84" i="44"/>
  <c r="K69" i="44"/>
  <c r="K73" i="44"/>
  <c r="K77" i="44"/>
  <c r="K81" i="44"/>
  <c r="K68" i="44"/>
  <c r="K70" i="44"/>
  <c r="K74" i="44"/>
  <c r="K78" i="44"/>
  <c r="K82" i="44"/>
  <c r="K71" i="44"/>
  <c r="K75" i="44"/>
  <c r="K79" i="44"/>
  <c r="K83" i="44"/>
  <c r="K72" i="44"/>
  <c r="K76" i="44"/>
  <c r="K80" i="44"/>
  <c r="K84" i="4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Ansari, Esmail</author>
  </authors>
  <commentList>
    <comment ref="Y7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Ansari, Esmail:</t>
        </r>
        <r>
          <rPr>
            <sz val="9"/>
            <color indexed="81"/>
            <rFont val="Segoe UI"/>
            <family val="2"/>
          </rPr>
          <t xml:space="preserve">
Die Höhe des NE-Deckels kann hier beliebig vorgegeben werden.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Ansari, Esmail</author>
  </authors>
  <commentList>
    <comment ref="Y7" authorId="0" shapeId="0" xr:uid="{BBA8BCC9-4415-4431-BB15-5A7AA5A02808}">
      <text>
        <r>
          <rPr>
            <b/>
            <sz val="9"/>
            <color indexed="81"/>
            <rFont val="Segoe UI"/>
            <family val="2"/>
          </rPr>
          <t>Ansari, Esmail:</t>
        </r>
        <r>
          <rPr>
            <sz val="9"/>
            <color indexed="81"/>
            <rFont val="Segoe UI"/>
            <family val="2"/>
          </rPr>
          <t xml:space="preserve">
Die Höhe des NE-Deckels kann hier beliebig vorgegeben werden.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Ansari, Esmail</author>
  </authors>
  <commentList>
    <comment ref="P2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Ansari, Esmail:</t>
        </r>
        <r>
          <rPr>
            <sz val="9"/>
            <color indexed="81"/>
            <rFont val="Segoe UI"/>
            <family val="2"/>
          </rPr>
          <t xml:space="preserve">
Abzuüglich der MWSt sowie BEHG-Umlage</t>
        </r>
      </text>
    </comment>
    <comment ref="R2" authorId="0" shapeId="0" xr:uid="{00000000-0006-0000-0300-000002000000}">
      <text>
        <r>
          <rPr>
            <b/>
            <sz val="9"/>
            <color indexed="81"/>
            <rFont val="Segoe UI"/>
            <family val="2"/>
          </rPr>
          <t>Ansari, Esmail:</t>
        </r>
        <r>
          <rPr>
            <sz val="9"/>
            <color indexed="81"/>
            <rFont val="Segoe UI"/>
            <family val="2"/>
          </rPr>
          <t xml:space="preserve">
Abzüglich der MWSt</t>
        </r>
      </text>
    </comment>
    <comment ref="Y7" authorId="0" shapeId="0" xr:uid="{00000000-0006-0000-0300-000003000000}">
      <text>
        <r>
          <rPr>
            <b/>
            <sz val="9"/>
            <color indexed="81"/>
            <rFont val="Segoe UI"/>
            <family val="2"/>
          </rPr>
          <t>Ansari, Esmail:</t>
        </r>
        <r>
          <rPr>
            <sz val="9"/>
            <color indexed="81"/>
            <rFont val="Segoe UI"/>
            <family val="2"/>
          </rPr>
          <t xml:space="preserve">
Die Höhe des NE-Deckels kann hier beliebig vorgegeben werden.</t>
        </r>
      </text>
    </comment>
  </commentList>
</comments>
</file>

<file path=xl/sharedStrings.xml><?xml version="1.0" encoding="utf-8"?>
<sst xmlns="http://schemas.openxmlformats.org/spreadsheetml/2006/main" count="8399" uniqueCount="369">
  <si>
    <t>Technologie</t>
  </si>
  <si>
    <t>Parametername</t>
  </si>
  <si>
    <t>Einheit</t>
  </si>
  <si>
    <t>Kessel Gas</t>
  </si>
  <si>
    <t>a</t>
  </si>
  <si>
    <t>spez. Investitionskosten</t>
  </si>
  <si>
    <t>€/kW</t>
  </si>
  <si>
    <t>%</t>
  </si>
  <si>
    <t>€/a</t>
  </si>
  <si>
    <t>€/kW*a</t>
  </si>
  <si>
    <t>€/kWh</t>
  </si>
  <si>
    <t>Förderung Betriebskosten</t>
  </si>
  <si>
    <t>Thermischer Wirkungsgrad</t>
  </si>
  <si>
    <t>Anschlusskosten</t>
  </si>
  <si>
    <t>€</t>
  </si>
  <si>
    <t>techn. Lebensdauer Anschluss</t>
  </si>
  <si>
    <t>Kessel Pellet</t>
  </si>
  <si>
    <r>
      <t>€/kWh</t>
    </r>
    <r>
      <rPr>
        <vertAlign val="subscript"/>
        <sz val="11"/>
        <rFont val="Arial"/>
        <family val="2"/>
      </rPr>
      <t>umw</t>
    </r>
  </si>
  <si>
    <t>Jahresarbeitszahl</t>
  </si>
  <si>
    <t>-</t>
  </si>
  <si>
    <t xml:space="preserve">spez. Investitionskosten </t>
  </si>
  <si>
    <t>Volllaststundenfaktor Gaskessel</t>
  </si>
  <si>
    <t>techn. Lebensdauer Gaskessel</t>
  </si>
  <si>
    <t>spez. Investitionskosten Gaskessel</t>
  </si>
  <si>
    <t>Förderung Betriebskosten Gaskessel</t>
  </si>
  <si>
    <t>Thermischer Wirkungsgrad Gaskessel</t>
  </si>
  <si>
    <t>Anschlusskosten Gaskessel</t>
  </si>
  <si>
    <t>techn. Lebensdauer Anschluss Gaskessel</t>
  </si>
  <si>
    <t>Volllaststundenfaktor Wärmepumpe</t>
  </si>
  <si>
    <t>techn. Lebensdauer Wärmepumpe</t>
  </si>
  <si>
    <t>spez. Investitionskosten Wärmepumpe</t>
  </si>
  <si>
    <t>Förderung Betriebskosten Wärmepumpe</t>
  </si>
  <si>
    <t>Jahresarbeitszahl Wärmepumpe</t>
  </si>
  <si>
    <t>Anschlusskosten Wärmepumpe</t>
  </si>
  <si>
    <t>techn. Lebensdauer Anschluss Wärmepumpe</t>
  </si>
  <si>
    <t>Variable Kosten Gaskessel</t>
  </si>
  <si>
    <t>Volllaststundenfaktor BHKW</t>
  </si>
  <si>
    <t>techn. Lebensdauer BHKW</t>
  </si>
  <si>
    <t>spez. Investitionskosten BHKW</t>
  </si>
  <si>
    <t>Variable Kosten BHKW</t>
  </si>
  <si>
    <t>Förderung Betriebskosten BHKW</t>
  </si>
  <si>
    <t>Anschlusskosten BHKW</t>
  </si>
  <si>
    <t>techn. Lebensdauer Anschluss BHKW</t>
  </si>
  <si>
    <t>Eigenstromverbrauch BHKW</t>
  </si>
  <si>
    <t>Thermischer Wirkungsgrad BHKW</t>
  </si>
  <si>
    <t>Elektrischer Wirkungsgrad BHKW</t>
  </si>
  <si>
    <t>CO2</t>
  </si>
  <si>
    <t>Biomethan</t>
  </si>
  <si>
    <t>H2</t>
  </si>
  <si>
    <t>BEHG</t>
  </si>
  <si>
    <t>Beschreibung</t>
  </si>
  <si>
    <t>Mischgas</t>
  </si>
  <si>
    <t>Erdgas</t>
  </si>
  <si>
    <t>Commodities</t>
  </si>
  <si>
    <t>Einheiten</t>
  </si>
  <si>
    <t>Gaskessel</t>
  </si>
  <si>
    <t>Erdgas &amp; Biomethan &amp; H2</t>
  </si>
  <si>
    <t>Strom</t>
  </si>
  <si>
    <t xml:space="preserve">Mischgas </t>
  </si>
  <si>
    <t>Strom
(Base)</t>
  </si>
  <si>
    <t>Abschlag für Wärmepumpen-strompreis</t>
  </si>
  <si>
    <t>Durchschnittliche Netzkosten im Segment Haushalte</t>
  </si>
  <si>
    <t>Durchschnittliche Kosten für Steuern, Abgaben und Umlagen im Segment Haushalte</t>
  </si>
  <si>
    <t>€/MWh</t>
  </si>
  <si>
    <t>€/t CO2</t>
  </si>
  <si>
    <t>ct/kWh</t>
  </si>
  <si>
    <t>Jahr</t>
  </si>
  <si>
    <r>
      <rPr>
        <b/>
        <u/>
        <sz val="8"/>
        <color rgb="FFFF0000"/>
        <rFont val="Arial"/>
        <family val="2"/>
      </rPr>
      <t>Erdgaspreise</t>
    </r>
    <r>
      <rPr>
        <b/>
        <sz val="8"/>
        <color rgb="FFFF0000"/>
        <rFont val="Arial"/>
        <family val="2"/>
      </rPr>
      <t xml:space="preserve"> für Haushalte</t>
    </r>
  </si>
  <si>
    <r>
      <rPr>
        <b/>
        <u/>
        <sz val="8"/>
        <color rgb="FFFF0000"/>
        <rFont val="Arial"/>
        <family val="2"/>
      </rPr>
      <t>Erdgaspreise</t>
    </r>
    <r>
      <rPr>
        <b/>
        <sz val="8"/>
        <color rgb="FFFF0000"/>
        <rFont val="Arial"/>
        <family val="2"/>
      </rPr>
      <t xml:space="preserve"> für Nicht-Haushalte</t>
    </r>
  </si>
  <si>
    <r>
      <rPr>
        <b/>
        <u/>
        <sz val="8"/>
        <color rgb="FF002060"/>
        <rFont val="Arial"/>
        <family val="2"/>
      </rPr>
      <t>Strompreise</t>
    </r>
    <r>
      <rPr>
        <b/>
        <sz val="8"/>
        <color rgb="FF002060"/>
        <rFont val="Arial"/>
        <family val="2"/>
      </rPr>
      <t xml:space="preserve"> für Haushalte</t>
    </r>
  </si>
  <si>
    <r>
      <rPr>
        <b/>
        <u/>
        <sz val="8"/>
        <color rgb="FF002060"/>
        <rFont val="Arial"/>
        <family val="2"/>
      </rPr>
      <t>Strompreise</t>
    </r>
    <r>
      <rPr>
        <b/>
        <sz val="8"/>
        <color rgb="FF002060"/>
        <rFont val="Arial"/>
        <family val="2"/>
      </rPr>
      <t xml:space="preserve"> für Nicht-Haushalte</t>
    </r>
  </si>
  <si>
    <t>Jahresverbrauchsklassen</t>
  </si>
  <si>
    <t>Energie und Vertrieb</t>
  </si>
  <si>
    <t>Netzkosten</t>
  </si>
  <si>
    <t>Steuern, Abgaben und Umlagen</t>
  </si>
  <si>
    <t>EUR/KWh</t>
  </si>
  <si>
    <t>unter 5 600 KWh</t>
  </si>
  <si>
    <t>unter 278 MWh</t>
  </si>
  <si>
    <t>unter 1 000 KWh</t>
  </si>
  <si>
    <t>unter 20 MWh</t>
  </si>
  <si>
    <t>5 600 bis unter 55 600 kWh</t>
  </si>
  <si>
    <t>278 bis unter 2 778 MWh</t>
  </si>
  <si>
    <t>1 000 bis unter 2 500 KWh</t>
  </si>
  <si>
    <t>20 bis unter 500 MWh</t>
  </si>
  <si>
    <t xml:space="preserve">55 600 KWh und mehr </t>
  </si>
  <si>
    <t>2 778 bis unter 27 778 MWh</t>
  </si>
  <si>
    <t>2 500 bis unter 5 000 KWh</t>
  </si>
  <si>
    <t>500 bis unter 2 000 MWh</t>
  </si>
  <si>
    <t>Insgesamt</t>
  </si>
  <si>
    <t>27 778 bis unter 277 778 MWh</t>
  </si>
  <si>
    <t>5 000 bis unter 15 000 KWh</t>
  </si>
  <si>
    <t>2 000 bis unter 20 000 MWh</t>
  </si>
  <si>
    <t>277 778 bis unter  1 111 111 MWh</t>
  </si>
  <si>
    <t>15 000 KWh und mehr</t>
  </si>
  <si>
    <t>20 000 bis unter 70 000 MWh</t>
  </si>
  <si>
    <t xml:space="preserve">1 111 111 MWh un mehr </t>
  </si>
  <si>
    <t>70 000 bis unter 150 000 MWh</t>
  </si>
  <si>
    <t>150 000 MWh und mehr</t>
  </si>
  <si>
    <t>USD/t Pellet</t>
  </si>
  <si>
    <t>Pellet</t>
  </si>
  <si>
    <t>Reale Preise (Inflationsbereinigt, Referenzjahr 2020)</t>
  </si>
  <si>
    <t>techn. Lebensdauer</t>
  </si>
  <si>
    <t>jährliche Fixkosten</t>
  </si>
  <si>
    <t>spez. Jährliche Fixkosten</t>
  </si>
  <si>
    <t>Variable Kosten</t>
  </si>
  <si>
    <t>Förderung Umweltwärme</t>
  </si>
  <si>
    <t>spez. Investitionskosten Wärmequelle</t>
  </si>
  <si>
    <t>techn. Lebensdauer Wärmequelle</t>
  </si>
  <si>
    <t>Hybrid Luft-Wasser Wärmepumpe + Kessel Gas (Gaskessel, Wärmepumpe)</t>
  </si>
  <si>
    <t>Leistungsfaktor Gaskessel</t>
  </si>
  <si>
    <t>jährliche Fixkosten Gaskessel</t>
  </si>
  <si>
    <t>spez. Jährliche Fixkosten Gaskessel</t>
  </si>
  <si>
    <t>Leistungsfaktor Wärmepumpe</t>
  </si>
  <si>
    <t>jährliche Fixkosten Wärmepumpe</t>
  </si>
  <si>
    <t>spez. Jährliche Fixkosten Wärmepumpe</t>
  </si>
  <si>
    <t>Variable Kosten Wärmepumpe</t>
  </si>
  <si>
    <t>Förderung Umweltwärme Wärmepumpe</t>
  </si>
  <si>
    <t>Leistungsfaktor BHKW</t>
  </si>
  <si>
    <t>jährliche Fixkosten BHKW</t>
  </si>
  <si>
    <t>spez. Jährliche Fixkosten BHKW</t>
  </si>
  <si>
    <t>Vergütung für eingespeisten Strom BHKW</t>
  </si>
  <si>
    <t>Vergütung für selbstgenutzten Strom BHKW</t>
  </si>
  <si>
    <t>€/kWh_el</t>
  </si>
  <si>
    <t>Energiesteuer Rückerstattung BHKW</t>
  </si>
  <si>
    <t>€/kWh_chem</t>
  </si>
  <si>
    <t>Leistungsfaktor Solarthermie</t>
  </si>
  <si>
    <t>Volllaststundenfaktor Solarthermie</t>
  </si>
  <si>
    <t>techn. Lebensdauer Solarthermie</t>
  </si>
  <si>
    <t>spez. Investitionskosten Solarthermie</t>
  </si>
  <si>
    <t>jährliche Fixkosten Solarthermie</t>
  </si>
  <si>
    <t>spez. Jährliche Fixkosten Solarthermie</t>
  </si>
  <si>
    <t>Variable Kosten Solarthermie</t>
  </si>
  <si>
    <t>Förderung Betriebskosten Solarthermie</t>
  </si>
  <si>
    <t>Pellets</t>
  </si>
  <si>
    <t>Strom_WP</t>
  </si>
  <si>
    <t>Untergruppe</t>
  </si>
  <si>
    <t>Energieträger</t>
  </si>
  <si>
    <t>Hybrid Luft-Wasser Wärmepumpe + Kessel Gas</t>
  </si>
  <si>
    <t>Wärmepumpe</t>
  </si>
  <si>
    <t>BHKW</t>
  </si>
  <si>
    <t>Solarthermie</t>
  </si>
  <si>
    <t>None</t>
  </si>
  <si>
    <t>Normalstrom</t>
  </si>
  <si>
    <t>VLH</t>
  </si>
  <si>
    <t>Wärmepumpe Luft-Wasser &lt;75 kWh/m²a</t>
  </si>
  <si>
    <t>Wärmepumpe Luft-Wasser 75 - 130 kWh/m²a</t>
  </si>
  <si>
    <t>Wärmepumpe Luft-Wasser &gt;130 kWh/m²a</t>
  </si>
  <si>
    <t>Wärmepumpe Sole-Wasser &lt;75 kWh/m²a</t>
  </si>
  <si>
    <t>Wärmepumpe Sole-Wasser 75 - 130 kWh/m²a</t>
  </si>
  <si>
    <t>Wärmepumpe Sole-Wasser &gt;130 kWh/m²a</t>
  </si>
  <si>
    <t>Hybrid BHKW + Kessel Gas 25% Eigenstromquote</t>
  </si>
  <si>
    <t>Hybrid BHKW + Kessel Gas 50% Eigenstromquote</t>
  </si>
  <si>
    <t>Hybrid Solarthermie + Kessel Gas 20 % ST</t>
  </si>
  <si>
    <t>Hybrid Solarthermie + Kessel Gas 35 % ST</t>
  </si>
  <si>
    <t>Hybrid Solarthermie + Luft-Wasser Wärmepumpe 20 % ST</t>
  </si>
  <si>
    <t>Hybrid Solarthermie + Luft-Wasser Wärmepumpe 35 % ST</t>
  </si>
  <si>
    <t>Fernwärme Heizwasser</t>
  </si>
  <si>
    <t>Fernwärme Dampf</t>
  </si>
  <si>
    <t>Entwicklung der NE (HH)</t>
  </si>
  <si>
    <t>bis 2030</t>
  </si>
  <si>
    <t>ab 2030</t>
  </si>
  <si>
    <t>Gas</t>
  </si>
  <si>
    <t xml:space="preserve">Gas  </t>
  </si>
  <si>
    <t>ab 2023</t>
  </si>
  <si>
    <t>Jährl. Änd. Netzkosten</t>
  </si>
  <si>
    <t>Jährl. Änd. Nachfrage</t>
  </si>
  <si>
    <t>Jährl. Änd. Netzentgelte</t>
  </si>
  <si>
    <t>Entwicklung der Steuern, Abgaben und Umlagen (HH)</t>
  </si>
  <si>
    <t>MWSt Strom 2021</t>
  </si>
  <si>
    <t>MWSt Gas 2021</t>
  </si>
  <si>
    <t xml:space="preserve">EEG-Umlage </t>
  </si>
  <si>
    <t>[ct/kWh]</t>
  </si>
  <si>
    <t>Förderfaktor Investitionskosten</t>
  </si>
  <si>
    <t>Förderfaktor Investitionskosten Gaskessel</t>
  </si>
  <si>
    <t>Förderfaktor Investitionskosten Wärmepumpe</t>
  </si>
  <si>
    <t>Hybrid BHKW + Kessel Gas 25% Eigenstromquote (Gaskessel, BHKW)</t>
  </si>
  <si>
    <t>Förderfaktor Investitionskosten BHKW</t>
  </si>
  <si>
    <t>Hybrid BHKW + Kessel Gas 50% Eigenstromquote (Gaskessel, BHKW)</t>
  </si>
  <si>
    <t>Hybrid Solarthermie + Kessel Gas 20 % ST (Gaskessel, Solarthermie)</t>
  </si>
  <si>
    <t>Förderfaktor Investitionskosten Solarthermie</t>
  </si>
  <si>
    <t>Hybrid Solarthermie + Kessel Gas 35 % ST (Gaskessel, Solarthermie)</t>
  </si>
  <si>
    <t>Hybrid Solarthermie + Luft-Wasser Wärmepumpe 20 % ST (Wärmepumpe, Solarthermie)</t>
  </si>
  <si>
    <t>Hybrid Solarthermie + Luft-Wasser Wärmepumpe 35 % ST (Wärmepumpe, Solarthermie)</t>
  </si>
  <si>
    <t>Technologien</t>
  </si>
  <si>
    <t>Fernwärme HW</t>
  </si>
  <si>
    <t>Fernwärme D</t>
  </si>
  <si>
    <t>Jahresgrundpreis [€/kW/a]</t>
  </si>
  <si>
    <t>Arbeitspreis inkl. Emissionspreis [ct/kWh]</t>
  </si>
  <si>
    <t>Messpreis [€/a]</t>
  </si>
  <si>
    <t>Zuschlag Fernablesung</t>
  </si>
  <si>
    <t>0-15 kW</t>
  </si>
  <si>
    <t>16-150 kW</t>
  </si>
  <si>
    <t>151-1200 kW</t>
  </si>
  <si>
    <t>ab 1201 kW</t>
  </si>
  <si>
    <t>0-300 MWh</t>
  </si>
  <si>
    <t>301-1500 MWh</t>
  </si>
  <si>
    <t>1501-3000 MWh</t>
  </si>
  <si>
    <t>ab 3001 MWh</t>
  </si>
  <si>
    <t>WZ bis max. QN 1,5</t>
  </si>
  <si>
    <t>WZ bis max. QN 2,5</t>
  </si>
  <si>
    <t>WZ bis max. QN 10</t>
  </si>
  <si>
    <t>WZ bis max. QN 60</t>
  </si>
  <si>
    <t>WZ &gt; QN 60</t>
  </si>
  <si>
    <t>&gt; 500 kW</t>
  </si>
  <si>
    <t>bis 80 kW</t>
  </si>
  <si>
    <t>bis 160 kW</t>
  </si>
  <si>
    <t>bis 750 kW</t>
  </si>
  <si>
    <t>bis 4900 kW</t>
  </si>
  <si>
    <t>&gt; 4900 kW</t>
  </si>
  <si>
    <t>VLS</t>
  </si>
  <si>
    <t>Leistungsklassen kW</t>
  </si>
  <si>
    <t>Leistung kW</t>
  </si>
  <si>
    <t>Mischpreise [EUR/kWh]</t>
  </si>
  <si>
    <r>
      <t xml:space="preserve">Verbrauch </t>
    </r>
    <r>
      <rPr>
        <b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Wh/a</t>
    </r>
  </si>
  <si>
    <t>Blatt: Dashboard</t>
  </si>
  <si>
    <t>Technologieübersicht</t>
  </si>
  <si>
    <t xml:space="preserve">Kurzbeschreibung und Übersicht der Erzeugungstechnologien </t>
  </si>
  <si>
    <t>Button "Berechnen"</t>
  </si>
  <si>
    <t>Berechnung der Wärmegestehungskosten (Laufzeit ca. 20 sek.)</t>
  </si>
  <si>
    <t>Button "Expertenmodus starten"</t>
  </si>
  <si>
    <t>Öffnet Arbeitsblätter zum Ändern der Technologieparameter</t>
  </si>
  <si>
    <t>Button "Expertenmodus beenden"</t>
  </si>
  <si>
    <t>Schließt Arbeitsblätter zum Ändern der Technologieparameter</t>
  </si>
  <si>
    <t>Button "Zurück zu Standardeinstellungen"</t>
  </si>
  <si>
    <t>Setzt alle Technologieparameter, Preise und Annahmen wieder auf Standardeinstellungen</t>
  </si>
  <si>
    <t>Blatt: destatis-Daten</t>
  </si>
  <si>
    <t>Im Blatt "destatis-Daten" können die folgenden Preisbestandteile (Gas und Strom) eingetragen werden:</t>
  </si>
  <si>
    <t>Energie und Vertrieb [EUR/MWh]:</t>
  </si>
  <si>
    <t xml:space="preserve">Diese Information wird lediglich zur Erstellung der Preisstruktur (Mischpreise für verschiedene Leistungsklassen) verwendet. Dabei wird angenommen, dass nur die größte Verbrauchsklasse zu dem Großhandelsmarktpreis (angegeben in den Energiezeitreihen) abschließen kann. </t>
  </si>
  <si>
    <t xml:space="preserve">Netzkosten [EUR/MWh]: </t>
  </si>
  <si>
    <t>Die Struktur der destatis-Daten für die Netzkosten wird eingelesen und für die Berechung der Netzkosten für die verschiedenen Leistungsklassen verwendet.</t>
  </si>
  <si>
    <t xml:space="preserve">Steuern, Umlagen und Abgaben (kurz SUA): </t>
  </si>
  <si>
    <t>Die Struktur der destatis-Daten für SUA wird eingelesen und für die Berechnung der SUA für die verschiedenen Leistungsklassen verwendet.</t>
  </si>
  <si>
    <t>Quelle:</t>
  </si>
  <si>
    <t>Preisbestandteile Gas Haushalte</t>
  </si>
  <si>
    <t>Preisbestandteile Gas nicht-Haushalte</t>
  </si>
  <si>
    <t>Preisbestandteile Strom Haushalte</t>
  </si>
  <si>
    <t>Preisbestandteile Strom nicht-Haushalte</t>
  </si>
  <si>
    <t xml:space="preserve">Aktualisierung der destatis-Daten: </t>
  </si>
  <si>
    <t>Die aktuellsten destatis-Daten sollten bei jeder Aktualisierung vom statistischen Bundesamt (oft Mitte des Jahres für das vergangene Jahr) im Blatt "destatis-Daten" in die dort vorgesehehenen Tabellen eingetragen werden. IFAM schlägt jedoch vor, Drei-Jahres-Mittelwerte (selbst) zu berechnen und sie dann in die Tabellen im Blatt "destatis-Daten" einzutragen, um mögliche Schwankungen zu vermeiden. Die destatis-Daten kann man auf den Webseiten oben sehr einfach als Excel herunterladen (zur Mittelwertbildung).</t>
  </si>
  <si>
    <t>Blatt: Preisannahmen</t>
  </si>
  <si>
    <t>Preiszeitreihen:</t>
  </si>
  <si>
    <t xml:space="preserve">  Die Preiszeitreihen können beliebig angepasst werden. Die angegebenen Einheiten müssen eingehalten werden.</t>
  </si>
  <si>
    <t>Mischgas:</t>
  </si>
  <si>
    <t xml:space="preserve">  Hier können die [prozentualen] Anteile eines Mischgases definiert werden. Die Summe der Anteile muss 1 ergeben.</t>
  </si>
  <si>
    <t>Abschlag für Wärmepumpenstrompreis:</t>
  </si>
  <si>
    <t xml:space="preserve">  In der Spalte M kann ein prozentualer Abschlag auf den Haushaltsstromtarif (als Mischpreis) angenommen werden. Eine Null bedeutet, dass es keinen preislichen Unterschied zwischen einem Wärmepumpentarif und einem normalen Haushaltsstromtarif gibt. </t>
  </si>
  <si>
    <t>Durchschnittliche Netzkosten im Segment Haushalte
 (Gas und Strom):</t>
  </si>
  <si>
    <t>Durchschnittliche Kosten für Steuern, Abgaben und
 Umlagen im Segment Haushalte (Gas und Strom)</t>
  </si>
  <si>
    <t>Quelle Mwst. Gas:</t>
  </si>
  <si>
    <t>Gaspreis Entwicklung in Deutschland für Haushalte | BDEW</t>
  </si>
  <si>
    <t xml:space="preserve"> - Die (Summe der) Steuern, Abgaben und Umlagen ab 2022 wurden um die EEG-Umlage bereiningt.</t>
  </si>
  <si>
    <t>Quelle Mwst. Strom:</t>
  </si>
  <si>
    <t>Strompreis Entwicklung in Deutschland für Haushalte und Industrie | BDEW</t>
  </si>
  <si>
    <r>
      <rPr>
        <b/>
        <sz val="11"/>
        <rFont val="Calibri"/>
        <family val="2"/>
        <scheme val="minor"/>
      </rPr>
      <t xml:space="preserve">  </t>
    </r>
    <r>
      <rPr>
        <b/>
        <u/>
        <sz val="11"/>
        <rFont val="Calibri"/>
        <family val="2"/>
        <scheme val="minor"/>
      </rPr>
      <t>Beispiel</t>
    </r>
    <r>
      <rPr>
        <sz val="11"/>
        <rFont val="Calibri"/>
        <family val="2"/>
        <scheme val="minor"/>
      </rPr>
      <t xml:space="preserve"> für die Aktualisierung der durchschnittlichen Netzkosten sowie Steuern, Abgaben und Umlagen </t>
    </r>
    <r>
      <rPr>
        <u/>
        <sz val="11"/>
        <rFont val="Calibri"/>
        <family val="2"/>
        <scheme val="minor"/>
      </rPr>
      <t>im Blatt "Preisannahmen":</t>
    </r>
  </si>
  <si>
    <t>1) Die destatis-Tabellen im Blatt "destatis-Daten" gemäß Angaben oben (unter Aktualisierung der destatis-Daten) aktualisieren.</t>
  </si>
  <si>
    <t xml:space="preserve">2) In dem Beispiel unten wird die Aktualisierung der Annahmen zu Netzkosten, Steuern und Umlagen im Blatt "Preisannahmen" anhand der im Blatt "destatis-Daten" aktualisierten Tabellen erläutert:  </t>
  </si>
  <si>
    <t>die 3-Jahres-Mittelwerte (2019, 2020 und 2021) für:</t>
  </si>
  <si>
    <t>dort zu finden in der Zelle:</t>
  </si>
  <si>
    <t>aus dem Blatt 
"destatis-Daten":</t>
  </si>
  <si>
    <t>Durchschnittl. Netzkosten Gas im Segment Haushalte</t>
  </si>
  <si>
    <t>C8</t>
  </si>
  <si>
    <t>Durchschnittl. Kosten für Steuern, Abgaben und Umlagen Gas im Segment Haushalte</t>
  </si>
  <si>
    <t>D8</t>
  </si>
  <si>
    <t>Durchschnittl. Netzkosten Strom im Segment Haushalte</t>
  </si>
  <si>
    <t>M10</t>
  </si>
  <si>
    <t>Durchschnittl. Kosten für Steuern, Abgaben und Umlagen Strom im Segment Haushalte</t>
  </si>
  <si>
    <t>N10</t>
  </si>
  <si>
    <t>Blatt destatis-Daten:</t>
  </si>
  <si>
    <t>Blatt Preisannahmen:</t>
  </si>
  <si>
    <t>--&gt;</t>
  </si>
  <si>
    <t>3) Die destatis-Werte im Blatt Preisannahmen müssen in ct/kWh umgerechnet werden.</t>
  </si>
  <si>
    <t>Blatt: Wärmegestehungskosten Techn</t>
  </si>
  <si>
    <t xml:space="preserve">Startjahr der Langfristpreisannahmen: </t>
  </si>
  <si>
    <t xml:space="preserve">Brent </t>
  </si>
  <si>
    <t>USD/Barrel</t>
  </si>
  <si>
    <t>Quelle MWSt Strom:</t>
  </si>
  <si>
    <t>Quelle MWSt Gas:</t>
  </si>
  <si>
    <r>
      <t xml:space="preserve">Maximum der NE </t>
    </r>
    <r>
      <rPr>
        <sz val="11"/>
        <color theme="1"/>
        <rFont val="Calibri"/>
        <family val="2"/>
        <scheme val="minor"/>
      </rPr>
      <t>[ct/kWh]</t>
    </r>
  </si>
  <si>
    <t>Maximum der NE [ct/kWh]</t>
  </si>
  <si>
    <t>Kessel Gas (Anschluss vorhanden)</t>
  </si>
  <si>
    <t>Wärmepumpe Sole-Wasser &lt;75 kWh/m²a (Wärmequelle vorhanden)</t>
  </si>
  <si>
    <t>Wärmepumpe Sole-Wasser 75 - 130 kWh/m²a (Wärmequelle vorhanden)</t>
  </si>
  <si>
    <t>Wärmepumpe Sole-Wasser &gt;130 kWh/m²a (Wärmequelle vorhanden)</t>
  </si>
  <si>
    <t>Hybrid Luft-Wasser Wärmepumpe + Kessel Gas (Anschluss vorhanden)</t>
  </si>
  <si>
    <t>Hybrid BHKW + Kessel Gas 25% Eigenstromquote (Anschluss vorhanden)</t>
  </si>
  <si>
    <t>Hybrid BHKW + Kessel Gas 50% Eigenstromquote (Anschluss vorhanden)</t>
  </si>
  <si>
    <t>Hybrid Solarthermie + Kessel Gas 20 % ST (Anschluss vorhanden)</t>
  </si>
  <si>
    <t>Hybrid Solarthermie + Kessel Gas 35 % ST (Anschluss vorhanden)</t>
  </si>
  <si>
    <t>Fernwärme Heizwasser (Anschluss vorhanden)</t>
  </si>
  <si>
    <t>Fernwärme Dampf (Anschluss vorhanden)</t>
  </si>
  <si>
    <t>Alle Preise in €/MWh</t>
  </si>
  <si>
    <t>BEHG-Umlage</t>
  </si>
  <si>
    <t xml:space="preserve">  Die Netzkosten gemäß Angaben statistisches Bundesamt im Segment Haushalte, siehe unten "destatis-Daten". Zur Fortschreibung können eigene Annahmen getroffen werden. </t>
  </si>
  <si>
    <t xml:space="preserve">  Summe der Steuern, Abgaben und Umlagen gemäß Angaben statistisches Bundesamt im Segment Haushalte, siehe unten "destatis-Daten". Zur Fortschreibung können eigene Annahmen getroffen werden. </t>
  </si>
  <si>
    <r>
      <t xml:space="preserve">  werden kopiert in das Blatt Preisannahmen
 (</t>
    </r>
    <r>
      <rPr>
        <i/>
        <sz val="11"/>
        <rFont val="Calibri"/>
        <family val="2"/>
        <scheme val="minor"/>
      </rPr>
      <t>für die Jahre 2021/2022</t>
    </r>
    <r>
      <rPr>
        <sz val="11"/>
        <rFont val="Calibri"/>
        <family val="2"/>
        <scheme val="minor"/>
      </rPr>
      <t>) in die Zellen:</t>
    </r>
  </si>
  <si>
    <t>O5/O6</t>
  </si>
  <si>
    <t>P5/P6</t>
  </si>
  <si>
    <t>Q5/Q6</t>
  </si>
  <si>
    <t>R5/R6</t>
  </si>
  <si>
    <t>Wärmegestehungskosten der dezentralen und zentralen Wärmeerzeugungstechnologien zum Kopieren in das Wärmemarkt-Simulationstool</t>
  </si>
  <si>
    <r>
      <t xml:space="preserve">4) </t>
    </r>
    <r>
      <rPr>
        <b/>
        <sz val="11"/>
        <rFont val="Calibri"/>
        <family val="2"/>
        <scheme val="minor"/>
      </rPr>
      <t>WICHTIG:</t>
    </r>
    <r>
      <rPr>
        <sz val="11"/>
        <rFont val="Calibri"/>
        <family val="2"/>
        <scheme val="minor"/>
      </rPr>
      <t xml:space="preserve"> Jede langfristige Anpassung  im Blatt Preisannahmen (Update der Zeitreihen oder Veränderung der Zellbezüge für destatis-Daten, siehe oben das Beispiel für Update der destatis-Daten) muss auch in dem Blatt "Originalpresiannahmen" (ausgeblendet und schreibgeschütz) übernommen werden.</t>
    </r>
  </si>
  <si>
    <t xml:space="preserve"> - Die (Summe der) Steuern, Abgaben und Umlagen müssen um MWSt. bereinigt werden (beide, Gas und Strom). Grund: der TKBW berücksichtigt auch keine MWSt.</t>
  </si>
  <si>
    <t xml:space="preserve"> - Beim Gas muss die (Summe der) Steuern, Abgaben und Umlagen zusätzlich um die BEHG-Umlage bereinigt werden (da diese in der Splate H getrennt berücksichtigt werden).</t>
  </si>
  <si>
    <r>
      <t>+++++</t>
    </r>
    <r>
      <rPr>
        <b/>
        <u/>
        <sz val="11"/>
        <color theme="0"/>
        <rFont val="Calibri"/>
        <family val="2"/>
        <scheme val="minor"/>
      </rPr>
      <t xml:space="preserve"> </t>
    </r>
    <r>
      <rPr>
        <b/>
        <u/>
        <sz val="14"/>
        <color theme="0"/>
        <rFont val="Calibri"/>
        <family val="2"/>
        <scheme val="minor"/>
      </rPr>
      <t>Wichtig</t>
    </r>
    <r>
      <rPr>
        <b/>
        <u/>
        <sz val="11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 xml:space="preserve">--&gt; Die Ordner des Dateipfads, in dem sich das Kostentool befindet darf keine Leer- oder Sonderzeichen enthalten!!! &lt;-- </t>
    </r>
    <r>
      <rPr>
        <b/>
        <u/>
        <sz val="14"/>
        <color theme="0"/>
        <rFont val="Calibri"/>
        <family val="2"/>
        <scheme val="minor"/>
      </rPr>
      <t>Wichtig</t>
    </r>
    <r>
      <rPr>
        <b/>
        <sz val="11"/>
        <color theme="0"/>
        <rFont val="Calibri"/>
        <family val="2"/>
        <scheme val="minor"/>
      </rPr>
      <t xml:space="preserve"> ++++ </t>
    </r>
  </si>
  <si>
    <t>Jahresverbrauchsklassen (Erdgaspreise)</t>
  </si>
  <si>
    <t>Energie und Vertieb</t>
  </si>
  <si>
    <t>MWh</t>
  </si>
  <si>
    <t>EUR/KWH</t>
  </si>
  <si>
    <t>mehr</t>
  </si>
  <si>
    <t>Jahresverbrauchsklassen (Strompreise)</t>
  </si>
  <si>
    <t>Jahresverbrauch (MWh)</t>
  </si>
  <si>
    <t>Segment</t>
  </si>
  <si>
    <t>Haushalte</t>
  </si>
  <si>
    <t>Nicht-Haushalte</t>
  </si>
  <si>
    <t>Durchschnittliche Gas-Netzkosten</t>
  </si>
  <si>
    <t>Durchschnittliche Strom-Netzkosten</t>
  </si>
  <si>
    <t>Durchschnittliche Gas-Kosten für Steuern, Abgaben und Umlagen</t>
  </si>
  <si>
    <t>Durchschnittliche Strom-Kosten für Steuern, Abgaben und Umlagen</t>
  </si>
  <si>
    <t>Leistungsklasse kW</t>
  </si>
  <si>
    <t>€/kWhumw</t>
  </si>
  <si>
    <t>Erschienen am 01. Januar 2024</t>
  </si>
  <si>
    <t>Ihr Kontakt zu uns:</t>
  </si>
  <si>
    <t>Fraunhofer Website</t>
  </si>
  <si>
    <t>Fraunhofer Telefonnummer</t>
  </si>
  <si>
    <t>© Fraunhofer, 2024</t>
  </si>
  <si>
    <t>Vervielfältigung und Verbreitung, auch auszugsweise, mit Quellenangabe gestattet.</t>
  </si>
  <si>
    <t>Vorabinformationen</t>
  </si>
  <si>
    <t>1. HJ 2008</t>
  </si>
  <si>
    <t>2. HJ 2008</t>
  </si>
  <si>
    <t>1. HJ 2009</t>
  </si>
  <si>
    <t>2. HJ 2009</t>
  </si>
  <si>
    <t>1. HJ 2010</t>
  </si>
  <si>
    <t>2. HJ 2010</t>
  </si>
  <si>
    <t>1. HJ 2011</t>
  </si>
  <si>
    <t>2. HJ 2011</t>
  </si>
  <si>
    <t>1. HJ 2012</t>
  </si>
  <si>
    <t>2. HJ 2012</t>
  </si>
  <si>
    <t>1. HJ 2013</t>
  </si>
  <si>
    <t>2. HJ 2013</t>
  </si>
  <si>
    <t>1. HJ 2014</t>
  </si>
  <si>
    <t>2. HJ 2014</t>
  </si>
  <si>
    <t>1. HJ 2015</t>
  </si>
  <si>
    <t>2. HJ 2015</t>
  </si>
  <si>
    <t>1. HJ 2016</t>
  </si>
  <si>
    <t>2. HJ 2016</t>
  </si>
  <si>
    <t>1. HJ 2017</t>
  </si>
  <si>
    <t>2. HJ 2017</t>
  </si>
  <si>
    <t>1. HJ 2018</t>
  </si>
  <si>
    <t>2. HJ 2018</t>
  </si>
  <si>
    <t>1. HJ 2019</t>
  </si>
  <si>
    <t>2. HJ 2019</t>
  </si>
  <si>
    <t>1. HJ 2020</t>
  </si>
  <si>
    <t>2. HJ 2020</t>
  </si>
  <si>
    <t>1. HJ 2021</t>
  </si>
  <si>
    <t>2. HJ 2021</t>
  </si>
  <si>
    <t>1. HJ 2022</t>
  </si>
  <si>
    <t>Haushalt (€/MWh)</t>
  </si>
  <si>
    <t>Nicht-haushalt (€/MWh)</t>
  </si>
  <si>
    <t>DESTATIS (Energiepreisentwicklung ID: 5619001)</t>
  </si>
  <si>
    <t>Investitionsjahr</t>
  </si>
  <si>
    <t>Wärmegestehungskosten Aufschlüsselung</t>
  </si>
  <si>
    <t>Kapital</t>
  </si>
  <si>
    <t>O&amp;M (fix&amp;var)</t>
  </si>
  <si>
    <t>Steuern und Abgaben</t>
  </si>
  <si>
    <t>Umwelt (CO2)</t>
  </si>
  <si>
    <t>Energieträgerkosten</t>
  </si>
  <si>
    <t>ReUseHeat</t>
  </si>
  <si>
    <t>Institute of Energy Economics (EWI) at the University of Cologne gGmbH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</si>
</sst>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_-* #,##0.00\ _€_-;\-* #,##0.00\ _€_-;_-* &quot;-&quot;??\ _€_-;_-@_-"/>
    <numFmt numFmtId="167" formatCode="_-* #,##0.0000_-;\-* #,##0.0000_-;_-* &quot;-&quot;??_-;_-@_-"/>
    <numFmt numFmtId="168" formatCode="0.0000"/>
    <numFmt numFmtId="169" formatCode="0.00000"/>
    <numFmt numFmtId="170" formatCode="0.0%"/>
    <numFmt numFmtId="171" formatCode="_-* #,##0\ _€_-;\-* #,##0\ _€_-;_-* &quot;-&quot;??\ _€_-;_-@_-"/>
    <numFmt numFmtId="172" formatCode="0.000"/>
    <numFmt numFmtId="175" formatCode="#,##0.0000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3F3F76"/>
      <name val="Arial"/>
      <family val="2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vertAlign val="subscript"/>
      <sz val="11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FF0000"/>
      <name val="Arial"/>
      <family val="2"/>
    </font>
    <font>
      <b/>
      <u/>
      <sz val="8"/>
      <color rgb="FFFF0000"/>
      <name val="Arial"/>
      <family val="2"/>
    </font>
    <font>
      <b/>
      <sz val="8"/>
      <color rgb="FF002060"/>
      <name val="Arial"/>
      <family val="2"/>
    </font>
    <font>
      <b/>
      <u/>
      <sz val="8"/>
      <color rgb="FF002060"/>
      <name val="Arial"/>
      <family val="2"/>
    </font>
    <font>
      <b/>
      <sz val="8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b/>
      <sz val="10"/>
      <color theme="1"/>
      <name val="Arial"/>
      <family val="2"/>
    </font>
    <font>
      <i/>
      <sz val="11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b/>
      <sz val="14"/>
      <color rgb="FF009475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9475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gray0625"/>
    </fill>
    <fill>
      <patternFill patternType="solid">
        <fgColor theme="7" tint="0.79998168889431442"/>
        <bgColor indexed="64"/>
      </patternFill>
    </fill>
    <fill>
      <patternFill patternType="solid">
        <fgColor rgb="FFD7E1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9475"/>
        <bgColor indexed="64"/>
      </patternFill>
    </fill>
    <fill>
      <patternFill patternType="solid">
        <fgColor rgb="FF81FFE4"/>
        <bgColor indexed="64"/>
      </patternFill>
    </fill>
    <fill>
      <patternFill patternType="solid">
        <fgColor rgb="FFA3FFEB"/>
        <bgColor indexed="64"/>
      </patternFill>
    </fill>
    <fill>
      <patternFill patternType="solid">
        <fgColor theme="0"/>
        <bgColor indexed="64"/>
      </patternFill>
    </fill>
  </fills>
  <borders count="6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D7E1F0"/>
      </left>
      <right style="medium">
        <color rgb="FFFFFFFF"/>
      </right>
      <top style="medium">
        <color rgb="FFD7E1F0"/>
      </top>
      <bottom/>
      <diagonal/>
    </border>
    <border>
      <left style="medium">
        <color rgb="FFFFFFFF"/>
      </left>
      <right/>
      <top style="medium">
        <color rgb="FFD7E1F0"/>
      </top>
      <bottom style="medium">
        <color rgb="FFFFFFFF"/>
      </bottom>
      <diagonal/>
    </border>
    <border>
      <left/>
      <right/>
      <top style="medium">
        <color rgb="FFD7E1F0"/>
      </top>
      <bottom style="medium">
        <color rgb="FFFFFFFF"/>
      </bottom>
      <diagonal/>
    </border>
    <border>
      <left/>
      <right style="medium">
        <color rgb="FFD7E1F0"/>
      </right>
      <top style="medium">
        <color rgb="FFD7E1F0"/>
      </top>
      <bottom style="medium">
        <color rgb="FFFFFFFF"/>
      </bottom>
      <diagonal/>
    </border>
    <border>
      <left style="medium">
        <color rgb="FFD7E1F0"/>
      </left>
      <right style="medium">
        <color rgb="FFFFFFFF"/>
      </right>
      <top/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D7E1F0"/>
      </right>
      <top style="medium">
        <color rgb="FFFFFFFF"/>
      </top>
      <bottom style="medium">
        <color rgb="FFFFFFFF"/>
      </bottom>
      <diagonal/>
    </border>
    <border>
      <left style="medium">
        <color rgb="FFD7E1F0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 style="medium">
        <color rgb="FFD7E1F0"/>
      </left>
      <right/>
      <top style="medium">
        <color rgb="FFFFFFFF"/>
      </top>
      <bottom style="medium">
        <color rgb="FFFFFFFF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3" fillId="2" borderId="1" applyNumberFormat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5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164" fontId="10" fillId="0" borderId="0" applyFont="0" applyFill="0" applyBorder="0" applyAlignment="0" applyProtection="0"/>
    <xf numFmtId="0" fontId="10" fillId="0" borderId="0"/>
  </cellStyleXfs>
  <cellXfs count="376">
    <xf numFmtId="0" fontId="0" fillId="0" borderId="0" xfId="0"/>
    <xf numFmtId="0" fontId="7" fillId="3" borderId="3" xfId="0" applyFont="1" applyFill="1" applyBorder="1" applyAlignment="1">
      <alignment horizontal="center" vertical="center"/>
    </xf>
    <xf numFmtId="0" fontId="7" fillId="3" borderId="3" xfId="0" quotePrefix="1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/>
    </xf>
    <xf numFmtId="0" fontId="0" fillId="0" borderId="0" xfId="0" applyAlignment="1">
      <alignment vertical="center"/>
    </xf>
    <xf numFmtId="0" fontId="11" fillId="0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0" fillId="5" borderId="0" xfId="0" applyFill="1"/>
    <xf numFmtId="0" fontId="17" fillId="7" borderId="15" xfId="0" applyFont="1" applyFill="1" applyBorder="1" applyAlignment="1">
      <alignment horizontal="center" vertical="center" wrapText="1"/>
    </xf>
    <xf numFmtId="0" fontId="17" fillId="7" borderId="16" xfId="0" applyFont="1" applyFill="1" applyBorder="1" applyAlignment="1">
      <alignment horizontal="center" vertical="center" wrapText="1"/>
    </xf>
    <xf numFmtId="0" fontId="17" fillId="7" borderId="17" xfId="0" applyFont="1" applyFill="1" applyBorder="1" applyAlignment="1">
      <alignment horizontal="center" vertical="center" wrapText="1"/>
    </xf>
    <xf numFmtId="0" fontId="12" fillId="7" borderId="19" xfId="0" applyFont="1" applyFill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left" vertical="top"/>
    </xf>
    <xf numFmtId="0" fontId="18" fillId="0" borderId="0" xfId="7"/>
    <xf numFmtId="165" fontId="20" fillId="0" borderId="0" xfId="5" applyFont="1" applyFill="1" applyAlignment="1">
      <alignment vertical="center"/>
    </xf>
    <xf numFmtId="165" fontId="0" fillId="0" borderId="0" xfId="5" applyFont="1"/>
    <xf numFmtId="165" fontId="20" fillId="0" borderId="0" xfId="5" applyFont="1"/>
    <xf numFmtId="0" fontId="6" fillId="3" borderId="3" xfId="0" applyFont="1" applyFill="1" applyBorder="1" applyAlignment="1">
      <alignment vertical="center"/>
    </xf>
    <xf numFmtId="0" fontId="6" fillId="4" borderId="3" xfId="0" applyFont="1" applyFill="1" applyBorder="1" applyAlignment="1">
      <alignment vertical="center"/>
    </xf>
    <xf numFmtId="0" fontId="7" fillId="4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vertical="center" wrapText="1"/>
    </xf>
    <xf numFmtId="0" fontId="7" fillId="4" borderId="3" xfId="0" applyFont="1" applyFill="1" applyBorder="1" applyAlignment="1">
      <alignment vertical="center" wrapText="1"/>
    </xf>
    <xf numFmtId="0" fontId="0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" fillId="0" borderId="3" xfId="0" applyFont="1" applyBorder="1" applyAlignment="1">
      <alignment vertical="center" wrapText="1"/>
    </xf>
    <xf numFmtId="0" fontId="4" fillId="0" borderId="3" xfId="0" applyFont="1" applyBorder="1" applyAlignment="1">
      <alignment horizontal="center" vertical="center" wrapText="1"/>
    </xf>
    <xf numFmtId="0" fontId="0" fillId="0" borderId="0" xfId="0"/>
    <xf numFmtId="0" fontId="11" fillId="0" borderId="3" xfId="0" applyFont="1" applyBorder="1" applyAlignment="1">
      <alignment horizontal="left"/>
    </xf>
    <xf numFmtId="0" fontId="11" fillId="0" borderId="3" xfId="0" applyFont="1" applyBorder="1"/>
    <xf numFmtId="0" fontId="0" fillId="0" borderId="3" xfId="0" applyBorder="1"/>
    <xf numFmtId="0" fontId="21" fillId="0" borderId="0" xfId="0" applyFo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70" fontId="0" fillId="0" borderId="0" xfId="6" applyNumberFormat="1" applyFont="1" applyAlignment="1">
      <alignment horizontal="center" vertical="center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vertical="center" textRotation="90"/>
    </xf>
    <xf numFmtId="0" fontId="1" fillId="0" borderId="3" xfId="0" applyFont="1" applyBorder="1" applyAlignment="1">
      <alignment vertical="center"/>
    </xf>
    <xf numFmtId="0" fontId="5" fillId="0" borderId="23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4" fontId="0" fillId="0" borderId="0" xfId="0" applyNumberFormat="1" applyFill="1"/>
    <xf numFmtId="0" fontId="9" fillId="0" borderId="0" xfId="0" applyFont="1"/>
    <xf numFmtId="4" fontId="0" fillId="0" borderId="0" xfId="8" applyNumberFormat="1" applyFont="1" applyFill="1"/>
    <xf numFmtId="4" fontId="0" fillId="0" borderId="0" xfId="6" applyNumberFormat="1" applyFont="1" applyFill="1"/>
    <xf numFmtId="9" fontId="9" fillId="0" borderId="0" xfId="6" applyFont="1"/>
    <xf numFmtId="9" fontId="0" fillId="0" borderId="0" xfId="6" applyFont="1"/>
    <xf numFmtId="4" fontId="1" fillId="0" borderId="0" xfId="6" applyNumberFormat="1" applyFont="1" applyFill="1"/>
    <xf numFmtId="4" fontId="9" fillId="0" borderId="0" xfId="0" applyNumberFormat="1" applyFont="1" applyFill="1"/>
    <xf numFmtId="4" fontId="9" fillId="0" borderId="0" xfId="8" applyNumberFormat="1" applyFont="1" applyFill="1"/>
    <xf numFmtId="0" fontId="7" fillId="4" borderId="3" xfId="0" applyFont="1" applyFill="1" applyBorder="1" applyAlignment="1">
      <alignment vertic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0" fillId="0" borderId="3" xfId="0" applyBorder="1" applyAlignment="1">
      <alignment vertical="center"/>
    </xf>
    <xf numFmtId="0" fontId="23" fillId="0" borderId="3" xfId="0" applyFont="1" applyBorder="1"/>
    <xf numFmtId="0" fontId="0" fillId="0" borderId="4" xfId="0" applyBorder="1"/>
    <xf numFmtId="2" fontId="0" fillId="0" borderId="0" xfId="0" applyNumberFormat="1"/>
    <xf numFmtId="0" fontId="0" fillId="0" borderId="0" xfId="0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center"/>
    </xf>
    <xf numFmtId="172" fontId="0" fillId="0" borderId="0" xfId="0" applyNumberFormat="1"/>
    <xf numFmtId="0" fontId="22" fillId="0" borderId="3" xfId="9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8" xfId="0" applyBorder="1"/>
    <xf numFmtId="0" fontId="1" fillId="0" borderId="0" xfId="0" applyFont="1" applyAlignment="1">
      <alignment horizontal="left"/>
    </xf>
    <xf numFmtId="0" fontId="24" fillId="0" borderId="0" xfId="0" applyFont="1"/>
    <xf numFmtId="0" fontId="0" fillId="0" borderId="0" xfId="0" applyAlignment="1">
      <alignment horizontal="left"/>
    </xf>
    <xf numFmtId="0" fontId="0" fillId="0" borderId="22" xfId="0" applyBorder="1" applyAlignment="1">
      <alignment vertical="center"/>
    </xf>
    <xf numFmtId="0" fontId="1" fillId="0" borderId="0" xfId="0" applyFont="1" applyAlignment="1">
      <alignment horizontal="right" vertical="center"/>
    </xf>
    <xf numFmtId="0" fontId="1" fillId="0" borderId="0" xfId="0" quotePrefix="1" applyFont="1" applyAlignment="1">
      <alignment horizontal="right" vertical="center"/>
    </xf>
    <xf numFmtId="0" fontId="18" fillId="0" borderId="0" xfId="7" applyAlignment="1">
      <alignment vertical="center"/>
    </xf>
    <xf numFmtId="0" fontId="4" fillId="0" borderId="0" xfId="0" applyFont="1" applyAlignment="1">
      <alignment horizontal="right" vertical="center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25" fillId="0" borderId="0" xfId="7" applyFont="1" applyAlignment="1">
      <alignment vertical="center"/>
    </xf>
    <xf numFmtId="0" fontId="0" fillId="0" borderId="0" xfId="0" applyFill="1" applyAlignment="1">
      <alignment horizontal="right" vertical="center"/>
    </xf>
    <xf numFmtId="0" fontId="26" fillId="0" borderId="0" xfId="0" applyFont="1"/>
    <xf numFmtId="0" fontId="9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9" fillId="0" borderId="24" xfId="0" applyFont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9" fillId="0" borderId="31" xfId="0" applyFont="1" applyBorder="1" applyAlignment="1">
      <alignment horizontal="center" vertical="center"/>
    </xf>
    <xf numFmtId="0" fontId="0" fillId="0" borderId="0" xfId="0" applyBorder="1" applyAlignment="1"/>
    <xf numFmtId="0" fontId="9" fillId="0" borderId="5" xfId="0" applyFont="1" applyBorder="1" applyAlignment="1">
      <alignment horizontal="center" vertical="center"/>
    </xf>
    <xf numFmtId="0" fontId="0" fillId="0" borderId="0" xfId="0" applyAlignment="1"/>
    <xf numFmtId="0" fontId="0" fillId="0" borderId="0" xfId="0" quotePrefix="1" applyAlignment="1">
      <alignment horizontal="center"/>
    </xf>
    <xf numFmtId="0" fontId="0" fillId="0" borderId="3" xfId="0" applyBorder="1" applyAlignment="1">
      <alignment horizontal="center" vertical="center" wrapText="1"/>
    </xf>
    <xf numFmtId="165" fontId="20" fillId="0" borderId="6" xfId="5" applyFont="1" applyFill="1" applyBorder="1" applyAlignment="1">
      <alignment vertical="center"/>
    </xf>
    <xf numFmtId="165" fontId="20" fillId="0" borderId="3" xfId="5" applyFont="1" applyFill="1" applyBorder="1" applyAlignment="1">
      <alignment vertical="center"/>
    </xf>
    <xf numFmtId="165" fontId="19" fillId="0" borderId="0" xfId="5" applyFont="1" applyFill="1" applyAlignment="1">
      <alignment horizontal="right" vertical="center"/>
    </xf>
    <xf numFmtId="0" fontId="25" fillId="0" borderId="0" xfId="7" applyFont="1"/>
    <xf numFmtId="165" fontId="1" fillId="0" borderId="3" xfId="5" applyFont="1" applyBorder="1" applyAlignment="1">
      <alignment vertical="center"/>
    </xf>
    <xf numFmtId="0" fontId="1" fillId="0" borderId="3" xfId="0" applyFont="1" applyBorder="1" applyAlignment="1">
      <alignment horizontal="center" vertical="center"/>
    </xf>
    <xf numFmtId="0" fontId="1" fillId="13" borderId="3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22" fillId="0" borderId="5" xfId="0" applyFont="1" applyBorder="1" applyAlignment="1">
      <alignment horizontal="center" vertical="top"/>
    </xf>
    <xf numFmtId="164" fontId="0" fillId="0" borderId="3" xfId="8" applyFont="1" applyBorder="1"/>
    <xf numFmtId="4" fontId="0" fillId="0" borderId="0" xfId="0" applyNumberFormat="1" applyFill="1" applyProtection="1">
      <protection locked="0"/>
    </xf>
    <xf numFmtId="4" fontId="0" fillId="0" borderId="0" xfId="8" applyNumberFormat="1" applyFont="1" applyFill="1" applyProtection="1">
      <protection locked="0"/>
    </xf>
    <xf numFmtId="4" fontId="0" fillId="0" borderId="0" xfId="6" applyNumberFormat="1" applyFont="1" applyFill="1" applyProtection="1">
      <protection locked="0"/>
    </xf>
    <xf numFmtId="4" fontId="1" fillId="0" borderId="0" xfId="6" applyNumberFormat="1" applyFont="1" applyFill="1" applyProtection="1">
      <protection locked="0"/>
    </xf>
    <xf numFmtId="4" fontId="9" fillId="0" borderId="0" xfId="0" applyNumberFormat="1" applyFont="1" applyFill="1" applyProtection="1">
      <protection locked="0"/>
    </xf>
    <xf numFmtId="4" fontId="9" fillId="0" borderId="0" xfId="8" applyNumberFormat="1" applyFont="1" applyFill="1" applyProtection="1">
      <protection locked="0"/>
    </xf>
    <xf numFmtId="0" fontId="5" fillId="0" borderId="23" xfId="0" applyFont="1" applyFill="1" applyBorder="1" applyAlignment="1" applyProtection="1">
      <alignment horizontal="center" vertical="center"/>
      <protection locked="0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165" fontId="0" fillId="0" borderId="6" xfId="5" applyFont="1" applyBorder="1" applyProtection="1">
      <protection locked="0"/>
    </xf>
    <xf numFmtId="165" fontId="0" fillId="0" borderId="3" xfId="5" applyFont="1" applyBorder="1" applyAlignment="1" applyProtection="1">
      <alignment horizontal="center"/>
      <protection locked="0"/>
    </xf>
    <xf numFmtId="165" fontId="0" fillId="0" borderId="3" xfId="5" applyFont="1" applyBorder="1" applyAlignment="1" applyProtection="1">
      <alignment horizontal="center" vertical="center"/>
      <protection locked="0"/>
    </xf>
    <xf numFmtId="9" fontId="0" fillId="0" borderId="3" xfId="6" applyFont="1" applyBorder="1" applyAlignment="1" applyProtection="1">
      <alignment horizontal="center" vertical="center"/>
      <protection locked="0"/>
    </xf>
    <xf numFmtId="9" fontId="0" fillId="0" borderId="6" xfId="6" applyFont="1" applyBorder="1" applyAlignment="1" applyProtection="1">
      <alignment horizontal="center" vertical="center"/>
      <protection locked="0"/>
    </xf>
    <xf numFmtId="165" fontId="0" fillId="0" borderId="6" xfId="5" applyFont="1" applyBorder="1" applyAlignment="1" applyProtection="1">
      <alignment horizontal="center" vertical="center"/>
      <protection locked="0"/>
    </xf>
    <xf numFmtId="165" fontId="0" fillId="0" borderId="7" xfId="5" applyFont="1" applyBorder="1" applyAlignment="1" applyProtection="1">
      <alignment horizontal="center" vertical="center"/>
      <protection locked="0"/>
    </xf>
    <xf numFmtId="170" fontId="0" fillId="0" borderId="3" xfId="6" applyNumberFormat="1" applyFont="1" applyBorder="1" applyAlignment="1" applyProtection="1">
      <alignment horizontal="center" vertical="center"/>
      <protection locked="0"/>
    </xf>
    <xf numFmtId="170" fontId="1" fillId="0" borderId="3" xfId="6" applyNumberFormat="1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3" xfId="0" applyBorder="1" applyProtection="1">
      <protection locked="0"/>
    </xf>
    <xf numFmtId="0" fontId="0" fillId="0" borderId="3" xfId="0" applyFill="1" applyBorder="1" applyProtection="1">
      <protection locked="0"/>
    </xf>
    <xf numFmtId="167" fontId="12" fillId="8" borderId="3" xfId="5" applyNumberFormat="1" applyFont="1" applyFill="1" applyBorder="1" applyAlignment="1" applyProtection="1">
      <alignment horizontal="center" vertical="center"/>
      <protection locked="0"/>
    </xf>
    <xf numFmtId="168" fontId="12" fillId="8" borderId="3" xfId="0" applyNumberFormat="1" applyFont="1" applyFill="1" applyBorder="1" applyAlignment="1" applyProtection="1">
      <alignment horizontal="center" vertical="center"/>
      <protection locked="0"/>
    </xf>
    <xf numFmtId="169" fontId="12" fillId="8" borderId="3" xfId="0" applyNumberFormat="1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1" fontId="23" fillId="0" borderId="3" xfId="0" quotePrefix="1" applyNumberFormat="1" applyFont="1" applyBorder="1" applyAlignment="1">
      <alignment horizontal="center"/>
    </xf>
    <xf numFmtId="2" fontId="0" fillId="9" borderId="3" xfId="0" applyNumberFormat="1" applyFill="1" applyBorder="1" applyAlignment="1" applyProtection="1">
      <alignment horizontal="center"/>
      <protection locked="0"/>
    </xf>
    <xf numFmtId="2" fontId="0" fillId="10" borderId="3" xfId="0" applyNumberFormat="1" applyFill="1" applyBorder="1" applyAlignment="1" applyProtection="1">
      <alignment horizontal="center"/>
      <protection locked="0"/>
    </xf>
    <xf numFmtId="0" fontId="0" fillId="11" borderId="3" xfId="0" applyFill="1" applyBorder="1" applyAlignment="1" applyProtection="1">
      <alignment horizontal="center"/>
      <protection locked="0"/>
    </xf>
    <xf numFmtId="0" fontId="0" fillId="12" borderId="3" xfId="0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10" borderId="3" xfId="0" applyFill="1" applyBorder="1" applyAlignment="1" applyProtection="1">
      <alignment horizontal="center"/>
      <protection locked="0"/>
    </xf>
    <xf numFmtId="171" fontId="22" fillId="0" borderId="2" xfId="3" applyNumberFormat="1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" fillId="0" borderId="34" xfId="0" applyFont="1" applyBorder="1" applyAlignment="1">
      <alignment horizontal="center" vertical="center"/>
    </xf>
    <xf numFmtId="0" fontId="0" fillId="0" borderId="34" xfId="0" applyBorder="1" applyAlignment="1"/>
    <xf numFmtId="0" fontId="0" fillId="0" borderId="3" xfId="0" applyBorder="1" applyAlignment="1" applyProtection="1">
      <alignment horizontal="center" vertical="center"/>
      <protection locked="0"/>
    </xf>
    <xf numFmtId="2" fontId="0" fillId="0" borderId="3" xfId="0" applyNumberFormat="1" applyBorder="1" applyAlignment="1" applyProtection="1">
      <alignment horizontal="center" vertical="center"/>
      <protection locked="0"/>
    </xf>
    <xf numFmtId="0" fontId="33" fillId="0" borderId="8" xfId="0" applyFont="1" applyBorder="1" applyAlignment="1">
      <alignment horizontal="left"/>
    </xf>
    <xf numFmtId="0" fontId="1" fillId="15" borderId="3" xfId="0" applyFont="1" applyFill="1" applyBorder="1" applyAlignment="1">
      <alignment horizontal="center" vertical="center"/>
    </xf>
    <xf numFmtId="168" fontId="0" fillId="0" borderId="38" xfId="0" applyNumberFormat="1" applyBorder="1" applyAlignment="1">
      <alignment horizontal="center" wrapText="1"/>
    </xf>
    <xf numFmtId="168" fontId="0" fillId="0" borderId="39" xfId="0" applyNumberFormat="1" applyBorder="1" applyAlignment="1">
      <alignment horizontal="center" wrapText="1"/>
    </xf>
    <xf numFmtId="168" fontId="0" fillId="0" borderId="40" xfId="0" applyNumberFormat="1" applyBorder="1" applyAlignment="1">
      <alignment horizontal="center" wrapText="1"/>
    </xf>
    <xf numFmtId="168" fontId="0" fillId="0" borderId="41" xfId="0" applyNumberFormat="1" applyBorder="1" applyAlignment="1">
      <alignment horizontal="center" wrapText="1"/>
    </xf>
    <xf numFmtId="168" fontId="0" fillId="0" borderId="3" xfId="0" applyNumberFormat="1" applyBorder="1" applyAlignment="1">
      <alignment horizontal="center" wrapText="1"/>
    </xf>
    <xf numFmtId="168" fontId="0" fillId="0" borderId="42" xfId="0" applyNumberFormat="1" applyBorder="1" applyAlignment="1">
      <alignment horizontal="center" wrapText="1"/>
    </xf>
    <xf numFmtId="168" fontId="0" fillId="0" borderId="43" xfId="0" applyNumberFormat="1" applyBorder="1" applyAlignment="1">
      <alignment horizontal="center" wrapText="1"/>
    </xf>
    <xf numFmtId="168" fontId="0" fillId="0" borderId="7" xfId="0" applyNumberFormat="1" applyBorder="1" applyAlignment="1">
      <alignment horizontal="center" wrapText="1"/>
    </xf>
    <xf numFmtId="168" fontId="0" fillId="0" borderId="44" xfId="0" applyNumberFormat="1" applyBorder="1" applyAlignment="1">
      <alignment horizontal="center" wrapText="1"/>
    </xf>
    <xf numFmtId="168" fontId="0" fillId="15" borderId="41" xfId="0" applyNumberFormat="1" applyFill="1" applyBorder="1" applyAlignment="1">
      <alignment horizontal="center" wrapText="1"/>
    </xf>
    <xf numFmtId="168" fontId="0" fillId="15" borderId="3" xfId="0" applyNumberFormat="1" applyFill="1" applyBorder="1" applyAlignment="1">
      <alignment horizontal="center" wrapText="1"/>
    </xf>
    <xf numFmtId="168" fontId="0" fillId="15" borderId="42" xfId="0" applyNumberFormat="1" applyFill="1" applyBorder="1" applyAlignment="1">
      <alignment horizontal="center" wrapText="1"/>
    </xf>
    <xf numFmtId="172" fontId="0" fillId="0" borderId="38" xfId="0" applyNumberFormat="1" applyBorder="1" applyAlignment="1">
      <alignment horizontal="center" vertical="center" wrapText="1"/>
    </xf>
    <xf numFmtId="172" fontId="0" fillId="0" borderId="39" xfId="0" applyNumberFormat="1" applyBorder="1" applyAlignment="1">
      <alignment horizontal="center" vertical="center" wrapText="1"/>
    </xf>
    <xf numFmtId="172" fontId="0" fillId="0" borderId="40" xfId="0" applyNumberFormat="1" applyBorder="1" applyAlignment="1">
      <alignment horizontal="center" vertical="center" wrapText="1"/>
    </xf>
    <xf numFmtId="172" fontId="0" fillId="0" borderId="41" xfId="0" applyNumberFormat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 wrapText="1"/>
    </xf>
    <xf numFmtId="172" fontId="0" fillId="0" borderId="42" xfId="0" applyNumberFormat="1" applyBorder="1" applyAlignment="1">
      <alignment horizontal="center" vertical="center" wrapText="1"/>
    </xf>
    <xf numFmtId="172" fontId="0" fillId="15" borderId="41" xfId="0" applyNumberFormat="1" applyFill="1" applyBorder="1" applyAlignment="1">
      <alignment horizontal="center" vertical="center" wrapText="1"/>
    </xf>
    <xf numFmtId="172" fontId="0" fillId="15" borderId="3" xfId="0" applyNumberFormat="1" applyFill="1" applyBorder="1" applyAlignment="1">
      <alignment horizontal="center" vertical="center" wrapText="1"/>
    </xf>
    <xf numFmtId="172" fontId="0" fillId="15" borderId="42" xfId="0" applyNumberFormat="1" applyFill="1" applyBorder="1" applyAlignment="1">
      <alignment horizontal="center" vertical="center" wrapText="1"/>
    </xf>
    <xf numFmtId="172" fontId="0" fillId="0" borderId="43" xfId="0" applyNumberFormat="1" applyBorder="1" applyAlignment="1">
      <alignment horizontal="center" vertical="center" wrapText="1"/>
    </xf>
    <xf numFmtId="172" fontId="0" fillId="0" borderId="7" xfId="0" applyNumberFormat="1" applyBorder="1" applyAlignment="1">
      <alignment horizontal="center" vertical="center" wrapText="1"/>
    </xf>
    <xf numFmtId="172" fontId="0" fillId="0" borderId="44" xfId="0" applyNumberFormat="1" applyBorder="1" applyAlignment="1">
      <alignment horizontal="center" vertical="center" wrapText="1"/>
    </xf>
    <xf numFmtId="0" fontId="19" fillId="0" borderId="0" xfId="0" applyFont="1"/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19" fillId="14" borderId="35" xfId="0" applyFont="1" applyFill="1" applyBorder="1" applyAlignment="1">
      <alignment horizontal="center" vertical="center" wrapText="1"/>
    </xf>
    <xf numFmtId="0" fontId="19" fillId="14" borderId="48" xfId="0" applyFont="1" applyFill="1" applyBorder="1" applyAlignment="1">
      <alignment horizontal="center" vertical="center" wrapText="1"/>
    </xf>
    <xf numFmtId="0" fontId="19" fillId="14" borderId="36" xfId="0" applyFont="1" applyFill="1" applyBorder="1" applyAlignment="1">
      <alignment horizontal="center" vertical="center" wrapText="1"/>
    </xf>
    <xf numFmtId="2" fontId="0" fillId="0" borderId="41" xfId="0" applyNumberFormat="1" applyBorder="1"/>
    <xf numFmtId="2" fontId="0" fillId="0" borderId="5" xfId="0" applyNumberFormat="1" applyBorder="1"/>
    <xf numFmtId="2" fontId="0" fillId="0" borderId="5" xfId="0" applyNumberFormat="1" applyBorder="1" applyAlignment="1">
      <alignment horizontal="right"/>
    </xf>
    <xf numFmtId="2" fontId="0" fillId="0" borderId="43" xfId="0" applyNumberFormat="1" applyBorder="1"/>
    <xf numFmtId="2" fontId="0" fillId="0" borderId="46" xfId="0" applyNumberFormat="1" applyBorder="1" applyAlignment="1">
      <alignment horizontal="right"/>
    </xf>
    <xf numFmtId="0" fontId="1" fillId="0" borderId="3" xfId="0" applyFont="1" applyBorder="1" applyAlignment="1">
      <alignment horizontal="right" vertical="center"/>
    </xf>
    <xf numFmtId="0" fontId="1" fillId="14" borderId="3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 wrapText="1"/>
    </xf>
    <xf numFmtId="0" fontId="1" fillId="14" borderId="6" xfId="0" applyFont="1" applyFill="1" applyBorder="1" applyAlignment="1">
      <alignment horizontal="center"/>
    </xf>
    <xf numFmtId="2" fontId="0" fillId="15" borderId="3" xfId="5" applyNumberFormat="1" applyFont="1" applyFill="1" applyBorder="1" applyAlignment="1" applyProtection="1">
      <alignment horizontal="center"/>
      <protection locked="0"/>
    </xf>
    <xf numFmtId="2" fontId="0" fillId="0" borderId="3" xfId="5" applyNumberFormat="1" applyFont="1" applyBorder="1" applyAlignment="1" applyProtection="1">
      <alignment horizontal="center" vertical="center"/>
      <protection locked="0"/>
    </xf>
    <xf numFmtId="0" fontId="9" fillId="0" borderId="0" xfId="0" applyFont="1" applyAlignment="1">
      <alignment wrapText="1"/>
    </xf>
    <xf numFmtId="0" fontId="21" fillId="0" borderId="0" xfId="0" applyFont="1" applyAlignment="1">
      <alignment vertical="center"/>
    </xf>
    <xf numFmtId="0" fontId="0" fillId="14" borderId="57" xfId="0" applyFill="1" applyBorder="1"/>
    <xf numFmtId="0" fontId="0" fillId="14" borderId="58" xfId="0" applyFill="1" applyBorder="1"/>
    <xf numFmtId="0" fontId="1" fillId="14" borderId="57" xfId="0" applyFont="1" applyFill="1" applyBorder="1"/>
    <xf numFmtId="0" fontId="1" fillId="14" borderId="58" xfId="0" applyFont="1" applyFill="1" applyBorder="1"/>
    <xf numFmtId="0" fontId="1" fillId="14" borderId="59" xfId="0" applyFont="1" applyFill="1" applyBorder="1"/>
    <xf numFmtId="0" fontId="1" fillId="16" borderId="0" xfId="0" applyFont="1" applyFill="1" applyBorder="1"/>
    <xf numFmtId="0" fontId="1" fillId="16" borderId="55" xfId="0" applyFont="1" applyFill="1" applyBorder="1"/>
    <xf numFmtId="0" fontId="1" fillId="17" borderId="0" xfId="0" applyFont="1" applyFill="1" applyBorder="1"/>
    <xf numFmtId="2" fontId="0" fillId="16" borderId="52" xfId="0" applyNumberFormat="1" applyFill="1" applyBorder="1"/>
    <xf numFmtId="2" fontId="0" fillId="16" borderId="0" xfId="0" applyNumberFormat="1" applyFill="1" applyBorder="1"/>
    <xf numFmtId="2" fontId="0" fillId="16" borderId="53" xfId="0" applyNumberFormat="1" applyFill="1" applyBorder="1"/>
    <xf numFmtId="2" fontId="0" fillId="16" borderId="52" xfId="0" applyNumberFormat="1" applyFill="1" applyBorder="1" applyProtection="1">
      <protection locked="0"/>
    </xf>
    <xf numFmtId="2" fontId="0" fillId="16" borderId="0" xfId="0" applyNumberFormat="1" applyFill="1" applyBorder="1" applyProtection="1">
      <protection locked="0"/>
    </xf>
    <xf numFmtId="2" fontId="0" fillId="16" borderId="53" xfId="0" applyNumberFormat="1" applyFill="1" applyBorder="1" applyProtection="1">
      <protection locked="0"/>
    </xf>
    <xf numFmtId="2" fontId="0" fillId="16" borderId="52" xfId="8" applyNumberFormat="1" applyFont="1" applyFill="1" applyBorder="1" applyProtection="1">
      <protection locked="0"/>
    </xf>
    <xf numFmtId="2" fontId="0" fillId="16" borderId="0" xfId="8" applyNumberFormat="1" applyFont="1" applyFill="1" applyBorder="1" applyProtection="1">
      <protection locked="0"/>
    </xf>
    <xf numFmtId="2" fontId="0" fillId="16" borderId="53" xfId="8" applyNumberFormat="1" applyFont="1" applyFill="1" applyBorder="1" applyProtection="1">
      <protection locked="0"/>
    </xf>
    <xf numFmtId="2" fontId="0" fillId="16" borderId="52" xfId="6" applyNumberFormat="1" applyFont="1" applyFill="1" applyBorder="1" applyProtection="1">
      <protection locked="0"/>
    </xf>
    <xf numFmtId="2" fontId="0" fillId="16" borderId="0" xfId="6" applyNumberFormat="1" applyFont="1" applyFill="1" applyBorder="1" applyProtection="1">
      <protection locked="0"/>
    </xf>
    <xf numFmtId="2" fontId="0" fillId="16" borderId="53" xfId="6" applyNumberFormat="1" applyFont="1" applyFill="1" applyBorder="1" applyProtection="1">
      <protection locked="0"/>
    </xf>
    <xf numFmtId="2" fontId="0" fillId="17" borderId="52" xfId="0" applyNumberFormat="1" applyFill="1" applyBorder="1"/>
    <xf numFmtId="2" fontId="0" fillId="17" borderId="0" xfId="0" applyNumberFormat="1" applyFill="1" applyBorder="1"/>
    <xf numFmtId="2" fontId="0" fillId="17" borderId="53" xfId="0" applyNumberFormat="1" applyFill="1" applyBorder="1"/>
    <xf numFmtId="2" fontId="0" fillId="17" borderId="52" xfId="0" applyNumberFormat="1" applyFill="1" applyBorder="1" applyProtection="1">
      <protection locked="0"/>
    </xf>
    <xf numFmtId="2" fontId="0" fillId="17" borderId="0" xfId="0" applyNumberFormat="1" applyFill="1" applyBorder="1" applyProtection="1">
      <protection locked="0"/>
    </xf>
    <xf numFmtId="2" fontId="0" fillId="17" borderId="53" xfId="0" applyNumberFormat="1" applyFill="1" applyBorder="1" applyProtection="1">
      <protection locked="0"/>
    </xf>
    <xf numFmtId="2" fontId="0" fillId="17" borderId="52" xfId="8" applyNumberFormat="1" applyFont="1" applyFill="1" applyBorder="1" applyProtection="1">
      <protection locked="0"/>
    </xf>
    <xf numFmtId="2" fontId="0" fillId="17" borderId="0" xfId="8" applyNumberFormat="1" applyFont="1" applyFill="1" applyBorder="1" applyProtection="1">
      <protection locked="0"/>
    </xf>
    <xf numFmtId="2" fontId="0" fillId="17" borderId="53" xfId="8" applyNumberFormat="1" applyFont="1" applyFill="1" applyBorder="1" applyProtection="1">
      <protection locked="0"/>
    </xf>
    <xf numFmtId="2" fontId="0" fillId="17" borderId="52" xfId="6" applyNumberFormat="1" applyFont="1" applyFill="1" applyBorder="1" applyProtection="1">
      <protection locked="0"/>
    </xf>
    <xf numFmtId="2" fontId="0" fillId="17" borderId="0" xfId="6" applyNumberFormat="1" applyFont="1" applyFill="1" applyBorder="1" applyProtection="1">
      <protection locked="0"/>
    </xf>
    <xf numFmtId="2" fontId="0" fillId="17" borderId="53" xfId="6" applyNumberFormat="1" applyFont="1" applyFill="1" applyBorder="1" applyProtection="1">
      <protection locked="0"/>
    </xf>
    <xf numFmtId="2" fontId="1" fillId="17" borderId="52" xfId="6" applyNumberFormat="1" applyFont="1" applyFill="1" applyBorder="1" applyProtection="1">
      <protection locked="0"/>
    </xf>
    <xf numFmtId="2" fontId="1" fillId="17" borderId="0" xfId="6" applyNumberFormat="1" applyFont="1" applyFill="1" applyBorder="1" applyProtection="1">
      <protection locked="0"/>
    </xf>
    <xf numFmtId="2" fontId="1" fillId="17" borderId="53" xfId="6" applyNumberFormat="1" applyFont="1" applyFill="1" applyBorder="1" applyProtection="1">
      <protection locked="0"/>
    </xf>
    <xf numFmtId="2" fontId="1" fillId="16" borderId="52" xfId="6" applyNumberFormat="1" applyFont="1" applyFill="1" applyBorder="1" applyProtection="1">
      <protection locked="0"/>
    </xf>
    <xf numFmtId="2" fontId="1" fillId="16" borderId="0" xfId="6" applyNumberFormat="1" applyFont="1" applyFill="1" applyBorder="1" applyProtection="1">
      <protection locked="0"/>
    </xf>
    <xf numFmtId="2" fontId="1" fillId="16" borderId="53" xfId="6" applyNumberFormat="1" applyFont="1" applyFill="1" applyBorder="1" applyProtection="1">
      <protection locked="0"/>
    </xf>
    <xf numFmtId="2" fontId="9" fillId="17" borderId="52" xfId="0" applyNumberFormat="1" applyFont="1" applyFill="1" applyBorder="1" applyProtection="1">
      <protection locked="0"/>
    </xf>
    <xf numFmtId="2" fontId="9" fillId="17" borderId="0" xfId="0" applyNumberFormat="1" applyFont="1" applyFill="1" applyBorder="1" applyProtection="1">
      <protection locked="0"/>
    </xf>
    <xf numFmtId="2" fontId="9" fillId="17" borderId="53" xfId="0" applyNumberFormat="1" applyFont="1" applyFill="1" applyBorder="1" applyProtection="1">
      <protection locked="0"/>
    </xf>
    <xf numFmtId="2" fontId="9" fillId="17" borderId="52" xfId="8" applyNumberFormat="1" applyFont="1" applyFill="1" applyBorder="1" applyProtection="1">
      <protection locked="0"/>
    </xf>
    <xf numFmtId="2" fontId="9" fillId="16" borderId="52" xfId="0" applyNumberFormat="1" applyFont="1" applyFill="1" applyBorder="1" applyProtection="1">
      <protection locked="0"/>
    </xf>
    <xf numFmtId="2" fontId="9" fillId="16" borderId="0" xfId="0" applyNumberFormat="1" applyFont="1" applyFill="1" applyBorder="1" applyProtection="1">
      <protection locked="0"/>
    </xf>
    <xf numFmtId="2" fontId="9" fillId="16" borderId="53" xfId="0" applyNumberFormat="1" applyFont="1" applyFill="1" applyBorder="1" applyProtection="1">
      <protection locked="0"/>
    </xf>
    <xf numFmtId="2" fontId="9" fillId="16" borderId="52" xfId="8" applyNumberFormat="1" applyFont="1" applyFill="1" applyBorder="1" applyProtection="1">
      <protection locked="0"/>
    </xf>
    <xf numFmtId="2" fontId="9" fillId="17" borderId="0" xfId="8" applyNumberFormat="1" applyFont="1" applyFill="1" applyBorder="1" applyProtection="1">
      <protection locked="0"/>
    </xf>
    <xf numFmtId="2" fontId="9" fillId="17" borderId="53" xfId="8" applyNumberFormat="1" applyFont="1" applyFill="1" applyBorder="1" applyProtection="1">
      <protection locked="0"/>
    </xf>
    <xf numFmtId="2" fontId="9" fillId="16" borderId="0" xfId="8" applyNumberFormat="1" applyFont="1" applyFill="1" applyBorder="1" applyProtection="1">
      <protection locked="0"/>
    </xf>
    <xf numFmtId="2" fontId="9" fillId="16" borderId="53" xfId="8" applyNumberFormat="1" applyFont="1" applyFill="1" applyBorder="1" applyProtection="1">
      <protection locked="0"/>
    </xf>
    <xf numFmtId="2" fontId="0" fillId="16" borderId="54" xfId="0" applyNumberFormat="1" applyFill="1" applyBorder="1"/>
    <xf numFmtId="2" fontId="0" fillId="16" borderId="55" xfId="0" applyNumberFormat="1" applyFill="1" applyBorder="1"/>
    <xf numFmtId="2" fontId="0" fillId="16" borderId="56" xfId="0" applyNumberFormat="1" applyFill="1" applyBorder="1"/>
    <xf numFmtId="2" fontId="0" fillId="16" borderId="54" xfId="8" applyNumberFormat="1" applyFont="1" applyFill="1" applyBorder="1" applyProtection="1">
      <protection locked="0"/>
    </xf>
    <xf numFmtId="2" fontId="0" fillId="16" borderId="55" xfId="8" applyNumberFormat="1" applyFont="1" applyFill="1" applyBorder="1" applyProtection="1">
      <protection locked="0"/>
    </xf>
    <xf numFmtId="2" fontId="0" fillId="16" borderId="56" xfId="8" applyNumberFormat="1" applyFont="1" applyFill="1" applyBorder="1" applyProtection="1">
      <protection locked="0"/>
    </xf>
    <xf numFmtId="0" fontId="24" fillId="0" borderId="0" xfId="0" quotePrefix="1" applyFont="1" applyAlignment="1">
      <alignment horizontal="left" vertical="center" wrapText="1"/>
    </xf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 wrapText="1"/>
    </xf>
    <xf numFmtId="0" fontId="24" fillId="0" borderId="0" xfId="0" quotePrefix="1" applyFont="1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24" fillId="0" borderId="22" xfId="0" applyFont="1" applyBorder="1" applyAlignment="1">
      <alignment horizontal="left"/>
    </xf>
    <xf numFmtId="0" fontId="32" fillId="14" borderId="0" xfId="0" quotePrefix="1" applyFont="1" applyFill="1" applyAlignment="1">
      <alignment horizontal="center" vertical="center"/>
    </xf>
    <xf numFmtId="0" fontId="9" fillId="0" borderId="5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3" xfId="0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24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26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right" vertical="center"/>
    </xf>
    <xf numFmtId="0" fontId="9" fillId="0" borderId="29" xfId="0" applyFont="1" applyBorder="1" applyAlignment="1">
      <alignment horizontal="left"/>
    </xf>
    <xf numFmtId="0" fontId="9" fillId="0" borderId="30" xfId="0" applyFont="1" applyBorder="1" applyAlignment="1">
      <alignment horizontal="left"/>
    </xf>
    <xf numFmtId="0" fontId="9" fillId="0" borderId="6" xfId="0" applyFont="1" applyBorder="1" applyAlignment="1">
      <alignment horizontal="center" vertical="center"/>
    </xf>
    <xf numFmtId="0" fontId="24" fillId="0" borderId="0" xfId="0" quotePrefix="1" applyFont="1" applyAlignment="1">
      <alignment horizontal="left" vertical="center"/>
    </xf>
    <xf numFmtId="0" fontId="1" fillId="15" borderId="3" xfId="0" applyNumberFormat="1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/>
    </xf>
    <xf numFmtId="0" fontId="1" fillId="15" borderId="9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2" fontId="1" fillId="15" borderId="3" xfId="0" applyNumberFormat="1" applyFont="1" applyFill="1" applyBorder="1" applyAlignment="1">
      <alignment horizontal="center" vertical="center" wrapText="1"/>
    </xf>
    <xf numFmtId="0" fontId="1" fillId="15" borderId="3" xfId="0" applyFont="1" applyFill="1" applyBorder="1" applyAlignment="1">
      <alignment horizontal="center" vertical="center" wrapText="1"/>
    </xf>
    <xf numFmtId="4" fontId="0" fillId="0" borderId="2" xfId="0" applyNumberFormat="1" applyFont="1" applyFill="1" applyBorder="1" applyAlignment="1" applyProtection="1">
      <alignment horizontal="center" vertical="center"/>
      <protection locked="0"/>
    </xf>
    <xf numFmtId="4" fontId="0" fillId="0" borderId="6" xfId="0" applyNumberFormat="1" applyFont="1" applyFill="1" applyBorder="1" applyAlignment="1" applyProtection="1">
      <alignment horizontal="center" vertical="center"/>
      <protection locked="0"/>
    </xf>
    <xf numFmtId="0" fontId="1" fillId="0" borderId="3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65" fontId="1" fillId="0" borderId="2" xfId="5" applyFont="1" applyBorder="1" applyAlignment="1">
      <alignment horizontal="center" vertical="center"/>
    </xf>
    <xf numFmtId="165" fontId="1" fillId="0" borderId="6" xfId="5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14" borderId="5" xfId="0" applyFont="1" applyFill="1" applyBorder="1" applyAlignment="1">
      <alignment horizontal="center" vertical="center"/>
    </xf>
    <xf numFmtId="0" fontId="1" fillId="14" borderId="9" xfId="0" applyFont="1" applyFill="1" applyBorder="1" applyAlignment="1">
      <alignment horizontal="center" vertical="center"/>
    </xf>
    <xf numFmtId="0" fontId="1" fillId="14" borderId="4" xfId="0" applyFont="1" applyFill="1" applyBorder="1" applyAlignment="1">
      <alignment horizontal="center" vertical="center"/>
    </xf>
    <xf numFmtId="0" fontId="12" fillId="7" borderId="10" xfId="0" applyFont="1" applyFill="1" applyBorder="1" applyAlignment="1">
      <alignment horizontal="center" vertical="center" wrapText="1"/>
    </xf>
    <xf numFmtId="0" fontId="12" fillId="7" borderId="14" xfId="0" applyFont="1" applyFill="1" applyBorder="1" applyAlignment="1">
      <alignment horizontal="center" vertical="center" wrapText="1"/>
    </xf>
    <xf numFmtId="0" fontId="12" fillId="7" borderId="18" xfId="0" applyFont="1" applyFill="1" applyBorder="1" applyAlignment="1">
      <alignment horizontal="center" vertical="center" wrapText="1"/>
    </xf>
    <xf numFmtId="0" fontId="15" fillId="7" borderId="11" xfId="0" applyFont="1" applyFill="1" applyBorder="1" applyAlignment="1">
      <alignment horizontal="center" vertical="center" wrapText="1"/>
    </xf>
    <xf numFmtId="0" fontId="15" fillId="7" borderId="12" xfId="0" applyFont="1" applyFill="1" applyBorder="1" applyAlignment="1">
      <alignment horizontal="center" vertical="center" wrapText="1"/>
    </xf>
    <xf numFmtId="0" fontId="15" fillId="7" borderId="13" xfId="0" applyFont="1" applyFill="1" applyBorder="1" applyAlignment="1">
      <alignment horizontal="center" vertical="center" wrapText="1"/>
    </xf>
    <xf numFmtId="0" fontId="36" fillId="14" borderId="35" xfId="0" applyFont="1" applyFill="1" applyBorder="1" applyAlignment="1">
      <alignment horizontal="center" vertical="center" wrapText="1"/>
    </xf>
    <xf numFmtId="0" fontId="36" fillId="14" borderId="36" xfId="0" applyFont="1" applyFill="1" applyBorder="1" applyAlignment="1">
      <alignment horizontal="center" vertical="center" wrapText="1"/>
    </xf>
    <xf numFmtId="0" fontId="0" fillId="0" borderId="45" xfId="0" applyBorder="1" applyAlignment="1">
      <alignment horizontal="center"/>
    </xf>
    <xf numFmtId="0" fontId="0" fillId="0" borderId="37" xfId="0" applyBorder="1" applyAlignment="1">
      <alignment horizontal="center"/>
    </xf>
    <xf numFmtId="0" fontId="13" fillId="7" borderId="11" xfId="0" applyFont="1" applyFill="1" applyBorder="1" applyAlignment="1">
      <alignment horizontal="center" vertical="center" wrapText="1"/>
    </xf>
    <xf numFmtId="0" fontId="13" fillId="7" borderId="12" xfId="0" applyFont="1" applyFill="1" applyBorder="1" applyAlignment="1">
      <alignment horizontal="center" vertical="center" wrapText="1"/>
    </xf>
    <xf numFmtId="0" fontId="13" fillId="7" borderId="1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 vertical="center" textRotation="90"/>
    </xf>
    <xf numFmtId="0" fontId="23" fillId="0" borderId="4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13" borderId="2" xfId="0" applyFont="1" applyFill="1" applyBorder="1" applyAlignment="1">
      <alignment horizontal="center" vertical="center"/>
    </xf>
    <xf numFmtId="0" fontId="1" fillId="13" borderId="21" xfId="0" applyFont="1" applyFill="1" applyBorder="1" applyAlignment="1">
      <alignment horizontal="center" vertical="center"/>
    </xf>
    <xf numFmtId="0" fontId="1" fillId="13" borderId="6" xfId="0" applyFont="1" applyFill="1" applyBorder="1" applyAlignment="1">
      <alignment horizontal="center" vertical="center"/>
    </xf>
    <xf numFmtId="0" fontId="32" fillId="14" borderId="0" xfId="0" applyFont="1" applyFill="1" applyAlignment="1">
      <alignment horizontal="center"/>
    </xf>
    <xf numFmtId="0" fontId="0" fillId="0" borderId="3" xfId="0" applyBorder="1" applyAlignment="1">
      <alignment horizontal="left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21" xfId="0" applyFont="1" applyFill="1" applyBorder="1" applyAlignment="1">
      <alignment horizontal="center" vertical="center" wrapText="1"/>
    </xf>
    <xf numFmtId="0" fontId="6" fillId="0" borderId="6" xfId="0" applyFont="1" applyFill="1" applyBorder="1" applyAlignment="1">
      <alignment horizontal="center" vertical="center" wrapText="1"/>
    </xf>
    <xf numFmtId="0" fontId="1" fillId="16" borderId="52" xfId="0" applyFont="1" applyFill="1" applyBorder="1" applyAlignment="1">
      <alignment horizontal="center" vertical="center" wrapText="1"/>
    </xf>
    <xf numFmtId="0" fontId="1" fillId="17" borderId="52" xfId="0" applyFont="1" applyFill="1" applyBorder="1" applyAlignment="1">
      <alignment horizontal="center" vertical="center" wrapText="1"/>
    </xf>
    <xf numFmtId="0" fontId="1" fillId="16" borderId="54" xfId="0" applyFont="1" applyFill="1" applyBorder="1" applyAlignment="1">
      <alignment horizontal="center" vertical="center" wrapText="1"/>
    </xf>
    <xf numFmtId="0" fontId="1" fillId="0" borderId="0" xfId="0" applyFont="1"/>
    <xf numFmtId="0" fontId="11" fillId="0" borderId="0" xfId="0" applyFont="1"/>
    <xf numFmtId="175" fontId="0" fillId="0" borderId="0" xfId="0" applyNumberFormat="1"/>
    <xf numFmtId="0" fontId="37" fillId="0" borderId="0" xfId="0" applyFont="1"/>
    <xf numFmtId="1" fontId="1" fillId="15" borderId="3" xfId="0" applyNumberFormat="1" applyFont="1" applyFill="1" applyBorder="1" applyAlignment="1">
      <alignment horizontal="center" vertical="center" wrapText="1"/>
    </xf>
    <xf numFmtId="0" fontId="37" fillId="0" borderId="0" xfId="0" applyFont="1" applyAlignment="1">
      <alignment horizontal="center"/>
    </xf>
    <xf numFmtId="0" fontId="1" fillId="16" borderId="49" xfId="0" applyFont="1" applyFill="1" applyBorder="1" applyAlignment="1">
      <alignment horizontal="center" vertical="center" wrapText="1"/>
    </xf>
    <xf numFmtId="0" fontId="1" fillId="16" borderId="50" xfId="0" applyFont="1" applyFill="1" applyBorder="1"/>
    <xf numFmtId="2" fontId="0" fillId="16" borderId="49" xfId="0" applyNumberFormat="1" applyFill="1" applyBorder="1"/>
    <xf numFmtId="2" fontId="0" fillId="16" borderId="50" xfId="0" applyNumberFormat="1" applyFill="1" applyBorder="1"/>
    <xf numFmtId="2" fontId="0" fillId="16" borderId="51" xfId="0" applyNumberFormat="1" applyFill="1" applyBorder="1"/>
    <xf numFmtId="2" fontId="0" fillId="16" borderId="49" xfId="0" applyNumberFormat="1" applyFill="1" applyBorder="1" applyProtection="1">
      <protection locked="0"/>
    </xf>
    <xf numFmtId="2" fontId="0" fillId="16" borderId="50" xfId="0" applyNumberFormat="1" applyFill="1" applyBorder="1" applyProtection="1">
      <protection locked="0"/>
    </xf>
    <xf numFmtId="2" fontId="0" fillId="16" borderId="51" xfId="0" applyNumberFormat="1" applyFill="1" applyBorder="1" applyProtection="1">
      <protection locked="0"/>
    </xf>
    <xf numFmtId="2" fontId="0" fillId="16" borderId="54" xfId="0" applyNumberFormat="1" applyFill="1" applyBorder="1" applyProtection="1">
      <protection locked="0"/>
    </xf>
    <xf numFmtId="2" fontId="0" fillId="16" borderId="55" xfId="0" applyNumberFormat="1" applyFill="1" applyBorder="1" applyProtection="1">
      <protection locked="0"/>
    </xf>
    <xf numFmtId="2" fontId="0" fillId="16" borderId="56" xfId="0" applyNumberFormat="1" applyFill="1" applyBorder="1" applyProtection="1">
      <protection locked="0"/>
    </xf>
    <xf numFmtId="0" fontId="1" fillId="17" borderId="49" xfId="0" applyFont="1" applyFill="1" applyBorder="1" applyAlignment="1">
      <alignment horizontal="center" vertical="center" wrapText="1"/>
    </xf>
    <xf numFmtId="0" fontId="1" fillId="17" borderId="50" xfId="0" applyFont="1" applyFill="1" applyBorder="1"/>
    <xf numFmtId="2" fontId="0" fillId="17" borderId="49" xfId="0" applyNumberFormat="1" applyFill="1" applyBorder="1"/>
    <xf numFmtId="2" fontId="0" fillId="17" borderId="50" xfId="0" applyNumberFormat="1" applyFill="1" applyBorder="1"/>
    <xf numFmtId="2" fontId="0" fillId="17" borderId="51" xfId="0" applyNumberFormat="1" applyFill="1" applyBorder="1"/>
    <xf numFmtId="2" fontId="0" fillId="17" borderId="49" xfId="0" applyNumberFormat="1" applyFill="1" applyBorder="1" applyProtection="1">
      <protection locked="0"/>
    </xf>
    <xf numFmtId="2" fontId="0" fillId="17" borderId="50" xfId="0" applyNumberFormat="1" applyFill="1" applyBorder="1" applyProtection="1">
      <protection locked="0"/>
    </xf>
    <xf numFmtId="2" fontId="0" fillId="17" borderId="51" xfId="0" applyNumberFormat="1" applyFill="1" applyBorder="1" applyProtection="1">
      <protection locked="0"/>
    </xf>
    <xf numFmtId="0" fontId="1" fillId="17" borderId="54" xfId="0" applyFont="1" applyFill="1" applyBorder="1" applyAlignment="1">
      <alignment horizontal="center" vertical="center" wrapText="1"/>
    </xf>
    <xf numFmtId="0" fontId="1" fillId="17" borderId="55" xfId="0" applyFont="1" applyFill="1" applyBorder="1"/>
    <xf numFmtId="2" fontId="0" fillId="17" borderId="54" xfId="0" applyNumberFormat="1" applyFill="1" applyBorder="1"/>
    <xf numFmtId="2" fontId="0" fillId="17" borderId="55" xfId="0" applyNumberFormat="1" applyFill="1" applyBorder="1"/>
    <xf numFmtId="2" fontId="0" fillId="17" borderId="56" xfId="0" applyNumberFormat="1" applyFill="1" applyBorder="1"/>
    <xf numFmtId="2" fontId="0" fillId="17" borderId="54" xfId="0" applyNumberFormat="1" applyFill="1" applyBorder="1" applyProtection="1">
      <protection locked="0"/>
    </xf>
    <xf numFmtId="2" fontId="0" fillId="17" borderId="55" xfId="0" applyNumberFormat="1" applyFill="1" applyBorder="1" applyProtection="1">
      <protection locked="0"/>
    </xf>
    <xf numFmtId="2" fontId="0" fillId="17" borderId="56" xfId="0" applyNumberFormat="1" applyFill="1" applyBorder="1" applyProtection="1">
      <protection locked="0"/>
    </xf>
    <xf numFmtId="2" fontId="9" fillId="17" borderId="49" xfId="0" applyNumberFormat="1" applyFont="1" applyFill="1" applyBorder="1" applyProtection="1">
      <protection locked="0"/>
    </xf>
    <xf numFmtId="2" fontId="9" fillId="17" borderId="50" xfId="0" applyNumberFormat="1" applyFont="1" applyFill="1" applyBorder="1" applyProtection="1">
      <protection locked="0"/>
    </xf>
    <xf numFmtId="2" fontId="9" fillId="17" borderId="51" xfId="0" applyNumberFormat="1" applyFont="1" applyFill="1" applyBorder="1" applyProtection="1">
      <protection locked="0"/>
    </xf>
    <xf numFmtId="2" fontId="9" fillId="16" borderId="49" xfId="0" applyNumberFormat="1" applyFont="1" applyFill="1" applyBorder="1" applyProtection="1">
      <protection locked="0"/>
    </xf>
    <xf numFmtId="2" fontId="9" fillId="16" borderId="50" xfId="0" applyNumberFormat="1" applyFont="1" applyFill="1" applyBorder="1" applyProtection="1">
      <protection locked="0"/>
    </xf>
    <xf numFmtId="2" fontId="9" fillId="16" borderId="51" xfId="0" applyNumberFormat="1" applyFont="1" applyFill="1" applyBorder="1" applyProtection="1">
      <protection locked="0"/>
    </xf>
    <xf numFmtId="0" fontId="0" fillId="17" borderId="0" xfId="0" applyFill="1"/>
    <xf numFmtId="0" fontId="1" fillId="17" borderId="49" xfId="0" applyFont="1" applyFill="1" applyBorder="1" applyAlignment="1">
      <alignment horizontal="center" vertical="center"/>
    </xf>
    <xf numFmtId="0" fontId="1" fillId="17" borderId="50" xfId="0" applyFont="1" applyFill="1" applyBorder="1" applyAlignment="1">
      <alignment horizontal="center" vertical="center"/>
    </xf>
    <xf numFmtId="0" fontId="1" fillId="17" borderId="51" xfId="0" applyFont="1" applyFill="1" applyBorder="1" applyAlignment="1">
      <alignment horizontal="center" vertical="center"/>
    </xf>
  </cellXfs>
  <cellStyles count="10">
    <cellStyle name="Eingabe 2" xfId="2" xr:uid="{00000000-0005-0000-0000-000000000000}"/>
    <cellStyle name="Komma" xfId="5" builtinId="3"/>
    <cellStyle name="Komma 4" xfId="3" xr:uid="{00000000-0005-0000-0000-000002000000}"/>
    <cellStyle name="Link" xfId="7" builtinId="8"/>
    <cellStyle name="Prozent" xfId="6" builtinId="5"/>
    <cellStyle name="Prozent 2" xfId="4" xr:uid="{00000000-0005-0000-0000-000005000000}"/>
    <cellStyle name="Standard" xfId="0" builtinId="0"/>
    <cellStyle name="Standard 3" xfId="9" xr:uid="{00000000-0005-0000-0000-000007000000}"/>
    <cellStyle name="Standard 4" xfId="1" xr:uid="{00000000-0005-0000-0000-000008000000}"/>
    <cellStyle name="Währung" xfId="8" builtinId="4"/>
  </cellStyles>
  <dxfs count="0"/>
  <tableStyles count="0" defaultTableStyle="TableStyleMedium2" defaultPivotStyle="PivotStyleLight16"/>
  <colors>
    <mruColors>
      <color rgb="FF009475"/>
      <color rgb="FFA3FFEB"/>
      <color rgb="FF81FF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Fernwärmepreise Mainova 2023</a:t>
            </a:r>
          </a:p>
          <a:p>
            <a:pPr>
              <a:defRPr/>
            </a:pPr>
            <a:r>
              <a:rPr lang="de-DE"/>
              <a:t>(Mischpreise</a:t>
            </a:r>
            <a:r>
              <a:rPr lang="de-DE" baseline="0"/>
              <a:t>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8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Fernwärmepreise!$C$37:$K$37</c:f>
              <c:numCache>
                <c:formatCode>General</c:formatCode>
                <c:ptCount val="9"/>
                <c:pt idx="0">
                  <c:v>15</c:v>
                </c:pt>
                <c:pt idx="1">
                  <c:v>30</c:v>
                </c:pt>
                <c:pt idx="2">
                  <c:v>70</c:v>
                </c:pt>
                <c:pt idx="3">
                  <c:v>125</c:v>
                </c:pt>
                <c:pt idx="4">
                  <c:v>200</c:v>
                </c:pt>
                <c:pt idx="5">
                  <c:v>350</c:v>
                </c:pt>
                <c:pt idx="6">
                  <c:v>850</c:v>
                </c:pt>
                <c:pt idx="7">
                  <c:v>1900</c:v>
                </c:pt>
                <c:pt idx="8">
                  <c:v>4000</c:v>
                </c:pt>
              </c:numCache>
            </c:numRef>
          </c:cat>
          <c:val>
            <c:numRef>
              <c:f>Fernwärmepreise!$C$40:$K$40</c:f>
              <c:numCache>
                <c:formatCode>_("€"* #,##0.00_);_("€"* \(#,##0.00\);_("€"* "-"??_);_(@_)</c:formatCode>
                <c:ptCount val="9"/>
                <c:pt idx="0">
                  <c:v>0.16911944444444446</c:v>
                </c:pt>
                <c:pt idx="1">
                  <c:v>0.17583055555555555</c:v>
                </c:pt>
                <c:pt idx="2">
                  <c:v>0.17498928571428571</c:v>
                </c:pt>
                <c:pt idx="3">
                  <c:v>0.17538746666666669</c:v>
                </c:pt>
                <c:pt idx="4">
                  <c:v>0.189719375</c:v>
                </c:pt>
                <c:pt idx="5">
                  <c:v>0.18788607142857142</c:v>
                </c:pt>
                <c:pt idx="6">
                  <c:v>0.18796146078431369</c:v>
                </c:pt>
                <c:pt idx="7">
                  <c:v>0.18852683771929823</c:v>
                </c:pt>
                <c:pt idx="8">
                  <c:v>0.16684212291666667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32-49E0-A94C-8521913A7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40127"/>
        <c:axId val="498640543"/>
      </c:lineChart>
      <c:catAx>
        <c:axId val="4986401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Leistungsklassen [kW]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8640543"/>
        <c:crosses val="autoZero"/>
        <c:auto val="1"/>
        <c:lblAlgn val="ctr"/>
        <c:lblOffset val="100"/>
        <c:noMultiLvlLbl val="0"/>
      </c:catAx>
      <c:valAx>
        <c:axId val="498640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EUR/kWh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8640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41</xdr:row>
      <xdr:rowOff>6350</xdr:rowOff>
    </xdr:from>
    <xdr:to>
      <xdr:col>4</xdr:col>
      <xdr:colOff>1226532</xdr:colOff>
      <xdr:row>49</xdr:row>
      <xdr:rowOff>9150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87750" y="10699750"/>
          <a:ext cx="3398232" cy="147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1397001</xdr:colOff>
      <xdr:row>41</xdr:row>
      <xdr:rowOff>0</xdr:rowOff>
    </xdr:from>
    <xdr:to>
      <xdr:col>8</xdr:col>
      <xdr:colOff>86751</xdr:colOff>
      <xdr:row>48</xdr:row>
      <xdr:rowOff>150950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56451" y="10693400"/>
          <a:ext cx="4322200" cy="14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1366696</xdr:colOff>
      <xdr:row>8</xdr:row>
      <xdr:rowOff>328178</xdr:rowOff>
    </xdr:from>
    <xdr:to>
      <xdr:col>4</xdr:col>
      <xdr:colOff>164242</xdr:colOff>
      <xdr:row>11</xdr:row>
      <xdr:rowOff>85178</xdr:rowOff>
    </xdr:to>
    <xdr:sp macro="[0]!Berechnen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643787" y="2804678"/>
          <a:ext cx="2088000" cy="900000"/>
        </a:xfrm>
        <a:prstGeom prst="roundRect">
          <a:avLst/>
        </a:prstGeom>
        <a:solidFill>
          <a:srgbClr val="009475"/>
        </a:solidFill>
        <a:ln>
          <a:solidFill>
            <a:srgbClr val="009475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 b="1"/>
            <a:t>Berechnen</a:t>
          </a:r>
        </a:p>
      </xdr:txBody>
    </xdr:sp>
    <xdr:clientData/>
  </xdr:twoCellAnchor>
  <xdr:twoCellAnchor>
    <xdr:from>
      <xdr:col>1</xdr:col>
      <xdr:colOff>260641</xdr:colOff>
      <xdr:row>11</xdr:row>
      <xdr:rowOff>173182</xdr:rowOff>
    </xdr:from>
    <xdr:to>
      <xdr:col>2</xdr:col>
      <xdr:colOff>583052</xdr:colOff>
      <xdr:row>13</xdr:row>
      <xdr:rowOff>311182</xdr:rowOff>
    </xdr:to>
    <xdr:sp macro="[0]!Modul2.Expertenmodus_Ein" textlink="">
      <xdr:nvSpPr>
        <xdr:cNvPr id="7" name="Abgerundetes Rechtec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37732" y="3792682"/>
          <a:ext cx="2088865" cy="900000"/>
        </a:xfrm>
        <a:prstGeom prst="roundRect">
          <a:avLst/>
        </a:prstGeom>
        <a:solidFill>
          <a:srgbClr val="009475"/>
        </a:solidFill>
        <a:ln>
          <a:solidFill>
            <a:srgbClr val="009475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Expertenmodus </a:t>
          </a:r>
        </a:p>
        <a:p>
          <a:pPr algn="ctr"/>
          <a:r>
            <a:rPr lang="de-DE" sz="1400" b="1"/>
            <a:t>starten</a:t>
          </a:r>
        </a:p>
      </xdr:txBody>
    </xdr:sp>
    <xdr:clientData/>
  </xdr:twoCellAnchor>
  <xdr:twoCellAnchor>
    <xdr:from>
      <xdr:col>2</xdr:col>
      <xdr:colOff>702562</xdr:colOff>
      <xdr:row>11</xdr:row>
      <xdr:rowOff>179532</xdr:rowOff>
    </xdr:from>
    <xdr:to>
      <xdr:col>5</xdr:col>
      <xdr:colOff>504562</xdr:colOff>
      <xdr:row>13</xdr:row>
      <xdr:rowOff>317532</xdr:rowOff>
    </xdr:to>
    <xdr:sp macro="[0]!Expertenmodus_Aus" textlink="">
      <xdr:nvSpPr>
        <xdr:cNvPr id="8" name="Abgerundetes Rechtec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746107" y="3799032"/>
          <a:ext cx="2088000" cy="900000"/>
        </a:xfrm>
        <a:prstGeom prst="roundRect">
          <a:avLst/>
        </a:prstGeom>
        <a:solidFill>
          <a:srgbClr val="009475"/>
        </a:solidFill>
        <a:ln>
          <a:solidFill>
            <a:srgbClr val="009475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Expertenmodus </a:t>
          </a:r>
        </a:p>
        <a:p>
          <a:pPr algn="ctr"/>
          <a:r>
            <a:rPr lang="de-DE" sz="1400" b="1"/>
            <a:t>beenden</a:t>
          </a:r>
        </a:p>
      </xdr:txBody>
    </xdr:sp>
    <xdr:clientData/>
  </xdr:twoCellAnchor>
  <xdr:twoCellAnchor>
    <xdr:from>
      <xdr:col>1</xdr:col>
      <xdr:colOff>1363519</xdr:colOff>
      <xdr:row>14</xdr:row>
      <xdr:rowOff>13566</xdr:rowOff>
    </xdr:from>
    <xdr:to>
      <xdr:col>4</xdr:col>
      <xdr:colOff>161065</xdr:colOff>
      <xdr:row>18</xdr:row>
      <xdr:rowOff>151566</xdr:rowOff>
    </xdr:to>
    <xdr:sp macro="[0]!Zurücksetzen" textlink="">
      <xdr:nvSpPr>
        <xdr:cNvPr id="9" name="Abgerundetes Rechtec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640610" y="4776066"/>
          <a:ext cx="2088000" cy="900000"/>
        </a:xfrm>
        <a:prstGeom prst="roundRect">
          <a:avLst/>
        </a:prstGeom>
        <a:solidFill>
          <a:srgbClr val="009475"/>
        </a:solidFill>
        <a:ln>
          <a:solidFill>
            <a:srgbClr val="009475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Zurück zur Standardeinstellungen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222250</xdr:colOff>
      <xdr:row>37</xdr:row>
      <xdr:rowOff>25400</xdr:rowOff>
    </xdr:from>
    <xdr:to>
      <xdr:col>17</xdr:col>
      <xdr:colOff>180975</xdr:colOff>
      <xdr:row>57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s.dk/0110_2014%20teknologikatalog%20opdat/Fase%203/PV%20HURTIG%20JAN2017/oktober%202017/Copy%20of%2020-23_electricity_generation_-_non-thermal_processes_solar%20PV%20_%20data%20sheet%20rin%2011ok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microsoft.com/office/2019/04/relationships/externalLinkLongPath" Target="file:///\\files.ifam.fraunhofer.de\nfspub.pc\Users\Hebisch\Documents\200%20Projekte\221%20DLV%20Technikkatalog\Holger%20-%20work\2.1%20Biomasse-%20Heiz(kraft)werke\2.1%20zentrale_W&#228;rmeversorgung_Biomasse_Heiz(kraft)werke_20211208_HHe___FORMELN.xlsx?D2D96CEA" TargetMode="External"/><Relationship Id="rId1" Type="http://schemas.openxmlformats.org/officeDocument/2006/relationships/externalLinkPath" Target="file:///\\D2D96CEA\2.1%20zentrale_W&#228;rmeversorgung_Biomasse_Heiz(kraft)werke_20211208_HHe___FORMEL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2 Photovoltaics  LARGE Old"/>
      <sheetName val="arbejds ark LARGE New"/>
      <sheetName val="22 Photovoltaics  SMALL old "/>
      <sheetName val="fra leverandører"/>
      <sheetName val="22 Photovoltaics  LARGE new"/>
    </sheetNames>
    <sheetDataSet>
      <sheetData sheetId="0">
        <row r="2">
          <cell r="N2">
            <v>0.98501248959200671</v>
          </cell>
        </row>
      </sheetData>
      <sheetData sheetId="1">
        <row r="33">
          <cell r="K33">
            <v>1.0720000000000001</v>
          </cell>
        </row>
        <row r="67">
          <cell r="S67">
            <v>0.97574759572313619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lzhackschnitzel-HKW"/>
      <sheetName val="Holzpellets-HKW"/>
      <sheetName val="Stroh-HKW"/>
      <sheetName val="Holzhackschnitzel-HW"/>
      <sheetName val="Holzpellets-HW"/>
      <sheetName val="Stroh-HW"/>
      <sheetName val="Holzhackschnitzel_GHKW"/>
      <sheetName val="Pellets_GHKW"/>
      <sheetName val="Index "/>
      <sheetName val="Historie"/>
      <sheetName val="Holzhackschnitzel-HKW Rechn."/>
      <sheetName val="Holzhackschnitzel-HKW__ALT"/>
      <sheetName val="09a Wood Chips, Small"/>
      <sheetName val="Holzpellets-HKW Rechn."/>
      <sheetName val="Holzpellets-HKW__ALT"/>
      <sheetName val="09b Wood Pellets, Small"/>
      <sheetName val="Stroh-HKW Rechn."/>
      <sheetName val="Stroh-HKW__ALT"/>
      <sheetName val="09c Straw, Small"/>
      <sheetName val="Holzhackschnitzel-HW Rechn."/>
      <sheetName val="Holzhackschnitzel-HW__ALT"/>
      <sheetName val="09a Wood Chips HOP, small"/>
      <sheetName val="Holzpellets-HW Rechn."/>
      <sheetName val="Holzpellets-HW__ALT"/>
      <sheetName val="09b Wood Pellets HOP"/>
      <sheetName val="Stroh-HW Rechn."/>
      <sheetName val="Stroh-HW__ALT"/>
      <sheetName val="09c Straw HOP"/>
      <sheetName val="Holzhackschnitzel_GHKW Rechn."/>
      <sheetName val="Holzhackschnitzel_GHKW__ALT"/>
      <sheetName val="09a Wood Chips extract. plant"/>
      <sheetName val="Pellets_GHKW Rechn."/>
      <sheetName val="Pellets_GHKW__ALT"/>
      <sheetName val="09b Wood Pellets extract. plan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K2">
            <v>0.8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bdew.de/service/daten-und-grafiken/bdew-strompreisanalyse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www.bdew.de/service/daten-und-grafiken/bdew-gaspreisanalyse/" TargetMode="External"/><Relationship Id="rId1" Type="http://schemas.openxmlformats.org/officeDocument/2006/relationships/hyperlink" Target="https://www-genesis.destatis.de/genesis/online?sequenz=tabelleErgebnis&amp;selectionname=61243-0011&amp;language=de" TargetMode="External"/><Relationship Id="rId6" Type="http://schemas.openxmlformats.org/officeDocument/2006/relationships/hyperlink" Target="https://www-genesis.destatis.de/genesis/online?sequenz=tabelleErgebnis&amp;selectionname=61243-0006&amp;language=de" TargetMode="External"/><Relationship Id="rId5" Type="http://schemas.openxmlformats.org/officeDocument/2006/relationships/hyperlink" Target="https://www-genesis.destatis.de/genesis/online?sequenz=tabelleErgebnis&amp;selectionname=61243-0002&amp;language=de" TargetMode="External"/><Relationship Id="rId4" Type="http://schemas.openxmlformats.org/officeDocument/2006/relationships/hyperlink" Target="https://www-genesis.destatis.de/genesis/online?sequenz=tabelleErgebnis&amp;selectionname=61243-0015&amp;language=de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www.bdew.de/service/daten-und-grafiken/bdew-gaspreisanalyse/" TargetMode="External"/><Relationship Id="rId1" Type="http://schemas.openxmlformats.org/officeDocument/2006/relationships/hyperlink" Target="https://www.bdew.de/service/daten-und-grafiken/bdew-strompreisanalyse/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hyperlink" Target="https://www.bdew.de/service/daten-und-grafiken/bdew-gaspreisanalyse/" TargetMode="External"/><Relationship Id="rId1" Type="http://schemas.openxmlformats.org/officeDocument/2006/relationships/hyperlink" Target="https://www.bdew.de/service/daten-und-grafiken/bdew-strompreisanalyse/" TargetMode="Externa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dew.de/service/daten-und-grafiken/bdew-gaspreisanalyse/" TargetMode="External"/><Relationship Id="rId1" Type="http://schemas.openxmlformats.org/officeDocument/2006/relationships/hyperlink" Target="https://www.bdew.de/service/daten-und-grafiken/bdew-strompreisanalyse/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-genesis.destatis.de/genesis/online?sequenz=tabelleErgebnis&amp;selectionname=61243-0002&amp;language=de" TargetMode="External"/><Relationship Id="rId2" Type="http://schemas.openxmlformats.org/officeDocument/2006/relationships/hyperlink" Target="https://www-genesis.destatis.de/genesis/online?sequenz=tabelleErgebnis&amp;selectionname=61243-0015&amp;language=de" TargetMode="External"/><Relationship Id="rId1" Type="http://schemas.openxmlformats.org/officeDocument/2006/relationships/hyperlink" Target="https://www-genesis.destatis.de/genesis/online?sequenz=tabelleErgebnis&amp;selectionname=61243-0011&amp;language=de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www-genesis.destatis.de/genesis/online?sequenz=tabelleErgebnis&amp;selectionname=61243-0006&amp;language=d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-genesis.destatis.de/genesis/online?sequenz=tabelleErgebnis&amp;selectionname=61243-0002&amp;language=de" TargetMode="External"/><Relationship Id="rId2" Type="http://schemas.openxmlformats.org/officeDocument/2006/relationships/hyperlink" Target="https://www-genesis.destatis.de/genesis/online?sequenz=tabelleErgebnis&amp;selectionname=61243-0015&amp;language=de" TargetMode="External"/><Relationship Id="rId1" Type="http://schemas.openxmlformats.org/officeDocument/2006/relationships/hyperlink" Target="https://www-genesis.destatis.de/genesis/online?sequenz=tabelleErgebnis&amp;selectionname=61243-0011&amp;language=de" TargetMode="External"/><Relationship Id="rId4" Type="http://schemas.openxmlformats.org/officeDocument/2006/relationships/hyperlink" Target="https://www-genesis.destatis.de/genesis/online?sequenz=tabelleErgebnis&amp;selectionname=61243-0006&amp;language=de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rgb="FF009475"/>
  </sheetPr>
  <dimension ref="A1:T64"/>
  <sheetViews>
    <sheetView topLeftCell="A43" workbookViewId="0">
      <selection activeCell="A58" sqref="A58"/>
    </sheetView>
  </sheetViews>
  <sheetFormatPr baseColWidth="10" defaultColWidth="10.85546875" defaultRowHeight="15" x14ac:dyDescent="0.25"/>
  <cols>
    <col min="1" max="1" width="49.7109375" style="30" customWidth="1"/>
    <col min="2" max="4" width="10.85546875" style="30"/>
    <col min="5" max="5" width="41.85546875" style="30" customWidth="1"/>
    <col min="6" max="7" width="10.85546875" style="30"/>
    <col min="8" max="8" width="17" style="30" customWidth="1"/>
    <col min="9" max="16384" width="10.85546875" style="30"/>
  </cols>
  <sheetData>
    <row r="1" spans="1:20" ht="18.75" customHeight="1" x14ac:dyDescent="0.25">
      <c r="A1" s="251" t="s">
        <v>304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251"/>
      <c r="R1" s="251"/>
      <c r="S1" s="251"/>
      <c r="T1" s="251"/>
    </row>
    <row r="2" spans="1:20" x14ac:dyDescent="0.25">
      <c r="A2" s="251"/>
      <c r="B2" s="251"/>
      <c r="C2" s="251"/>
      <c r="D2" s="251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  <c r="S2" s="251"/>
      <c r="T2" s="251"/>
    </row>
    <row r="4" spans="1:20" ht="18.75" x14ac:dyDescent="0.3">
      <c r="A4" s="141" t="s">
        <v>214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</row>
    <row r="5" spans="1:20" x14ac:dyDescent="0.25">
      <c r="A5" s="69" t="s">
        <v>215</v>
      </c>
      <c r="B5" s="70" t="s">
        <v>216</v>
      </c>
    </row>
    <row r="6" spans="1:20" x14ac:dyDescent="0.25">
      <c r="A6" s="71" t="s">
        <v>217</v>
      </c>
      <c r="B6" s="70" t="s">
        <v>218</v>
      </c>
    </row>
    <row r="7" spans="1:20" x14ac:dyDescent="0.25">
      <c r="A7" s="71" t="s">
        <v>219</v>
      </c>
      <c r="B7" s="70" t="s">
        <v>220</v>
      </c>
    </row>
    <row r="8" spans="1:20" x14ac:dyDescent="0.25">
      <c r="A8" s="71" t="s">
        <v>221</v>
      </c>
      <c r="B8" s="70" t="s">
        <v>222</v>
      </c>
    </row>
    <row r="9" spans="1:20" x14ac:dyDescent="0.25">
      <c r="A9" s="71" t="s">
        <v>223</v>
      </c>
      <c r="B9" s="70" t="s">
        <v>224</v>
      </c>
    </row>
    <row r="11" spans="1:20" ht="18.75" x14ac:dyDescent="0.3">
      <c r="A11" s="141" t="s">
        <v>225</v>
      </c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</row>
    <row r="12" spans="1:20" x14ac:dyDescent="0.25">
      <c r="B12" s="72" t="s">
        <v>226</v>
      </c>
    </row>
    <row r="13" spans="1:20" ht="35.1" customHeight="1" x14ac:dyDescent="0.25">
      <c r="A13" s="73" t="s">
        <v>227</v>
      </c>
      <c r="B13" s="248" t="s">
        <v>228</v>
      </c>
      <c r="C13" s="248"/>
      <c r="D13" s="248"/>
      <c r="E13" s="248"/>
      <c r="F13" s="248"/>
      <c r="G13" s="248"/>
      <c r="H13" s="248"/>
      <c r="I13" s="248"/>
      <c r="J13" s="248"/>
      <c r="K13" s="248"/>
    </row>
    <row r="14" spans="1:20" ht="21.6" customHeight="1" x14ac:dyDescent="0.25">
      <c r="A14" s="74" t="s">
        <v>229</v>
      </c>
      <c r="B14" s="248" t="s">
        <v>230</v>
      </c>
      <c r="C14" s="248"/>
      <c r="D14" s="248"/>
      <c r="E14" s="248"/>
      <c r="F14" s="248"/>
      <c r="G14" s="248"/>
      <c r="H14" s="248"/>
      <c r="I14" s="248"/>
      <c r="J14" s="248"/>
      <c r="K14" s="248"/>
    </row>
    <row r="15" spans="1:20" ht="21" customHeight="1" x14ac:dyDescent="0.25">
      <c r="A15" s="73" t="s">
        <v>231</v>
      </c>
      <c r="B15" s="248" t="s">
        <v>232</v>
      </c>
      <c r="C15" s="248"/>
      <c r="D15" s="248"/>
      <c r="E15" s="248"/>
      <c r="F15" s="248"/>
      <c r="G15" s="248"/>
      <c r="H15" s="248"/>
      <c r="I15" s="248"/>
      <c r="J15" s="248"/>
      <c r="K15" s="248"/>
    </row>
    <row r="16" spans="1:20" x14ac:dyDescent="0.25">
      <c r="B16" s="63" t="s">
        <v>233</v>
      </c>
      <c r="C16" s="75" t="s">
        <v>234</v>
      </c>
    </row>
    <row r="17" spans="1:20" x14ac:dyDescent="0.25">
      <c r="B17" s="63" t="s">
        <v>233</v>
      </c>
      <c r="C17" s="75" t="s">
        <v>235</v>
      </c>
    </row>
    <row r="18" spans="1:20" x14ac:dyDescent="0.25">
      <c r="B18" s="63" t="s">
        <v>233</v>
      </c>
      <c r="C18" s="75" t="s">
        <v>236</v>
      </c>
    </row>
    <row r="19" spans="1:20" x14ac:dyDescent="0.25">
      <c r="B19" s="63" t="s">
        <v>233</v>
      </c>
      <c r="C19" s="75" t="s">
        <v>237</v>
      </c>
    </row>
    <row r="20" spans="1:20" ht="65.099999999999994" customHeight="1" x14ac:dyDescent="0.25">
      <c r="A20" s="76" t="s">
        <v>238</v>
      </c>
      <c r="B20" s="249" t="s">
        <v>239</v>
      </c>
      <c r="C20" s="249"/>
      <c r="D20" s="249"/>
      <c r="E20" s="249"/>
      <c r="F20" s="249"/>
      <c r="G20" s="249"/>
      <c r="H20" s="249"/>
      <c r="I20" s="249"/>
      <c r="J20" s="249"/>
      <c r="K20" s="249"/>
    </row>
    <row r="21" spans="1:20" ht="18.75" x14ac:dyDescent="0.3">
      <c r="A21" s="141" t="s">
        <v>240</v>
      </c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</row>
    <row r="22" spans="1:20" ht="20.100000000000001" customHeight="1" x14ac:dyDescent="0.25">
      <c r="A22" s="73" t="s">
        <v>241</v>
      </c>
      <c r="B22" s="250" t="s">
        <v>242</v>
      </c>
      <c r="C22" s="250"/>
      <c r="D22" s="250"/>
      <c r="E22" s="250"/>
      <c r="F22" s="250"/>
      <c r="G22" s="250"/>
      <c r="H22" s="250"/>
      <c r="I22" s="250"/>
      <c r="J22" s="250"/>
      <c r="K22" s="250"/>
    </row>
    <row r="23" spans="1:20" ht="20.100000000000001" customHeight="1" x14ac:dyDescent="0.25">
      <c r="A23" s="73" t="s">
        <v>243</v>
      </c>
      <c r="B23" s="245" t="s">
        <v>244</v>
      </c>
      <c r="C23" s="245"/>
      <c r="D23" s="245"/>
      <c r="E23" s="245"/>
      <c r="F23" s="245"/>
      <c r="G23" s="245"/>
      <c r="H23" s="245"/>
      <c r="I23" s="245"/>
      <c r="J23" s="245"/>
      <c r="K23" s="245"/>
    </row>
    <row r="24" spans="1:20" ht="45.95" customHeight="1" x14ac:dyDescent="0.25">
      <c r="A24" s="73" t="s">
        <v>245</v>
      </c>
      <c r="B24" s="246" t="s">
        <v>246</v>
      </c>
      <c r="C24" s="246"/>
      <c r="D24" s="246"/>
      <c r="E24" s="246"/>
      <c r="F24" s="246"/>
      <c r="G24" s="246"/>
      <c r="H24" s="246"/>
      <c r="I24" s="246"/>
      <c r="J24" s="246"/>
      <c r="K24" s="246"/>
    </row>
    <row r="25" spans="1:20" ht="38.1" customHeight="1" x14ac:dyDescent="0.25">
      <c r="A25" s="77" t="s">
        <v>247</v>
      </c>
      <c r="B25" s="246" t="s">
        <v>293</v>
      </c>
      <c r="C25" s="246"/>
      <c r="D25" s="246"/>
      <c r="E25" s="246"/>
      <c r="F25" s="246"/>
      <c r="G25" s="246"/>
      <c r="H25" s="246"/>
      <c r="I25" s="246"/>
      <c r="J25" s="246"/>
      <c r="K25" s="246"/>
    </row>
    <row r="26" spans="1:20" ht="39.950000000000003" customHeight="1" x14ac:dyDescent="0.25">
      <c r="A26" s="77" t="s">
        <v>248</v>
      </c>
      <c r="B26" s="246" t="s">
        <v>294</v>
      </c>
      <c r="C26" s="246"/>
      <c r="D26" s="246"/>
      <c r="E26" s="246"/>
      <c r="F26" s="246"/>
      <c r="G26" s="246"/>
      <c r="H26" s="246"/>
      <c r="I26" s="246"/>
      <c r="J26" s="246"/>
      <c r="K26" s="246"/>
    </row>
    <row r="27" spans="1:20" ht="28.5" customHeight="1" x14ac:dyDescent="0.25">
      <c r="B27" s="247" t="s">
        <v>302</v>
      </c>
      <c r="C27" s="247"/>
      <c r="D27" s="247"/>
      <c r="E27" s="247"/>
      <c r="F27" s="247"/>
      <c r="G27" s="247"/>
      <c r="H27" s="247"/>
      <c r="J27" s="78" t="s">
        <v>249</v>
      </c>
      <c r="K27" s="79" t="s">
        <v>250</v>
      </c>
      <c r="L27" s="4"/>
    </row>
    <row r="28" spans="1:20" ht="34.5" customHeight="1" x14ac:dyDescent="0.25">
      <c r="B28" s="244" t="s">
        <v>303</v>
      </c>
      <c r="C28" s="244"/>
      <c r="D28" s="244"/>
      <c r="E28" s="244"/>
      <c r="F28" s="244"/>
      <c r="G28" s="244"/>
      <c r="H28" s="244"/>
      <c r="I28" s="4"/>
      <c r="J28" s="80" t="s">
        <v>252</v>
      </c>
      <c r="K28" s="79" t="s">
        <v>253</v>
      </c>
      <c r="L28" s="4"/>
    </row>
    <row r="29" spans="1:20" x14ac:dyDescent="0.25">
      <c r="B29" s="264" t="s">
        <v>251</v>
      </c>
      <c r="C29" s="264"/>
      <c r="D29" s="264"/>
      <c r="E29" s="264"/>
      <c r="F29" s="264"/>
      <c r="G29" s="264"/>
      <c r="H29" s="264"/>
    </row>
    <row r="31" spans="1:20" ht="23.1" customHeight="1" x14ac:dyDescent="0.25">
      <c r="B31" s="255" t="s">
        <v>254</v>
      </c>
      <c r="C31" s="255"/>
      <c r="D31" s="255"/>
      <c r="E31" s="255"/>
      <c r="F31" s="255"/>
      <c r="G31" s="255"/>
      <c r="H31" s="255"/>
      <c r="I31" s="255"/>
      <c r="J31" s="81"/>
    </row>
    <row r="32" spans="1:20" ht="20.45" customHeight="1" x14ac:dyDescent="0.25">
      <c r="B32" s="82" t="s">
        <v>255</v>
      </c>
      <c r="C32" s="83"/>
      <c r="D32" s="83"/>
      <c r="E32" s="83"/>
      <c r="F32" s="83"/>
      <c r="G32" s="83"/>
      <c r="H32" s="83"/>
      <c r="I32" s="83"/>
      <c r="J32" s="83"/>
      <c r="K32" s="4"/>
    </row>
    <row r="33" spans="1:16" ht="33.950000000000003" customHeight="1" x14ac:dyDescent="0.25">
      <c r="B33" s="249" t="s">
        <v>256</v>
      </c>
      <c r="C33" s="249"/>
      <c r="D33" s="249"/>
      <c r="E33" s="249"/>
      <c r="F33" s="249"/>
      <c r="G33" s="249"/>
      <c r="H33" s="249"/>
      <c r="I33" s="249"/>
      <c r="J33" s="249"/>
      <c r="K33" s="249"/>
    </row>
    <row r="35" spans="1:16" ht="45.75" thickBot="1" x14ac:dyDescent="0.3">
      <c r="A35" s="45"/>
      <c r="B35" s="256" t="s">
        <v>257</v>
      </c>
      <c r="C35" s="257"/>
      <c r="D35" s="257"/>
      <c r="E35" s="258"/>
      <c r="F35" s="84" t="s">
        <v>258</v>
      </c>
      <c r="G35" s="259" t="s">
        <v>295</v>
      </c>
      <c r="H35" s="259"/>
      <c r="P35" s="85"/>
    </row>
    <row r="36" spans="1:16" ht="15.75" thickTop="1" x14ac:dyDescent="0.25">
      <c r="A36" s="260" t="s">
        <v>259</v>
      </c>
      <c r="B36" s="261" t="s">
        <v>260</v>
      </c>
      <c r="C36" s="262"/>
      <c r="D36" s="262"/>
      <c r="E36" s="262"/>
      <c r="F36" s="86" t="s">
        <v>261</v>
      </c>
      <c r="G36" s="263" t="s">
        <v>296</v>
      </c>
      <c r="H36" s="263"/>
      <c r="P36" s="87"/>
    </row>
    <row r="37" spans="1:16" x14ac:dyDescent="0.25">
      <c r="A37" s="260"/>
      <c r="B37" s="252" t="s">
        <v>262</v>
      </c>
      <c r="C37" s="253"/>
      <c r="D37" s="253"/>
      <c r="E37" s="253"/>
      <c r="F37" s="88" t="s">
        <v>263</v>
      </c>
      <c r="G37" s="254" t="s">
        <v>297</v>
      </c>
      <c r="H37" s="254"/>
    </row>
    <row r="38" spans="1:16" x14ac:dyDescent="0.25">
      <c r="A38" s="260"/>
      <c r="B38" s="252" t="s">
        <v>264</v>
      </c>
      <c r="C38" s="253"/>
      <c r="D38" s="253"/>
      <c r="E38" s="253"/>
      <c r="F38" s="88" t="s">
        <v>265</v>
      </c>
      <c r="G38" s="254" t="s">
        <v>298</v>
      </c>
      <c r="H38" s="254"/>
    </row>
    <row r="39" spans="1:16" x14ac:dyDescent="0.25">
      <c r="A39" s="45"/>
      <c r="B39" s="252" t="s">
        <v>266</v>
      </c>
      <c r="C39" s="253"/>
      <c r="D39" s="253"/>
      <c r="E39" s="253"/>
      <c r="F39" s="88" t="s">
        <v>267</v>
      </c>
      <c r="G39" s="254" t="s">
        <v>299</v>
      </c>
      <c r="H39" s="254"/>
    </row>
    <row r="41" spans="1:16" x14ac:dyDescent="0.25">
      <c r="D41" s="61" t="s">
        <v>268</v>
      </c>
      <c r="E41" s="89"/>
      <c r="F41" s="89" t="s">
        <v>269</v>
      </c>
      <c r="G41" s="89"/>
    </row>
    <row r="46" spans="1:16" x14ac:dyDescent="0.25">
      <c r="C46" s="90" t="s">
        <v>270</v>
      </c>
    </row>
    <row r="51" spans="1:20" ht="18.95" customHeight="1" x14ac:dyDescent="0.25">
      <c r="B51" s="82" t="s">
        <v>271</v>
      </c>
      <c r="C51" s="81"/>
    </row>
    <row r="52" spans="1:20" s="4" customFormat="1" ht="38.1" customHeight="1" x14ac:dyDescent="0.25">
      <c r="B52" s="249" t="s">
        <v>301</v>
      </c>
      <c r="C52" s="249"/>
      <c r="D52" s="249"/>
      <c r="E52" s="249"/>
      <c r="F52" s="249"/>
      <c r="G52" s="249"/>
      <c r="H52" s="249"/>
      <c r="I52" s="249"/>
      <c r="J52" s="249"/>
      <c r="K52" s="249"/>
      <c r="L52" s="249"/>
    </row>
    <row r="54" spans="1:20" ht="18.75" x14ac:dyDescent="0.3">
      <c r="A54" s="141" t="s">
        <v>272</v>
      </c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</row>
    <row r="55" spans="1:20" x14ac:dyDescent="0.25">
      <c r="B55" s="70" t="s">
        <v>300</v>
      </c>
    </row>
    <row r="57" spans="1:20" ht="18.75" x14ac:dyDescent="0.3">
      <c r="A57" s="141" t="s">
        <v>327</v>
      </c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</row>
    <row r="58" spans="1:20" x14ac:dyDescent="0.25">
      <c r="B58" s="70" t="s">
        <v>321</v>
      </c>
    </row>
    <row r="59" spans="1:20" x14ac:dyDescent="0.25">
      <c r="B59" s="70" t="s">
        <v>322</v>
      </c>
    </row>
    <row r="60" spans="1:20" x14ac:dyDescent="0.25">
      <c r="B60" s="70" t="s">
        <v>323</v>
      </c>
    </row>
    <row r="61" spans="1:20" x14ac:dyDescent="0.25">
      <c r="B61" s="70" t="s">
        <v>324</v>
      </c>
    </row>
    <row r="63" spans="1:20" ht="18.75" x14ac:dyDescent="0.3">
      <c r="B63" s="334" t="s">
        <v>325</v>
      </c>
    </row>
    <row r="64" spans="1:20" x14ac:dyDescent="0.25">
      <c r="B64" s="70" t="s">
        <v>326</v>
      </c>
    </row>
  </sheetData>
  <mergeCells count="27">
    <mergeCell ref="A1:T2"/>
    <mergeCell ref="B52:L52"/>
    <mergeCell ref="B39:E39"/>
    <mergeCell ref="G39:H39"/>
    <mergeCell ref="B31:I31"/>
    <mergeCell ref="B33:K33"/>
    <mergeCell ref="B35:E35"/>
    <mergeCell ref="G35:H35"/>
    <mergeCell ref="A36:A38"/>
    <mergeCell ref="B36:E36"/>
    <mergeCell ref="G36:H36"/>
    <mergeCell ref="B37:E37"/>
    <mergeCell ref="G37:H37"/>
    <mergeCell ref="B38:E38"/>
    <mergeCell ref="G38:H38"/>
    <mergeCell ref="B29:H29"/>
    <mergeCell ref="B13:K13"/>
    <mergeCell ref="B14:K14"/>
    <mergeCell ref="B15:K15"/>
    <mergeCell ref="B20:K20"/>
    <mergeCell ref="B22:K22"/>
    <mergeCell ref="B28:H28"/>
    <mergeCell ref="B23:K23"/>
    <mergeCell ref="B24:K24"/>
    <mergeCell ref="B25:K25"/>
    <mergeCell ref="B26:K26"/>
    <mergeCell ref="B27:H27"/>
  </mergeCells>
  <hyperlinks>
    <hyperlink ref="C16" r:id="rId1" location="abreadcrumb" display="abreadcrumb" xr:uid="{00000000-0004-0000-0000-000000000000}"/>
    <hyperlink ref="K27" r:id="rId2" display="https://www.bdew.de/service/daten-und-grafiken/bdew-gaspreisanalyse/" xr:uid="{00000000-0004-0000-0000-000001000000}"/>
    <hyperlink ref="K28" r:id="rId3" display="https://www.bdew.de/service/daten-und-grafiken/bdew-strompreisanalyse/" xr:uid="{00000000-0004-0000-0000-000002000000}"/>
    <hyperlink ref="C17" r:id="rId4" location="abreadcrumb" display="https://www-genesis.destatis.de/genesis/online?sequenz=tabelleErgebnis&amp;selectionname=61243-0015&amp;language=de - abreadcrumb" xr:uid="{00000000-0004-0000-0000-000003000000}"/>
    <hyperlink ref="C18" r:id="rId5" location="abreadcrumb" display="https://www-genesis.destatis.de/genesis/online?sequenz=tabelleErgebnis&amp;selectionname=61243-0002&amp;language=de - abreadcrumb" xr:uid="{00000000-0004-0000-0000-000004000000}"/>
    <hyperlink ref="C19" r:id="rId6" location="abreadcrumb" display="https://www-genesis.destatis.de/genesis/online?sequenz=tabelleErgebnis&amp;selectionname=61243-0006&amp;language=de - abreadcrumb" xr:uid="{00000000-0004-0000-0000-000005000000}"/>
  </hyperlinks>
  <pageMargins left="0.7" right="0.7" top="0.78740157499999996" bottom="0.78740157499999996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3:Z34"/>
  <sheetViews>
    <sheetView tabSelected="1" zoomScale="110" zoomScaleNormal="110" workbookViewId="0">
      <selection activeCell="H10" sqref="H10"/>
    </sheetView>
  </sheetViews>
  <sheetFormatPr baseColWidth="10" defaultRowHeight="15" x14ac:dyDescent="0.25"/>
  <cols>
    <col min="1" max="1" width="4.140625" customWidth="1"/>
    <col min="2" max="2" width="26.42578125" bestFit="1" customWidth="1"/>
    <col min="6" max="6" width="11.5703125" bestFit="1" customWidth="1"/>
    <col min="8" max="8" width="82.85546875" customWidth="1"/>
    <col min="9" max="9" width="5.7109375" customWidth="1"/>
    <col min="10" max="10" width="11.28515625" bestFit="1" customWidth="1"/>
  </cols>
  <sheetData>
    <row r="3" spans="1:26" x14ac:dyDescent="0.25">
      <c r="B3" s="142" t="s">
        <v>183</v>
      </c>
      <c r="C3" s="269" t="s">
        <v>50</v>
      </c>
      <c r="D3" s="269"/>
      <c r="E3" s="269"/>
      <c r="F3" s="269"/>
      <c r="G3" s="269"/>
      <c r="H3" s="269"/>
    </row>
    <row r="4" spans="1:26" s="55" customFormat="1" ht="30" customHeight="1" x14ac:dyDescent="0.25">
      <c r="B4" s="180" t="s">
        <v>311</v>
      </c>
      <c r="C4" s="270">
        <v>21</v>
      </c>
      <c r="D4" s="270"/>
      <c r="E4" s="270"/>
      <c r="F4" s="270"/>
      <c r="G4" s="270"/>
      <c r="H4" s="270"/>
      <c r="Y4" s="56"/>
      <c r="Z4" s="56"/>
    </row>
    <row r="5" spans="1:26" s="55" customFormat="1" ht="30" customHeight="1" x14ac:dyDescent="0.25">
      <c r="B5" s="180" t="s">
        <v>0</v>
      </c>
      <c r="C5" s="271" t="s">
        <v>281</v>
      </c>
      <c r="D5" s="271"/>
      <c r="E5" s="271"/>
      <c r="F5" s="271"/>
      <c r="G5" s="271"/>
      <c r="H5" s="271"/>
    </row>
    <row r="6" spans="1:26" s="55" customFormat="1" ht="30" customHeight="1" x14ac:dyDescent="0.25">
      <c r="B6" s="180" t="s">
        <v>312</v>
      </c>
      <c r="C6" s="266" t="s">
        <v>313</v>
      </c>
      <c r="D6" s="267"/>
      <c r="E6" s="267"/>
      <c r="F6" s="267"/>
      <c r="G6" s="267"/>
      <c r="H6" s="268"/>
    </row>
    <row r="7" spans="1:26" s="55" customFormat="1" ht="30" customHeight="1" x14ac:dyDescent="0.25">
      <c r="A7" s="186"/>
      <c r="B7" s="180" t="s">
        <v>319</v>
      </c>
      <c r="C7" s="265">
        <v>4000</v>
      </c>
      <c r="D7" s="265"/>
      <c r="E7" s="265"/>
      <c r="F7" s="265"/>
      <c r="G7" s="265"/>
      <c r="H7" s="265"/>
      <c r="I7" s="186"/>
    </row>
    <row r="8" spans="1:26" s="55" customFormat="1" ht="30" customHeight="1" x14ac:dyDescent="0.25">
      <c r="A8" s="186"/>
      <c r="B8" s="180" t="s">
        <v>360</v>
      </c>
      <c r="C8" s="337">
        <v>2020</v>
      </c>
      <c r="D8" s="337"/>
      <c r="E8" s="337"/>
      <c r="F8" s="337"/>
      <c r="G8" s="337"/>
      <c r="H8" s="337"/>
      <c r="I8" s="186"/>
    </row>
    <row r="9" spans="1:26" s="55" customFormat="1" ht="30" customHeight="1" x14ac:dyDescent="0.25">
      <c r="A9" s="186"/>
      <c r="B9" s="45"/>
      <c r="C9" s="45"/>
      <c r="D9" s="45"/>
      <c r="E9" s="45"/>
      <c r="F9" s="45"/>
      <c r="G9" s="45"/>
      <c r="H9" s="45"/>
      <c r="I9" s="186"/>
    </row>
    <row r="10" spans="1:26" s="55" customFormat="1" ht="30" customHeight="1" x14ac:dyDescent="0.25">
      <c r="A10" s="186"/>
      <c r="B10" s="45"/>
      <c r="C10" s="45"/>
      <c r="D10" s="45"/>
      <c r="E10" s="45"/>
      <c r="F10" s="45"/>
      <c r="G10" s="45"/>
      <c r="H10" s="338" t="s">
        <v>361</v>
      </c>
      <c r="I10" s="186"/>
    </row>
    <row r="11" spans="1:26" s="55" customFormat="1" ht="30" customHeight="1" x14ac:dyDescent="0.25">
      <c r="A11" s="186"/>
      <c r="B11" s="45"/>
      <c r="C11" s="45"/>
      <c r="D11" s="45"/>
      <c r="E11" s="45"/>
      <c r="F11" s="45"/>
      <c r="G11" s="45"/>
      <c r="H11" s="45" t="s">
        <v>362</v>
      </c>
      <c r="I11" s="186"/>
    </row>
    <row r="12" spans="1:26" ht="30" customHeight="1" x14ac:dyDescent="0.25">
      <c r="A12" s="45"/>
      <c r="B12" s="45"/>
      <c r="C12" s="45"/>
      <c r="D12" s="45"/>
      <c r="E12" s="45"/>
      <c r="F12" s="45"/>
      <c r="G12" s="45"/>
      <c r="H12" s="45" t="s">
        <v>363</v>
      </c>
      <c r="I12" s="45"/>
    </row>
    <row r="13" spans="1:26" ht="30" customHeight="1" x14ac:dyDescent="0.25">
      <c r="A13" s="45"/>
      <c r="B13" s="45"/>
      <c r="C13" s="45"/>
      <c r="D13" s="45"/>
      <c r="E13" s="45"/>
      <c r="F13" s="45"/>
      <c r="G13" s="45"/>
      <c r="H13" s="45" t="s">
        <v>366</v>
      </c>
      <c r="I13" s="45"/>
    </row>
    <row r="14" spans="1:26" ht="30" customHeight="1" x14ac:dyDescent="0.25">
      <c r="A14" s="45"/>
      <c r="B14" s="45"/>
      <c r="C14" s="45"/>
      <c r="D14" s="45"/>
      <c r="E14" s="45"/>
      <c r="F14" s="45"/>
      <c r="G14" s="45"/>
      <c r="H14" s="45" t="s">
        <v>364</v>
      </c>
      <c r="I14" s="45"/>
    </row>
    <row r="15" spans="1:26" x14ac:dyDescent="0.25">
      <c r="A15" s="45"/>
      <c r="B15" s="45"/>
      <c r="C15" s="45"/>
      <c r="D15" s="45"/>
      <c r="E15" s="45"/>
      <c r="F15" s="45"/>
      <c r="G15" s="45"/>
      <c r="H15" s="45" t="s">
        <v>365</v>
      </c>
      <c r="I15" s="45"/>
    </row>
    <row r="16" spans="1:26" x14ac:dyDescent="0.25">
      <c r="A16" s="45"/>
      <c r="B16" s="45"/>
      <c r="C16" s="45"/>
      <c r="D16" s="45"/>
      <c r="E16" s="45"/>
      <c r="F16" s="45"/>
      <c r="G16" s="45"/>
      <c r="H16" s="45"/>
      <c r="I16" s="45"/>
    </row>
    <row r="17" spans="1:9" x14ac:dyDescent="0.25">
      <c r="A17" s="45"/>
      <c r="B17" s="45"/>
      <c r="C17" s="45"/>
      <c r="D17" s="45"/>
      <c r="E17" s="45"/>
      <c r="F17" s="45"/>
      <c r="G17" s="45"/>
      <c r="H17" s="45" t="s">
        <v>367</v>
      </c>
      <c r="I17" s="45"/>
    </row>
    <row r="18" spans="1:9" x14ac:dyDescent="0.25">
      <c r="A18" s="45"/>
      <c r="B18" s="45"/>
      <c r="C18" s="45"/>
      <c r="D18" s="45"/>
      <c r="E18" s="45"/>
      <c r="F18" s="45"/>
      <c r="G18" s="45"/>
      <c r="H18" s="45" t="s">
        <v>368</v>
      </c>
      <c r="I18" s="45"/>
    </row>
    <row r="19" spans="1:9" x14ac:dyDescent="0.25">
      <c r="A19" s="45"/>
      <c r="B19" s="45"/>
      <c r="C19" s="45"/>
      <c r="D19" s="45"/>
      <c r="E19" s="45"/>
      <c r="F19" s="45"/>
      <c r="G19" s="45"/>
      <c r="H19" s="45"/>
      <c r="I19" s="45"/>
    </row>
    <row r="20" spans="1:9" x14ac:dyDescent="0.25">
      <c r="A20" s="45"/>
      <c r="B20" s="45"/>
      <c r="C20" s="45"/>
      <c r="D20" s="45"/>
      <c r="E20" s="45"/>
      <c r="F20" s="45"/>
      <c r="G20" s="45"/>
      <c r="H20" s="45"/>
      <c r="I20" s="45"/>
    </row>
    <row r="21" spans="1:9" x14ac:dyDescent="0.25">
      <c r="A21" s="45"/>
      <c r="B21" s="45"/>
      <c r="C21" s="45"/>
      <c r="D21" s="45"/>
      <c r="E21" s="45"/>
      <c r="F21" s="45"/>
      <c r="G21" s="45"/>
      <c r="H21" s="45"/>
      <c r="I21" s="45"/>
    </row>
    <row r="22" spans="1:9" x14ac:dyDescent="0.25">
      <c r="A22" s="45"/>
      <c r="B22" s="45"/>
      <c r="C22" s="45"/>
      <c r="D22" s="45"/>
      <c r="E22" s="45"/>
      <c r="F22" s="45"/>
      <c r="G22" s="45"/>
      <c r="H22" s="45"/>
      <c r="I22" s="45"/>
    </row>
    <row r="23" spans="1:9" x14ac:dyDescent="0.25">
      <c r="A23" s="45"/>
      <c r="B23" s="45"/>
      <c r="C23" s="45"/>
      <c r="D23" s="45"/>
      <c r="E23" s="45"/>
      <c r="F23" s="45"/>
      <c r="G23" s="45"/>
      <c r="H23" s="45"/>
      <c r="I23" s="45"/>
    </row>
    <row r="24" spans="1:9" x14ac:dyDescent="0.25">
      <c r="A24" s="45"/>
      <c r="B24" s="45"/>
      <c r="C24" s="45"/>
      <c r="D24" s="45"/>
      <c r="E24" s="45"/>
      <c r="F24" s="45"/>
      <c r="G24" s="45"/>
      <c r="H24" s="45"/>
      <c r="I24" s="45"/>
    </row>
    <row r="25" spans="1:9" x14ac:dyDescent="0.25">
      <c r="A25" s="45"/>
      <c r="B25" s="45"/>
      <c r="C25" s="45"/>
      <c r="D25" s="45"/>
      <c r="E25" s="45"/>
      <c r="F25" s="45"/>
      <c r="G25" s="45"/>
      <c r="H25" s="45"/>
      <c r="I25" s="45"/>
    </row>
    <row r="26" spans="1:9" x14ac:dyDescent="0.25">
      <c r="A26" s="45"/>
      <c r="B26" s="45"/>
      <c r="C26" s="45"/>
      <c r="D26" s="45"/>
      <c r="E26" s="45"/>
      <c r="F26" s="45"/>
      <c r="G26" s="45"/>
      <c r="H26" s="45"/>
      <c r="I26" s="45"/>
    </row>
    <row r="27" spans="1:9" x14ac:dyDescent="0.25">
      <c r="A27" s="45"/>
      <c r="B27" s="45"/>
      <c r="C27" s="45"/>
      <c r="D27" s="45"/>
      <c r="E27" s="45"/>
      <c r="F27" s="45"/>
      <c r="G27" s="45"/>
      <c r="H27" s="45"/>
      <c r="I27" s="45"/>
    </row>
    <row r="28" spans="1:9" x14ac:dyDescent="0.25">
      <c r="A28" s="45"/>
      <c r="B28" s="45"/>
      <c r="C28" s="45"/>
      <c r="D28" s="45"/>
      <c r="E28" s="45"/>
      <c r="F28" s="45"/>
      <c r="G28" s="45"/>
      <c r="H28" s="45"/>
      <c r="I28" s="45"/>
    </row>
    <row r="29" spans="1:9" x14ac:dyDescent="0.25">
      <c r="A29" s="45"/>
      <c r="B29" s="45"/>
      <c r="C29" s="45"/>
      <c r="D29" s="45"/>
      <c r="E29" s="45"/>
      <c r="F29" s="45"/>
      <c r="G29" s="45"/>
      <c r="H29" s="45"/>
      <c r="I29" s="45"/>
    </row>
    <row r="30" spans="1:9" x14ac:dyDescent="0.25">
      <c r="A30" s="45"/>
      <c r="B30" s="45"/>
      <c r="C30" s="45"/>
      <c r="D30" s="45"/>
      <c r="E30" s="45"/>
      <c r="F30" s="45"/>
      <c r="G30" s="45"/>
      <c r="H30" s="45"/>
      <c r="I30" s="45"/>
    </row>
    <row r="31" spans="1:9" x14ac:dyDescent="0.25">
      <c r="A31" s="45"/>
      <c r="B31" s="45"/>
      <c r="C31" s="45"/>
      <c r="D31" s="45"/>
      <c r="E31" s="45"/>
      <c r="F31" s="45"/>
      <c r="G31" s="45"/>
      <c r="H31" s="45"/>
      <c r="I31" s="45"/>
    </row>
    <row r="32" spans="1:9" x14ac:dyDescent="0.25">
      <c r="A32" s="45"/>
      <c r="B32" s="45"/>
      <c r="C32" s="45"/>
      <c r="D32" s="45"/>
      <c r="E32" s="45"/>
      <c r="F32" s="45"/>
      <c r="G32" s="45"/>
      <c r="H32" s="45"/>
      <c r="I32" s="45"/>
    </row>
    <row r="33" spans="1:9" x14ac:dyDescent="0.25">
      <c r="A33" s="45"/>
      <c r="B33" s="45"/>
      <c r="C33" s="45"/>
      <c r="D33" s="45"/>
      <c r="E33" s="45"/>
      <c r="F33" s="45"/>
      <c r="G33" s="45"/>
      <c r="H33" s="45"/>
      <c r="I33" s="45"/>
    </row>
    <row r="34" spans="1:9" x14ac:dyDescent="0.25">
      <c r="A34" s="45"/>
      <c r="B34" s="45"/>
      <c r="C34" s="45"/>
      <c r="D34" s="45"/>
      <c r="E34" s="45"/>
      <c r="F34" s="45"/>
      <c r="G34" s="45"/>
      <c r="H34" s="45"/>
      <c r="I34" s="45"/>
    </row>
  </sheetData>
  <dataConsolidate/>
  <mergeCells count="6">
    <mergeCell ref="C8:H8"/>
    <mergeCell ref="C7:H7"/>
    <mergeCell ref="C6:H6"/>
    <mergeCell ref="C3:H3"/>
    <mergeCell ref="C4:H4"/>
    <mergeCell ref="C5:H5"/>
  </mergeCell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3BC7A13-8042-4D12-8497-7751466BFD6B}">
          <x14:formula1>
            <xm:f>Wärmegestehungskosten!$C$2:$C$29</xm:f>
          </x14:formula1>
          <xm:sqref>C5:H5</xm:sqref>
        </x14:dataValidation>
        <x14:dataValidation type="list" allowBlank="1" showInputMessage="1" showErrorMessage="1" xr:uid="{41F77727-A9E6-4DAA-A188-5CA172FDCB97}">
          <x14:formula1>
            <xm:f>destatis_Daten_Kopie!$A$20:$A$21</xm:f>
          </x14:formula1>
          <xm:sqref>C6:H6</xm:sqref>
        </x14:dataValidation>
        <x14:dataValidation type="list" allowBlank="1" showInputMessage="1" showErrorMessage="1" xr:uid="{E1EB80BE-F68B-4156-8B2F-53497CF069FC}">
          <x14:formula1>
            <xm:f>destatis_Daten_Kopie!$A$22:$A$30</xm:f>
          </x14:formula1>
          <xm:sqref>C7:H7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/>
  <dimension ref="A1:AY50"/>
  <sheetViews>
    <sheetView workbookViewId="0">
      <selection activeCell="W18" sqref="W18:W19"/>
    </sheetView>
  </sheetViews>
  <sheetFormatPr baseColWidth="10" defaultColWidth="10.85546875" defaultRowHeight="18.75" x14ac:dyDescent="0.25"/>
  <cols>
    <col min="1" max="1" width="11.85546875" style="30" bestFit="1" customWidth="1"/>
    <col min="2" max="2" width="11.85546875" style="30" hidden="1" customWidth="1"/>
    <col min="3" max="12" width="10.85546875" style="30"/>
    <col min="13" max="13" width="13.85546875" style="30" customWidth="1"/>
    <col min="14" max="14" width="2.5703125" style="30" customWidth="1"/>
    <col min="15" max="15" width="18.85546875" style="5" customWidth="1"/>
    <col min="16" max="16" width="20.85546875" style="5" bestFit="1" customWidth="1"/>
    <col min="17" max="17" width="18.5703125" style="5" customWidth="1"/>
    <col min="18" max="18" width="21.85546875" style="5" customWidth="1"/>
    <col min="19" max="19" width="4.140625" style="5" customWidth="1"/>
    <col min="20" max="20" width="21.85546875" style="5" bestFit="1" customWidth="1"/>
    <col min="21" max="21" width="12.28515625" style="5" customWidth="1"/>
    <col min="22" max="22" width="20.140625" style="5" bestFit="1" customWidth="1"/>
    <col min="23" max="23" width="19" style="5" bestFit="1" customWidth="1"/>
    <col min="24" max="24" width="21.42578125" style="5" bestFit="1" customWidth="1"/>
    <col min="25" max="25" width="23.42578125" style="5" bestFit="1" customWidth="1"/>
    <col min="26" max="26" width="16.140625" style="5" customWidth="1"/>
    <col min="27" max="27" width="21.28515625" style="5" customWidth="1"/>
    <col min="28" max="16384" width="10.85546875" style="30"/>
  </cols>
  <sheetData>
    <row r="1" spans="1:51" ht="30" customHeight="1" x14ac:dyDescent="0.25">
      <c r="C1" s="278" t="s">
        <v>100</v>
      </c>
      <c r="D1" s="278"/>
      <c r="E1" s="278"/>
      <c r="F1" s="278"/>
      <c r="G1" s="278"/>
      <c r="H1" s="278"/>
      <c r="O1" s="279" t="s">
        <v>56</v>
      </c>
      <c r="P1" s="279"/>
      <c r="Q1" s="279" t="s">
        <v>57</v>
      </c>
      <c r="R1" s="279"/>
      <c r="T1" s="30"/>
      <c r="U1" s="30"/>
      <c r="V1" s="30"/>
      <c r="W1" s="30"/>
    </row>
    <row r="2" spans="1:51" s="4" customFormat="1" ht="75" x14ac:dyDescent="0.25">
      <c r="A2" s="6" t="s">
        <v>53</v>
      </c>
      <c r="B2" s="7" t="s">
        <v>274</v>
      </c>
      <c r="C2" s="7" t="s">
        <v>99</v>
      </c>
      <c r="D2" s="7" t="s">
        <v>52</v>
      </c>
      <c r="E2" s="7" t="s">
        <v>47</v>
      </c>
      <c r="F2" s="7" t="s">
        <v>48</v>
      </c>
      <c r="G2" s="7" t="s">
        <v>46</v>
      </c>
      <c r="H2" s="7" t="s">
        <v>49</v>
      </c>
      <c r="I2" s="280" t="s">
        <v>58</v>
      </c>
      <c r="J2" s="281"/>
      <c r="K2" s="282"/>
      <c r="L2" s="8" t="s">
        <v>59</v>
      </c>
      <c r="M2" s="8" t="s">
        <v>60</v>
      </c>
      <c r="O2" s="8" t="s">
        <v>61</v>
      </c>
      <c r="P2" s="8" t="s">
        <v>62</v>
      </c>
      <c r="Q2" s="8" t="s">
        <v>61</v>
      </c>
      <c r="R2" s="8" t="s">
        <v>62</v>
      </c>
      <c r="S2" s="5"/>
      <c r="T2" s="5"/>
      <c r="U2" s="5"/>
      <c r="V2" s="5"/>
      <c r="W2" s="5"/>
      <c r="X2" s="5"/>
      <c r="Y2" s="5"/>
      <c r="Z2" s="5"/>
      <c r="AA2" s="5"/>
    </row>
    <row r="3" spans="1:51" ht="15" customHeight="1" thickBot="1" x14ac:dyDescent="0.3">
      <c r="A3" s="9" t="s">
        <v>54</v>
      </c>
      <c r="B3" s="9" t="s">
        <v>275</v>
      </c>
      <c r="C3" s="37" t="s">
        <v>98</v>
      </c>
      <c r="D3" s="37" t="s">
        <v>63</v>
      </c>
      <c r="E3" s="37" t="s">
        <v>63</v>
      </c>
      <c r="F3" s="136" t="s">
        <v>63</v>
      </c>
      <c r="G3" s="136" t="s">
        <v>64</v>
      </c>
      <c r="H3" s="136" t="s">
        <v>64</v>
      </c>
      <c r="I3" s="136" t="s">
        <v>52</v>
      </c>
      <c r="J3" s="136" t="s">
        <v>47</v>
      </c>
      <c r="K3" s="136" t="s">
        <v>48</v>
      </c>
      <c r="L3" s="136" t="s">
        <v>63</v>
      </c>
      <c r="M3" s="136" t="s">
        <v>7</v>
      </c>
      <c r="O3" s="136" t="s">
        <v>65</v>
      </c>
      <c r="P3" s="136" t="s">
        <v>65</v>
      </c>
      <c r="Q3" s="136" t="s">
        <v>65</v>
      </c>
      <c r="R3" s="136" t="s">
        <v>65</v>
      </c>
      <c r="T3" s="96" t="s">
        <v>170</v>
      </c>
      <c r="U3" s="139">
        <v>5</v>
      </c>
      <c r="V3" s="39" t="s">
        <v>171</v>
      </c>
      <c r="W3" s="18"/>
    </row>
    <row r="4" spans="1:51" ht="15" customHeight="1" x14ac:dyDescent="0.25">
      <c r="A4" s="10">
        <v>2021</v>
      </c>
      <c r="B4" s="92"/>
      <c r="C4" s="111">
        <v>202.36905531063138</v>
      </c>
      <c r="D4" s="111">
        <v>14.18375833333333</v>
      </c>
      <c r="E4" s="111">
        <v>59.801405438435687</v>
      </c>
      <c r="F4" s="112">
        <v>78.478131834506996</v>
      </c>
      <c r="G4" s="112">
        <v>51.626388655112066</v>
      </c>
      <c r="H4" s="113">
        <v>25</v>
      </c>
      <c r="I4" s="114">
        <v>0.25</v>
      </c>
      <c r="J4" s="114">
        <v>0.75</v>
      </c>
      <c r="K4" s="114">
        <v>0</v>
      </c>
      <c r="L4" s="112">
        <v>40.17</v>
      </c>
      <c r="M4" s="115">
        <v>0.2</v>
      </c>
      <c r="O4" s="112">
        <f>'destatis-Daten'!$C$8*100</f>
        <v>1.5333333333333332</v>
      </c>
      <c r="P4" s="112">
        <f>'destatis-Daten'!$D$8*100-U5-U6</f>
        <v>0.15583333333333327</v>
      </c>
      <c r="Q4" s="112">
        <f>'destatis-Daten'!$M$10*100</f>
        <v>8.3633333333333333</v>
      </c>
      <c r="R4" s="112">
        <f>'destatis-Daten'!$N$10*100-U4</f>
        <v>10.93</v>
      </c>
      <c r="T4" s="96" t="s">
        <v>168</v>
      </c>
      <c r="U4" s="139">
        <v>5.13</v>
      </c>
      <c r="V4" s="39" t="s">
        <v>171</v>
      </c>
      <c r="W4" s="94" t="s">
        <v>276</v>
      </c>
      <c r="X4" s="95" t="s">
        <v>253</v>
      </c>
      <c r="Y4" s="18"/>
    </row>
    <row r="5" spans="1:51" x14ac:dyDescent="0.25">
      <c r="A5" s="10">
        <v>2022</v>
      </c>
      <c r="B5" s="93"/>
      <c r="C5" s="111">
        <v>433</v>
      </c>
      <c r="D5" s="111">
        <v>86.99</v>
      </c>
      <c r="E5" s="111">
        <v>69.28871096536281</v>
      </c>
      <c r="F5" s="113">
        <v>82.779922593545848</v>
      </c>
      <c r="G5" s="113">
        <v>71.255331298577772</v>
      </c>
      <c r="H5" s="113">
        <v>30</v>
      </c>
      <c r="I5" s="114">
        <v>0.25</v>
      </c>
      <c r="J5" s="114">
        <v>0.75</v>
      </c>
      <c r="K5" s="114">
        <v>0</v>
      </c>
      <c r="L5" s="113">
        <v>88.42</v>
      </c>
      <c r="M5" s="115">
        <v>0.2</v>
      </c>
      <c r="O5" s="113">
        <f>IF(O4*(1+$X$10)&gt;$Y$10,$Y$10,(O4*(1+$X$10)))</f>
        <v>1.5563333333333331</v>
      </c>
      <c r="P5" s="113">
        <f t="shared" ref="P5:P50" si="0">P4*(1+$V$15)</f>
        <v>0.1573916666666666</v>
      </c>
      <c r="Q5" s="113">
        <f>IF(Q4*(1+$X$8)&gt;$Y$8,$Y$8,Q4*(1+$X$8))</f>
        <v>8.5891433333333325</v>
      </c>
      <c r="R5" s="113">
        <f>(R4-U3)</f>
        <v>5.93</v>
      </c>
      <c r="T5" s="96" t="s">
        <v>169</v>
      </c>
      <c r="U5" s="139">
        <v>1.1299999999999999</v>
      </c>
      <c r="V5" s="39" t="s">
        <v>171</v>
      </c>
      <c r="W5" s="94" t="s">
        <v>277</v>
      </c>
      <c r="X5" s="79" t="s">
        <v>250</v>
      </c>
    </row>
    <row r="6" spans="1:51" ht="19.5" thickBot="1" x14ac:dyDescent="0.3">
      <c r="A6" s="10">
        <v>2023</v>
      </c>
      <c r="B6" s="93"/>
      <c r="C6" s="111">
        <v>501.59382604698663</v>
      </c>
      <c r="D6" s="111">
        <v>127</v>
      </c>
      <c r="E6" s="116">
        <v>145.19999999999999</v>
      </c>
      <c r="F6" s="116">
        <v>84.959759732148513</v>
      </c>
      <c r="G6" s="116">
        <v>79.599999999999994</v>
      </c>
      <c r="H6" s="116">
        <v>35</v>
      </c>
      <c r="I6" s="114">
        <v>0.25</v>
      </c>
      <c r="J6" s="114">
        <v>0.75</v>
      </c>
      <c r="K6" s="114">
        <v>0</v>
      </c>
      <c r="L6" s="116">
        <v>366</v>
      </c>
      <c r="M6" s="115">
        <v>0.2</v>
      </c>
      <c r="O6" s="113">
        <f t="shared" ref="O6:O13" si="1">IF(O5*(1+$X$10)&gt;$Y$10,$Y$10,(O5*(1+$X$10)))</f>
        <v>1.5796783333333331</v>
      </c>
      <c r="P6" s="113">
        <f t="shared" si="0"/>
        <v>0.15896558333333327</v>
      </c>
      <c r="Q6" s="113">
        <f t="shared" ref="Q6:Q13" si="2">IF(Q5*(1+$X$8)&gt;$Y$8,$Y$8,Q5*(1+$X$8))</f>
        <v>8.821050203333332</v>
      </c>
      <c r="R6" s="116">
        <f t="shared" ref="R6:R50" si="3">R5*(1+$V$16)</f>
        <v>6.0189499999999994</v>
      </c>
      <c r="T6" s="96" t="s">
        <v>292</v>
      </c>
      <c r="U6" s="140">
        <f>H4*0.0183</f>
        <v>0.45750000000000002</v>
      </c>
      <c r="V6" s="39" t="s">
        <v>171</v>
      </c>
    </row>
    <row r="7" spans="1:51" ht="19.5" thickTop="1" x14ac:dyDescent="0.25">
      <c r="A7" s="3">
        <v>2024</v>
      </c>
      <c r="B7" s="93"/>
      <c r="C7" s="111">
        <v>570.18765209397327</v>
      </c>
      <c r="D7" s="111">
        <v>102.75</v>
      </c>
      <c r="E7" s="116">
        <v>145.19999999999999</v>
      </c>
      <c r="F7" s="116">
        <v>82.849888480622624</v>
      </c>
      <c r="G7" s="116">
        <v>84</v>
      </c>
      <c r="H7" s="116">
        <v>45</v>
      </c>
      <c r="I7" s="115">
        <v>0.25</v>
      </c>
      <c r="J7" s="115">
        <v>0.75</v>
      </c>
      <c r="K7" s="115">
        <v>0</v>
      </c>
      <c r="L7" s="116">
        <v>251</v>
      </c>
      <c r="M7" s="115">
        <v>0.2</v>
      </c>
      <c r="O7" s="113">
        <f t="shared" si="1"/>
        <v>1.6033735083333329</v>
      </c>
      <c r="P7" s="113">
        <f t="shared" si="0"/>
        <v>0.16055523916666661</v>
      </c>
      <c r="Q7" s="113">
        <f t="shared" si="2"/>
        <v>9.059218558823332</v>
      </c>
      <c r="R7" s="116">
        <f t="shared" si="3"/>
        <v>6.1092342499999992</v>
      </c>
      <c r="T7" s="137" t="s">
        <v>158</v>
      </c>
      <c r="U7" s="138"/>
      <c r="V7" s="137" t="s">
        <v>164</v>
      </c>
      <c r="W7" s="137" t="s">
        <v>165</v>
      </c>
      <c r="X7" s="137" t="s">
        <v>166</v>
      </c>
      <c r="Y7" s="137" t="s">
        <v>279</v>
      </c>
    </row>
    <row r="8" spans="1:51" x14ac:dyDescent="0.25">
      <c r="A8" s="3">
        <v>2025</v>
      </c>
      <c r="B8" s="93"/>
      <c r="C8" s="111">
        <v>638.78147814095996</v>
      </c>
      <c r="D8" s="111">
        <v>74.400000000000006</v>
      </c>
      <c r="E8" s="116">
        <v>145.19999999999999</v>
      </c>
      <c r="F8" s="116">
        <v>85.369606062452206</v>
      </c>
      <c r="G8" s="116">
        <v>90</v>
      </c>
      <c r="H8" s="116">
        <v>55</v>
      </c>
      <c r="I8" s="115">
        <v>0.25</v>
      </c>
      <c r="J8" s="115">
        <v>0.75</v>
      </c>
      <c r="K8" s="115">
        <v>0</v>
      </c>
      <c r="L8" s="116">
        <v>177.6</v>
      </c>
      <c r="M8" s="115">
        <v>0.2</v>
      </c>
      <c r="O8" s="113">
        <f t="shared" si="1"/>
        <v>1.6274241109583327</v>
      </c>
      <c r="P8" s="113">
        <f t="shared" si="0"/>
        <v>0.16216079155833329</v>
      </c>
      <c r="Q8" s="113">
        <f t="shared" si="2"/>
        <v>9.3038174599115617</v>
      </c>
      <c r="R8" s="116">
        <f t="shared" si="3"/>
        <v>6.2008727637499987</v>
      </c>
      <c r="T8" s="283" t="s">
        <v>57</v>
      </c>
      <c r="U8" s="97" t="s">
        <v>159</v>
      </c>
      <c r="V8" s="118">
        <v>3.5000000000000003E-2</v>
      </c>
      <c r="W8" s="118">
        <v>8.0000000000000002E-3</v>
      </c>
      <c r="X8" s="119">
        <f>V8-W8</f>
        <v>2.7000000000000003E-2</v>
      </c>
      <c r="Y8" s="272">
        <f>2*$Q$4</f>
        <v>16.726666666666667</v>
      </c>
    </row>
    <row r="9" spans="1:51" x14ac:dyDescent="0.25">
      <c r="A9" s="3">
        <v>2026</v>
      </c>
      <c r="B9" s="93"/>
      <c r="C9" s="111">
        <v>680.51783041228794</v>
      </c>
      <c r="D9" s="111">
        <v>45.68</v>
      </c>
      <c r="E9" s="116">
        <v>145.19999999999999</v>
      </c>
      <c r="F9" s="116">
        <v>87.032916032785266</v>
      </c>
      <c r="G9" s="116">
        <v>96.5</v>
      </c>
      <c r="H9" s="116">
        <v>96.5</v>
      </c>
      <c r="I9" s="115">
        <v>0.25</v>
      </c>
      <c r="J9" s="115">
        <v>0.75</v>
      </c>
      <c r="K9" s="115">
        <v>0</v>
      </c>
      <c r="L9" s="116">
        <v>144.9</v>
      </c>
      <c r="M9" s="115">
        <v>0.2</v>
      </c>
      <c r="O9" s="113">
        <f t="shared" si="1"/>
        <v>1.6518354726227076</v>
      </c>
      <c r="P9" s="113">
        <f t="shared" si="0"/>
        <v>0.16378239947391662</v>
      </c>
      <c r="Q9" s="113">
        <f t="shared" si="2"/>
        <v>9.5550205313291734</v>
      </c>
      <c r="R9" s="116">
        <f t="shared" si="3"/>
        <v>6.2938858552062484</v>
      </c>
      <c r="T9" s="284"/>
      <c r="U9" s="97" t="s">
        <v>160</v>
      </c>
      <c r="V9" s="118">
        <v>3.5000000000000003E-2</v>
      </c>
      <c r="W9" s="118">
        <v>0.02</v>
      </c>
      <c r="X9" s="119">
        <f>V9-W9</f>
        <v>1.5000000000000003E-2</v>
      </c>
      <c r="Y9" s="273"/>
      <c r="Z9" s="18"/>
      <c r="AA9" s="18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</row>
    <row r="10" spans="1:51" x14ac:dyDescent="0.25">
      <c r="A10" s="3">
        <v>2027</v>
      </c>
      <c r="B10" s="93"/>
      <c r="C10" s="111">
        <v>722.2541826836158</v>
      </c>
      <c r="D10" s="111">
        <v>40</v>
      </c>
      <c r="E10" s="116">
        <v>145.19999999999999</v>
      </c>
      <c r="F10" s="116">
        <v>87.161122937857641</v>
      </c>
      <c r="G10" s="116">
        <v>120.37037037037038</v>
      </c>
      <c r="H10" s="116">
        <v>120.37037037037038</v>
      </c>
      <c r="I10" s="115">
        <v>0.25</v>
      </c>
      <c r="J10" s="115">
        <v>0.75</v>
      </c>
      <c r="K10" s="115">
        <v>0</v>
      </c>
      <c r="L10" s="116">
        <v>130</v>
      </c>
      <c r="M10" s="115">
        <v>0.2</v>
      </c>
      <c r="O10" s="113">
        <f t="shared" si="1"/>
        <v>1.676613004712048</v>
      </c>
      <c r="P10" s="113">
        <f t="shared" si="0"/>
        <v>0.16542022346865579</v>
      </c>
      <c r="Q10" s="113">
        <f t="shared" si="2"/>
        <v>9.8130060856750596</v>
      </c>
      <c r="R10" s="116">
        <f t="shared" si="3"/>
        <v>6.3882941430343418</v>
      </c>
      <c r="T10" s="285" t="s">
        <v>161</v>
      </c>
      <c r="U10" s="97" t="s">
        <v>159</v>
      </c>
      <c r="V10" s="118">
        <v>0</v>
      </c>
      <c r="W10" s="118">
        <v>-1.4999999999999999E-2</v>
      </c>
      <c r="X10" s="119">
        <f>V10-W10</f>
        <v>1.4999999999999999E-2</v>
      </c>
      <c r="Y10" s="272">
        <f>5*$O$4</f>
        <v>7.6666666666666661</v>
      </c>
    </row>
    <row r="11" spans="1:51" x14ac:dyDescent="0.25">
      <c r="A11" s="3">
        <v>2028</v>
      </c>
      <c r="B11" s="93"/>
      <c r="C11" s="111">
        <v>763.99053495494377</v>
      </c>
      <c r="D11" s="111">
        <v>37</v>
      </c>
      <c r="E11" s="116">
        <v>145.19999999999999</v>
      </c>
      <c r="F11" s="116">
        <v>87.456292424015899</v>
      </c>
      <c r="G11" s="116">
        <v>103.08972073677953</v>
      </c>
      <c r="H11" s="116">
        <v>103.08972073677953</v>
      </c>
      <c r="I11" s="115">
        <v>0.25</v>
      </c>
      <c r="J11" s="115">
        <v>0.75</v>
      </c>
      <c r="K11" s="115">
        <v>0</v>
      </c>
      <c r="L11" s="116">
        <v>115</v>
      </c>
      <c r="M11" s="115">
        <v>0.2</v>
      </c>
      <c r="O11" s="113">
        <f t="shared" si="1"/>
        <v>1.7017621997827286</v>
      </c>
      <c r="P11" s="113">
        <f t="shared" si="0"/>
        <v>0.16707442570334236</v>
      </c>
      <c r="Q11" s="113">
        <f t="shared" si="2"/>
        <v>10.077957249988286</v>
      </c>
      <c r="R11" s="116">
        <f t="shared" si="3"/>
        <v>6.4841185551798564</v>
      </c>
      <c r="T11" s="286"/>
      <c r="U11" s="97" t="s">
        <v>160</v>
      </c>
      <c r="V11" s="118">
        <v>3.5000000000000003E-2</v>
      </c>
      <c r="W11" s="118">
        <v>-0.03</v>
      </c>
      <c r="X11" s="119">
        <f>V11-W11</f>
        <v>6.5000000000000002E-2</v>
      </c>
      <c r="Y11" s="273"/>
      <c r="AQ11" s="30">
        <v>50</v>
      </c>
      <c r="AR11" s="30">
        <v>50</v>
      </c>
      <c r="AS11" s="30">
        <v>50</v>
      </c>
      <c r="AT11" s="30">
        <v>50</v>
      </c>
      <c r="AU11" s="30">
        <v>50</v>
      </c>
      <c r="AV11" s="30">
        <v>50</v>
      </c>
      <c r="AW11" s="30">
        <v>50</v>
      </c>
      <c r="AX11" s="30">
        <v>50</v>
      </c>
      <c r="AY11" s="30">
        <v>50</v>
      </c>
    </row>
    <row r="12" spans="1:51" x14ac:dyDescent="0.25">
      <c r="A12" s="3">
        <v>2029</v>
      </c>
      <c r="B12" s="93"/>
      <c r="C12" s="111">
        <v>805.72688722627174</v>
      </c>
      <c r="D12" s="111">
        <v>33</v>
      </c>
      <c r="E12" s="116">
        <v>145.19999999999999</v>
      </c>
      <c r="F12" s="116">
        <v>89.151878536272562</v>
      </c>
      <c r="G12" s="116">
        <v>93.68191721132898</v>
      </c>
      <c r="H12" s="116">
        <v>93.68191721132898</v>
      </c>
      <c r="I12" s="115">
        <v>0.25</v>
      </c>
      <c r="J12" s="115">
        <v>0.75</v>
      </c>
      <c r="K12" s="115">
        <v>0</v>
      </c>
      <c r="L12" s="116">
        <v>100</v>
      </c>
      <c r="M12" s="115">
        <v>0.2</v>
      </c>
      <c r="O12" s="113">
        <f t="shared" si="1"/>
        <v>1.7272886327794694</v>
      </c>
      <c r="P12" s="113">
        <f t="shared" si="0"/>
        <v>0.16874516996037578</v>
      </c>
      <c r="Q12" s="113">
        <f t="shared" si="2"/>
        <v>10.350062095737968</v>
      </c>
      <c r="R12" s="116">
        <f t="shared" si="3"/>
        <v>6.5813803335075534</v>
      </c>
      <c r="T12" s="6"/>
      <c r="U12" s="6"/>
      <c r="V12" s="38"/>
    </row>
    <row r="13" spans="1:51" ht="19.5" thickBot="1" x14ac:dyDescent="0.3">
      <c r="A13" s="3">
        <v>2030</v>
      </c>
      <c r="B13" s="93"/>
      <c r="C13" s="111">
        <v>847.46323949759994</v>
      </c>
      <c r="D13" s="111">
        <v>30</v>
      </c>
      <c r="E13" s="116">
        <v>145.19999999999999</v>
      </c>
      <c r="F13" s="116">
        <v>90.827566989782397</v>
      </c>
      <c r="G13" s="116">
        <v>85.165379283026311</v>
      </c>
      <c r="H13" s="116">
        <v>85.165379283026311</v>
      </c>
      <c r="I13" s="115">
        <v>0.25</v>
      </c>
      <c r="J13" s="115">
        <v>0.75</v>
      </c>
      <c r="K13" s="115">
        <v>0</v>
      </c>
      <c r="L13" s="116">
        <v>88</v>
      </c>
      <c r="M13" s="115">
        <v>0.2</v>
      </c>
      <c r="O13" s="117">
        <f t="shared" si="1"/>
        <v>1.7531979622711613</v>
      </c>
      <c r="P13" s="117">
        <f t="shared" si="0"/>
        <v>0.17043262165997955</v>
      </c>
      <c r="Q13" s="117">
        <f t="shared" si="2"/>
        <v>10.629513772322893</v>
      </c>
      <c r="R13" s="117">
        <f t="shared" si="3"/>
        <v>6.6801010385101662</v>
      </c>
      <c r="T13" s="6"/>
      <c r="U13" s="6"/>
      <c r="V13" s="6"/>
    </row>
    <row r="14" spans="1:51" x14ac:dyDescent="0.25">
      <c r="A14" s="3">
        <v>2031</v>
      </c>
      <c r="B14" s="93"/>
      <c r="C14" s="111">
        <v>897.63836473555193</v>
      </c>
      <c r="D14" s="111">
        <v>30</v>
      </c>
      <c r="E14" s="116">
        <v>145.19999999999999</v>
      </c>
      <c r="F14" s="116">
        <v>89.042043290299759</v>
      </c>
      <c r="G14" s="116">
        <v>86.626064567241002</v>
      </c>
      <c r="H14" s="116">
        <v>86.626064567241002</v>
      </c>
      <c r="I14" s="115">
        <v>0.25</v>
      </c>
      <c r="J14" s="115">
        <v>0.75</v>
      </c>
      <c r="K14" s="115">
        <v>0</v>
      </c>
      <c r="L14" s="116">
        <v>90</v>
      </c>
      <c r="M14" s="115">
        <v>0.2</v>
      </c>
      <c r="O14" s="116">
        <f>IF(O13*(1+$X$11)&gt;$Y$10,$Y$10,O13*(1+$X$11))</f>
        <v>1.8671558298187867</v>
      </c>
      <c r="P14" s="116">
        <f t="shared" si="0"/>
        <v>0.17213694787657935</v>
      </c>
      <c r="Q14" s="116">
        <f>IF(Q13*(1+$X$9)&gt;$Y$8,$Y$8,Q13*(1+$X$9))</f>
        <v>10.788956478907735</v>
      </c>
      <c r="R14" s="116">
        <f t="shared" si="3"/>
        <v>6.7803025540878181</v>
      </c>
      <c r="T14" s="287" t="s">
        <v>167</v>
      </c>
      <c r="U14" s="288"/>
      <c r="V14" s="289"/>
    </row>
    <row r="15" spans="1:51" x14ac:dyDescent="0.25">
      <c r="A15" s="3">
        <v>2032</v>
      </c>
      <c r="B15" s="93"/>
      <c r="C15" s="111">
        <v>947.81348997350392</v>
      </c>
      <c r="D15" s="111">
        <v>30</v>
      </c>
      <c r="E15" s="116">
        <v>145.19999999999999</v>
      </c>
      <c r="F15" s="116">
        <v>87.895766479011087</v>
      </c>
      <c r="G15" s="116">
        <v>91.008120419885103</v>
      </c>
      <c r="H15" s="116">
        <v>91.008120419885103</v>
      </c>
      <c r="I15" s="115">
        <v>0.25</v>
      </c>
      <c r="J15" s="115">
        <v>0.75</v>
      </c>
      <c r="K15" s="115">
        <v>0</v>
      </c>
      <c r="L15" s="116">
        <v>92</v>
      </c>
      <c r="M15" s="115">
        <v>0.2</v>
      </c>
      <c r="O15" s="116">
        <f t="shared" ref="O15:O50" si="4">IF(O14*(1+$X$11)&gt;$Y$10,$Y$10,O14*(1+$X$11))</f>
        <v>1.9885209587570076</v>
      </c>
      <c r="P15" s="113">
        <f t="shared" si="0"/>
        <v>0.17385831735534515</v>
      </c>
      <c r="Q15" s="116">
        <f t="shared" ref="Q15:Q50" si="5">IF(Q14*(1+$X$9)&gt;$Y$8,$Y$8,Q14*(1+$X$9))</f>
        <v>10.95079082609135</v>
      </c>
      <c r="R15" s="116">
        <f t="shared" si="3"/>
        <v>6.8820070923991343</v>
      </c>
      <c r="T15" s="97" t="s">
        <v>162</v>
      </c>
      <c r="U15" s="135" t="s">
        <v>163</v>
      </c>
      <c r="V15" s="118">
        <v>0.01</v>
      </c>
    </row>
    <row r="16" spans="1:51" x14ac:dyDescent="0.25">
      <c r="A16" s="3">
        <v>2033</v>
      </c>
      <c r="B16" s="93"/>
      <c r="C16" s="111">
        <v>997.98861521145591</v>
      </c>
      <c r="D16" s="111">
        <v>30</v>
      </c>
      <c r="E16" s="116">
        <v>145.19999999999999</v>
      </c>
      <c r="F16" s="116">
        <v>84.57865272027702</v>
      </c>
      <c r="G16" s="116">
        <v>93.929490988314498</v>
      </c>
      <c r="H16" s="116">
        <v>93.929490988314498</v>
      </c>
      <c r="I16" s="115">
        <v>0.25</v>
      </c>
      <c r="J16" s="115">
        <v>0.75</v>
      </c>
      <c r="K16" s="115">
        <v>0</v>
      </c>
      <c r="L16" s="116">
        <v>94</v>
      </c>
      <c r="M16" s="115">
        <v>0.2</v>
      </c>
      <c r="O16" s="116">
        <f t="shared" si="4"/>
        <v>2.1177748210762131</v>
      </c>
      <c r="P16" s="113">
        <f t="shared" si="0"/>
        <v>0.17559690052889862</v>
      </c>
      <c r="Q16" s="116">
        <f t="shared" si="5"/>
        <v>11.115052688482718</v>
      </c>
      <c r="R16" s="116">
        <f t="shared" si="3"/>
        <v>6.9852371987851205</v>
      </c>
      <c r="T16" s="97" t="s">
        <v>57</v>
      </c>
      <c r="U16" s="135" t="s">
        <v>163</v>
      </c>
      <c r="V16" s="118">
        <v>1.4999999999999999E-2</v>
      </c>
    </row>
    <row r="17" spans="1:24" x14ac:dyDescent="0.25">
      <c r="A17" s="3">
        <v>2034</v>
      </c>
      <c r="B17" s="93"/>
      <c r="C17" s="111">
        <v>1048.1637404494079</v>
      </c>
      <c r="D17" s="111">
        <v>30</v>
      </c>
      <c r="E17" s="116">
        <v>145.19999999999999</v>
      </c>
      <c r="F17" s="116">
        <v>82.129084355335962</v>
      </c>
      <c r="G17" s="116">
        <v>96.850861556743922</v>
      </c>
      <c r="H17" s="116">
        <v>96.850861556743922</v>
      </c>
      <c r="I17" s="115">
        <v>0.25</v>
      </c>
      <c r="J17" s="115">
        <v>0.75</v>
      </c>
      <c r="K17" s="115">
        <v>0</v>
      </c>
      <c r="L17" s="116">
        <v>96</v>
      </c>
      <c r="M17" s="115">
        <v>0.2</v>
      </c>
      <c r="O17" s="116">
        <f t="shared" si="4"/>
        <v>2.2554301844461668</v>
      </c>
      <c r="P17" s="113">
        <f t="shared" si="0"/>
        <v>0.17735286953418761</v>
      </c>
      <c r="Q17" s="116">
        <f t="shared" si="5"/>
        <v>11.281778478809958</v>
      </c>
      <c r="R17" s="116">
        <f t="shared" si="3"/>
        <v>7.0900157567668964</v>
      </c>
      <c r="T17" s="20"/>
      <c r="U17" s="19"/>
    </row>
    <row r="18" spans="1:24" x14ac:dyDescent="0.25">
      <c r="A18" s="3">
        <v>2035</v>
      </c>
      <c r="B18" s="93"/>
      <c r="C18" s="111">
        <v>1098.3388656873599</v>
      </c>
      <c r="D18" s="111">
        <v>30</v>
      </c>
      <c r="E18" s="116">
        <v>145.19999999999999</v>
      </c>
      <c r="F18" s="116">
        <v>79.663397593653329</v>
      </c>
      <c r="G18" s="116">
        <v>102.10932857991679</v>
      </c>
      <c r="H18" s="116">
        <v>102.10932857991679</v>
      </c>
      <c r="I18" s="115">
        <v>0</v>
      </c>
      <c r="J18" s="115">
        <v>0</v>
      </c>
      <c r="K18" s="115">
        <v>1</v>
      </c>
      <c r="L18" s="116">
        <v>99.6</v>
      </c>
      <c r="M18" s="115">
        <v>0.2</v>
      </c>
      <c r="O18" s="116">
        <f t="shared" si="4"/>
        <v>2.4020331464351674</v>
      </c>
      <c r="P18" s="113">
        <f t="shared" si="0"/>
        <v>0.17912639822952947</v>
      </c>
      <c r="Q18" s="116">
        <f t="shared" si="5"/>
        <v>11.451005155992107</v>
      </c>
      <c r="R18" s="116">
        <f t="shared" si="3"/>
        <v>7.1963659931183992</v>
      </c>
      <c r="T18" s="274" t="s">
        <v>273</v>
      </c>
      <c r="U18" s="275"/>
      <c r="V18" s="135" t="s">
        <v>161</v>
      </c>
      <c r="W18" s="120">
        <v>2027</v>
      </c>
    </row>
    <row r="19" spans="1:24" x14ac:dyDescent="0.25">
      <c r="A19" s="3">
        <v>2036</v>
      </c>
      <c r="B19" s="93"/>
      <c r="C19" s="111">
        <v>1151.8040229094081</v>
      </c>
      <c r="D19" s="111">
        <v>30</v>
      </c>
      <c r="E19" s="116">
        <v>145.19999999999999</v>
      </c>
      <c r="F19" s="116">
        <v>79.118927060078235</v>
      </c>
      <c r="G19" s="116">
        <v>105.1726084373143</v>
      </c>
      <c r="H19" s="116">
        <v>105.1726084373143</v>
      </c>
      <c r="I19" s="115">
        <v>0</v>
      </c>
      <c r="J19" s="115">
        <v>0</v>
      </c>
      <c r="K19" s="115">
        <v>1</v>
      </c>
      <c r="L19" s="116">
        <v>99.6</v>
      </c>
      <c r="M19" s="115">
        <v>0.2</v>
      </c>
      <c r="O19" s="116">
        <f t="shared" si="4"/>
        <v>2.5581653009534531</v>
      </c>
      <c r="P19" s="113">
        <f t="shared" si="0"/>
        <v>0.18091766221182476</v>
      </c>
      <c r="Q19" s="116">
        <f t="shared" si="5"/>
        <v>11.622770233331988</v>
      </c>
      <c r="R19" s="116">
        <f t="shared" si="3"/>
        <v>7.3043114830151747</v>
      </c>
      <c r="T19" s="276"/>
      <c r="U19" s="277"/>
      <c r="V19" s="91" t="s">
        <v>57</v>
      </c>
      <c r="W19" s="120">
        <v>2027</v>
      </c>
      <c r="X19" s="30"/>
    </row>
    <row r="20" spans="1:24" x14ac:dyDescent="0.25">
      <c r="A20" s="3">
        <v>2037</v>
      </c>
      <c r="B20" s="93"/>
      <c r="C20" s="111">
        <v>1205.2691801314561</v>
      </c>
      <c r="D20" s="111">
        <v>30</v>
      </c>
      <c r="E20" s="116">
        <v>145.19999999999999</v>
      </c>
      <c r="F20" s="116">
        <v>77.898792718991899</v>
      </c>
      <c r="G20" s="116">
        <v>108.32778669043373</v>
      </c>
      <c r="H20" s="116">
        <v>108.32778669043373</v>
      </c>
      <c r="I20" s="115">
        <v>0</v>
      </c>
      <c r="J20" s="115">
        <v>0</v>
      </c>
      <c r="K20" s="115">
        <v>1</v>
      </c>
      <c r="L20" s="116">
        <v>99.6</v>
      </c>
      <c r="M20" s="115">
        <v>0.2</v>
      </c>
      <c r="O20" s="116">
        <f t="shared" si="4"/>
        <v>2.7244460455154274</v>
      </c>
      <c r="P20" s="113">
        <f t="shared" si="0"/>
        <v>0.182726838833943</v>
      </c>
      <c r="Q20" s="116">
        <f t="shared" si="5"/>
        <v>11.797111786831966</v>
      </c>
      <c r="R20" s="116">
        <f t="shared" si="3"/>
        <v>7.413876155260402</v>
      </c>
      <c r="T20" s="30"/>
      <c r="U20" s="30"/>
      <c r="V20" s="30"/>
      <c r="W20" s="30"/>
      <c r="X20" s="30"/>
    </row>
    <row r="21" spans="1:24" x14ac:dyDescent="0.25">
      <c r="A21" s="3">
        <v>2038</v>
      </c>
      <c r="B21" s="93"/>
      <c r="C21" s="111">
        <v>1258.7343373535041</v>
      </c>
      <c r="D21" s="111">
        <v>30</v>
      </c>
      <c r="E21" s="116">
        <v>145.19999999999999</v>
      </c>
      <c r="F21" s="116">
        <v>75.856043015696542</v>
      </c>
      <c r="G21" s="116">
        <v>111.57762029114674</v>
      </c>
      <c r="H21" s="116">
        <v>111.57762029114674</v>
      </c>
      <c r="I21" s="115">
        <v>0</v>
      </c>
      <c r="J21" s="115">
        <v>0</v>
      </c>
      <c r="K21" s="115">
        <v>1</v>
      </c>
      <c r="L21" s="116">
        <v>99.6</v>
      </c>
      <c r="M21" s="115">
        <v>0.2</v>
      </c>
      <c r="O21" s="116">
        <f t="shared" si="4"/>
        <v>2.9015350384739298</v>
      </c>
      <c r="P21" s="113">
        <f t="shared" si="0"/>
        <v>0.18455410722228244</v>
      </c>
      <c r="Q21" s="116">
        <f t="shared" si="5"/>
        <v>11.974068463634444</v>
      </c>
      <c r="R21" s="116">
        <f t="shared" si="3"/>
        <v>7.5250842975893075</v>
      </c>
      <c r="T21" s="20"/>
      <c r="U21" s="19"/>
    </row>
    <row r="22" spans="1:24" x14ac:dyDescent="0.25">
      <c r="A22" s="3">
        <v>2039</v>
      </c>
      <c r="B22" s="93"/>
      <c r="C22" s="111">
        <v>1312.1994945755523</v>
      </c>
      <c r="D22" s="111">
        <v>30</v>
      </c>
      <c r="E22" s="116">
        <v>145.19999999999999</v>
      </c>
      <c r="F22" s="116">
        <v>76.928505686263392</v>
      </c>
      <c r="G22" s="116">
        <v>114.92494889988114</v>
      </c>
      <c r="H22" s="116">
        <v>114.92494889988114</v>
      </c>
      <c r="I22" s="115">
        <v>0</v>
      </c>
      <c r="J22" s="115">
        <v>0</v>
      </c>
      <c r="K22" s="115">
        <v>1</v>
      </c>
      <c r="L22" s="116">
        <v>99.6</v>
      </c>
      <c r="M22" s="115">
        <v>0.2</v>
      </c>
      <c r="O22" s="116">
        <f t="shared" si="4"/>
        <v>3.0901348159747353</v>
      </c>
      <c r="P22" s="113">
        <f t="shared" si="0"/>
        <v>0.18639964829450525</v>
      </c>
      <c r="Q22" s="116">
        <f t="shared" si="5"/>
        <v>12.15367949058896</v>
      </c>
      <c r="R22" s="116">
        <f t="shared" si="3"/>
        <v>7.6379605620531468</v>
      </c>
      <c r="T22" s="20"/>
      <c r="U22" s="19"/>
    </row>
    <row r="23" spans="1:24" x14ac:dyDescent="0.25">
      <c r="A23" s="3">
        <v>2040</v>
      </c>
      <c r="B23" s="93"/>
      <c r="C23" s="111">
        <v>1365.6646517975998</v>
      </c>
      <c r="D23" s="111">
        <v>30</v>
      </c>
      <c r="E23" s="116">
        <v>145.19999999999999</v>
      </c>
      <c r="F23" s="116">
        <v>76.176255323742211</v>
      </c>
      <c r="G23" s="116">
        <v>118.37269736687757</v>
      </c>
      <c r="H23" s="116">
        <v>118.37269736687757</v>
      </c>
      <c r="I23" s="115">
        <v>0</v>
      </c>
      <c r="J23" s="115">
        <v>0</v>
      </c>
      <c r="K23" s="115">
        <v>1</v>
      </c>
      <c r="L23" s="116">
        <v>99.6</v>
      </c>
      <c r="M23" s="115">
        <v>0.2</v>
      </c>
      <c r="O23" s="116">
        <f t="shared" si="4"/>
        <v>3.2909935790130929</v>
      </c>
      <c r="P23" s="113">
        <f t="shared" si="0"/>
        <v>0.18826364477745031</v>
      </c>
      <c r="Q23" s="116">
        <f t="shared" si="5"/>
        <v>12.335984682947792</v>
      </c>
      <c r="R23" s="116">
        <f t="shared" si="3"/>
        <v>7.752529970483943</v>
      </c>
      <c r="T23" s="20"/>
      <c r="U23" s="19"/>
    </row>
    <row r="24" spans="1:24" x14ac:dyDescent="0.25">
      <c r="A24" s="3">
        <v>2041</v>
      </c>
      <c r="B24" s="93"/>
      <c r="C24" s="111">
        <v>1377.0205274437919</v>
      </c>
      <c r="D24" s="111">
        <v>29</v>
      </c>
      <c r="E24" s="116">
        <v>145.19999999999999</v>
      </c>
      <c r="F24" s="116">
        <v>73.04989018996072</v>
      </c>
      <c r="G24" s="116">
        <v>121.92387828788389</v>
      </c>
      <c r="H24" s="116">
        <v>121.92387828788389</v>
      </c>
      <c r="I24" s="115">
        <v>0</v>
      </c>
      <c r="J24" s="115">
        <v>0</v>
      </c>
      <c r="K24" s="115">
        <v>1</v>
      </c>
      <c r="L24" s="116">
        <v>99.6</v>
      </c>
      <c r="M24" s="115">
        <v>0.2</v>
      </c>
      <c r="O24" s="116">
        <f t="shared" si="4"/>
        <v>3.5049081616489439</v>
      </c>
      <c r="P24" s="113">
        <f t="shared" si="0"/>
        <v>0.19014628122522481</v>
      </c>
      <c r="Q24" s="116">
        <f t="shared" si="5"/>
        <v>12.521024453192007</v>
      </c>
      <c r="R24" s="116">
        <f t="shared" si="3"/>
        <v>7.8688179200412014</v>
      </c>
      <c r="T24" s="20"/>
      <c r="U24" s="19"/>
    </row>
    <row r="25" spans="1:24" x14ac:dyDescent="0.25">
      <c r="A25" s="3">
        <v>2042</v>
      </c>
      <c r="B25" s="93"/>
      <c r="C25" s="111">
        <v>1388.376403089984</v>
      </c>
      <c r="D25" s="111">
        <v>28</v>
      </c>
      <c r="E25" s="116">
        <v>145.19999999999999</v>
      </c>
      <c r="F25" s="116">
        <v>69.814649716905976</v>
      </c>
      <c r="G25" s="116">
        <v>125.58159463652041</v>
      </c>
      <c r="H25" s="116">
        <v>125.58159463652041</v>
      </c>
      <c r="I25" s="115">
        <v>0</v>
      </c>
      <c r="J25" s="115">
        <v>0</v>
      </c>
      <c r="K25" s="115">
        <v>1</v>
      </c>
      <c r="L25" s="116">
        <v>99.6</v>
      </c>
      <c r="M25" s="115">
        <v>0.2</v>
      </c>
      <c r="O25" s="116">
        <f t="shared" si="4"/>
        <v>3.7327271921561249</v>
      </c>
      <c r="P25" s="113">
        <f t="shared" si="0"/>
        <v>0.19204774403747707</v>
      </c>
      <c r="Q25" s="116">
        <f t="shared" si="5"/>
        <v>12.708839819989887</v>
      </c>
      <c r="R25" s="116">
        <f t="shared" si="3"/>
        <v>7.9868501888418191</v>
      </c>
      <c r="T25" s="20"/>
      <c r="U25" s="19"/>
    </row>
    <row r="26" spans="1:24" x14ac:dyDescent="0.25">
      <c r="A26" s="3">
        <v>2043</v>
      </c>
      <c r="B26" s="93"/>
      <c r="C26" s="111">
        <v>1399.7322787361761</v>
      </c>
      <c r="D26" s="111">
        <v>27</v>
      </c>
      <c r="E26" s="116">
        <v>145.19999999999999</v>
      </c>
      <c r="F26" s="116">
        <v>67.186225809119023</v>
      </c>
      <c r="G26" s="116">
        <v>129.34904247561602</v>
      </c>
      <c r="H26" s="116">
        <v>129.34904247561602</v>
      </c>
      <c r="I26" s="115">
        <v>0</v>
      </c>
      <c r="J26" s="115">
        <v>0</v>
      </c>
      <c r="K26" s="115">
        <v>1</v>
      </c>
      <c r="L26" s="116">
        <v>99.6</v>
      </c>
      <c r="M26" s="115">
        <v>0.2</v>
      </c>
      <c r="O26" s="116">
        <f t="shared" si="4"/>
        <v>3.9753544596462729</v>
      </c>
      <c r="P26" s="113">
        <f t="shared" si="0"/>
        <v>0.19396822147785184</v>
      </c>
      <c r="Q26" s="116">
        <f t="shared" si="5"/>
        <v>12.899472417289735</v>
      </c>
      <c r="R26" s="116">
        <f t="shared" si="3"/>
        <v>8.1066529416744455</v>
      </c>
      <c r="T26" s="20"/>
      <c r="U26" s="19"/>
    </row>
    <row r="27" spans="1:24" x14ac:dyDescent="0.25">
      <c r="A27" s="3">
        <v>2044</v>
      </c>
      <c r="B27" s="93"/>
      <c r="C27" s="111">
        <v>1411.0881543823682</v>
      </c>
      <c r="D27" s="111">
        <v>26</v>
      </c>
      <c r="E27" s="116">
        <v>145.19999999999999</v>
      </c>
      <c r="F27" s="116">
        <v>64.062712142877842</v>
      </c>
      <c r="G27" s="116">
        <v>133.22951374988449</v>
      </c>
      <c r="H27" s="116">
        <v>133.22951374988449</v>
      </c>
      <c r="I27" s="115">
        <v>0</v>
      </c>
      <c r="J27" s="115">
        <v>0</v>
      </c>
      <c r="K27" s="115">
        <v>1</v>
      </c>
      <c r="L27" s="116">
        <v>99.6</v>
      </c>
      <c r="M27" s="115">
        <v>0.2</v>
      </c>
      <c r="O27" s="116">
        <f t="shared" si="4"/>
        <v>4.2337524995232805</v>
      </c>
      <c r="P27" s="113">
        <f t="shared" si="0"/>
        <v>0.19590790369263036</v>
      </c>
      <c r="Q27" s="116">
        <f t="shared" si="5"/>
        <v>13.09296450354908</v>
      </c>
      <c r="R27" s="116">
        <f t="shared" si="3"/>
        <v>8.2282527357995612</v>
      </c>
      <c r="T27" s="20"/>
      <c r="U27" s="19"/>
    </row>
    <row r="28" spans="1:24" x14ac:dyDescent="0.25">
      <c r="A28" s="3">
        <v>2045</v>
      </c>
      <c r="B28" s="93"/>
      <c r="C28" s="111">
        <v>1422.4440300285598</v>
      </c>
      <c r="D28" s="111">
        <v>25</v>
      </c>
      <c r="E28" s="116">
        <v>145.19999999999999</v>
      </c>
      <c r="F28" s="116">
        <v>63.233466559319417</v>
      </c>
      <c r="G28" s="116">
        <v>137.22639916238103</v>
      </c>
      <c r="H28" s="116">
        <v>137.22639916238103</v>
      </c>
      <c r="I28" s="115">
        <v>0</v>
      </c>
      <c r="J28" s="115">
        <v>0</v>
      </c>
      <c r="K28" s="115">
        <v>1</v>
      </c>
      <c r="L28" s="116">
        <v>99.6</v>
      </c>
      <c r="M28" s="115">
        <v>0.2</v>
      </c>
      <c r="O28" s="116">
        <f t="shared" si="4"/>
        <v>4.5089464119922935</v>
      </c>
      <c r="P28" s="113">
        <f t="shared" si="0"/>
        <v>0.19786698272955666</v>
      </c>
      <c r="Q28" s="116">
        <f t="shared" si="5"/>
        <v>13.289358971102315</v>
      </c>
      <c r="R28" s="116">
        <f t="shared" si="3"/>
        <v>8.3516765268365543</v>
      </c>
      <c r="T28" s="20"/>
      <c r="U28" s="19"/>
    </row>
    <row r="29" spans="1:24" x14ac:dyDescent="0.25">
      <c r="A29" s="3">
        <v>2046</v>
      </c>
      <c r="B29" s="93"/>
      <c r="C29" s="111">
        <v>1423.4691371614558</v>
      </c>
      <c r="D29" s="111">
        <v>24</v>
      </c>
      <c r="E29" s="116">
        <v>145.19999999999999</v>
      </c>
      <c r="F29" s="116">
        <v>62.039481801846094</v>
      </c>
      <c r="G29" s="116">
        <v>141.34319113725246</v>
      </c>
      <c r="H29" s="116">
        <v>141.34319113725246</v>
      </c>
      <c r="I29" s="115">
        <v>0</v>
      </c>
      <c r="J29" s="115">
        <v>0</v>
      </c>
      <c r="K29" s="115">
        <v>1</v>
      </c>
      <c r="L29" s="116">
        <v>99.6</v>
      </c>
      <c r="M29" s="115">
        <v>0.2</v>
      </c>
      <c r="O29" s="116">
        <f t="shared" si="4"/>
        <v>4.8020279287717926</v>
      </c>
      <c r="P29" s="113">
        <f t="shared" si="0"/>
        <v>0.19984565255685224</v>
      </c>
      <c r="Q29" s="116">
        <f t="shared" si="5"/>
        <v>13.488699355668848</v>
      </c>
      <c r="R29" s="116">
        <f t="shared" si="3"/>
        <v>8.4769516747391016</v>
      </c>
      <c r="T29" s="20"/>
      <c r="U29" s="19"/>
    </row>
    <row r="30" spans="1:24" x14ac:dyDescent="0.25">
      <c r="A30" s="3">
        <v>2047</v>
      </c>
      <c r="B30" s="93"/>
      <c r="C30" s="111">
        <v>1424.494244294352</v>
      </c>
      <c r="D30" s="111">
        <v>23</v>
      </c>
      <c r="E30" s="116">
        <v>145.19999999999999</v>
      </c>
      <c r="F30" s="116">
        <v>59.789880133094933</v>
      </c>
      <c r="G30" s="116">
        <v>145.58348687137004</v>
      </c>
      <c r="H30" s="116">
        <v>145.58348687137004</v>
      </c>
      <c r="I30" s="115">
        <v>0</v>
      </c>
      <c r="J30" s="115">
        <v>0</v>
      </c>
      <c r="K30" s="115">
        <v>1</v>
      </c>
      <c r="L30" s="116">
        <v>99.6</v>
      </c>
      <c r="M30" s="115">
        <v>0.2</v>
      </c>
      <c r="O30" s="116">
        <f t="shared" si="4"/>
        <v>5.1141597441419586</v>
      </c>
      <c r="P30" s="113">
        <f t="shared" si="0"/>
        <v>0.20184410908242076</v>
      </c>
      <c r="Q30" s="116">
        <f t="shared" si="5"/>
        <v>13.691029846003879</v>
      </c>
      <c r="R30" s="116">
        <f t="shared" si="3"/>
        <v>8.6041059498601875</v>
      </c>
      <c r="T30" s="20"/>
      <c r="U30" s="19"/>
    </row>
    <row r="31" spans="1:24" x14ac:dyDescent="0.25">
      <c r="A31" s="3">
        <v>2048</v>
      </c>
      <c r="B31" s="93"/>
      <c r="C31" s="111">
        <v>1425.519351427248</v>
      </c>
      <c r="D31" s="111">
        <v>22</v>
      </c>
      <c r="E31" s="116">
        <v>145.19999999999999</v>
      </c>
      <c r="F31" s="116">
        <v>60.700500891293665</v>
      </c>
      <c r="G31" s="116">
        <v>149.95099147751114</v>
      </c>
      <c r="H31" s="116">
        <v>149.95099147751114</v>
      </c>
      <c r="I31" s="115">
        <v>0</v>
      </c>
      <c r="J31" s="115">
        <v>0</v>
      </c>
      <c r="K31" s="115">
        <v>1</v>
      </c>
      <c r="L31" s="116">
        <v>99.6</v>
      </c>
      <c r="M31" s="115">
        <v>0.2</v>
      </c>
      <c r="O31" s="116">
        <f t="shared" si="4"/>
        <v>5.4465801275111856</v>
      </c>
      <c r="P31" s="113">
        <f t="shared" si="0"/>
        <v>0.20386255017324498</v>
      </c>
      <c r="Q31" s="116">
        <f t="shared" si="5"/>
        <v>13.896395293693935</v>
      </c>
      <c r="R31" s="116">
        <f t="shared" si="3"/>
        <v>8.7331675391080896</v>
      </c>
      <c r="T31" s="20"/>
      <c r="U31" s="19"/>
    </row>
    <row r="32" spans="1:24" x14ac:dyDescent="0.25">
      <c r="A32" s="3">
        <v>2049</v>
      </c>
      <c r="B32" s="93"/>
      <c r="C32" s="111">
        <v>1426.544458560144</v>
      </c>
      <c r="D32" s="111">
        <v>21</v>
      </c>
      <c r="E32" s="116">
        <v>145.19999999999999</v>
      </c>
      <c r="F32" s="116">
        <v>56.761432889547287</v>
      </c>
      <c r="G32" s="116">
        <v>154.44952122183648</v>
      </c>
      <c r="H32" s="116">
        <v>154.44952122183648</v>
      </c>
      <c r="I32" s="115">
        <v>0</v>
      </c>
      <c r="J32" s="115">
        <v>0</v>
      </c>
      <c r="K32" s="115">
        <v>1</v>
      </c>
      <c r="L32" s="116">
        <v>99.6</v>
      </c>
      <c r="M32" s="115">
        <v>0.2</v>
      </c>
      <c r="O32" s="116">
        <f t="shared" si="4"/>
        <v>5.8006078357994122</v>
      </c>
      <c r="P32" s="113">
        <f t="shared" si="0"/>
        <v>0.20590117567497743</v>
      </c>
      <c r="Q32" s="116">
        <f t="shared" si="5"/>
        <v>14.104841223099342</v>
      </c>
      <c r="R32" s="116">
        <f t="shared" si="3"/>
        <v>8.8641650521947106</v>
      </c>
      <c r="T32" s="20"/>
      <c r="U32" s="19"/>
    </row>
    <row r="33" spans="1:21" x14ac:dyDescent="0.25">
      <c r="A33" s="3">
        <v>2050</v>
      </c>
      <c r="B33" s="93"/>
      <c r="C33" s="111">
        <v>1427.56956569304</v>
      </c>
      <c r="D33" s="111">
        <v>20</v>
      </c>
      <c r="E33" s="116">
        <v>145.19999999999999</v>
      </c>
      <c r="F33" s="116">
        <v>54.465934743655353</v>
      </c>
      <c r="G33" s="116">
        <v>159.08300685849156</v>
      </c>
      <c r="H33" s="116">
        <v>159.08300685849156</v>
      </c>
      <c r="I33" s="115">
        <v>0</v>
      </c>
      <c r="J33" s="115">
        <v>0</v>
      </c>
      <c r="K33" s="115">
        <v>1</v>
      </c>
      <c r="L33" s="116">
        <v>99.6</v>
      </c>
      <c r="M33" s="115">
        <v>0.2</v>
      </c>
      <c r="O33" s="116">
        <f t="shared" si="4"/>
        <v>6.177647345126374</v>
      </c>
      <c r="P33" s="113">
        <f t="shared" si="0"/>
        <v>0.2079601874317272</v>
      </c>
      <c r="Q33" s="116">
        <f t="shared" si="5"/>
        <v>14.316413841445831</v>
      </c>
      <c r="R33" s="116">
        <f t="shared" si="3"/>
        <v>8.9971275279776304</v>
      </c>
      <c r="T33" s="20"/>
      <c r="U33" s="19"/>
    </row>
    <row r="34" spans="1:21" x14ac:dyDescent="0.25">
      <c r="A34" s="3">
        <v>2051</v>
      </c>
      <c r="B34" s="93"/>
      <c r="C34" s="111">
        <v>1427.56956569304</v>
      </c>
      <c r="D34" s="111">
        <v>20</v>
      </c>
      <c r="E34" s="116">
        <v>145.19999999999999</v>
      </c>
      <c r="F34" s="116">
        <v>54.465934743655353</v>
      </c>
      <c r="G34" s="116">
        <v>159.08300685849156</v>
      </c>
      <c r="H34" s="116">
        <v>159.08300685849156</v>
      </c>
      <c r="I34" s="115">
        <v>0</v>
      </c>
      <c r="J34" s="115">
        <v>0</v>
      </c>
      <c r="K34" s="115">
        <v>1</v>
      </c>
      <c r="L34" s="116">
        <v>99.6</v>
      </c>
      <c r="M34" s="115">
        <v>0.2</v>
      </c>
      <c r="O34" s="116">
        <f t="shared" si="4"/>
        <v>6.5791944225595884</v>
      </c>
      <c r="P34" s="113">
        <f t="shared" si="0"/>
        <v>0.21003978930604447</v>
      </c>
      <c r="Q34" s="116">
        <f t="shared" si="5"/>
        <v>14.531160049067518</v>
      </c>
      <c r="R34" s="116">
        <f t="shared" si="3"/>
        <v>9.1320844408972945</v>
      </c>
      <c r="T34" s="20"/>
      <c r="U34" s="19"/>
    </row>
    <row r="35" spans="1:21" x14ac:dyDescent="0.25">
      <c r="A35" s="3">
        <v>2052</v>
      </c>
      <c r="B35" s="93"/>
      <c r="C35" s="111">
        <v>1427.56956569304</v>
      </c>
      <c r="D35" s="111">
        <v>20</v>
      </c>
      <c r="E35" s="116">
        <v>145.19999999999999</v>
      </c>
      <c r="F35" s="116">
        <v>54.465934743655353</v>
      </c>
      <c r="G35" s="116">
        <v>159.08300685849156</v>
      </c>
      <c r="H35" s="116">
        <v>159.08300685849156</v>
      </c>
      <c r="I35" s="115">
        <v>0</v>
      </c>
      <c r="J35" s="115">
        <v>0</v>
      </c>
      <c r="K35" s="115">
        <v>1</v>
      </c>
      <c r="L35" s="116">
        <v>99.6</v>
      </c>
      <c r="M35" s="115">
        <v>0.2</v>
      </c>
      <c r="O35" s="116">
        <f t="shared" si="4"/>
        <v>7.0068420600259609</v>
      </c>
      <c r="P35" s="113">
        <f t="shared" si="0"/>
        <v>0.21214018719910491</v>
      </c>
      <c r="Q35" s="116">
        <f t="shared" si="5"/>
        <v>14.749127449803529</v>
      </c>
      <c r="R35" s="116">
        <f t="shared" si="3"/>
        <v>9.2690657075107534</v>
      </c>
      <c r="T35" s="20"/>
      <c r="U35" s="19"/>
    </row>
    <row r="36" spans="1:21" x14ac:dyDescent="0.25">
      <c r="A36" s="3">
        <v>2053</v>
      </c>
      <c r="B36" s="93"/>
      <c r="C36" s="111">
        <v>1427.56956569304</v>
      </c>
      <c r="D36" s="111">
        <v>20</v>
      </c>
      <c r="E36" s="116">
        <v>145.19999999999999</v>
      </c>
      <c r="F36" s="116">
        <v>54.465934743655353</v>
      </c>
      <c r="G36" s="116">
        <v>159.08300685849156</v>
      </c>
      <c r="H36" s="116">
        <v>159.08300685849156</v>
      </c>
      <c r="I36" s="115">
        <v>0</v>
      </c>
      <c r="J36" s="115">
        <v>0</v>
      </c>
      <c r="K36" s="115">
        <v>1</v>
      </c>
      <c r="L36" s="116">
        <v>99.6</v>
      </c>
      <c r="M36" s="115">
        <v>0.2</v>
      </c>
      <c r="O36" s="116">
        <f t="shared" si="4"/>
        <v>7.4622867939276478</v>
      </c>
      <c r="P36" s="113">
        <f t="shared" si="0"/>
        <v>0.21426158907109596</v>
      </c>
      <c r="Q36" s="116">
        <f t="shared" si="5"/>
        <v>14.970364361550581</v>
      </c>
      <c r="R36" s="116">
        <f t="shared" si="3"/>
        <v>9.4081016931234132</v>
      </c>
      <c r="T36" s="20"/>
      <c r="U36" s="19"/>
    </row>
    <row r="37" spans="1:21" x14ac:dyDescent="0.25">
      <c r="A37" s="3">
        <v>2054</v>
      </c>
      <c r="B37" s="93"/>
      <c r="C37" s="111">
        <v>1427.56956569304</v>
      </c>
      <c r="D37" s="111">
        <v>20</v>
      </c>
      <c r="E37" s="116">
        <v>145.19999999999999</v>
      </c>
      <c r="F37" s="116">
        <v>54.465934743655353</v>
      </c>
      <c r="G37" s="116">
        <v>159.08300685849156</v>
      </c>
      <c r="H37" s="116">
        <v>159.08300685849156</v>
      </c>
      <c r="I37" s="115">
        <v>0</v>
      </c>
      <c r="J37" s="115">
        <v>0</v>
      </c>
      <c r="K37" s="115">
        <v>1</v>
      </c>
      <c r="L37" s="116">
        <v>99.6</v>
      </c>
      <c r="M37" s="115">
        <v>0.2</v>
      </c>
      <c r="O37" s="116">
        <f t="shared" si="4"/>
        <v>7.6666666666666661</v>
      </c>
      <c r="P37" s="113">
        <f t="shared" si="0"/>
        <v>0.21640420496180693</v>
      </c>
      <c r="Q37" s="116">
        <f t="shared" si="5"/>
        <v>15.194919826973839</v>
      </c>
      <c r="R37" s="116">
        <f t="shared" si="3"/>
        <v>9.5492232185202628</v>
      </c>
      <c r="T37" s="20"/>
      <c r="U37" s="19"/>
    </row>
    <row r="38" spans="1:21" x14ac:dyDescent="0.25">
      <c r="A38" s="3">
        <v>2055</v>
      </c>
      <c r="B38" s="93"/>
      <c r="C38" s="111">
        <v>1427.56956569304</v>
      </c>
      <c r="D38" s="111">
        <v>20</v>
      </c>
      <c r="E38" s="116">
        <v>145.19999999999999</v>
      </c>
      <c r="F38" s="116">
        <v>54.465934743655353</v>
      </c>
      <c r="G38" s="116">
        <v>159.08300685849156</v>
      </c>
      <c r="H38" s="116">
        <v>159.08300685849156</v>
      </c>
      <c r="I38" s="115">
        <v>0</v>
      </c>
      <c r="J38" s="115">
        <v>0</v>
      </c>
      <c r="K38" s="115">
        <v>1</v>
      </c>
      <c r="L38" s="116">
        <v>99.6</v>
      </c>
      <c r="M38" s="115">
        <v>0.2</v>
      </c>
      <c r="O38" s="116">
        <f t="shared" si="4"/>
        <v>7.6666666666666661</v>
      </c>
      <c r="P38" s="113">
        <f t="shared" si="0"/>
        <v>0.21856824701142499</v>
      </c>
      <c r="Q38" s="116">
        <f t="shared" si="5"/>
        <v>15.422843624378446</v>
      </c>
      <c r="R38" s="116">
        <f t="shared" si="3"/>
        <v>9.692461566798066</v>
      </c>
      <c r="T38" s="20"/>
      <c r="U38" s="19"/>
    </row>
    <row r="39" spans="1:21" x14ac:dyDescent="0.25">
      <c r="A39" s="3">
        <v>2056</v>
      </c>
      <c r="B39" s="93"/>
      <c r="C39" s="111">
        <v>1427.56956569304</v>
      </c>
      <c r="D39" s="111">
        <v>20</v>
      </c>
      <c r="E39" s="116">
        <v>145.19999999999999</v>
      </c>
      <c r="F39" s="116">
        <v>54.465934743655353</v>
      </c>
      <c r="G39" s="116">
        <v>159.08300685849156</v>
      </c>
      <c r="H39" s="116">
        <v>159.08300685849156</v>
      </c>
      <c r="I39" s="115">
        <v>0</v>
      </c>
      <c r="J39" s="115">
        <v>0</v>
      </c>
      <c r="K39" s="115">
        <v>1</v>
      </c>
      <c r="L39" s="116">
        <v>99.6</v>
      </c>
      <c r="M39" s="115">
        <v>0.2</v>
      </c>
      <c r="O39" s="116">
        <f t="shared" si="4"/>
        <v>7.6666666666666661</v>
      </c>
      <c r="P39" s="113">
        <f t="shared" si="0"/>
        <v>0.22075392948153924</v>
      </c>
      <c r="Q39" s="116">
        <f t="shared" si="5"/>
        <v>15.654186278744122</v>
      </c>
      <c r="R39" s="116">
        <f t="shared" si="3"/>
        <v>9.8378484903000363</v>
      </c>
      <c r="T39" s="20"/>
      <c r="U39" s="19"/>
    </row>
    <row r="40" spans="1:21" x14ac:dyDescent="0.25">
      <c r="A40" s="3">
        <v>2057</v>
      </c>
      <c r="B40" s="93"/>
      <c r="C40" s="111">
        <v>1427.56956569304</v>
      </c>
      <c r="D40" s="111">
        <v>20</v>
      </c>
      <c r="E40" s="116">
        <v>145.19999999999999</v>
      </c>
      <c r="F40" s="116">
        <v>54.465934743655353</v>
      </c>
      <c r="G40" s="116">
        <v>159.08300685849156</v>
      </c>
      <c r="H40" s="116">
        <v>159.08300685849156</v>
      </c>
      <c r="I40" s="115">
        <v>0</v>
      </c>
      <c r="J40" s="115">
        <v>0</v>
      </c>
      <c r="K40" s="115">
        <v>1</v>
      </c>
      <c r="L40" s="116">
        <v>99.6</v>
      </c>
      <c r="M40" s="115">
        <v>0.2</v>
      </c>
      <c r="O40" s="116">
        <f t="shared" si="4"/>
        <v>7.6666666666666661</v>
      </c>
      <c r="P40" s="113">
        <f t="shared" si="0"/>
        <v>0.22296146877635464</v>
      </c>
      <c r="Q40" s="116">
        <f t="shared" si="5"/>
        <v>15.888999072925282</v>
      </c>
      <c r="R40" s="116">
        <f t="shared" si="3"/>
        <v>9.9854162176545351</v>
      </c>
      <c r="T40" s="20"/>
      <c r="U40" s="19"/>
    </row>
    <row r="41" spans="1:21" x14ac:dyDescent="0.25">
      <c r="A41" s="3">
        <v>2058</v>
      </c>
      <c r="B41" s="93"/>
      <c r="C41" s="111">
        <v>1427.56956569304</v>
      </c>
      <c r="D41" s="111">
        <v>20</v>
      </c>
      <c r="E41" s="116">
        <v>145.19999999999999</v>
      </c>
      <c r="F41" s="116">
        <v>54.465934743655353</v>
      </c>
      <c r="G41" s="116">
        <v>159.08300685849156</v>
      </c>
      <c r="H41" s="116">
        <v>159.08300685849156</v>
      </c>
      <c r="I41" s="115">
        <v>0</v>
      </c>
      <c r="J41" s="115">
        <v>0</v>
      </c>
      <c r="K41" s="115">
        <v>1</v>
      </c>
      <c r="L41" s="116">
        <v>99.6</v>
      </c>
      <c r="M41" s="115">
        <v>0.2</v>
      </c>
      <c r="O41" s="116">
        <f t="shared" si="4"/>
        <v>7.6666666666666661</v>
      </c>
      <c r="P41" s="113">
        <f t="shared" si="0"/>
        <v>0.2251910834641182</v>
      </c>
      <c r="Q41" s="116">
        <f t="shared" si="5"/>
        <v>16.127334059019159</v>
      </c>
      <c r="R41" s="116">
        <f t="shared" si="3"/>
        <v>10.135197460919352</v>
      </c>
      <c r="T41" s="20"/>
      <c r="U41" s="19"/>
    </row>
    <row r="42" spans="1:21" x14ac:dyDescent="0.25">
      <c r="A42" s="3">
        <v>2059</v>
      </c>
      <c r="B42" s="93"/>
      <c r="C42" s="111">
        <v>1427.56956569304</v>
      </c>
      <c r="D42" s="111">
        <v>20</v>
      </c>
      <c r="E42" s="116">
        <v>145.19999999999999</v>
      </c>
      <c r="F42" s="116">
        <v>54.465934743655353</v>
      </c>
      <c r="G42" s="116">
        <v>159.08300685849156</v>
      </c>
      <c r="H42" s="116">
        <v>159.08300685849156</v>
      </c>
      <c r="I42" s="115">
        <v>0</v>
      </c>
      <c r="J42" s="115">
        <v>0</v>
      </c>
      <c r="K42" s="115">
        <v>1</v>
      </c>
      <c r="L42" s="116">
        <v>99.6</v>
      </c>
      <c r="M42" s="115">
        <v>0.2</v>
      </c>
      <c r="O42" s="116">
        <f t="shared" si="4"/>
        <v>7.6666666666666661</v>
      </c>
      <c r="P42" s="113">
        <f t="shared" si="0"/>
        <v>0.22744299429875939</v>
      </c>
      <c r="Q42" s="116">
        <f t="shared" si="5"/>
        <v>16.369244069904443</v>
      </c>
      <c r="R42" s="116">
        <f t="shared" si="3"/>
        <v>10.287225422833142</v>
      </c>
      <c r="T42" s="20"/>
      <c r="U42" s="19"/>
    </row>
    <row r="43" spans="1:21" x14ac:dyDescent="0.25">
      <c r="A43" s="3">
        <v>2060</v>
      </c>
      <c r="B43" s="93"/>
      <c r="C43" s="111">
        <v>1427.56956569304</v>
      </c>
      <c r="D43" s="111">
        <v>20</v>
      </c>
      <c r="E43" s="116">
        <v>145.19999999999999</v>
      </c>
      <c r="F43" s="116">
        <v>54.465934743655353</v>
      </c>
      <c r="G43" s="116">
        <v>159.08300685849156</v>
      </c>
      <c r="H43" s="116">
        <v>159.08300685849156</v>
      </c>
      <c r="I43" s="115">
        <v>0</v>
      </c>
      <c r="J43" s="115">
        <v>0</v>
      </c>
      <c r="K43" s="115">
        <v>1</v>
      </c>
      <c r="L43" s="116">
        <v>99.6</v>
      </c>
      <c r="M43" s="115">
        <v>0.2</v>
      </c>
      <c r="O43" s="116">
        <f t="shared" si="4"/>
        <v>7.6666666666666661</v>
      </c>
      <c r="P43" s="113">
        <f t="shared" si="0"/>
        <v>0.22971742424174699</v>
      </c>
      <c r="Q43" s="116">
        <f t="shared" si="5"/>
        <v>16.61478273095301</v>
      </c>
      <c r="R43" s="116">
        <f t="shared" si="3"/>
        <v>10.441533804175638</v>
      </c>
      <c r="T43" s="20"/>
      <c r="U43" s="19"/>
    </row>
    <row r="44" spans="1:21" x14ac:dyDescent="0.25">
      <c r="A44" s="3">
        <v>2061</v>
      </c>
      <c r="B44" s="93"/>
      <c r="C44" s="111">
        <v>1427.56956569304</v>
      </c>
      <c r="D44" s="111">
        <v>20</v>
      </c>
      <c r="E44" s="116">
        <v>145.19999999999999</v>
      </c>
      <c r="F44" s="116">
        <v>54.465934743655353</v>
      </c>
      <c r="G44" s="116">
        <v>159.08300685849156</v>
      </c>
      <c r="H44" s="116">
        <v>159.08300685849156</v>
      </c>
      <c r="I44" s="115">
        <v>0</v>
      </c>
      <c r="J44" s="115">
        <v>0</v>
      </c>
      <c r="K44" s="115">
        <v>1</v>
      </c>
      <c r="L44" s="116">
        <v>99.6</v>
      </c>
      <c r="M44" s="115">
        <v>0.2</v>
      </c>
      <c r="O44" s="116">
        <f t="shared" si="4"/>
        <v>7.6666666666666661</v>
      </c>
      <c r="P44" s="113">
        <f t="shared" si="0"/>
        <v>0.23201459848416445</v>
      </c>
      <c r="Q44" s="116">
        <f t="shared" si="5"/>
        <v>16.726666666666667</v>
      </c>
      <c r="R44" s="116">
        <f t="shared" si="3"/>
        <v>10.598156811238271</v>
      </c>
      <c r="T44" s="20"/>
      <c r="U44" s="19"/>
    </row>
    <row r="45" spans="1:21" x14ac:dyDescent="0.25">
      <c r="A45" s="3">
        <v>2062</v>
      </c>
      <c r="B45" s="93"/>
      <c r="C45" s="111">
        <v>1427.56956569304</v>
      </c>
      <c r="D45" s="111">
        <v>20</v>
      </c>
      <c r="E45" s="116">
        <v>145.19999999999999</v>
      </c>
      <c r="F45" s="116">
        <v>54.465934743655353</v>
      </c>
      <c r="G45" s="116">
        <v>159.08300685849156</v>
      </c>
      <c r="H45" s="116">
        <v>159.08300685849156</v>
      </c>
      <c r="I45" s="115">
        <v>0</v>
      </c>
      <c r="J45" s="115">
        <v>0</v>
      </c>
      <c r="K45" s="115">
        <v>1</v>
      </c>
      <c r="L45" s="116">
        <v>99.6</v>
      </c>
      <c r="M45" s="115">
        <v>0.2</v>
      </c>
      <c r="O45" s="116">
        <f t="shared" si="4"/>
        <v>7.6666666666666661</v>
      </c>
      <c r="P45" s="113">
        <f t="shared" si="0"/>
        <v>0.2343347444690061</v>
      </c>
      <c r="Q45" s="116">
        <f t="shared" si="5"/>
        <v>16.726666666666667</v>
      </c>
      <c r="R45" s="116">
        <f t="shared" si="3"/>
        <v>10.757129163406844</v>
      </c>
      <c r="T45" s="20"/>
      <c r="U45" s="19"/>
    </row>
    <row r="46" spans="1:21" x14ac:dyDescent="0.25">
      <c r="A46" s="3">
        <v>2063</v>
      </c>
      <c r="B46" s="93"/>
      <c r="C46" s="111">
        <v>1427.56956569304</v>
      </c>
      <c r="D46" s="111">
        <v>20</v>
      </c>
      <c r="E46" s="116">
        <v>145.19999999999999</v>
      </c>
      <c r="F46" s="116">
        <v>54.465934743655353</v>
      </c>
      <c r="G46" s="116">
        <v>159.08300685849156</v>
      </c>
      <c r="H46" s="116">
        <v>159.08300685849156</v>
      </c>
      <c r="I46" s="115">
        <v>0</v>
      </c>
      <c r="J46" s="115">
        <v>0</v>
      </c>
      <c r="K46" s="115">
        <v>1</v>
      </c>
      <c r="L46" s="116">
        <v>99.6</v>
      </c>
      <c r="M46" s="115">
        <v>0.2</v>
      </c>
      <c r="O46" s="116">
        <f t="shared" si="4"/>
        <v>7.6666666666666661</v>
      </c>
      <c r="P46" s="113">
        <f t="shared" si="0"/>
        <v>0.23667809191369615</v>
      </c>
      <c r="Q46" s="116">
        <f t="shared" si="5"/>
        <v>16.726666666666667</v>
      </c>
      <c r="R46" s="116">
        <f t="shared" si="3"/>
        <v>10.918486100857946</v>
      </c>
      <c r="T46" s="20"/>
      <c r="U46" s="19"/>
    </row>
    <row r="47" spans="1:21" x14ac:dyDescent="0.25">
      <c r="A47" s="3">
        <v>2064</v>
      </c>
      <c r="B47" s="93"/>
      <c r="C47" s="111">
        <v>1427.56956569304</v>
      </c>
      <c r="D47" s="111">
        <v>20</v>
      </c>
      <c r="E47" s="116">
        <v>145.19999999999999</v>
      </c>
      <c r="F47" s="116">
        <v>54.465934743655353</v>
      </c>
      <c r="G47" s="116">
        <v>159.08300685849156</v>
      </c>
      <c r="H47" s="116">
        <v>159.08300685849156</v>
      </c>
      <c r="I47" s="115">
        <v>0</v>
      </c>
      <c r="J47" s="115">
        <v>0</v>
      </c>
      <c r="K47" s="115">
        <v>1</v>
      </c>
      <c r="L47" s="116">
        <v>99.6</v>
      </c>
      <c r="M47" s="115">
        <v>0.2</v>
      </c>
      <c r="O47" s="116">
        <f t="shared" si="4"/>
        <v>7.6666666666666661</v>
      </c>
      <c r="P47" s="113">
        <f t="shared" si="0"/>
        <v>0.23904487283283313</v>
      </c>
      <c r="Q47" s="116">
        <f t="shared" si="5"/>
        <v>16.726666666666667</v>
      </c>
      <c r="R47" s="116">
        <f t="shared" si="3"/>
        <v>11.082263392370814</v>
      </c>
      <c r="T47" s="20"/>
      <c r="U47" s="19"/>
    </row>
    <row r="48" spans="1:21" x14ac:dyDescent="0.25">
      <c r="A48" s="3">
        <v>2065</v>
      </c>
      <c r="B48" s="93"/>
      <c r="C48" s="111">
        <v>1427.56956569304</v>
      </c>
      <c r="D48" s="111">
        <v>20</v>
      </c>
      <c r="E48" s="116">
        <v>145.19999999999999</v>
      </c>
      <c r="F48" s="116">
        <v>54.465934743655353</v>
      </c>
      <c r="G48" s="116">
        <v>159.08300685849156</v>
      </c>
      <c r="H48" s="116">
        <v>159.08300685849156</v>
      </c>
      <c r="I48" s="115">
        <v>0</v>
      </c>
      <c r="J48" s="115">
        <v>0</v>
      </c>
      <c r="K48" s="115">
        <v>1</v>
      </c>
      <c r="L48" s="116">
        <v>99.6</v>
      </c>
      <c r="M48" s="115">
        <v>0.2</v>
      </c>
      <c r="O48" s="116">
        <f t="shared" si="4"/>
        <v>7.6666666666666661</v>
      </c>
      <c r="P48" s="113">
        <f t="shared" si="0"/>
        <v>0.24143532156116146</v>
      </c>
      <c r="Q48" s="116">
        <f t="shared" si="5"/>
        <v>16.726666666666667</v>
      </c>
      <c r="R48" s="116">
        <f t="shared" si="3"/>
        <v>11.248497343256375</v>
      </c>
      <c r="T48" s="20"/>
      <c r="U48" s="19"/>
    </row>
    <row r="49" spans="1:18" x14ac:dyDescent="0.25">
      <c r="A49" s="3">
        <v>2066</v>
      </c>
      <c r="B49" s="93"/>
      <c r="C49" s="111">
        <v>1427.56956569304</v>
      </c>
      <c r="D49" s="111">
        <v>20</v>
      </c>
      <c r="E49" s="116">
        <v>145.19999999999999</v>
      </c>
      <c r="F49" s="116">
        <v>54.465934743655353</v>
      </c>
      <c r="G49" s="116">
        <v>159.08300685849156</v>
      </c>
      <c r="H49" s="116">
        <v>159.08300685849156</v>
      </c>
      <c r="I49" s="115">
        <v>0</v>
      </c>
      <c r="J49" s="115">
        <v>0</v>
      </c>
      <c r="K49" s="115">
        <v>1</v>
      </c>
      <c r="L49" s="116">
        <v>99.6</v>
      </c>
      <c r="M49" s="115">
        <v>0.2</v>
      </c>
      <c r="O49" s="116">
        <f t="shared" si="4"/>
        <v>7.6666666666666661</v>
      </c>
      <c r="P49" s="113">
        <f t="shared" si="0"/>
        <v>0.24384967477677308</v>
      </c>
      <c r="Q49" s="116">
        <f t="shared" si="5"/>
        <v>16.726666666666667</v>
      </c>
      <c r="R49" s="116">
        <f t="shared" si="3"/>
        <v>11.417224803405219</v>
      </c>
    </row>
    <row r="50" spans="1:18" x14ac:dyDescent="0.25">
      <c r="A50" s="3">
        <v>2067</v>
      </c>
      <c r="B50" s="33"/>
      <c r="C50" s="111">
        <v>1427.56956569304</v>
      </c>
      <c r="D50" s="111">
        <v>20</v>
      </c>
      <c r="E50" s="116">
        <v>145.19999999999999</v>
      </c>
      <c r="F50" s="116">
        <v>54.465934743655353</v>
      </c>
      <c r="G50" s="116">
        <v>159.08300685849156</v>
      </c>
      <c r="H50" s="116">
        <v>159.08300685849156</v>
      </c>
      <c r="I50" s="115">
        <v>0</v>
      </c>
      <c r="J50" s="115">
        <v>0</v>
      </c>
      <c r="K50" s="115">
        <v>1</v>
      </c>
      <c r="L50" s="116">
        <v>99.6</v>
      </c>
      <c r="M50" s="115">
        <v>0.2</v>
      </c>
      <c r="O50" s="116">
        <f t="shared" si="4"/>
        <v>7.6666666666666661</v>
      </c>
      <c r="P50" s="113">
        <f t="shared" si="0"/>
        <v>0.2462881715245408</v>
      </c>
      <c r="Q50" s="116">
        <f t="shared" si="5"/>
        <v>16.726666666666667</v>
      </c>
      <c r="R50" s="116">
        <f t="shared" si="3"/>
        <v>11.588483175456297</v>
      </c>
    </row>
  </sheetData>
  <sheetProtection algorithmName="SHA-512" hashValue="atsBW9q9ckvqOLK7Oz+JORcbPfkINdIe3Zz+lDaUUUkrFz6BaZ3z0RTABR4wfhUSD+NS/Q3Y0AaQkFI5KPoRTQ==" saltValue="ucP7HZejymIntAnJdyj6qw==" spinCount="100000" sheet="1" objects="1" scenarios="1"/>
  <mergeCells count="10">
    <mergeCell ref="Y8:Y9"/>
    <mergeCell ref="Y10:Y11"/>
    <mergeCell ref="T18:U19"/>
    <mergeCell ref="C1:H1"/>
    <mergeCell ref="O1:P1"/>
    <mergeCell ref="Q1:R1"/>
    <mergeCell ref="I2:K2"/>
    <mergeCell ref="T8:T9"/>
    <mergeCell ref="T10:T11"/>
    <mergeCell ref="T14:V14"/>
  </mergeCells>
  <hyperlinks>
    <hyperlink ref="X4" r:id="rId1" display="https://www.bdew.de/service/daten-und-grafiken/bdew-strompreisanalyse/" xr:uid="{00000000-0004-0000-0200-000000000000}"/>
    <hyperlink ref="X5" r:id="rId2" display="https://www.bdew.de/service/daten-und-grafiken/bdew-gaspreisanalyse/" xr:uid="{00000000-0004-0000-0200-000001000000}"/>
  </hyperlinks>
  <pageMargins left="0.7" right="0.7" top="0.78740157499999996" bottom="0.78740157499999996" header="0.3" footer="0.3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8191F-861D-418F-9946-4A889500147E}">
  <sheetPr codeName="Tabelle7"/>
  <dimension ref="A1:AY54"/>
  <sheetViews>
    <sheetView workbookViewId="0">
      <selection activeCell="D4" sqref="D4"/>
    </sheetView>
  </sheetViews>
  <sheetFormatPr baseColWidth="10" defaultColWidth="10.85546875" defaultRowHeight="18.75" x14ac:dyDescent="0.25"/>
  <cols>
    <col min="1" max="1" width="11.85546875" style="30" bestFit="1" customWidth="1"/>
    <col min="2" max="2" width="11.85546875" style="30" hidden="1" customWidth="1"/>
    <col min="3" max="3" width="11.85546875" style="30" bestFit="1" customWidth="1"/>
    <col min="4" max="12" width="10.85546875" style="30"/>
    <col min="13" max="13" width="13.85546875" style="30" customWidth="1"/>
    <col min="14" max="14" width="2.5703125" style="34" customWidth="1"/>
    <col min="15" max="15" width="18.85546875" style="5" customWidth="1"/>
    <col min="16" max="16" width="20.85546875" style="5" bestFit="1" customWidth="1"/>
    <col min="17" max="17" width="18.5703125" style="5" customWidth="1"/>
    <col min="18" max="18" width="21.85546875" style="5" customWidth="1"/>
    <col min="19" max="19" width="4.140625" style="5" customWidth="1"/>
    <col min="20" max="20" width="21.85546875" style="5" bestFit="1" customWidth="1"/>
    <col min="21" max="21" width="12.28515625" style="5" customWidth="1"/>
    <col min="22" max="22" width="20.140625" style="5" bestFit="1" customWidth="1"/>
    <col min="23" max="23" width="19" style="5" bestFit="1" customWidth="1"/>
    <col min="24" max="24" width="21.42578125" style="5" bestFit="1" customWidth="1"/>
    <col min="25" max="25" width="23.42578125" style="5" bestFit="1" customWidth="1"/>
    <col min="26" max="26" width="16.140625" style="5" customWidth="1"/>
    <col min="27" max="27" width="21.28515625" style="5" customWidth="1"/>
    <col min="28" max="16384" width="10.85546875" style="30"/>
  </cols>
  <sheetData>
    <row r="1" spans="1:51" ht="30" customHeight="1" x14ac:dyDescent="0.25">
      <c r="C1" s="278" t="s">
        <v>100</v>
      </c>
      <c r="D1" s="278"/>
      <c r="E1" s="278"/>
      <c r="F1" s="278"/>
      <c r="G1" s="278"/>
      <c r="H1" s="278"/>
      <c r="O1" s="279" t="s">
        <v>56</v>
      </c>
      <c r="P1" s="279"/>
      <c r="Q1" s="279" t="s">
        <v>57</v>
      </c>
      <c r="R1" s="279"/>
      <c r="T1" s="30"/>
      <c r="U1" s="30"/>
      <c r="V1" s="30"/>
      <c r="W1" s="30"/>
    </row>
    <row r="2" spans="1:51" s="4" customFormat="1" ht="60" x14ac:dyDescent="0.25">
      <c r="A2" s="6" t="s">
        <v>53</v>
      </c>
      <c r="B2" s="7" t="s">
        <v>274</v>
      </c>
      <c r="C2" s="181" t="s">
        <v>99</v>
      </c>
      <c r="D2" s="181" t="s">
        <v>52</v>
      </c>
      <c r="E2" s="181" t="s">
        <v>47</v>
      </c>
      <c r="F2" s="181" t="s">
        <v>48</v>
      </c>
      <c r="G2" s="181" t="s">
        <v>46</v>
      </c>
      <c r="H2" s="181" t="s">
        <v>49</v>
      </c>
      <c r="I2" s="290" t="s">
        <v>58</v>
      </c>
      <c r="J2" s="291"/>
      <c r="K2" s="292"/>
      <c r="L2" s="182" t="s">
        <v>59</v>
      </c>
      <c r="M2" s="182" t="s">
        <v>60</v>
      </c>
      <c r="N2" s="187"/>
      <c r="O2" s="182" t="s">
        <v>315</v>
      </c>
      <c r="P2" s="182" t="s">
        <v>317</v>
      </c>
      <c r="Q2" s="182" t="s">
        <v>316</v>
      </c>
      <c r="R2" s="182" t="s">
        <v>318</v>
      </c>
      <c r="S2" s="5"/>
      <c r="T2" s="5"/>
      <c r="U2" s="5"/>
      <c r="V2" s="5"/>
      <c r="W2" s="5"/>
      <c r="X2" s="5"/>
      <c r="Y2" s="5"/>
      <c r="Z2" s="5"/>
      <c r="AA2" s="5"/>
    </row>
    <row r="3" spans="1:51" ht="15" customHeight="1" thickBot="1" x14ac:dyDescent="0.3">
      <c r="A3" s="9" t="s">
        <v>54</v>
      </c>
      <c r="B3" s="9" t="s">
        <v>275</v>
      </c>
      <c r="C3" s="37" t="s">
        <v>98</v>
      </c>
      <c r="D3" s="37" t="s">
        <v>63</v>
      </c>
      <c r="E3" s="37" t="s">
        <v>63</v>
      </c>
      <c r="F3" s="169" t="s">
        <v>63</v>
      </c>
      <c r="G3" s="169" t="s">
        <v>64</v>
      </c>
      <c r="H3" s="169" t="s">
        <v>64</v>
      </c>
      <c r="I3" s="169" t="s">
        <v>52</v>
      </c>
      <c r="J3" s="169" t="s">
        <v>47</v>
      </c>
      <c r="K3" s="169" t="s">
        <v>48</v>
      </c>
      <c r="L3" s="169" t="s">
        <v>63</v>
      </c>
      <c r="M3" s="37" t="s">
        <v>7</v>
      </c>
      <c r="O3" s="37" t="s">
        <v>65</v>
      </c>
      <c r="P3" s="37" t="s">
        <v>65</v>
      </c>
      <c r="Q3" s="37" t="s">
        <v>65</v>
      </c>
      <c r="R3" s="37" t="s">
        <v>65</v>
      </c>
      <c r="T3" s="96" t="s">
        <v>170</v>
      </c>
      <c r="U3" s="139">
        <v>5</v>
      </c>
      <c r="V3" s="39" t="s">
        <v>171</v>
      </c>
      <c r="W3" s="18"/>
    </row>
    <row r="4" spans="1:51" ht="15" customHeight="1" x14ac:dyDescent="0.25">
      <c r="A4" s="183">
        <v>2020</v>
      </c>
      <c r="B4" s="92"/>
      <c r="C4" s="111">
        <v>202.36905531063138</v>
      </c>
      <c r="D4" s="111">
        <v>14.18375833333333</v>
      </c>
      <c r="E4" s="111">
        <v>59.801405438435687</v>
      </c>
      <c r="F4" s="112">
        <v>78.478131834506996</v>
      </c>
      <c r="G4" s="112">
        <v>51.626388655112066</v>
      </c>
      <c r="H4" s="113">
        <v>25</v>
      </c>
      <c r="I4" s="114">
        <v>0.25</v>
      </c>
      <c r="J4" s="114">
        <v>0.75</v>
      </c>
      <c r="K4" s="114">
        <v>0</v>
      </c>
      <c r="L4" s="112">
        <v>40.17</v>
      </c>
      <c r="M4" s="114">
        <v>0.2</v>
      </c>
      <c r="N4" s="34">
        <f>A4</f>
        <v>2020</v>
      </c>
      <c r="O4" s="184">
        <v>1.55</v>
      </c>
      <c r="P4" s="184">
        <v>0.16249999999999987</v>
      </c>
      <c r="Q4" s="184">
        <v>5.3650000000000002</v>
      </c>
      <c r="R4" s="184">
        <v>8.620000000000001</v>
      </c>
      <c r="T4" s="96" t="s">
        <v>168</v>
      </c>
      <c r="U4" s="139">
        <v>5.13</v>
      </c>
      <c r="V4" s="39" t="s">
        <v>171</v>
      </c>
      <c r="W4" s="94" t="s">
        <v>276</v>
      </c>
      <c r="X4" s="95" t="s">
        <v>253</v>
      </c>
      <c r="Y4" s="18"/>
    </row>
    <row r="5" spans="1:51" x14ac:dyDescent="0.25">
      <c r="A5" s="183">
        <f>A4+1</f>
        <v>2021</v>
      </c>
      <c r="B5" s="93"/>
      <c r="C5" s="111">
        <v>433</v>
      </c>
      <c r="D5" s="111">
        <v>86.99</v>
      </c>
      <c r="E5" s="111">
        <v>69.28871096536281</v>
      </c>
      <c r="F5" s="113">
        <v>82.779922593545848</v>
      </c>
      <c r="G5" s="113">
        <v>71.255331298577772</v>
      </c>
      <c r="H5" s="113">
        <v>30</v>
      </c>
      <c r="I5" s="114">
        <v>0.25</v>
      </c>
      <c r="J5" s="114">
        <v>0.75</v>
      </c>
      <c r="K5" s="114">
        <v>0</v>
      </c>
      <c r="L5" s="113">
        <v>88.42</v>
      </c>
      <c r="M5" s="115">
        <v>0.2</v>
      </c>
      <c r="N5" s="34">
        <f t="shared" ref="N5:N54" si="0">A5</f>
        <v>2021</v>
      </c>
      <c r="O5" s="185">
        <f>IF(O4*(1+$X$10)&gt;$Y$10,$Y$10,(O4*(1+$X$10)))</f>
        <v>1.5732499999999998</v>
      </c>
      <c r="P5" s="185">
        <f t="shared" ref="P5:P54" si="1">P4*(1+$V$15)</f>
        <v>0.16412499999999985</v>
      </c>
      <c r="Q5" s="185">
        <f>IF(Q4*(1+$X$8)&gt;$Y$8,$Y$8,Q4*(1+$X$8))</f>
        <v>5.5098549999999999</v>
      </c>
      <c r="R5" s="185">
        <f>(R4-U3)</f>
        <v>3.620000000000001</v>
      </c>
      <c r="T5" s="96" t="s">
        <v>169</v>
      </c>
      <c r="U5" s="139">
        <v>1.1299999999999999</v>
      </c>
      <c r="V5" s="39" t="s">
        <v>171</v>
      </c>
      <c r="W5" s="94" t="s">
        <v>277</v>
      </c>
      <c r="X5" s="79" t="s">
        <v>250</v>
      </c>
    </row>
    <row r="6" spans="1:51" ht="19.5" thickBot="1" x14ac:dyDescent="0.3">
      <c r="A6" s="183">
        <f>A5+1</f>
        <v>2022</v>
      </c>
      <c r="B6" s="93"/>
      <c r="C6" s="111">
        <v>501.59382604698663</v>
      </c>
      <c r="D6" s="111">
        <v>127</v>
      </c>
      <c r="E6" s="116">
        <v>145.19999999999999</v>
      </c>
      <c r="F6" s="116">
        <v>84.959759732148513</v>
      </c>
      <c r="G6" s="116">
        <v>79.599999999999994</v>
      </c>
      <c r="H6" s="116">
        <v>35</v>
      </c>
      <c r="I6" s="114">
        <v>0.25</v>
      </c>
      <c r="J6" s="114">
        <v>0.75</v>
      </c>
      <c r="K6" s="114">
        <v>0</v>
      </c>
      <c r="L6" s="116">
        <v>366</v>
      </c>
      <c r="M6" s="115">
        <v>0.2</v>
      </c>
      <c r="N6" s="34">
        <f t="shared" si="0"/>
        <v>2022</v>
      </c>
      <c r="O6" s="185">
        <f t="shared" ref="O6:O13" si="2">IF(O5*(1+$X$10)&gt;$Y$10,$Y$10,(O5*(1+$X$10)))</f>
        <v>1.5968487499999997</v>
      </c>
      <c r="P6" s="185">
        <f t="shared" si="1"/>
        <v>0.16576624999999987</v>
      </c>
      <c r="Q6" s="185">
        <f t="shared" ref="Q6:Q13" si="3">IF(Q5*(1+$X$8)&gt;$Y$8,$Y$8,Q5*(1+$X$8))</f>
        <v>5.6586210849999992</v>
      </c>
      <c r="R6" s="185">
        <f t="shared" ref="R6:R54" si="4">R5*(1+$V$16)</f>
        <v>3.6743000000000006</v>
      </c>
      <c r="T6" s="96" t="s">
        <v>292</v>
      </c>
      <c r="U6" s="140">
        <f>H4*0.0183</f>
        <v>0.45750000000000002</v>
      </c>
      <c r="V6" s="39" t="s">
        <v>171</v>
      </c>
    </row>
    <row r="7" spans="1:51" ht="19.5" thickTop="1" x14ac:dyDescent="0.25">
      <c r="A7" s="183">
        <f t="shared" ref="A7:A54" si="5">A6+1</f>
        <v>2023</v>
      </c>
      <c r="B7" s="93"/>
      <c r="C7" s="111">
        <v>570.18765209397327</v>
      </c>
      <c r="D7" s="111">
        <v>102.75</v>
      </c>
      <c r="E7" s="116">
        <v>145.19999999999999</v>
      </c>
      <c r="F7" s="116">
        <v>82.849888480622624</v>
      </c>
      <c r="G7" s="116">
        <v>84</v>
      </c>
      <c r="H7" s="116">
        <v>45</v>
      </c>
      <c r="I7" s="115">
        <v>0.25</v>
      </c>
      <c r="J7" s="115">
        <v>0.75</v>
      </c>
      <c r="K7" s="115">
        <v>0</v>
      </c>
      <c r="L7" s="116">
        <v>251</v>
      </c>
      <c r="M7" s="115">
        <v>0.2</v>
      </c>
      <c r="N7" s="34">
        <f t="shared" si="0"/>
        <v>2023</v>
      </c>
      <c r="O7" s="185">
        <f t="shared" si="2"/>
        <v>1.6208014812499996</v>
      </c>
      <c r="P7" s="185">
        <f t="shared" si="1"/>
        <v>0.16742391249999986</v>
      </c>
      <c r="Q7" s="185">
        <f t="shared" si="3"/>
        <v>5.8114038542949986</v>
      </c>
      <c r="R7" s="185">
        <f t="shared" si="4"/>
        <v>3.7294145000000003</v>
      </c>
      <c r="T7" s="137" t="s">
        <v>158</v>
      </c>
      <c r="U7" s="138"/>
      <c r="V7" s="137" t="s">
        <v>164</v>
      </c>
      <c r="W7" s="137" t="s">
        <v>165</v>
      </c>
      <c r="X7" s="137" t="s">
        <v>166</v>
      </c>
      <c r="Y7" s="137" t="s">
        <v>278</v>
      </c>
    </row>
    <row r="8" spans="1:51" x14ac:dyDescent="0.25">
      <c r="A8" s="183">
        <f t="shared" si="5"/>
        <v>2024</v>
      </c>
      <c r="B8" s="93"/>
      <c r="C8" s="111">
        <v>638.78147814095996</v>
      </c>
      <c r="D8" s="111">
        <v>74.400000000000006</v>
      </c>
      <c r="E8" s="116">
        <v>145.19999999999999</v>
      </c>
      <c r="F8" s="116">
        <v>85.369606062452206</v>
      </c>
      <c r="G8" s="116">
        <v>90</v>
      </c>
      <c r="H8" s="116">
        <v>55</v>
      </c>
      <c r="I8" s="115">
        <v>0.25</v>
      </c>
      <c r="J8" s="115">
        <v>0.75</v>
      </c>
      <c r="K8" s="115">
        <v>0</v>
      </c>
      <c r="L8" s="116">
        <v>177.6</v>
      </c>
      <c r="M8" s="115">
        <v>0.2</v>
      </c>
      <c r="N8" s="34">
        <f t="shared" si="0"/>
        <v>2024</v>
      </c>
      <c r="O8" s="185">
        <f t="shared" si="2"/>
        <v>1.6451135034687494</v>
      </c>
      <c r="P8" s="185">
        <f t="shared" si="1"/>
        <v>0.16909815162499986</v>
      </c>
      <c r="Q8" s="185">
        <f t="shared" si="3"/>
        <v>5.9683117583609633</v>
      </c>
      <c r="R8" s="185">
        <f t="shared" si="4"/>
        <v>3.7853557174999999</v>
      </c>
      <c r="T8" s="283" t="s">
        <v>57</v>
      </c>
      <c r="U8" s="97" t="s">
        <v>159</v>
      </c>
      <c r="V8" s="118">
        <v>3.5000000000000003E-2</v>
      </c>
      <c r="W8" s="118">
        <v>8.0000000000000002E-3</v>
      </c>
      <c r="X8" s="119">
        <f>V8-W8</f>
        <v>2.7000000000000003E-2</v>
      </c>
      <c r="Y8" s="272">
        <f>2*$Q$4</f>
        <v>10.73</v>
      </c>
    </row>
    <row r="9" spans="1:51" x14ac:dyDescent="0.25">
      <c r="A9" s="183">
        <f t="shared" si="5"/>
        <v>2025</v>
      </c>
      <c r="B9" s="93"/>
      <c r="C9" s="111">
        <v>680.51783041228794</v>
      </c>
      <c r="D9" s="111">
        <v>45.68</v>
      </c>
      <c r="E9" s="116">
        <v>145.19999999999999</v>
      </c>
      <c r="F9" s="116">
        <v>87.032916032785266</v>
      </c>
      <c r="G9" s="116">
        <v>96.5</v>
      </c>
      <c r="H9" s="116">
        <v>96.5</v>
      </c>
      <c r="I9" s="115">
        <v>0.25</v>
      </c>
      <c r="J9" s="115">
        <v>0.75</v>
      </c>
      <c r="K9" s="115">
        <v>0</v>
      </c>
      <c r="L9" s="116">
        <v>144.9</v>
      </c>
      <c r="M9" s="115">
        <v>0.2</v>
      </c>
      <c r="N9" s="34">
        <f t="shared" si="0"/>
        <v>2025</v>
      </c>
      <c r="O9" s="185">
        <f t="shared" si="2"/>
        <v>1.6697902060207805</v>
      </c>
      <c r="P9" s="185">
        <f t="shared" si="1"/>
        <v>0.17078913314124985</v>
      </c>
      <c r="Q9" s="185">
        <f t="shared" si="3"/>
        <v>6.129456175836709</v>
      </c>
      <c r="R9" s="185">
        <f t="shared" si="4"/>
        <v>3.8421360532624993</v>
      </c>
      <c r="T9" s="284"/>
      <c r="U9" s="97" t="s">
        <v>160</v>
      </c>
      <c r="V9" s="118">
        <v>3.5000000000000003E-2</v>
      </c>
      <c r="W9" s="118">
        <v>0.02</v>
      </c>
      <c r="X9" s="119">
        <f>V9-W9</f>
        <v>1.5000000000000003E-2</v>
      </c>
      <c r="Y9" s="273"/>
      <c r="Z9" s="18"/>
      <c r="AA9" s="18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</row>
    <row r="10" spans="1:51" x14ac:dyDescent="0.25">
      <c r="A10" s="183">
        <f t="shared" si="5"/>
        <v>2026</v>
      </c>
      <c r="B10" s="93"/>
      <c r="C10" s="111">
        <v>722.2541826836158</v>
      </c>
      <c r="D10" s="111">
        <v>40</v>
      </c>
      <c r="E10" s="116">
        <v>145.19999999999999</v>
      </c>
      <c r="F10" s="116">
        <v>87.161122937857641</v>
      </c>
      <c r="G10" s="116">
        <v>120.37037037037038</v>
      </c>
      <c r="H10" s="116">
        <v>120.37037037037038</v>
      </c>
      <c r="I10" s="115">
        <v>0.25</v>
      </c>
      <c r="J10" s="115">
        <v>0.75</v>
      </c>
      <c r="K10" s="115">
        <v>0</v>
      </c>
      <c r="L10" s="116">
        <v>130</v>
      </c>
      <c r="M10" s="115">
        <v>0.2</v>
      </c>
      <c r="N10" s="34">
        <f t="shared" si="0"/>
        <v>2026</v>
      </c>
      <c r="O10" s="185">
        <f t="shared" si="2"/>
        <v>1.6948370591110922</v>
      </c>
      <c r="P10" s="185">
        <f t="shared" si="1"/>
        <v>0.17249702447266235</v>
      </c>
      <c r="Q10" s="185">
        <f t="shared" si="3"/>
        <v>6.2949514925842998</v>
      </c>
      <c r="R10" s="185">
        <f t="shared" si="4"/>
        <v>3.8997680940614363</v>
      </c>
      <c r="T10" s="285" t="s">
        <v>161</v>
      </c>
      <c r="U10" s="97" t="s">
        <v>159</v>
      </c>
      <c r="V10" s="118">
        <v>0</v>
      </c>
      <c r="W10" s="118">
        <v>-1.4999999999999999E-2</v>
      </c>
      <c r="X10" s="119">
        <f>V10-W10</f>
        <v>1.4999999999999999E-2</v>
      </c>
      <c r="Y10" s="272">
        <f>5*$O$4</f>
        <v>7.75</v>
      </c>
    </row>
    <row r="11" spans="1:51" x14ac:dyDescent="0.25">
      <c r="A11" s="183">
        <f t="shared" si="5"/>
        <v>2027</v>
      </c>
      <c r="B11" s="93"/>
      <c r="C11" s="111">
        <v>763.99053495494377</v>
      </c>
      <c r="D11" s="111">
        <v>37</v>
      </c>
      <c r="E11" s="116">
        <v>145.19999999999999</v>
      </c>
      <c r="F11" s="116">
        <v>87.456292424015899</v>
      </c>
      <c r="G11" s="116">
        <v>103.08972073677953</v>
      </c>
      <c r="H11" s="116">
        <v>103.08972073677953</v>
      </c>
      <c r="I11" s="115">
        <v>0.25</v>
      </c>
      <c r="J11" s="115">
        <v>0.75</v>
      </c>
      <c r="K11" s="115">
        <v>0</v>
      </c>
      <c r="L11" s="116">
        <v>115</v>
      </c>
      <c r="M11" s="115">
        <v>0.2</v>
      </c>
      <c r="N11" s="34">
        <f t="shared" si="0"/>
        <v>2027</v>
      </c>
      <c r="O11" s="185">
        <f t="shared" si="2"/>
        <v>1.7202596149977585</v>
      </c>
      <c r="P11" s="185">
        <f t="shared" si="1"/>
        <v>0.17422199471738897</v>
      </c>
      <c r="Q11" s="185">
        <f t="shared" si="3"/>
        <v>6.4649151828840754</v>
      </c>
      <c r="R11" s="185">
        <f t="shared" si="4"/>
        <v>3.9582646154723573</v>
      </c>
      <c r="T11" s="286"/>
      <c r="U11" s="97" t="s">
        <v>160</v>
      </c>
      <c r="V11" s="118">
        <v>3.5000000000000003E-2</v>
      </c>
      <c r="W11" s="118">
        <v>-0.03</v>
      </c>
      <c r="X11" s="119">
        <f>V11-W11</f>
        <v>6.5000000000000002E-2</v>
      </c>
      <c r="Y11" s="273"/>
      <c r="AQ11" s="30">
        <v>50</v>
      </c>
      <c r="AR11" s="30">
        <v>50</v>
      </c>
      <c r="AS11" s="30">
        <v>50</v>
      </c>
      <c r="AT11" s="30">
        <v>50</v>
      </c>
      <c r="AU11" s="30">
        <v>50</v>
      </c>
      <c r="AV11" s="30">
        <v>50</v>
      </c>
      <c r="AW11" s="30">
        <v>50</v>
      </c>
      <c r="AX11" s="30">
        <v>50</v>
      </c>
      <c r="AY11" s="30">
        <v>50</v>
      </c>
    </row>
    <row r="12" spans="1:51" x14ac:dyDescent="0.25">
      <c r="A12" s="183">
        <f t="shared" si="5"/>
        <v>2028</v>
      </c>
      <c r="B12" s="93"/>
      <c r="C12" s="111">
        <v>805.72688722627174</v>
      </c>
      <c r="D12" s="111">
        <v>33</v>
      </c>
      <c r="E12" s="116">
        <v>145.19999999999999</v>
      </c>
      <c r="F12" s="116">
        <v>89.151878536272562</v>
      </c>
      <c r="G12" s="116">
        <v>93.68191721132898</v>
      </c>
      <c r="H12" s="116">
        <v>93.68191721132898</v>
      </c>
      <c r="I12" s="115">
        <v>0.25</v>
      </c>
      <c r="J12" s="115">
        <v>0.75</v>
      </c>
      <c r="K12" s="115">
        <v>0</v>
      </c>
      <c r="L12" s="116">
        <v>100</v>
      </c>
      <c r="M12" s="115">
        <v>0.2</v>
      </c>
      <c r="N12" s="34">
        <f t="shared" si="0"/>
        <v>2028</v>
      </c>
      <c r="O12" s="185">
        <f t="shared" si="2"/>
        <v>1.7460635092227248</v>
      </c>
      <c r="P12" s="185">
        <f t="shared" si="1"/>
        <v>0.17596421466456286</v>
      </c>
      <c r="Q12" s="185">
        <f t="shared" si="3"/>
        <v>6.639467892821945</v>
      </c>
      <c r="R12" s="185">
        <f t="shared" si="4"/>
        <v>4.017638584704442</v>
      </c>
      <c r="T12" s="6"/>
      <c r="U12" s="6"/>
      <c r="V12" s="38"/>
    </row>
    <row r="13" spans="1:51" x14ac:dyDescent="0.25">
      <c r="A13" s="183">
        <f t="shared" si="5"/>
        <v>2029</v>
      </c>
      <c r="B13" s="93"/>
      <c r="C13" s="111">
        <v>847.46323949759994</v>
      </c>
      <c r="D13" s="111">
        <v>30</v>
      </c>
      <c r="E13" s="116">
        <v>145.19999999999999</v>
      </c>
      <c r="F13" s="116">
        <v>90.827566989782397</v>
      </c>
      <c r="G13" s="116">
        <v>85.165379283026311</v>
      </c>
      <c r="H13" s="116">
        <v>85.165379283026311</v>
      </c>
      <c r="I13" s="115">
        <v>0.25</v>
      </c>
      <c r="J13" s="115">
        <v>0.75</v>
      </c>
      <c r="K13" s="115">
        <v>0</v>
      </c>
      <c r="L13" s="116">
        <v>88</v>
      </c>
      <c r="M13" s="115">
        <v>0.2</v>
      </c>
      <c r="N13" s="34">
        <f t="shared" si="0"/>
        <v>2029</v>
      </c>
      <c r="O13" s="185">
        <f t="shared" si="2"/>
        <v>1.7722544618610654</v>
      </c>
      <c r="P13" s="185">
        <f t="shared" si="1"/>
        <v>0.17772385681120847</v>
      </c>
      <c r="Q13" s="185">
        <f t="shared" si="3"/>
        <v>6.8187335259281374</v>
      </c>
      <c r="R13" s="185">
        <f t="shared" si="4"/>
        <v>4.0779031634750087</v>
      </c>
      <c r="T13" s="6"/>
      <c r="U13" s="6"/>
      <c r="V13" s="6"/>
    </row>
    <row r="14" spans="1:51" x14ac:dyDescent="0.25">
      <c r="A14" s="183">
        <f t="shared" si="5"/>
        <v>2030</v>
      </c>
      <c r="B14" s="93"/>
      <c r="C14" s="111">
        <v>897.63836473555193</v>
      </c>
      <c r="D14" s="111">
        <v>30</v>
      </c>
      <c r="E14" s="116">
        <v>145.19999999999999</v>
      </c>
      <c r="F14" s="116">
        <v>89.042043290299759</v>
      </c>
      <c r="G14" s="116">
        <v>86.626064567241002</v>
      </c>
      <c r="H14" s="116">
        <v>86.626064567241002</v>
      </c>
      <c r="I14" s="115">
        <v>0.25</v>
      </c>
      <c r="J14" s="115">
        <v>0.75</v>
      </c>
      <c r="K14" s="115">
        <v>0</v>
      </c>
      <c r="L14" s="116">
        <v>90</v>
      </c>
      <c r="M14" s="115">
        <v>0.2</v>
      </c>
      <c r="N14" s="34">
        <f t="shared" si="0"/>
        <v>2030</v>
      </c>
      <c r="O14" s="185">
        <f>IF(O13*(1+$X$11)&gt;$Y$10,$Y$10,O13*(1+$X$11))</f>
        <v>1.8874510018820345</v>
      </c>
      <c r="P14" s="185">
        <f t="shared" si="1"/>
        <v>0.17950109537932057</v>
      </c>
      <c r="Q14" s="185">
        <f>IF(Q13*(1+$X$9)&gt;$Y$8,$Y$8,Q13*(1+$X$9))</f>
        <v>6.921014528817059</v>
      </c>
      <c r="R14" s="185">
        <f t="shared" si="4"/>
        <v>4.1390717109271336</v>
      </c>
      <c r="T14" s="287" t="s">
        <v>167</v>
      </c>
      <c r="U14" s="288"/>
      <c r="V14" s="289"/>
    </row>
    <row r="15" spans="1:51" x14ac:dyDescent="0.25">
      <c r="A15" s="183">
        <f t="shared" si="5"/>
        <v>2031</v>
      </c>
      <c r="B15" s="93"/>
      <c r="C15" s="111">
        <v>947.81348997350392</v>
      </c>
      <c r="D15" s="111">
        <v>30</v>
      </c>
      <c r="E15" s="116">
        <v>145.19999999999999</v>
      </c>
      <c r="F15" s="116">
        <v>87.895766479011087</v>
      </c>
      <c r="G15" s="116">
        <v>91.008120419885103</v>
      </c>
      <c r="H15" s="116">
        <v>91.008120419885103</v>
      </c>
      <c r="I15" s="115">
        <v>0.25</v>
      </c>
      <c r="J15" s="115">
        <v>0.75</v>
      </c>
      <c r="K15" s="115">
        <v>0</v>
      </c>
      <c r="L15" s="116">
        <v>92</v>
      </c>
      <c r="M15" s="115">
        <v>0.2</v>
      </c>
      <c r="N15" s="34">
        <f t="shared" si="0"/>
        <v>2031</v>
      </c>
      <c r="O15" s="185">
        <f t="shared" ref="O15:O54" si="6">IF(O14*(1+$X$11)&gt;$Y$10,$Y$10,O14*(1+$X$11))</f>
        <v>2.0101353170043668</v>
      </c>
      <c r="P15" s="185">
        <f t="shared" si="1"/>
        <v>0.18129610633311377</v>
      </c>
      <c r="Q15" s="185">
        <f t="shared" ref="Q15:Q54" si="7">IF(Q14*(1+$X$9)&gt;$Y$8,$Y$8,Q14*(1+$X$9))</f>
        <v>7.0248297467493144</v>
      </c>
      <c r="R15" s="185">
        <f t="shared" si="4"/>
        <v>4.2011577865910406</v>
      </c>
      <c r="T15" s="97" t="s">
        <v>162</v>
      </c>
      <c r="U15" s="168" t="s">
        <v>163</v>
      </c>
      <c r="V15" s="118">
        <v>0.01</v>
      </c>
    </row>
    <row r="16" spans="1:51" x14ac:dyDescent="0.25">
      <c r="A16" s="183">
        <f t="shared" si="5"/>
        <v>2032</v>
      </c>
      <c r="B16" s="93"/>
      <c r="C16" s="111">
        <v>997.98861521145591</v>
      </c>
      <c r="D16" s="111">
        <v>30</v>
      </c>
      <c r="E16" s="116">
        <v>145.19999999999999</v>
      </c>
      <c r="F16" s="116">
        <v>84.57865272027702</v>
      </c>
      <c r="G16" s="116">
        <v>93.929490988314498</v>
      </c>
      <c r="H16" s="116">
        <v>93.929490988314498</v>
      </c>
      <c r="I16" s="115">
        <v>0.25</v>
      </c>
      <c r="J16" s="115">
        <v>0.75</v>
      </c>
      <c r="K16" s="115">
        <v>0</v>
      </c>
      <c r="L16" s="116">
        <v>94</v>
      </c>
      <c r="M16" s="115">
        <v>0.2</v>
      </c>
      <c r="N16" s="34">
        <f t="shared" si="0"/>
        <v>2032</v>
      </c>
      <c r="O16" s="185">
        <f t="shared" si="6"/>
        <v>2.1407941126096506</v>
      </c>
      <c r="P16" s="185">
        <f t="shared" si="1"/>
        <v>0.18310906739644492</v>
      </c>
      <c r="Q16" s="185">
        <f t="shared" si="7"/>
        <v>7.130202192950553</v>
      </c>
      <c r="R16" s="185">
        <f t="shared" si="4"/>
        <v>4.2641751533899059</v>
      </c>
      <c r="T16" s="97" t="s">
        <v>57</v>
      </c>
      <c r="U16" s="168" t="s">
        <v>163</v>
      </c>
      <c r="V16" s="118">
        <v>1.4999999999999999E-2</v>
      </c>
    </row>
    <row r="17" spans="1:24" x14ac:dyDescent="0.25">
      <c r="A17" s="183">
        <f t="shared" si="5"/>
        <v>2033</v>
      </c>
      <c r="B17" s="93"/>
      <c r="C17" s="111">
        <v>1048.1637404494079</v>
      </c>
      <c r="D17" s="111">
        <v>30</v>
      </c>
      <c r="E17" s="116">
        <v>145.19999999999999</v>
      </c>
      <c r="F17" s="116">
        <v>82.129084355335962</v>
      </c>
      <c r="G17" s="116">
        <v>96.850861556743922</v>
      </c>
      <c r="H17" s="116">
        <v>96.850861556743922</v>
      </c>
      <c r="I17" s="115">
        <v>0.25</v>
      </c>
      <c r="J17" s="115">
        <v>0.75</v>
      </c>
      <c r="K17" s="115">
        <v>0</v>
      </c>
      <c r="L17" s="116">
        <v>96</v>
      </c>
      <c r="M17" s="115">
        <v>0.2</v>
      </c>
      <c r="N17" s="34">
        <f t="shared" si="0"/>
        <v>2033</v>
      </c>
      <c r="O17" s="185">
        <f t="shared" si="6"/>
        <v>2.2799457299292776</v>
      </c>
      <c r="P17" s="185">
        <f t="shared" si="1"/>
        <v>0.18494015807040937</v>
      </c>
      <c r="Q17" s="185">
        <f t="shared" si="7"/>
        <v>7.2371552258448109</v>
      </c>
      <c r="R17" s="185">
        <f t="shared" si="4"/>
        <v>4.3281377806907537</v>
      </c>
      <c r="T17" s="20"/>
      <c r="U17" s="19"/>
    </row>
    <row r="18" spans="1:24" x14ac:dyDescent="0.25">
      <c r="A18" s="183">
        <f t="shared" si="5"/>
        <v>2034</v>
      </c>
      <c r="B18" s="93"/>
      <c r="C18" s="111">
        <v>1098.3388656873599</v>
      </c>
      <c r="D18" s="111">
        <v>30</v>
      </c>
      <c r="E18" s="116">
        <v>145.19999999999999</v>
      </c>
      <c r="F18" s="116">
        <v>79.663397593653329</v>
      </c>
      <c r="G18" s="116">
        <v>102.10932857991679</v>
      </c>
      <c r="H18" s="116">
        <v>102.10932857991679</v>
      </c>
      <c r="I18" s="115">
        <v>0</v>
      </c>
      <c r="J18" s="115">
        <v>0</v>
      </c>
      <c r="K18" s="115">
        <v>1</v>
      </c>
      <c r="L18" s="116">
        <v>99.6</v>
      </c>
      <c r="M18" s="115">
        <v>0.2</v>
      </c>
      <c r="N18" s="34">
        <f t="shared" si="0"/>
        <v>2034</v>
      </c>
      <c r="O18" s="185">
        <f t="shared" si="6"/>
        <v>2.4281422023746804</v>
      </c>
      <c r="P18" s="185">
        <f t="shared" si="1"/>
        <v>0.18678955965111346</v>
      </c>
      <c r="Q18" s="185">
        <f t="shared" si="7"/>
        <v>7.3457125542324819</v>
      </c>
      <c r="R18" s="185">
        <f t="shared" si="4"/>
        <v>4.3930598474011147</v>
      </c>
      <c r="T18" s="274" t="s">
        <v>273</v>
      </c>
      <c r="U18" s="275"/>
      <c r="V18" s="168" t="s">
        <v>161</v>
      </c>
      <c r="W18" s="120">
        <v>2027</v>
      </c>
    </row>
    <row r="19" spans="1:24" x14ac:dyDescent="0.25">
      <c r="A19" s="183">
        <f t="shared" si="5"/>
        <v>2035</v>
      </c>
      <c r="B19" s="93"/>
      <c r="C19" s="111">
        <v>1151.8040229094081</v>
      </c>
      <c r="D19" s="111">
        <v>30</v>
      </c>
      <c r="E19" s="116">
        <v>145.19999999999999</v>
      </c>
      <c r="F19" s="116">
        <v>79.118927060078235</v>
      </c>
      <c r="G19" s="116">
        <v>105.1726084373143</v>
      </c>
      <c r="H19" s="116">
        <v>105.1726084373143</v>
      </c>
      <c r="I19" s="115">
        <v>0</v>
      </c>
      <c r="J19" s="115">
        <v>0</v>
      </c>
      <c r="K19" s="115">
        <v>1</v>
      </c>
      <c r="L19" s="116">
        <v>99.6</v>
      </c>
      <c r="M19" s="115">
        <v>0.2</v>
      </c>
      <c r="N19" s="34">
        <f t="shared" si="0"/>
        <v>2035</v>
      </c>
      <c r="O19" s="185">
        <f t="shared" si="6"/>
        <v>2.5859714455290344</v>
      </c>
      <c r="P19" s="185">
        <f t="shared" si="1"/>
        <v>0.18865745524762459</v>
      </c>
      <c r="Q19" s="185">
        <f t="shared" si="7"/>
        <v>7.4558982425459686</v>
      </c>
      <c r="R19" s="185">
        <f t="shared" si="4"/>
        <v>4.4589557451121307</v>
      </c>
      <c r="T19" s="276"/>
      <c r="U19" s="277"/>
      <c r="V19" s="91" t="s">
        <v>57</v>
      </c>
      <c r="W19" s="120">
        <v>2027</v>
      </c>
      <c r="X19" s="30"/>
    </row>
    <row r="20" spans="1:24" x14ac:dyDescent="0.25">
      <c r="A20" s="183">
        <f t="shared" si="5"/>
        <v>2036</v>
      </c>
      <c r="B20" s="93"/>
      <c r="C20" s="111">
        <v>1205.2691801314561</v>
      </c>
      <c r="D20" s="111">
        <v>30</v>
      </c>
      <c r="E20" s="116">
        <v>145.19999999999999</v>
      </c>
      <c r="F20" s="116">
        <v>77.898792718991899</v>
      </c>
      <c r="G20" s="116">
        <v>108.32778669043373</v>
      </c>
      <c r="H20" s="116">
        <v>108.32778669043373</v>
      </c>
      <c r="I20" s="115">
        <v>0</v>
      </c>
      <c r="J20" s="115">
        <v>0</v>
      </c>
      <c r="K20" s="115">
        <v>1</v>
      </c>
      <c r="L20" s="116">
        <v>99.6</v>
      </c>
      <c r="M20" s="115">
        <v>0.2</v>
      </c>
      <c r="N20" s="34">
        <f t="shared" si="0"/>
        <v>2036</v>
      </c>
      <c r="O20" s="185">
        <f t="shared" si="6"/>
        <v>2.7540595894884214</v>
      </c>
      <c r="P20" s="185">
        <f t="shared" si="1"/>
        <v>0.19054402980010085</v>
      </c>
      <c r="Q20" s="185">
        <f t="shared" si="7"/>
        <v>7.5677367161841573</v>
      </c>
      <c r="R20" s="185">
        <f t="shared" si="4"/>
        <v>4.5258400812888118</v>
      </c>
      <c r="T20" s="30"/>
      <c r="U20" s="30"/>
      <c r="V20" s="30"/>
      <c r="W20" s="30"/>
      <c r="X20" s="30"/>
    </row>
    <row r="21" spans="1:24" x14ac:dyDescent="0.25">
      <c r="A21" s="183">
        <f t="shared" si="5"/>
        <v>2037</v>
      </c>
      <c r="B21" s="93"/>
      <c r="C21" s="111">
        <v>1258.7343373535041</v>
      </c>
      <c r="D21" s="111">
        <v>30</v>
      </c>
      <c r="E21" s="116">
        <v>145.19999999999999</v>
      </c>
      <c r="F21" s="116">
        <v>75.856043015696542</v>
      </c>
      <c r="G21" s="116">
        <v>111.57762029114674</v>
      </c>
      <c r="H21" s="116">
        <v>111.57762029114674</v>
      </c>
      <c r="I21" s="115">
        <v>0</v>
      </c>
      <c r="J21" s="115">
        <v>0</v>
      </c>
      <c r="K21" s="115">
        <v>1</v>
      </c>
      <c r="L21" s="116">
        <v>99.6</v>
      </c>
      <c r="M21" s="115">
        <v>0.2</v>
      </c>
      <c r="N21" s="34">
        <f t="shared" si="0"/>
        <v>2037</v>
      </c>
      <c r="O21" s="185">
        <f t="shared" si="6"/>
        <v>2.9330734628051687</v>
      </c>
      <c r="P21" s="185">
        <f t="shared" si="1"/>
        <v>0.19244947009810187</v>
      </c>
      <c r="Q21" s="185">
        <f t="shared" si="7"/>
        <v>7.6812527669269191</v>
      </c>
      <c r="R21" s="185">
        <f t="shared" si="4"/>
        <v>4.5937276825081437</v>
      </c>
      <c r="T21" s="20"/>
      <c r="U21" s="19"/>
    </row>
    <row r="22" spans="1:24" x14ac:dyDescent="0.25">
      <c r="A22" s="183">
        <f t="shared" si="5"/>
        <v>2038</v>
      </c>
      <c r="B22" s="93"/>
      <c r="C22" s="111">
        <v>1312.1994945755523</v>
      </c>
      <c r="D22" s="111">
        <v>30</v>
      </c>
      <c r="E22" s="116">
        <v>145.19999999999999</v>
      </c>
      <c r="F22" s="116">
        <v>76.928505686263392</v>
      </c>
      <c r="G22" s="116">
        <v>114.92494889988114</v>
      </c>
      <c r="H22" s="116">
        <v>114.92494889988114</v>
      </c>
      <c r="I22" s="115">
        <v>0</v>
      </c>
      <c r="J22" s="115">
        <v>0</v>
      </c>
      <c r="K22" s="115">
        <v>1</v>
      </c>
      <c r="L22" s="116">
        <v>99.6</v>
      </c>
      <c r="M22" s="115">
        <v>0.2</v>
      </c>
      <c r="N22" s="34">
        <f t="shared" si="0"/>
        <v>2038</v>
      </c>
      <c r="O22" s="185">
        <f t="shared" si="6"/>
        <v>3.1237232378875044</v>
      </c>
      <c r="P22" s="185">
        <f t="shared" si="1"/>
        <v>0.19437396479908289</v>
      </c>
      <c r="Q22" s="185">
        <f t="shared" si="7"/>
        <v>7.796471558430822</v>
      </c>
      <c r="R22" s="185">
        <f t="shared" si="4"/>
        <v>4.6626335977457654</v>
      </c>
      <c r="T22" s="20"/>
      <c r="U22" s="19"/>
    </row>
    <row r="23" spans="1:24" x14ac:dyDescent="0.25">
      <c r="A23" s="183">
        <f t="shared" si="5"/>
        <v>2039</v>
      </c>
      <c r="B23" s="93"/>
      <c r="C23" s="111">
        <v>1365.6646517975998</v>
      </c>
      <c r="D23" s="111">
        <v>30</v>
      </c>
      <c r="E23" s="116">
        <v>145.19999999999999</v>
      </c>
      <c r="F23" s="116">
        <v>76.176255323742211</v>
      </c>
      <c r="G23" s="116">
        <v>118.37269736687757</v>
      </c>
      <c r="H23" s="116">
        <v>118.37269736687757</v>
      </c>
      <c r="I23" s="115">
        <v>0</v>
      </c>
      <c r="J23" s="115">
        <v>0</v>
      </c>
      <c r="K23" s="115">
        <v>1</v>
      </c>
      <c r="L23" s="116">
        <v>99.6</v>
      </c>
      <c r="M23" s="115">
        <v>0.2</v>
      </c>
      <c r="N23" s="34">
        <f t="shared" si="0"/>
        <v>2039</v>
      </c>
      <c r="O23" s="185">
        <f t="shared" si="6"/>
        <v>3.3267652483501919</v>
      </c>
      <c r="P23" s="185">
        <f t="shared" si="1"/>
        <v>0.19631770444707372</v>
      </c>
      <c r="Q23" s="185">
        <f t="shared" si="7"/>
        <v>7.9134186318072839</v>
      </c>
      <c r="R23" s="185">
        <f t="shared" si="4"/>
        <v>4.7325731017119512</v>
      </c>
      <c r="T23" s="20"/>
      <c r="U23" s="19"/>
    </row>
    <row r="24" spans="1:24" x14ac:dyDescent="0.25">
      <c r="A24" s="183">
        <f t="shared" si="5"/>
        <v>2040</v>
      </c>
      <c r="B24" s="93"/>
      <c r="C24" s="111">
        <v>1377.0205274437919</v>
      </c>
      <c r="D24" s="111">
        <v>29</v>
      </c>
      <c r="E24" s="116">
        <v>145.19999999999999</v>
      </c>
      <c r="F24" s="116">
        <v>73.04989018996072</v>
      </c>
      <c r="G24" s="116">
        <v>121.92387828788389</v>
      </c>
      <c r="H24" s="116">
        <v>121.92387828788389</v>
      </c>
      <c r="I24" s="115">
        <v>0</v>
      </c>
      <c r="J24" s="115">
        <v>0</v>
      </c>
      <c r="K24" s="115">
        <v>1</v>
      </c>
      <c r="L24" s="116">
        <v>99.6</v>
      </c>
      <c r="M24" s="115">
        <v>0.2</v>
      </c>
      <c r="N24" s="34">
        <f t="shared" si="0"/>
        <v>2040</v>
      </c>
      <c r="O24" s="185">
        <f t="shared" si="6"/>
        <v>3.5430049894929541</v>
      </c>
      <c r="P24" s="185">
        <f t="shared" si="1"/>
        <v>0.19828088149154446</v>
      </c>
      <c r="Q24" s="185">
        <f t="shared" si="7"/>
        <v>8.0321199112843917</v>
      </c>
      <c r="R24" s="185">
        <f t="shared" si="4"/>
        <v>4.8035616982376297</v>
      </c>
      <c r="T24" s="20"/>
      <c r="U24" s="19"/>
    </row>
    <row r="25" spans="1:24" x14ac:dyDescent="0.25">
      <c r="A25" s="183">
        <f t="shared" si="5"/>
        <v>2041</v>
      </c>
      <c r="B25" s="93"/>
      <c r="C25" s="111">
        <v>1388.376403089984</v>
      </c>
      <c r="D25" s="111">
        <v>28</v>
      </c>
      <c r="E25" s="116">
        <v>145.19999999999999</v>
      </c>
      <c r="F25" s="116">
        <v>69.814649716905976</v>
      </c>
      <c r="G25" s="116">
        <v>125.58159463652041</v>
      </c>
      <c r="H25" s="116">
        <v>125.58159463652041</v>
      </c>
      <c r="I25" s="115">
        <v>0</v>
      </c>
      <c r="J25" s="115">
        <v>0</v>
      </c>
      <c r="K25" s="115">
        <v>1</v>
      </c>
      <c r="L25" s="116">
        <v>99.6</v>
      </c>
      <c r="M25" s="115">
        <v>0.2</v>
      </c>
      <c r="N25" s="34">
        <f t="shared" si="0"/>
        <v>2041</v>
      </c>
      <c r="O25" s="185">
        <f t="shared" si="6"/>
        <v>3.7733003138099961</v>
      </c>
      <c r="P25" s="185">
        <f t="shared" si="1"/>
        <v>0.20026369030645991</v>
      </c>
      <c r="Q25" s="185">
        <f t="shared" si="7"/>
        <v>8.1526017099536574</v>
      </c>
      <c r="R25" s="185">
        <f t="shared" si="4"/>
        <v>4.875615123711194</v>
      </c>
      <c r="T25" s="20"/>
      <c r="U25" s="19"/>
    </row>
    <row r="26" spans="1:24" x14ac:dyDescent="0.25">
      <c r="A26" s="183">
        <f t="shared" si="5"/>
        <v>2042</v>
      </c>
      <c r="B26" s="93"/>
      <c r="C26" s="111">
        <v>1399.7322787361761</v>
      </c>
      <c r="D26" s="111">
        <v>27</v>
      </c>
      <c r="E26" s="116">
        <v>145.19999999999999</v>
      </c>
      <c r="F26" s="116">
        <v>67.186225809119023</v>
      </c>
      <c r="G26" s="116">
        <v>129.34904247561602</v>
      </c>
      <c r="H26" s="116">
        <v>129.34904247561602</v>
      </c>
      <c r="I26" s="115">
        <v>0</v>
      </c>
      <c r="J26" s="115">
        <v>0</v>
      </c>
      <c r="K26" s="115">
        <v>1</v>
      </c>
      <c r="L26" s="116">
        <v>99.6</v>
      </c>
      <c r="M26" s="115">
        <v>0.2</v>
      </c>
      <c r="N26" s="34">
        <f t="shared" si="0"/>
        <v>2042</v>
      </c>
      <c r="O26" s="185">
        <f t="shared" si="6"/>
        <v>4.0185648342076457</v>
      </c>
      <c r="P26" s="185">
        <f t="shared" si="1"/>
        <v>0.2022663272095245</v>
      </c>
      <c r="Q26" s="185">
        <f t="shared" si="7"/>
        <v>8.2748907356029608</v>
      </c>
      <c r="R26" s="185">
        <f t="shared" si="4"/>
        <v>4.9487493505668612</v>
      </c>
      <c r="T26" s="20"/>
      <c r="U26" s="19"/>
    </row>
    <row r="27" spans="1:24" x14ac:dyDescent="0.25">
      <c r="A27" s="183">
        <f t="shared" si="5"/>
        <v>2043</v>
      </c>
      <c r="B27" s="93"/>
      <c r="C27" s="111">
        <v>1411.0881543823682</v>
      </c>
      <c r="D27" s="111">
        <v>26</v>
      </c>
      <c r="E27" s="116">
        <v>145.19999999999999</v>
      </c>
      <c r="F27" s="116">
        <v>64.062712142877842</v>
      </c>
      <c r="G27" s="116">
        <v>133.22951374988449</v>
      </c>
      <c r="H27" s="116">
        <v>133.22951374988449</v>
      </c>
      <c r="I27" s="115">
        <v>0</v>
      </c>
      <c r="J27" s="115">
        <v>0</v>
      </c>
      <c r="K27" s="115">
        <v>1</v>
      </c>
      <c r="L27" s="116">
        <v>99.6</v>
      </c>
      <c r="M27" s="115">
        <v>0.2</v>
      </c>
      <c r="N27" s="34">
        <f t="shared" si="0"/>
        <v>2043</v>
      </c>
      <c r="O27" s="185">
        <f t="shared" si="6"/>
        <v>4.2797715484311425</v>
      </c>
      <c r="P27" s="185">
        <f t="shared" si="1"/>
        <v>0.20428899048161975</v>
      </c>
      <c r="Q27" s="185">
        <f t="shared" si="7"/>
        <v>8.3990140966370053</v>
      </c>
      <c r="R27" s="185">
        <f t="shared" si="4"/>
        <v>5.0229805908253633</v>
      </c>
      <c r="T27" s="20"/>
      <c r="U27" s="19"/>
    </row>
    <row r="28" spans="1:24" x14ac:dyDescent="0.25">
      <c r="A28" s="183">
        <f t="shared" si="5"/>
        <v>2044</v>
      </c>
      <c r="B28" s="93"/>
      <c r="C28" s="111">
        <v>1422.4440300285598</v>
      </c>
      <c r="D28" s="111">
        <v>25</v>
      </c>
      <c r="E28" s="116">
        <v>145.19999999999999</v>
      </c>
      <c r="F28" s="116">
        <v>63.233466559319417</v>
      </c>
      <c r="G28" s="116">
        <v>137.22639916238103</v>
      </c>
      <c r="H28" s="116">
        <v>137.22639916238103</v>
      </c>
      <c r="I28" s="115">
        <v>0</v>
      </c>
      <c r="J28" s="115">
        <v>0</v>
      </c>
      <c r="K28" s="115">
        <v>1</v>
      </c>
      <c r="L28" s="116">
        <v>99.6</v>
      </c>
      <c r="M28" s="115">
        <v>0.2</v>
      </c>
      <c r="N28" s="34">
        <f t="shared" si="0"/>
        <v>2044</v>
      </c>
      <c r="O28" s="185">
        <f t="shared" si="6"/>
        <v>4.5579566990791669</v>
      </c>
      <c r="P28" s="185">
        <f t="shared" si="1"/>
        <v>0.20633188038643593</v>
      </c>
      <c r="Q28" s="185">
        <f t="shared" si="7"/>
        <v>8.52499930808656</v>
      </c>
      <c r="R28" s="185">
        <f t="shared" si="4"/>
        <v>5.0983252996877431</v>
      </c>
      <c r="T28" s="20"/>
      <c r="U28" s="19"/>
    </row>
    <row r="29" spans="1:24" x14ac:dyDescent="0.25">
      <c r="A29" s="183">
        <f t="shared" si="5"/>
        <v>2045</v>
      </c>
      <c r="B29" s="93"/>
      <c r="C29" s="111">
        <v>1423.4691371614558</v>
      </c>
      <c r="D29" s="111">
        <v>24</v>
      </c>
      <c r="E29" s="116">
        <v>145.19999999999999</v>
      </c>
      <c r="F29" s="116">
        <v>62.039481801846094</v>
      </c>
      <c r="G29" s="116">
        <v>141.34319113725246</v>
      </c>
      <c r="H29" s="116">
        <v>141.34319113725246</v>
      </c>
      <c r="I29" s="115">
        <v>0</v>
      </c>
      <c r="J29" s="115">
        <v>0</v>
      </c>
      <c r="K29" s="115">
        <v>1</v>
      </c>
      <c r="L29" s="116">
        <v>99.6</v>
      </c>
      <c r="M29" s="115">
        <v>0.2</v>
      </c>
      <c r="N29" s="34">
        <f t="shared" si="0"/>
        <v>2045</v>
      </c>
      <c r="O29" s="185">
        <f t="shared" si="6"/>
        <v>4.8542238845193122</v>
      </c>
      <c r="P29" s="185">
        <f t="shared" si="1"/>
        <v>0.20839519919030031</v>
      </c>
      <c r="Q29" s="185">
        <f t="shared" si="7"/>
        <v>8.6528742977078572</v>
      </c>
      <c r="R29" s="185">
        <f t="shared" si="4"/>
        <v>5.1748001791830589</v>
      </c>
      <c r="T29" s="20"/>
      <c r="U29" s="19"/>
    </row>
    <row r="30" spans="1:24" x14ac:dyDescent="0.25">
      <c r="A30" s="183">
        <f t="shared" si="5"/>
        <v>2046</v>
      </c>
      <c r="B30" s="93"/>
      <c r="C30" s="111">
        <v>1424.494244294352</v>
      </c>
      <c r="D30" s="111">
        <v>23</v>
      </c>
      <c r="E30" s="116">
        <v>145.19999999999999</v>
      </c>
      <c r="F30" s="116">
        <v>59.789880133094933</v>
      </c>
      <c r="G30" s="116">
        <v>145.58348687137004</v>
      </c>
      <c r="H30" s="116">
        <v>145.58348687137004</v>
      </c>
      <c r="I30" s="115">
        <v>0</v>
      </c>
      <c r="J30" s="115">
        <v>0</v>
      </c>
      <c r="K30" s="115">
        <v>1</v>
      </c>
      <c r="L30" s="116">
        <v>99.6</v>
      </c>
      <c r="M30" s="115">
        <v>0.2</v>
      </c>
      <c r="N30" s="34">
        <f t="shared" si="0"/>
        <v>2046</v>
      </c>
      <c r="O30" s="185">
        <f t="shared" si="6"/>
        <v>5.1697484370130669</v>
      </c>
      <c r="P30" s="185">
        <f t="shared" si="1"/>
        <v>0.21047915118220331</v>
      </c>
      <c r="Q30" s="185">
        <f t="shared" si="7"/>
        <v>8.782667412173474</v>
      </c>
      <c r="R30" s="185">
        <f t="shared" si="4"/>
        <v>5.2524221818708039</v>
      </c>
      <c r="T30" s="20"/>
      <c r="U30" s="19"/>
    </row>
    <row r="31" spans="1:24" x14ac:dyDescent="0.25">
      <c r="A31" s="183">
        <f t="shared" si="5"/>
        <v>2047</v>
      </c>
      <c r="B31" s="93"/>
      <c r="C31" s="111">
        <v>1425.519351427248</v>
      </c>
      <c r="D31" s="111">
        <v>22</v>
      </c>
      <c r="E31" s="116">
        <v>145.19999999999999</v>
      </c>
      <c r="F31" s="116">
        <v>60.700500891293665</v>
      </c>
      <c r="G31" s="116">
        <v>149.95099147751114</v>
      </c>
      <c r="H31" s="116">
        <v>149.95099147751114</v>
      </c>
      <c r="I31" s="115">
        <v>0</v>
      </c>
      <c r="J31" s="115">
        <v>0</v>
      </c>
      <c r="K31" s="115">
        <v>1</v>
      </c>
      <c r="L31" s="116">
        <v>99.6</v>
      </c>
      <c r="M31" s="115">
        <v>0.2</v>
      </c>
      <c r="N31" s="34">
        <f t="shared" si="0"/>
        <v>2047</v>
      </c>
      <c r="O31" s="185">
        <f t="shared" si="6"/>
        <v>5.5057820854189163</v>
      </c>
      <c r="P31" s="185">
        <f t="shared" si="1"/>
        <v>0.21258394269402534</v>
      </c>
      <c r="Q31" s="185">
        <f t="shared" si="7"/>
        <v>8.9144074233560744</v>
      </c>
      <c r="R31" s="185">
        <f t="shared" si="4"/>
        <v>5.331208514598865</v>
      </c>
      <c r="T31" s="20"/>
      <c r="U31" s="19"/>
    </row>
    <row r="32" spans="1:24" x14ac:dyDescent="0.25">
      <c r="A32" s="183">
        <f t="shared" si="5"/>
        <v>2048</v>
      </c>
      <c r="B32" s="93"/>
      <c r="C32" s="111">
        <v>1426.544458560144</v>
      </c>
      <c r="D32" s="111">
        <v>21</v>
      </c>
      <c r="E32" s="116">
        <v>145.19999999999999</v>
      </c>
      <c r="F32" s="116">
        <v>56.761432889547287</v>
      </c>
      <c r="G32" s="116">
        <v>154.44952122183648</v>
      </c>
      <c r="H32" s="116">
        <v>154.44952122183648</v>
      </c>
      <c r="I32" s="115">
        <v>0</v>
      </c>
      <c r="J32" s="115">
        <v>0</v>
      </c>
      <c r="K32" s="115">
        <v>1</v>
      </c>
      <c r="L32" s="116">
        <v>99.6</v>
      </c>
      <c r="M32" s="115">
        <v>0.2</v>
      </c>
      <c r="N32" s="34">
        <f t="shared" si="0"/>
        <v>2048</v>
      </c>
      <c r="O32" s="185">
        <f t="shared" si="6"/>
        <v>5.8636579209711455</v>
      </c>
      <c r="P32" s="185">
        <f t="shared" si="1"/>
        <v>0.21470978212096559</v>
      </c>
      <c r="Q32" s="185">
        <f t="shared" si="7"/>
        <v>9.0481235347064146</v>
      </c>
      <c r="R32" s="185">
        <f t="shared" si="4"/>
        <v>5.4111766423178471</v>
      </c>
      <c r="T32" s="20"/>
      <c r="U32" s="19"/>
    </row>
    <row r="33" spans="1:21" x14ac:dyDescent="0.25">
      <c r="A33" s="183">
        <f t="shared" si="5"/>
        <v>2049</v>
      </c>
      <c r="B33" s="93"/>
      <c r="C33" s="111">
        <v>1427.56956569304</v>
      </c>
      <c r="D33" s="111">
        <v>20</v>
      </c>
      <c r="E33" s="116">
        <v>145.19999999999999</v>
      </c>
      <c r="F33" s="116">
        <v>54.465934743655353</v>
      </c>
      <c r="G33" s="116">
        <v>159.08300685849156</v>
      </c>
      <c r="H33" s="116">
        <v>159.08300685849156</v>
      </c>
      <c r="I33" s="115">
        <v>0</v>
      </c>
      <c r="J33" s="115">
        <v>0</v>
      </c>
      <c r="K33" s="115">
        <v>1</v>
      </c>
      <c r="L33" s="116">
        <v>99.6</v>
      </c>
      <c r="M33" s="115">
        <v>0.2</v>
      </c>
      <c r="N33" s="34">
        <f t="shared" si="0"/>
        <v>2049</v>
      </c>
      <c r="O33" s="185">
        <f t="shared" si="6"/>
        <v>6.2447956858342692</v>
      </c>
      <c r="P33" s="185">
        <f t="shared" si="1"/>
        <v>0.21685687994217526</v>
      </c>
      <c r="Q33" s="185">
        <f t="shared" si="7"/>
        <v>9.1838453877270094</v>
      </c>
      <c r="R33" s="185">
        <f t="shared" si="4"/>
        <v>5.4923442919526142</v>
      </c>
      <c r="T33" s="20"/>
      <c r="U33" s="19"/>
    </row>
    <row r="34" spans="1:21" x14ac:dyDescent="0.25">
      <c r="A34" s="183">
        <f t="shared" si="5"/>
        <v>2050</v>
      </c>
      <c r="B34" s="93"/>
      <c r="C34" s="111">
        <v>1427.56956569304</v>
      </c>
      <c r="D34" s="111">
        <v>20</v>
      </c>
      <c r="E34" s="116">
        <v>145.19999999999999</v>
      </c>
      <c r="F34" s="116">
        <v>54.465934743655353</v>
      </c>
      <c r="G34" s="116">
        <v>159.08300685849156</v>
      </c>
      <c r="H34" s="116">
        <v>159.08300685849156</v>
      </c>
      <c r="I34" s="115">
        <v>0</v>
      </c>
      <c r="J34" s="115">
        <v>0</v>
      </c>
      <c r="K34" s="115">
        <v>1</v>
      </c>
      <c r="L34" s="116">
        <v>99.6</v>
      </c>
      <c r="M34" s="115">
        <v>0.2</v>
      </c>
      <c r="N34" s="34">
        <f t="shared" si="0"/>
        <v>2050</v>
      </c>
      <c r="O34" s="185">
        <f t="shared" si="6"/>
        <v>6.6507074054134963</v>
      </c>
      <c r="P34" s="185">
        <f t="shared" si="1"/>
        <v>0.21902544874159702</v>
      </c>
      <c r="Q34" s="185">
        <f t="shared" si="7"/>
        <v>9.3216030685429132</v>
      </c>
      <c r="R34" s="185">
        <f t="shared" si="4"/>
        <v>5.5747294563319025</v>
      </c>
      <c r="T34" s="20"/>
      <c r="U34" s="19"/>
    </row>
    <row r="35" spans="1:21" x14ac:dyDescent="0.25">
      <c r="A35" s="183">
        <f t="shared" si="5"/>
        <v>2051</v>
      </c>
      <c r="B35" s="93"/>
      <c r="C35" s="111">
        <v>1427.56956569304</v>
      </c>
      <c r="D35" s="111">
        <v>20</v>
      </c>
      <c r="E35" s="116">
        <v>145.19999999999999</v>
      </c>
      <c r="F35" s="116">
        <v>54.465934743655353</v>
      </c>
      <c r="G35" s="116">
        <v>159.08300685849156</v>
      </c>
      <c r="H35" s="116">
        <v>159.08300685849156</v>
      </c>
      <c r="I35" s="115">
        <v>0</v>
      </c>
      <c r="J35" s="115">
        <v>0</v>
      </c>
      <c r="K35" s="115">
        <v>1</v>
      </c>
      <c r="L35" s="116">
        <v>99.6</v>
      </c>
      <c r="M35" s="115">
        <v>0.2</v>
      </c>
      <c r="N35" s="34">
        <f t="shared" si="0"/>
        <v>2051</v>
      </c>
      <c r="O35" s="185">
        <f t="shared" si="6"/>
        <v>7.0830033867653732</v>
      </c>
      <c r="P35" s="185">
        <f t="shared" si="1"/>
        <v>0.22121570322901299</v>
      </c>
      <c r="Q35" s="185">
        <f t="shared" si="7"/>
        <v>9.4614271145710553</v>
      </c>
      <c r="R35" s="185">
        <f t="shared" si="4"/>
        <v>5.6583503981768803</v>
      </c>
      <c r="T35" s="20"/>
      <c r="U35" s="19"/>
    </row>
    <row r="36" spans="1:21" x14ac:dyDescent="0.25">
      <c r="A36" s="183">
        <f t="shared" si="5"/>
        <v>2052</v>
      </c>
      <c r="B36" s="93"/>
      <c r="C36" s="111">
        <v>1427.56956569304</v>
      </c>
      <c r="D36" s="111">
        <v>20</v>
      </c>
      <c r="E36" s="116">
        <v>145.19999999999999</v>
      </c>
      <c r="F36" s="116">
        <v>54.465934743655353</v>
      </c>
      <c r="G36" s="116">
        <v>159.08300685849156</v>
      </c>
      <c r="H36" s="116">
        <v>159.08300685849156</v>
      </c>
      <c r="I36" s="115">
        <v>0</v>
      </c>
      <c r="J36" s="115">
        <v>0</v>
      </c>
      <c r="K36" s="115">
        <v>1</v>
      </c>
      <c r="L36" s="116">
        <v>99.6</v>
      </c>
      <c r="M36" s="115">
        <v>0.2</v>
      </c>
      <c r="N36" s="34">
        <f t="shared" si="0"/>
        <v>2052</v>
      </c>
      <c r="O36" s="185">
        <f t="shared" si="6"/>
        <v>7.5433986069051224</v>
      </c>
      <c r="P36" s="185">
        <f t="shared" si="1"/>
        <v>0.22342786026130312</v>
      </c>
      <c r="Q36" s="185">
        <f t="shared" si="7"/>
        <v>9.6033485212896199</v>
      </c>
      <c r="R36" s="185">
        <f t="shared" si="4"/>
        <v>5.7432256541495326</v>
      </c>
      <c r="T36" s="20"/>
      <c r="U36" s="19"/>
    </row>
    <row r="37" spans="1:21" x14ac:dyDescent="0.25">
      <c r="A37" s="183">
        <f t="shared" si="5"/>
        <v>2053</v>
      </c>
      <c r="B37" s="93"/>
      <c r="C37" s="111">
        <v>1427.56956569304</v>
      </c>
      <c r="D37" s="111">
        <v>20</v>
      </c>
      <c r="E37" s="116">
        <v>145.19999999999999</v>
      </c>
      <c r="F37" s="116">
        <v>54.465934743655353</v>
      </c>
      <c r="G37" s="116">
        <v>159.08300685849156</v>
      </c>
      <c r="H37" s="116">
        <v>159.08300685849156</v>
      </c>
      <c r="I37" s="115">
        <v>0</v>
      </c>
      <c r="J37" s="115">
        <v>0</v>
      </c>
      <c r="K37" s="115">
        <v>1</v>
      </c>
      <c r="L37" s="116">
        <v>99.6</v>
      </c>
      <c r="M37" s="115">
        <v>0.2</v>
      </c>
      <c r="N37" s="34">
        <f t="shared" si="0"/>
        <v>2053</v>
      </c>
      <c r="O37" s="185">
        <f t="shared" si="6"/>
        <v>7.75</v>
      </c>
      <c r="P37" s="185">
        <f t="shared" si="1"/>
        <v>0.22566213886391615</v>
      </c>
      <c r="Q37" s="185">
        <f t="shared" si="7"/>
        <v>9.7473987491089638</v>
      </c>
      <c r="R37" s="185">
        <f t="shared" si="4"/>
        <v>5.8293740389617748</v>
      </c>
      <c r="T37" s="20"/>
      <c r="U37" s="19"/>
    </row>
    <row r="38" spans="1:21" x14ac:dyDescent="0.25">
      <c r="A38" s="183">
        <f t="shared" si="5"/>
        <v>2054</v>
      </c>
      <c r="B38" s="93"/>
      <c r="C38" s="111">
        <v>1427.56956569304</v>
      </c>
      <c r="D38" s="111">
        <v>20</v>
      </c>
      <c r="E38" s="116">
        <v>145.19999999999999</v>
      </c>
      <c r="F38" s="116">
        <v>54.465934743655353</v>
      </c>
      <c r="G38" s="116">
        <v>159.08300685849156</v>
      </c>
      <c r="H38" s="116">
        <v>159.08300685849156</v>
      </c>
      <c r="I38" s="115">
        <v>0</v>
      </c>
      <c r="J38" s="115">
        <v>0</v>
      </c>
      <c r="K38" s="115">
        <v>1</v>
      </c>
      <c r="L38" s="116">
        <v>99.6</v>
      </c>
      <c r="M38" s="115">
        <v>0.2</v>
      </c>
      <c r="N38" s="34">
        <f t="shared" si="0"/>
        <v>2054</v>
      </c>
      <c r="O38" s="185">
        <f t="shared" si="6"/>
        <v>7.75</v>
      </c>
      <c r="P38" s="185">
        <f t="shared" si="1"/>
        <v>0.22791876025255531</v>
      </c>
      <c r="Q38" s="185">
        <f t="shared" si="7"/>
        <v>9.893609730345597</v>
      </c>
      <c r="R38" s="185">
        <f t="shared" si="4"/>
        <v>5.9168146495462004</v>
      </c>
      <c r="T38" s="20"/>
      <c r="U38" s="19"/>
    </row>
    <row r="39" spans="1:21" x14ac:dyDescent="0.25">
      <c r="A39" s="183">
        <f t="shared" si="5"/>
        <v>2055</v>
      </c>
      <c r="B39" s="93"/>
      <c r="C39" s="111">
        <v>1427.56956569304</v>
      </c>
      <c r="D39" s="111">
        <v>20</v>
      </c>
      <c r="E39" s="116">
        <v>145.19999999999999</v>
      </c>
      <c r="F39" s="116">
        <v>54.465934743655353</v>
      </c>
      <c r="G39" s="116">
        <v>159.08300685849156</v>
      </c>
      <c r="H39" s="116">
        <v>159.08300685849156</v>
      </c>
      <c r="I39" s="115">
        <v>0</v>
      </c>
      <c r="J39" s="115">
        <v>0</v>
      </c>
      <c r="K39" s="115">
        <v>1</v>
      </c>
      <c r="L39" s="116">
        <v>99.6</v>
      </c>
      <c r="M39" s="115">
        <v>0.2</v>
      </c>
      <c r="N39" s="34">
        <f t="shared" si="0"/>
        <v>2055</v>
      </c>
      <c r="O39" s="185">
        <f t="shared" si="6"/>
        <v>7.75</v>
      </c>
      <c r="P39" s="185">
        <f t="shared" si="1"/>
        <v>0.23019794785508085</v>
      </c>
      <c r="Q39" s="185">
        <f t="shared" si="7"/>
        <v>10.04201387630078</v>
      </c>
      <c r="R39" s="185">
        <f t="shared" si="4"/>
        <v>6.0055668692893924</v>
      </c>
      <c r="T39" s="20"/>
      <c r="U39" s="19"/>
    </row>
    <row r="40" spans="1:21" x14ac:dyDescent="0.25">
      <c r="A40" s="183">
        <f t="shared" si="5"/>
        <v>2056</v>
      </c>
      <c r="B40" s="93"/>
      <c r="C40" s="111">
        <v>1427.56956569304</v>
      </c>
      <c r="D40" s="111">
        <v>20</v>
      </c>
      <c r="E40" s="116">
        <v>145.19999999999999</v>
      </c>
      <c r="F40" s="116">
        <v>54.465934743655353</v>
      </c>
      <c r="G40" s="116">
        <v>159.08300685849156</v>
      </c>
      <c r="H40" s="116">
        <v>159.08300685849156</v>
      </c>
      <c r="I40" s="115">
        <v>0</v>
      </c>
      <c r="J40" s="115">
        <v>0</v>
      </c>
      <c r="K40" s="115">
        <v>1</v>
      </c>
      <c r="L40" s="116">
        <v>99.6</v>
      </c>
      <c r="M40" s="115">
        <v>0.2</v>
      </c>
      <c r="N40" s="34">
        <f t="shared" si="0"/>
        <v>2056</v>
      </c>
      <c r="O40" s="185">
        <f t="shared" si="6"/>
        <v>7.75</v>
      </c>
      <c r="P40" s="185">
        <f t="shared" si="1"/>
        <v>0.23249992733363167</v>
      </c>
      <c r="Q40" s="185">
        <f t="shared" si="7"/>
        <v>10.192644084445291</v>
      </c>
      <c r="R40" s="185">
        <f t="shared" si="4"/>
        <v>6.0956503723287323</v>
      </c>
      <c r="T40" s="20"/>
      <c r="U40" s="19"/>
    </row>
    <row r="41" spans="1:21" x14ac:dyDescent="0.25">
      <c r="A41" s="183">
        <f t="shared" si="5"/>
        <v>2057</v>
      </c>
      <c r="B41" s="93"/>
      <c r="C41" s="111">
        <v>1427.56956569304</v>
      </c>
      <c r="D41" s="111">
        <v>20</v>
      </c>
      <c r="E41" s="116">
        <v>145.19999999999999</v>
      </c>
      <c r="F41" s="116">
        <v>54.465934743655353</v>
      </c>
      <c r="G41" s="116">
        <v>159.08300685849156</v>
      </c>
      <c r="H41" s="116">
        <v>159.08300685849156</v>
      </c>
      <c r="I41" s="115">
        <v>0</v>
      </c>
      <c r="J41" s="115">
        <v>0</v>
      </c>
      <c r="K41" s="115">
        <v>1</v>
      </c>
      <c r="L41" s="116">
        <v>99.6</v>
      </c>
      <c r="M41" s="115">
        <v>0.2</v>
      </c>
      <c r="N41" s="34">
        <f t="shared" si="0"/>
        <v>2057</v>
      </c>
      <c r="O41" s="185">
        <f t="shared" si="6"/>
        <v>7.75</v>
      </c>
      <c r="P41" s="185">
        <f t="shared" si="1"/>
        <v>0.23482492660696799</v>
      </c>
      <c r="Q41" s="185">
        <f t="shared" si="7"/>
        <v>10.34553374571197</v>
      </c>
      <c r="R41" s="185">
        <f t="shared" si="4"/>
        <v>6.1870851279136625</v>
      </c>
      <c r="T41" s="20"/>
      <c r="U41" s="19"/>
    </row>
    <row r="42" spans="1:21" x14ac:dyDescent="0.25">
      <c r="A42" s="183">
        <f t="shared" si="5"/>
        <v>2058</v>
      </c>
      <c r="B42" s="93"/>
      <c r="C42" s="111">
        <v>1427.56956569304</v>
      </c>
      <c r="D42" s="111">
        <v>20</v>
      </c>
      <c r="E42" s="116">
        <v>145.19999999999999</v>
      </c>
      <c r="F42" s="116">
        <v>54.465934743655353</v>
      </c>
      <c r="G42" s="116">
        <v>159.08300685849156</v>
      </c>
      <c r="H42" s="116">
        <v>159.08300685849156</v>
      </c>
      <c r="I42" s="115">
        <v>0</v>
      </c>
      <c r="J42" s="115">
        <v>0</v>
      </c>
      <c r="K42" s="115">
        <v>1</v>
      </c>
      <c r="L42" s="116">
        <v>99.6</v>
      </c>
      <c r="M42" s="115">
        <v>0.2</v>
      </c>
      <c r="N42" s="34">
        <f t="shared" si="0"/>
        <v>2058</v>
      </c>
      <c r="O42" s="185">
        <f t="shared" si="6"/>
        <v>7.75</v>
      </c>
      <c r="P42" s="185">
        <f t="shared" si="1"/>
        <v>0.23717317587303768</v>
      </c>
      <c r="Q42" s="185">
        <f t="shared" si="7"/>
        <v>10.500716751897649</v>
      </c>
      <c r="R42" s="185">
        <f t="shared" si="4"/>
        <v>6.2798914048323669</v>
      </c>
      <c r="T42" s="20"/>
      <c r="U42" s="19"/>
    </row>
    <row r="43" spans="1:21" x14ac:dyDescent="0.25">
      <c r="A43" s="183">
        <f t="shared" si="5"/>
        <v>2059</v>
      </c>
      <c r="B43" s="93"/>
      <c r="C43" s="111">
        <v>1427.56956569304</v>
      </c>
      <c r="D43" s="111">
        <v>20</v>
      </c>
      <c r="E43" s="116">
        <v>145.19999999999999</v>
      </c>
      <c r="F43" s="116">
        <v>54.465934743655353</v>
      </c>
      <c r="G43" s="116">
        <v>159.08300685849156</v>
      </c>
      <c r="H43" s="116">
        <v>159.08300685849156</v>
      </c>
      <c r="I43" s="115">
        <v>0</v>
      </c>
      <c r="J43" s="115">
        <v>0</v>
      </c>
      <c r="K43" s="115">
        <v>1</v>
      </c>
      <c r="L43" s="116">
        <v>99.6</v>
      </c>
      <c r="M43" s="115">
        <v>0.2</v>
      </c>
      <c r="N43" s="34">
        <f t="shared" si="0"/>
        <v>2059</v>
      </c>
      <c r="O43" s="185">
        <f t="shared" si="6"/>
        <v>7.75</v>
      </c>
      <c r="P43" s="185">
        <f t="shared" si="1"/>
        <v>0.23954490763176806</v>
      </c>
      <c r="Q43" s="185">
        <f t="shared" si="7"/>
        <v>10.658227503176112</v>
      </c>
      <c r="R43" s="185">
        <f t="shared" si="4"/>
        <v>6.374089775904852</v>
      </c>
      <c r="T43" s="20"/>
      <c r="U43" s="19"/>
    </row>
    <row r="44" spans="1:21" x14ac:dyDescent="0.25">
      <c r="A44" s="183">
        <f t="shared" si="5"/>
        <v>2060</v>
      </c>
      <c r="B44" s="93"/>
      <c r="C44" s="111">
        <v>1427.56956569304</v>
      </c>
      <c r="D44" s="111">
        <v>20</v>
      </c>
      <c r="E44" s="116">
        <v>145.19999999999999</v>
      </c>
      <c r="F44" s="116">
        <v>54.465934743655353</v>
      </c>
      <c r="G44" s="116">
        <v>159.08300685849156</v>
      </c>
      <c r="H44" s="116">
        <v>159.08300685849156</v>
      </c>
      <c r="I44" s="115">
        <v>0</v>
      </c>
      <c r="J44" s="115">
        <v>0</v>
      </c>
      <c r="K44" s="115">
        <v>1</v>
      </c>
      <c r="L44" s="116">
        <v>99.6</v>
      </c>
      <c r="M44" s="115">
        <v>0.2</v>
      </c>
      <c r="N44" s="34">
        <f t="shared" si="0"/>
        <v>2060</v>
      </c>
      <c r="O44" s="185">
        <f t="shared" si="6"/>
        <v>7.75</v>
      </c>
      <c r="P44" s="185">
        <f t="shared" si="1"/>
        <v>0.24194035670808575</v>
      </c>
      <c r="Q44" s="185">
        <f t="shared" si="7"/>
        <v>10.73</v>
      </c>
      <c r="R44" s="185">
        <f t="shared" si="4"/>
        <v>6.469701122543424</v>
      </c>
      <c r="T44" s="20"/>
      <c r="U44" s="19"/>
    </row>
    <row r="45" spans="1:21" x14ac:dyDescent="0.25">
      <c r="A45" s="183">
        <f t="shared" si="5"/>
        <v>2061</v>
      </c>
      <c r="B45" s="93"/>
      <c r="C45" s="111">
        <v>1427.56956569304</v>
      </c>
      <c r="D45" s="111">
        <v>20</v>
      </c>
      <c r="E45" s="116">
        <v>145.19999999999999</v>
      </c>
      <c r="F45" s="116">
        <v>54.465934743655353</v>
      </c>
      <c r="G45" s="116">
        <v>159.08300685849156</v>
      </c>
      <c r="H45" s="116">
        <v>159.08300685849156</v>
      </c>
      <c r="I45" s="115">
        <v>0</v>
      </c>
      <c r="J45" s="115">
        <v>0</v>
      </c>
      <c r="K45" s="115">
        <v>1</v>
      </c>
      <c r="L45" s="116">
        <v>99.6</v>
      </c>
      <c r="M45" s="115">
        <v>0.2</v>
      </c>
      <c r="N45" s="34">
        <f t="shared" si="0"/>
        <v>2061</v>
      </c>
      <c r="O45" s="185">
        <f t="shared" si="6"/>
        <v>7.75</v>
      </c>
      <c r="P45" s="185">
        <f t="shared" si="1"/>
        <v>0.24435976027516662</v>
      </c>
      <c r="Q45" s="185">
        <f t="shared" si="7"/>
        <v>10.73</v>
      </c>
      <c r="R45" s="185">
        <f t="shared" si="4"/>
        <v>6.5667466393815745</v>
      </c>
      <c r="T45" s="20"/>
      <c r="U45" s="19"/>
    </row>
    <row r="46" spans="1:21" x14ac:dyDescent="0.25">
      <c r="A46" s="183">
        <f t="shared" si="5"/>
        <v>2062</v>
      </c>
      <c r="B46" s="93"/>
      <c r="C46" s="111">
        <v>1427.56956569304</v>
      </c>
      <c r="D46" s="111">
        <v>20</v>
      </c>
      <c r="E46" s="116">
        <v>145.19999999999999</v>
      </c>
      <c r="F46" s="116">
        <v>54.465934743655353</v>
      </c>
      <c r="G46" s="116">
        <v>159.08300685849156</v>
      </c>
      <c r="H46" s="116">
        <v>159.08300685849156</v>
      </c>
      <c r="I46" s="115">
        <v>0</v>
      </c>
      <c r="J46" s="115">
        <v>0</v>
      </c>
      <c r="K46" s="115">
        <v>1</v>
      </c>
      <c r="L46" s="116">
        <v>99.6</v>
      </c>
      <c r="M46" s="115">
        <v>0.2</v>
      </c>
      <c r="N46" s="34">
        <f t="shared" si="0"/>
        <v>2062</v>
      </c>
      <c r="O46" s="185">
        <f t="shared" si="6"/>
        <v>7.75</v>
      </c>
      <c r="P46" s="185">
        <f t="shared" si="1"/>
        <v>0.24680335787791829</v>
      </c>
      <c r="Q46" s="185">
        <f t="shared" si="7"/>
        <v>10.73</v>
      </c>
      <c r="R46" s="185">
        <f t="shared" si="4"/>
        <v>6.6652478389722978</v>
      </c>
      <c r="T46" s="20"/>
      <c r="U46" s="19"/>
    </row>
    <row r="47" spans="1:21" x14ac:dyDescent="0.25">
      <c r="A47" s="183">
        <f t="shared" si="5"/>
        <v>2063</v>
      </c>
      <c r="B47" s="93"/>
      <c r="C47" s="111">
        <v>1427.56956569304</v>
      </c>
      <c r="D47" s="111">
        <v>20</v>
      </c>
      <c r="E47" s="116">
        <v>145.19999999999999</v>
      </c>
      <c r="F47" s="116">
        <v>54.465934743655353</v>
      </c>
      <c r="G47" s="116">
        <v>159.08300685849156</v>
      </c>
      <c r="H47" s="116">
        <v>159.08300685849156</v>
      </c>
      <c r="I47" s="115">
        <v>0</v>
      </c>
      <c r="J47" s="115">
        <v>0</v>
      </c>
      <c r="K47" s="115">
        <v>1</v>
      </c>
      <c r="L47" s="116">
        <v>99.6</v>
      </c>
      <c r="M47" s="115">
        <v>0.2</v>
      </c>
      <c r="N47" s="34">
        <f t="shared" si="0"/>
        <v>2063</v>
      </c>
      <c r="O47" s="185">
        <f t="shared" si="6"/>
        <v>7.75</v>
      </c>
      <c r="P47" s="185">
        <f t="shared" si="1"/>
        <v>0.24927139145669747</v>
      </c>
      <c r="Q47" s="185">
        <f t="shared" si="7"/>
        <v>10.73</v>
      </c>
      <c r="R47" s="185">
        <f t="shared" si="4"/>
        <v>6.7652265565568817</v>
      </c>
      <c r="T47" s="20"/>
      <c r="U47" s="19"/>
    </row>
    <row r="48" spans="1:21" x14ac:dyDescent="0.25">
      <c r="A48" s="183">
        <f t="shared" si="5"/>
        <v>2064</v>
      </c>
      <c r="B48" s="93"/>
      <c r="C48" s="111">
        <v>1427.56956569304</v>
      </c>
      <c r="D48" s="111">
        <v>20</v>
      </c>
      <c r="E48" s="116">
        <v>145.19999999999999</v>
      </c>
      <c r="F48" s="116">
        <v>54.465934743655353</v>
      </c>
      <c r="G48" s="116">
        <v>159.08300685849156</v>
      </c>
      <c r="H48" s="116">
        <v>159.08300685849156</v>
      </c>
      <c r="I48" s="115">
        <v>0</v>
      </c>
      <c r="J48" s="115">
        <v>0</v>
      </c>
      <c r="K48" s="115">
        <v>1</v>
      </c>
      <c r="L48" s="116">
        <v>99.6</v>
      </c>
      <c r="M48" s="115">
        <v>0.2</v>
      </c>
      <c r="N48" s="34">
        <f t="shared" si="0"/>
        <v>2064</v>
      </c>
      <c r="O48" s="185">
        <f t="shared" si="6"/>
        <v>7.75</v>
      </c>
      <c r="P48" s="185">
        <f t="shared" si="1"/>
        <v>0.25176410537126442</v>
      </c>
      <c r="Q48" s="185">
        <f t="shared" si="7"/>
        <v>10.73</v>
      </c>
      <c r="R48" s="185">
        <f t="shared" si="4"/>
        <v>6.8667049549052344</v>
      </c>
      <c r="T48" s="20"/>
      <c r="U48" s="19"/>
    </row>
    <row r="49" spans="1:18" x14ac:dyDescent="0.25">
      <c r="A49" s="183">
        <f t="shared" si="5"/>
        <v>2065</v>
      </c>
      <c r="B49" s="93"/>
      <c r="C49" s="111">
        <v>1427.56956569304</v>
      </c>
      <c r="D49" s="111">
        <v>20</v>
      </c>
      <c r="E49" s="116">
        <v>145.19999999999999</v>
      </c>
      <c r="F49" s="116">
        <v>54.465934743655353</v>
      </c>
      <c r="G49" s="116">
        <v>159.08300685849156</v>
      </c>
      <c r="H49" s="116">
        <v>159.08300685849156</v>
      </c>
      <c r="I49" s="115">
        <v>0</v>
      </c>
      <c r="J49" s="115">
        <v>0</v>
      </c>
      <c r="K49" s="115">
        <v>1</v>
      </c>
      <c r="L49" s="116">
        <v>99.6</v>
      </c>
      <c r="M49" s="115">
        <v>0.2</v>
      </c>
      <c r="N49" s="34">
        <f t="shared" si="0"/>
        <v>2065</v>
      </c>
      <c r="O49" s="185">
        <f t="shared" si="6"/>
        <v>7.75</v>
      </c>
      <c r="P49" s="185">
        <f t="shared" si="1"/>
        <v>0.25428174642497708</v>
      </c>
      <c r="Q49" s="185">
        <f t="shared" si="7"/>
        <v>10.73</v>
      </c>
      <c r="R49" s="185">
        <f t="shared" si="4"/>
        <v>6.9697055292288121</v>
      </c>
    </row>
    <row r="50" spans="1:18" x14ac:dyDescent="0.25">
      <c r="A50" s="183">
        <f t="shared" si="5"/>
        <v>2066</v>
      </c>
      <c r="B50" s="33"/>
      <c r="C50" s="111">
        <v>1427.56956569304</v>
      </c>
      <c r="D50" s="111">
        <v>20</v>
      </c>
      <c r="E50" s="116">
        <v>145.19999999999999</v>
      </c>
      <c r="F50" s="116">
        <v>54.465934743655353</v>
      </c>
      <c r="G50" s="116">
        <v>159.08300685849156</v>
      </c>
      <c r="H50" s="116">
        <v>159.08300685849156</v>
      </c>
      <c r="I50" s="115">
        <v>0</v>
      </c>
      <c r="J50" s="115">
        <v>0</v>
      </c>
      <c r="K50" s="115">
        <v>1</v>
      </c>
      <c r="L50" s="116">
        <v>99.6</v>
      </c>
      <c r="M50" s="115">
        <v>0.2</v>
      </c>
      <c r="N50" s="34">
        <f t="shared" si="0"/>
        <v>2066</v>
      </c>
      <c r="O50" s="185">
        <f t="shared" si="6"/>
        <v>7.75</v>
      </c>
      <c r="P50" s="185">
        <f t="shared" si="1"/>
        <v>0.25682456388922686</v>
      </c>
      <c r="Q50" s="185">
        <f t="shared" si="7"/>
        <v>10.73</v>
      </c>
      <c r="R50" s="185">
        <f t="shared" si="4"/>
        <v>7.0742511121672438</v>
      </c>
    </row>
    <row r="51" spans="1:18" x14ac:dyDescent="0.25">
      <c r="A51" s="183">
        <f t="shared" si="5"/>
        <v>2067</v>
      </c>
      <c r="C51" s="111">
        <v>1427.56956569304</v>
      </c>
      <c r="D51" s="111">
        <v>20</v>
      </c>
      <c r="E51" s="116">
        <v>145.19999999999999</v>
      </c>
      <c r="F51" s="116">
        <v>54.465934743655403</v>
      </c>
      <c r="G51" s="116">
        <v>159.08300685849201</v>
      </c>
      <c r="H51" s="116">
        <v>159.08300685849201</v>
      </c>
      <c r="I51" s="115">
        <v>0</v>
      </c>
      <c r="J51" s="115">
        <v>0</v>
      </c>
      <c r="K51" s="115">
        <v>1</v>
      </c>
      <c r="L51" s="116">
        <v>99.6</v>
      </c>
      <c r="M51" s="115">
        <v>0.2</v>
      </c>
      <c r="N51" s="34">
        <f t="shared" si="0"/>
        <v>2067</v>
      </c>
      <c r="O51" s="185">
        <f t="shared" si="6"/>
        <v>7.75</v>
      </c>
      <c r="P51" s="185">
        <f t="shared" si="1"/>
        <v>0.25939280952811916</v>
      </c>
      <c r="Q51" s="185">
        <f t="shared" si="7"/>
        <v>10.73</v>
      </c>
      <c r="R51" s="185">
        <f t="shared" si="4"/>
        <v>7.1803648788497521</v>
      </c>
    </row>
    <row r="52" spans="1:18" x14ac:dyDescent="0.25">
      <c r="A52" s="183">
        <f t="shared" si="5"/>
        <v>2068</v>
      </c>
      <c r="C52" s="111">
        <v>1427.56956569304</v>
      </c>
      <c r="D52" s="111">
        <v>20</v>
      </c>
      <c r="E52" s="116">
        <v>145.19999999999999</v>
      </c>
      <c r="F52" s="116">
        <v>54.465934743655403</v>
      </c>
      <c r="G52" s="116">
        <v>159.08300685849201</v>
      </c>
      <c r="H52" s="116">
        <v>159.08300685849201</v>
      </c>
      <c r="I52" s="115">
        <v>0</v>
      </c>
      <c r="J52" s="115">
        <v>0</v>
      </c>
      <c r="K52" s="115">
        <v>1</v>
      </c>
      <c r="L52" s="116">
        <v>99.6</v>
      </c>
      <c r="M52" s="115">
        <v>0.2</v>
      </c>
      <c r="N52" s="34">
        <f t="shared" si="0"/>
        <v>2068</v>
      </c>
      <c r="O52" s="185">
        <f t="shared" si="6"/>
        <v>7.75</v>
      </c>
      <c r="P52" s="185">
        <f t="shared" si="1"/>
        <v>0.26198673762340036</v>
      </c>
      <c r="Q52" s="185">
        <f t="shared" si="7"/>
        <v>10.73</v>
      </c>
      <c r="R52" s="185">
        <f t="shared" si="4"/>
        <v>7.2880703520324976</v>
      </c>
    </row>
    <row r="53" spans="1:18" x14ac:dyDescent="0.25">
      <c r="A53" s="183">
        <f t="shared" si="5"/>
        <v>2069</v>
      </c>
      <c r="C53" s="111">
        <v>1427.56956569304</v>
      </c>
      <c r="D53" s="111">
        <v>20</v>
      </c>
      <c r="E53" s="116">
        <v>145.19999999999999</v>
      </c>
      <c r="F53" s="116">
        <v>54.465934743655403</v>
      </c>
      <c r="G53" s="116">
        <v>159.08300685849201</v>
      </c>
      <c r="H53" s="116">
        <v>159.08300685849201</v>
      </c>
      <c r="I53" s="115">
        <v>0</v>
      </c>
      <c r="J53" s="115">
        <v>0</v>
      </c>
      <c r="K53" s="115">
        <v>1</v>
      </c>
      <c r="L53" s="116">
        <v>99.6</v>
      </c>
      <c r="M53" s="115">
        <v>0.2</v>
      </c>
      <c r="N53" s="34">
        <f t="shared" si="0"/>
        <v>2069</v>
      </c>
      <c r="O53" s="185">
        <f t="shared" si="6"/>
        <v>7.75</v>
      </c>
      <c r="P53" s="185">
        <f t="shared" si="1"/>
        <v>0.26460660499963434</v>
      </c>
      <c r="Q53" s="185">
        <f t="shared" si="7"/>
        <v>10.73</v>
      </c>
      <c r="R53" s="185">
        <f t="shared" si="4"/>
        <v>7.3973914073129841</v>
      </c>
    </row>
    <row r="54" spans="1:18" x14ac:dyDescent="0.25">
      <c r="A54" s="183">
        <f t="shared" si="5"/>
        <v>2070</v>
      </c>
      <c r="C54" s="111">
        <v>1427.56956569304</v>
      </c>
      <c r="D54" s="111">
        <v>20</v>
      </c>
      <c r="E54" s="116">
        <v>145.19999999999999</v>
      </c>
      <c r="F54" s="116">
        <v>54.465934743655403</v>
      </c>
      <c r="G54" s="116">
        <v>159.08300685849201</v>
      </c>
      <c r="H54" s="116">
        <v>159.08300685849201</v>
      </c>
      <c r="I54" s="115">
        <v>0</v>
      </c>
      <c r="J54" s="115">
        <v>0</v>
      </c>
      <c r="K54" s="115">
        <v>1</v>
      </c>
      <c r="L54" s="116">
        <v>99.6</v>
      </c>
      <c r="M54" s="115">
        <v>0.2</v>
      </c>
      <c r="N54" s="34">
        <f t="shared" si="0"/>
        <v>2070</v>
      </c>
      <c r="O54" s="185">
        <f t="shared" si="6"/>
        <v>7.75</v>
      </c>
      <c r="P54" s="185">
        <f t="shared" si="1"/>
        <v>0.26725267104963069</v>
      </c>
      <c r="Q54" s="185">
        <f t="shared" si="7"/>
        <v>10.73</v>
      </c>
      <c r="R54" s="185">
        <f t="shared" si="4"/>
        <v>7.5083522784226782</v>
      </c>
    </row>
  </sheetData>
  <mergeCells count="10">
    <mergeCell ref="T10:T11"/>
    <mergeCell ref="Y10:Y11"/>
    <mergeCell ref="T14:V14"/>
    <mergeCell ref="T18:U19"/>
    <mergeCell ref="C1:H1"/>
    <mergeCell ref="O1:P1"/>
    <mergeCell ref="Q1:R1"/>
    <mergeCell ref="I2:K2"/>
    <mergeCell ref="T8:T9"/>
    <mergeCell ref="Y8:Y9"/>
  </mergeCells>
  <hyperlinks>
    <hyperlink ref="X4" r:id="rId1" display="https://www.bdew.de/service/daten-und-grafiken/bdew-strompreisanalyse/" xr:uid="{9B474699-FF72-4797-81B3-ED798B4C8BC9}"/>
    <hyperlink ref="X5" r:id="rId2" display="https://www.bdew.de/service/daten-und-grafiken/bdew-gaspreisanalyse/" xr:uid="{2F36F99D-6F70-4B97-BD5B-A576B2301035}"/>
  </hyperlinks>
  <pageMargins left="0.7" right="0.7" top="0.78740157499999996" bottom="0.78740157499999996" header="0.3" footer="0.3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A1:AY50"/>
  <sheetViews>
    <sheetView zoomScale="90" zoomScaleNormal="90" workbookViewId="0">
      <selection activeCell="O3" sqref="O3"/>
    </sheetView>
  </sheetViews>
  <sheetFormatPr baseColWidth="10" defaultColWidth="10.85546875" defaultRowHeight="18.75" x14ac:dyDescent="0.25"/>
  <cols>
    <col min="1" max="1" width="11.85546875" style="30" bestFit="1" customWidth="1"/>
    <col min="2" max="2" width="11.85546875" style="30" hidden="1" customWidth="1"/>
    <col min="3" max="12" width="10.85546875" style="30"/>
    <col min="13" max="13" width="13.85546875" style="30" customWidth="1"/>
    <col min="14" max="14" width="2.5703125" style="30" customWidth="1"/>
    <col min="15" max="15" width="18.85546875" style="5" customWidth="1"/>
    <col min="16" max="16" width="20.85546875" style="5" bestFit="1" customWidth="1"/>
    <col min="17" max="17" width="18.5703125" style="5" customWidth="1"/>
    <col min="18" max="18" width="21.85546875" style="5" customWidth="1"/>
    <col min="19" max="19" width="4.140625" style="5" customWidth="1"/>
    <col min="20" max="20" width="21.85546875" style="5" bestFit="1" customWidth="1"/>
    <col min="21" max="21" width="12.28515625" style="5" customWidth="1"/>
    <col min="22" max="22" width="20.140625" style="5" bestFit="1" customWidth="1"/>
    <col min="23" max="23" width="19" style="5" bestFit="1" customWidth="1"/>
    <col min="24" max="24" width="21.42578125" style="5" bestFit="1" customWidth="1"/>
    <col min="25" max="25" width="23.42578125" style="5" bestFit="1" customWidth="1"/>
    <col min="26" max="26" width="16.140625" style="5" customWidth="1"/>
    <col min="27" max="27" width="21.28515625" style="5" customWidth="1"/>
    <col min="28" max="16384" width="10.85546875" style="30"/>
  </cols>
  <sheetData>
    <row r="1" spans="1:51" ht="30" customHeight="1" x14ac:dyDescent="0.25">
      <c r="C1" s="278" t="s">
        <v>100</v>
      </c>
      <c r="D1" s="278"/>
      <c r="E1" s="278"/>
      <c r="F1" s="278"/>
      <c r="G1" s="278"/>
      <c r="H1" s="278"/>
      <c r="O1" s="279" t="s">
        <v>56</v>
      </c>
      <c r="P1" s="279"/>
      <c r="Q1" s="279" t="s">
        <v>57</v>
      </c>
      <c r="R1" s="279"/>
      <c r="T1" s="30"/>
      <c r="U1" s="30"/>
      <c r="V1" s="30"/>
      <c r="W1" s="30"/>
    </row>
    <row r="2" spans="1:51" s="4" customFormat="1" ht="75" x14ac:dyDescent="0.25">
      <c r="A2" s="6" t="s">
        <v>53</v>
      </c>
      <c r="B2" s="7" t="s">
        <v>274</v>
      </c>
      <c r="C2" s="7" t="s">
        <v>99</v>
      </c>
      <c r="D2" s="7" t="s">
        <v>52</v>
      </c>
      <c r="E2" s="7" t="s">
        <v>47</v>
      </c>
      <c r="F2" s="7" t="s">
        <v>48</v>
      </c>
      <c r="G2" s="7" t="s">
        <v>46</v>
      </c>
      <c r="H2" s="7" t="s">
        <v>49</v>
      </c>
      <c r="I2" s="280" t="s">
        <v>58</v>
      </c>
      <c r="J2" s="281"/>
      <c r="K2" s="282"/>
      <c r="L2" s="8" t="s">
        <v>59</v>
      </c>
      <c r="M2" s="8" t="s">
        <v>60</v>
      </c>
      <c r="O2" s="8" t="s">
        <v>61</v>
      </c>
      <c r="P2" s="8" t="s">
        <v>62</v>
      </c>
      <c r="Q2" s="8" t="s">
        <v>61</v>
      </c>
      <c r="R2" s="8" t="s">
        <v>62</v>
      </c>
      <c r="S2" s="5"/>
      <c r="T2" s="5"/>
      <c r="U2" s="5"/>
      <c r="V2" s="5"/>
      <c r="W2" s="5"/>
      <c r="X2" s="5"/>
      <c r="Y2" s="5"/>
      <c r="Z2" s="5"/>
      <c r="AA2" s="5"/>
    </row>
    <row r="3" spans="1:51" ht="15" customHeight="1" thickBot="1" x14ac:dyDescent="0.3">
      <c r="A3" s="9" t="s">
        <v>54</v>
      </c>
      <c r="B3" s="9" t="s">
        <v>275</v>
      </c>
      <c r="C3" s="37" t="s">
        <v>98</v>
      </c>
      <c r="D3" s="37" t="s">
        <v>63</v>
      </c>
      <c r="E3" s="37" t="s">
        <v>63</v>
      </c>
      <c r="F3" s="36" t="s">
        <v>63</v>
      </c>
      <c r="G3" s="36" t="s">
        <v>64</v>
      </c>
      <c r="H3" s="36" t="s">
        <v>64</v>
      </c>
      <c r="I3" s="36" t="s">
        <v>52</v>
      </c>
      <c r="J3" s="36" t="s">
        <v>47</v>
      </c>
      <c r="K3" s="36" t="s">
        <v>48</v>
      </c>
      <c r="L3" s="36" t="s">
        <v>63</v>
      </c>
      <c r="M3" s="36" t="s">
        <v>7</v>
      </c>
      <c r="O3" s="36" t="s">
        <v>65</v>
      </c>
      <c r="P3" s="36" t="s">
        <v>65</v>
      </c>
      <c r="Q3" s="36" t="s">
        <v>65</v>
      </c>
      <c r="R3" s="36" t="s">
        <v>65</v>
      </c>
      <c r="T3" s="96" t="s">
        <v>170</v>
      </c>
      <c r="U3" s="139">
        <v>5</v>
      </c>
      <c r="V3" s="39" t="s">
        <v>171</v>
      </c>
      <c r="W3" s="18"/>
    </row>
    <row r="4" spans="1:51" ht="15" customHeight="1" x14ac:dyDescent="0.25">
      <c r="A4" s="10">
        <v>2021</v>
      </c>
      <c r="B4" s="92"/>
      <c r="C4" s="111">
        <v>202.36905531063138</v>
      </c>
      <c r="D4" s="111">
        <v>14.18375833333333</v>
      </c>
      <c r="E4" s="111">
        <v>59.801405438435687</v>
      </c>
      <c r="F4" s="112">
        <v>78.478131834506996</v>
      </c>
      <c r="G4" s="112">
        <v>51.626388655112066</v>
      </c>
      <c r="H4" s="113">
        <v>25</v>
      </c>
      <c r="I4" s="114">
        <v>0.25</v>
      </c>
      <c r="J4" s="114">
        <v>0.75</v>
      </c>
      <c r="K4" s="114">
        <v>0</v>
      </c>
      <c r="L4" s="112">
        <v>40.17</v>
      </c>
      <c r="M4" s="115">
        <v>0.2</v>
      </c>
      <c r="O4" s="112">
        <f>'destatis-Daten'!$C$8*100</f>
        <v>1.5333333333333332</v>
      </c>
      <c r="P4" s="112">
        <f>'destatis-Daten'!$D$8*100-U5-U6</f>
        <v>0.15583333333333327</v>
      </c>
      <c r="Q4" s="112">
        <f>'destatis-Daten'!$M$10*100</f>
        <v>8.3633333333333333</v>
      </c>
      <c r="R4" s="112">
        <f>'destatis-Daten'!$N$10*100-U4</f>
        <v>10.93</v>
      </c>
      <c r="T4" s="96" t="s">
        <v>168</v>
      </c>
      <c r="U4" s="139">
        <v>5.13</v>
      </c>
      <c r="V4" s="39" t="s">
        <v>171</v>
      </c>
      <c r="W4" s="94" t="s">
        <v>276</v>
      </c>
      <c r="X4" s="95" t="s">
        <v>253</v>
      </c>
      <c r="Y4" s="18"/>
    </row>
    <row r="5" spans="1:51" x14ac:dyDescent="0.25">
      <c r="A5" s="10">
        <v>2022</v>
      </c>
      <c r="B5" s="93"/>
      <c r="C5" s="111">
        <v>433</v>
      </c>
      <c r="D5" s="111">
        <v>86.99</v>
      </c>
      <c r="E5" s="111">
        <v>69.28871096536281</v>
      </c>
      <c r="F5" s="113">
        <v>82.779922593545848</v>
      </c>
      <c r="G5" s="113">
        <v>71.255331298577772</v>
      </c>
      <c r="H5" s="113">
        <v>30</v>
      </c>
      <c r="I5" s="114">
        <v>0.25</v>
      </c>
      <c r="J5" s="114">
        <v>0.75</v>
      </c>
      <c r="K5" s="114">
        <v>0</v>
      </c>
      <c r="L5" s="113">
        <v>88.42</v>
      </c>
      <c r="M5" s="115">
        <v>0.2</v>
      </c>
      <c r="O5" s="113">
        <f>IF(O4*(1+$X$10)&gt;$Y$10,$Y$10,(O4*(1+$X$10)))</f>
        <v>1.5563333333333331</v>
      </c>
      <c r="P5" s="113">
        <f t="shared" ref="P5:P50" si="0">P4*(1+$V$15)</f>
        <v>0.1573916666666666</v>
      </c>
      <c r="Q5" s="113">
        <f>IF(Q4*(1+$X$8)&gt;$Y$8,$Y$8,Q4*(1+$X$8))</f>
        <v>8.5891433333333325</v>
      </c>
      <c r="R5" s="113">
        <f>(R4-U3)</f>
        <v>5.93</v>
      </c>
      <c r="T5" s="96" t="s">
        <v>169</v>
      </c>
      <c r="U5" s="139">
        <v>1.1299999999999999</v>
      </c>
      <c r="V5" s="39" t="s">
        <v>171</v>
      </c>
      <c r="W5" s="94" t="s">
        <v>277</v>
      </c>
      <c r="X5" s="79" t="s">
        <v>250</v>
      </c>
    </row>
    <row r="6" spans="1:51" ht="19.5" thickBot="1" x14ac:dyDescent="0.3">
      <c r="A6" s="10">
        <v>2023</v>
      </c>
      <c r="B6" s="93"/>
      <c r="C6" s="111">
        <v>501.59382604698663</v>
      </c>
      <c r="D6" s="111">
        <v>127</v>
      </c>
      <c r="E6" s="116">
        <v>145.19999999999999</v>
      </c>
      <c r="F6" s="116">
        <v>84.959759732148513</v>
      </c>
      <c r="G6" s="116">
        <v>79.599999999999994</v>
      </c>
      <c r="H6" s="116">
        <v>35</v>
      </c>
      <c r="I6" s="114">
        <v>0.25</v>
      </c>
      <c r="J6" s="114">
        <v>0.75</v>
      </c>
      <c r="K6" s="114">
        <v>0</v>
      </c>
      <c r="L6" s="116">
        <v>366</v>
      </c>
      <c r="M6" s="115">
        <v>0.2</v>
      </c>
      <c r="O6" s="113">
        <f t="shared" ref="O6:O13" si="1">IF(O5*(1+$X$10)&gt;$Y$10,$Y$10,(O5*(1+$X$10)))</f>
        <v>1.5796783333333331</v>
      </c>
      <c r="P6" s="113">
        <f t="shared" si="0"/>
        <v>0.15896558333333327</v>
      </c>
      <c r="Q6" s="113">
        <f t="shared" ref="Q6:Q13" si="2">IF(Q5*(1+$X$8)&gt;$Y$8,$Y$8,Q5*(1+$X$8))</f>
        <v>8.821050203333332</v>
      </c>
      <c r="R6" s="116">
        <f t="shared" ref="R6:R50" si="3">R5*(1+$V$16)</f>
        <v>6.0189499999999994</v>
      </c>
      <c r="T6" s="96" t="s">
        <v>292</v>
      </c>
      <c r="U6" s="140">
        <f>H4*0.0183</f>
        <v>0.45750000000000002</v>
      </c>
      <c r="V6" s="39" t="s">
        <v>171</v>
      </c>
    </row>
    <row r="7" spans="1:51" ht="19.5" thickTop="1" x14ac:dyDescent="0.25">
      <c r="A7" s="3">
        <v>2024</v>
      </c>
      <c r="B7" s="93"/>
      <c r="C7" s="111">
        <v>570.18765209397327</v>
      </c>
      <c r="D7" s="111">
        <v>102.75</v>
      </c>
      <c r="E7" s="116">
        <v>145.19999999999999</v>
      </c>
      <c r="F7" s="116">
        <v>82.849888480622624</v>
      </c>
      <c r="G7" s="116">
        <v>84</v>
      </c>
      <c r="H7" s="116">
        <v>45</v>
      </c>
      <c r="I7" s="115">
        <v>0.25</v>
      </c>
      <c r="J7" s="115">
        <v>0.75</v>
      </c>
      <c r="K7" s="115">
        <v>0</v>
      </c>
      <c r="L7" s="116">
        <v>251</v>
      </c>
      <c r="M7" s="115">
        <v>0.2</v>
      </c>
      <c r="O7" s="113">
        <f t="shared" si="1"/>
        <v>1.6033735083333329</v>
      </c>
      <c r="P7" s="113">
        <f t="shared" si="0"/>
        <v>0.16055523916666661</v>
      </c>
      <c r="Q7" s="113">
        <f t="shared" si="2"/>
        <v>9.059218558823332</v>
      </c>
      <c r="R7" s="116">
        <f t="shared" si="3"/>
        <v>6.1092342499999992</v>
      </c>
      <c r="T7" s="137" t="s">
        <v>158</v>
      </c>
      <c r="U7" s="138"/>
      <c r="V7" s="137" t="s">
        <v>164</v>
      </c>
      <c r="W7" s="137" t="s">
        <v>165</v>
      </c>
      <c r="X7" s="137" t="s">
        <v>166</v>
      </c>
      <c r="Y7" s="137" t="s">
        <v>278</v>
      </c>
    </row>
    <row r="8" spans="1:51" x14ac:dyDescent="0.25">
      <c r="A8" s="3">
        <v>2025</v>
      </c>
      <c r="B8" s="93"/>
      <c r="C8" s="111">
        <v>638.78147814095996</v>
      </c>
      <c r="D8" s="111">
        <v>74.400000000000006</v>
      </c>
      <c r="E8" s="116">
        <v>145.19999999999999</v>
      </c>
      <c r="F8" s="116">
        <v>85.369606062452206</v>
      </c>
      <c r="G8" s="116">
        <v>90</v>
      </c>
      <c r="H8" s="116">
        <v>55</v>
      </c>
      <c r="I8" s="115">
        <v>0.25</v>
      </c>
      <c r="J8" s="115">
        <v>0.75</v>
      </c>
      <c r="K8" s="115">
        <v>0</v>
      </c>
      <c r="L8" s="116">
        <v>177.6</v>
      </c>
      <c r="M8" s="115">
        <v>0.2</v>
      </c>
      <c r="O8" s="113">
        <f t="shared" si="1"/>
        <v>1.6274241109583327</v>
      </c>
      <c r="P8" s="113">
        <f t="shared" si="0"/>
        <v>0.16216079155833329</v>
      </c>
      <c r="Q8" s="113">
        <f t="shared" si="2"/>
        <v>9.3038174599115617</v>
      </c>
      <c r="R8" s="116">
        <f t="shared" si="3"/>
        <v>6.2008727637499987</v>
      </c>
      <c r="T8" s="283" t="s">
        <v>57</v>
      </c>
      <c r="U8" s="97" t="s">
        <v>159</v>
      </c>
      <c r="V8" s="118">
        <v>3.5000000000000003E-2</v>
      </c>
      <c r="W8" s="118">
        <v>8.0000000000000002E-3</v>
      </c>
      <c r="X8" s="119">
        <f>V8-W8</f>
        <v>2.7000000000000003E-2</v>
      </c>
      <c r="Y8" s="272">
        <f>2*$Q$4</f>
        <v>16.726666666666667</v>
      </c>
    </row>
    <row r="9" spans="1:51" x14ac:dyDescent="0.25">
      <c r="A9" s="3">
        <v>2026</v>
      </c>
      <c r="B9" s="93"/>
      <c r="C9" s="111">
        <v>680.51783041228794</v>
      </c>
      <c r="D9" s="111">
        <v>45.68</v>
      </c>
      <c r="E9" s="116">
        <v>145.19999999999999</v>
      </c>
      <c r="F9" s="116">
        <v>87.032916032785266</v>
      </c>
      <c r="G9" s="116">
        <v>96.5</v>
      </c>
      <c r="H9" s="116">
        <v>96.5</v>
      </c>
      <c r="I9" s="115">
        <v>0.25</v>
      </c>
      <c r="J9" s="115">
        <v>0.75</v>
      </c>
      <c r="K9" s="115">
        <v>0</v>
      </c>
      <c r="L9" s="116">
        <v>144.9</v>
      </c>
      <c r="M9" s="115">
        <v>0.2</v>
      </c>
      <c r="O9" s="113">
        <f t="shared" si="1"/>
        <v>1.6518354726227076</v>
      </c>
      <c r="P9" s="113">
        <f t="shared" si="0"/>
        <v>0.16378239947391662</v>
      </c>
      <c r="Q9" s="113">
        <f t="shared" si="2"/>
        <v>9.5550205313291734</v>
      </c>
      <c r="R9" s="116">
        <f t="shared" si="3"/>
        <v>6.2938858552062484</v>
      </c>
      <c r="T9" s="284"/>
      <c r="U9" s="97" t="s">
        <v>160</v>
      </c>
      <c r="V9" s="118">
        <v>3.5000000000000003E-2</v>
      </c>
      <c r="W9" s="118">
        <v>0.02</v>
      </c>
      <c r="X9" s="119">
        <f>V9-W9</f>
        <v>1.5000000000000003E-2</v>
      </c>
      <c r="Y9" s="273"/>
      <c r="Z9" s="18"/>
      <c r="AA9" s="18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</row>
    <row r="10" spans="1:51" x14ac:dyDescent="0.25">
      <c r="A10" s="3">
        <v>2027</v>
      </c>
      <c r="B10" s="93"/>
      <c r="C10" s="111">
        <v>722.2541826836158</v>
      </c>
      <c r="D10" s="111">
        <v>40</v>
      </c>
      <c r="E10" s="116">
        <v>145.19999999999999</v>
      </c>
      <c r="F10" s="116">
        <v>87.161122937857641</v>
      </c>
      <c r="G10" s="116">
        <v>120.37037037037038</v>
      </c>
      <c r="H10" s="116">
        <v>120.37037037037038</v>
      </c>
      <c r="I10" s="115">
        <v>0.25</v>
      </c>
      <c r="J10" s="115">
        <v>0.75</v>
      </c>
      <c r="K10" s="115">
        <v>0</v>
      </c>
      <c r="L10" s="116">
        <v>130</v>
      </c>
      <c r="M10" s="115">
        <v>0.2</v>
      </c>
      <c r="O10" s="113">
        <f t="shared" si="1"/>
        <v>1.676613004712048</v>
      </c>
      <c r="P10" s="113">
        <f t="shared" si="0"/>
        <v>0.16542022346865579</v>
      </c>
      <c r="Q10" s="113">
        <f t="shared" si="2"/>
        <v>9.8130060856750596</v>
      </c>
      <c r="R10" s="116">
        <f t="shared" si="3"/>
        <v>6.3882941430343418</v>
      </c>
      <c r="T10" s="285" t="s">
        <v>161</v>
      </c>
      <c r="U10" s="97" t="s">
        <v>159</v>
      </c>
      <c r="V10" s="118">
        <v>0</v>
      </c>
      <c r="W10" s="118">
        <v>-1.4999999999999999E-2</v>
      </c>
      <c r="X10" s="119">
        <f>V10-W10</f>
        <v>1.4999999999999999E-2</v>
      </c>
      <c r="Y10" s="272">
        <f>5*$O$4</f>
        <v>7.6666666666666661</v>
      </c>
    </row>
    <row r="11" spans="1:51" x14ac:dyDescent="0.25">
      <c r="A11" s="3">
        <v>2028</v>
      </c>
      <c r="B11" s="93"/>
      <c r="C11" s="111">
        <v>763.99053495494377</v>
      </c>
      <c r="D11" s="111">
        <v>37</v>
      </c>
      <c r="E11" s="116">
        <v>145.19999999999999</v>
      </c>
      <c r="F11" s="116">
        <v>87.456292424015899</v>
      </c>
      <c r="G11" s="116">
        <v>103.08972073677953</v>
      </c>
      <c r="H11" s="116">
        <v>103.08972073677953</v>
      </c>
      <c r="I11" s="115">
        <v>0.25</v>
      </c>
      <c r="J11" s="115">
        <v>0.75</v>
      </c>
      <c r="K11" s="115">
        <v>0</v>
      </c>
      <c r="L11" s="116">
        <v>115</v>
      </c>
      <c r="M11" s="115">
        <v>0.2</v>
      </c>
      <c r="O11" s="113">
        <f t="shared" si="1"/>
        <v>1.7017621997827286</v>
      </c>
      <c r="P11" s="113">
        <f t="shared" si="0"/>
        <v>0.16707442570334236</v>
      </c>
      <c r="Q11" s="113">
        <f t="shared" si="2"/>
        <v>10.077957249988286</v>
      </c>
      <c r="R11" s="116">
        <f t="shared" si="3"/>
        <v>6.4841185551798564</v>
      </c>
      <c r="T11" s="286"/>
      <c r="U11" s="97" t="s">
        <v>160</v>
      </c>
      <c r="V11" s="118">
        <v>3.5000000000000003E-2</v>
      </c>
      <c r="W11" s="118">
        <v>-0.03</v>
      </c>
      <c r="X11" s="119">
        <f>V11-W11</f>
        <v>6.5000000000000002E-2</v>
      </c>
      <c r="Y11" s="273"/>
      <c r="AQ11" s="30">
        <v>50</v>
      </c>
      <c r="AR11" s="30">
        <v>50</v>
      </c>
      <c r="AS11" s="30">
        <v>50</v>
      </c>
      <c r="AT11" s="30">
        <v>50</v>
      </c>
      <c r="AU11" s="30">
        <v>50</v>
      </c>
      <c r="AV11" s="30">
        <v>50</v>
      </c>
      <c r="AW11" s="30">
        <v>50</v>
      </c>
      <c r="AX11" s="30">
        <v>50</v>
      </c>
      <c r="AY11" s="30">
        <v>50</v>
      </c>
    </row>
    <row r="12" spans="1:51" x14ac:dyDescent="0.25">
      <c r="A12" s="3">
        <v>2029</v>
      </c>
      <c r="B12" s="93"/>
      <c r="C12" s="111">
        <v>805.72688722627174</v>
      </c>
      <c r="D12" s="111">
        <v>33</v>
      </c>
      <c r="E12" s="116">
        <v>145.19999999999999</v>
      </c>
      <c r="F12" s="116">
        <v>89.151878536272562</v>
      </c>
      <c r="G12" s="116">
        <v>93.68191721132898</v>
      </c>
      <c r="H12" s="116">
        <v>93.68191721132898</v>
      </c>
      <c r="I12" s="115">
        <v>0.25</v>
      </c>
      <c r="J12" s="115">
        <v>0.75</v>
      </c>
      <c r="K12" s="115">
        <v>0</v>
      </c>
      <c r="L12" s="116">
        <v>100</v>
      </c>
      <c r="M12" s="115">
        <v>0.2</v>
      </c>
      <c r="O12" s="113">
        <f t="shared" si="1"/>
        <v>1.7272886327794694</v>
      </c>
      <c r="P12" s="113">
        <f t="shared" si="0"/>
        <v>0.16874516996037578</v>
      </c>
      <c r="Q12" s="113">
        <f t="shared" si="2"/>
        <v>10.350062095737968</v>
      </c>
      <c r="R12" s="116">
        <f t="shared" si="3"/>
        <v>6.5813803335075534</v>
      </c>
      <c r="T12" s="6"/>
      <c r="U12" s="6"/>
      <c r="V12" s="38"/>
    </row>
    <row r="13" spans="1:51" ht="19.5" thickBot="1" x14ac:dyDescent="0.3">
      <c r="A13" s="3">
        <v>2030</v>
      </c>
      <c r="B13" s="93"/>
      <c r="C13" s="111">
        <v>847.46323949759994</v>
      </c>
      <c r="D13" s="111">
        <v>30</v>
      </c>
      <c r="E13" s="116">
        <v>145.19999999999999</v>
      </c>
      <c r="F13" s="116">
        <v>90.827566989782397</v>
      </c>
      <c r="G13" s="116">
        <v>85.165379283026311</v>
      </c>
      <c r="H13" s="116">
        <v>85.165379283026311</v>
      </c>
      <c r="I13" s="115">
        <v>0.25</v>
      </c>
      <c r="J13" s="115">
        <v>0.75</v>
      </c>
      <c r="K13" s="115">
        <v>0</v>
      </c>
      <c r="L13" s="116">
        <v>88</v>
      </c>
      <c r="M13" s="115">
        <v>0.2</v>
      </c>
      <c r="O13" s="117">
        <f t="shared" si="1"/>
        <v>1.7531979622711613</v>
      </c>
      <c r="P13" s="117">
        <f t="shared" si="0"/>
        <v>0.17043262165997955</v>
      </c>
      <c r="Q13" s="117">
        <f t="shared" si="2"/>
        <v>10.629513772322893</v>
      </c>
      <c r="R13" s="117">
        <f t="shared" si="3"/>
        <v>6.6801010385101662</v>
      </c>
      <c r="T13" s="6"/>
      <c r="U13" s="6"/>
      <c r="V13" s="6"/>
    </row>
    <row r="14" spans="1:51" x14ac:dyDescent="0.25">
      <c r="A14" s="3">
        <v>2031</v>
      </c>
      <c r="B14" s="93"/>
      <c r="C14" s="111">
        <v>897.63836473555193</v>
      </c>
      <c r="D14" s="111">
        <v>30</v>
      </c>
      <c r="E14" s="116">
        <v>145.19999999999999</v>
      </c>
      <c r="F14" s="116">
        <v>89.042043290299759</v>
      </c>
      <c r="G14" s="116">
        <v>86.626064567241002</v>
      </c>
      <c r="H14" s="116">
        <v>86.626064567241002</v>
      </c>
      <c r="I14" s="115">
        <v>0.25</v>
      </c>
      <c r="J14" s="115">
        <v>0.75</v>
      </c>
      <c r="K14" s="115">
        <v>0</v>
      </c>
      <c r="L14" s="116">
        <v>90</v>
      </c>
      <c r="M14" s="115">
        <v>0.2</v>
      </c>
      <c r="O14" s="116">
        <f>IF(O13*(1+$X$11)&gt;$Y$10,$Y$10,O13*(1+$X$11))</f>
        <v>1.8671558298187867</v>
      </c>
      <c r="P14" s="116">
        <f t="shared" si="0"/>
        <v>0.17213694787657935</v>
      </c>
      <c r="Q14" s="116">
        <f>IF(Q13*(1+$X$9)&gt;$Y$8,$Y$8,Q13*(1+$X$9))</f>
        <v>10.788956478907735</v>
      </c>
      <c r="R14" s="116">
        <f t="shared" si="3"/>
        <v>6.7803025540878181</v>
      </c>
      <c r="T14" s="287" t="s">
        <v>167</v>
      </c>
      <c r="U14" s="288"/>
      <c r="V14" s="289"/>
    </row>
    <row r="15" spans="1:51" x14ac:dyDescent="0.25">
      <c r="A15" s="3">
        <v>2032</v>
      </c>
      <c r="B15" s="93"/>
      <c r="C15" s="111">
        <v>947.81348997350392</v>
      </c>
      <c r="D15" s="111">
        <v>30</v>
      </c>
      <c r="E15" s="116">
        <v>145.19999999999999</v>
      </c>
      <c r="F15" s="116">
        <v>87.895766479011087</v>
      </c>
      <c r="G15" s="116">
        <v>91.008120419885103</v>
      </c>
      <c r="H15" s="116">
        <v>91.008120419885103</v>
      </c>
      <c r="I15" s="115">
        <v>0.25</v>
      </c>
      <c r="J15" s="115">
        <v>0.75</v>
      </c>
      <c r="K15" s="115">
        <v>0</v>
      </c>
      <c r="L15" s="116">
        <v>92</v>
      </c>
      <c r="M15" s="115">
        <v>0.2</v>
      </c>
      <c r="O15" s="116">
        <f t="shared" ref="O15:O50" si="4">IF(O14*(1+$X$11)&gt;$Y$10,$Y$10,O14*(1+$X$11))</f>
        <v>1.9885209587570076</v>
      </c>
      <c r="P15" s="113">
        <f t="shared" si="0"/>
        <v>0.17385831735534515</v>
      </c>
      <c r="Q15" s="116">
        <f t="shared" ref="Q15:Q50" si="5">IF(Q14*(1+$X$9)&gt;$Y$8,$Y$8,Q14*(1+$X$9))</f>
        <v>10.95079082609135</v>
      </c>
      <c r="R15" s="116">
        <f t="shared" si="3"/>
        <v>6.8820070923991343</v>
      </c>
      <c r="T15" s="97" t="s">
        <v>162</v>
      </c>
      <c r="U15" s="67" t="s">
        <v>163</v>
      </c>
      <c r="V15" s="118">
        <v>0.01</v>
      </c>
    </row>
    <row r="16" spans="1:51" x14ac:dyDescent="0.25">
      <c r="A16" s="3">
        <v>2033</v>
      </c>
      <c r="B16" s="93"/>
      <c r="C16" s="111">
        <v>997.98861521145591</v>
      </c>
      <c r="D16" s="111">
        <v>30</v>
      </c>
      <c r="E16" s="116">
        <v>145.19999999999999</v>
      </c>
      <c r="F16" s="116">
        <v>84.57865272027702</v>
      </c>
      <c r="G16" s="116">
        <v>93.929490988314498</v>
      </c>
      <c r="H16" s="116">
        <v>93.929490988314498</v>
      </c>
      <c r="I16" s="115">
        <v>0.25</v>
      </c>
      <c r="J16" s="115">
        <v>0.75</v>
      </c>
      <c r="K16" s="115">
        <v>0</v>
      </c>
      <c r="L16" s="116">
        <v>94</v>
      </c>
      <c r="M16" s="115">
        <v>0.2</v>
      </c>
      <c r="O16" s="116">
        <f t="shared" si="4"/>
        <v>2.1177748210762131</v>
      </c>
      <c r="P16" s="113">
        <f t="shared" si="0"/>
        <v>0.17559690052889862</v>
      </c>
      <c r="Q16" s="116">
        <f t="shared" si="5"/>
        <v>11.115052688482718</v>
      </c>
      <c r="R16" s="116">
        <f t="shared" si="3"/>
        <v>6.9852371987851205</v>
      </c>
      <c r="T16" s="97" t="s">
        <v>57</v>
      </c>
      <c r="U16" s="67" t="s">
        <v>163</v>
      </c>
      <c r="V16" s="118">
        <v>1.4999999999999999E-2</v>
      </c>
    </row>
    <row r="17" spans="1:24" x14ac:dyDescent="0.25">
      <c r="A17" s="3">
        <v>2034</v>
      </c>
      <c r="B17" s="93"/>
      <c r="C17" s="111">
        <v>1048.1637404494079</v>
      </c>
      <c r="D17" s="111">
        <v>30</v>
      </c>
      <c r="E17" s="116">
        <v>145.19999999999999</v>
      </c>
      <c r="F17" s="116">
        <v>82.129084355335962</v>
      </c>
      <c r="G17" s="116">
        <v>96.850861556743922</v>
      </c>
      <c r="H17" s="116">
        <v>96.850861556743922</v>
      </c>
      <c r="I17" s="115">
        <v>0.25</v>
      </c>
      <c r="J17" s="115">
        <v>0.75</v>
      </c>
      <c r="K17" s="115">
        <v>0</v>
      </c>
      <c r="L17" s="116">
        <v>96</v>
      </c>
      <c r="M17" s="115">
        <v>0.2</v>
      </c>
      <c r="O17" s="116">
        <f t="shared" si="4"/>
        <v>2.2554301844461668</v>
      </c>
      <c r="P17" s="113">
        <f t="shared" si="0"/>
        <v>0.17735286953418761</v>
      </c>
      <c r="Q17" s="116">
        <f t="shared" si="5"/>
        <v>11.281778478809958</v>
      </c>
      <c r="R17" s="116">
        <f t="shared" si="3"/>
        <v>7.0900157567668964</v>
      </c>
      <c r="T17" s="20"/>
      <c r="U17" s="19"/>
    </row>
    <row r="18" spans="1:24" x14ac:dyDescent="0.25">
      <c r="A18" s="3">
        <v>2035</v>
      </c>
      <c r="B18" s="93"/>
      <c r="C18" s="111">
        <v>1098.3388656873599</v>
      </c>
      <c r="D18" s="111">
        <v>30</v>
      </c>
      <c r="E18" s="116">
        <v>145.19999999999999</v>
      </c>
      <c r="F18" s="116">
        <v>79.663397593653329</v>
      </c>
      <c r="G18" s="116">
        <v>102.10932857991679</v>
      </c>
      <c r="H18" s="116">
        <v>102.10932857991679</v>
      </c>
      <c r="I18" s="115">
        <v>0</v>
      </c>
      <c r="J18" s="115">
        <v>0</v>
      </c>
      <c r="K18" s="115">
        <v>1</v>
      </c>
      <c r="L18" s="116">
        <v>99.6</v>
      </c>
      <c r="M18" s="115">
        <v>0.2</v>
      </c>
      <c r="O18" s="116">
        <f t="shared" si="4"/>
        <v>2.4020331464351674</v>
      </c>
      <c r="P18" s="113">
        <f t="shared" si="0"/>
        <v>0.17912639822952947</v>
      </c>
      <c r="Q18" s="116">
        <f t="shared" si="5"/>
        <v>11.451005155992107</v>
      </c>
      <c r="R18" s="116">
        <f t="shared" si="3"/>
        <v>7.1963659931183992</v>
      </c>
      <c r="T18" s="274" t="s">
        <v>273</v>
      </c>
      <c r="U18" s="275"/>
      <c r="V18" s="67" t="s">
        <v>161</v>
      </c>
      <c r="W18" s="120">
        <v>2027</v>
      </c>
    </row>
    <row r="19" spans="1:24" x14ac:dyDescent="0.25">
      <c r="A19" s="3">
        <v>2036</v>
      </c>
      <c r="B19" s="93"/>
      <c r="C19" s="111">
        <v>1151.8040229094081</v>
      </c>
      <c r="D19" s="111">
        <v>30</v>
      </c>
      <c r="E19" s="116">
        <v>145.19999999999999</v>
      </c>
      <c r="F19" s="116">
        <v>79.118927060078235</v>
      </c>
      <c r="G19" s="116">
        <v>105.1726084373143</v>
      </c>
      <c r="H19" s="116">
        <v>105.1726084373143</v>
      </c>
      <c r="I19" s="115">
        <v>0</v>
      </c>
      <c r="J19" s="115">
        <v>0</v>
      </c>
      <c r="K19" s="115">
        <v>1</v>
      </c>
      <c r="L19" s="116">
        <v>99.6</v>
      </c>
      <c r="M19" s="115">
        <v>0.2</v>
      </c>
      <c r="O19" s="116">
        <f t="shared" si="4"/>
        <v>2.5581653009534531</v>
      </c>
      <c r="P19" s="113">
        <f t="shared" si="0"/>
        <v>0.18091766221182476</v>
      </c>
      <c r="Q19" s="116">
        <f t="shared" si="5"/>
        <v>11.622770233331988</v>
      </c>
      <c r="R19" s="116">
        <f t="shared" si="3"/>
        <v>7.3043114830151747</v>
      </c>
      <c r="T19" s="276"/>
      <c r="U19" s="277"/>
      <c r="V19" s="91" t="s">
        <v>57</v>
      </c>
      <c r="W19" s="120">
        <v>2027</v>
      </c>
      <c r="X19" s="30"/>
    </row>
    <row r="20" spans="1:24" x14ac:dyDescent="0.25">
      <c r="A20" s="3">
        <v>2037</v>
      </c>
      <c r="B20" s="93"/>
      <c r="C20" s="111">
        <v>1205.2691801314561</v>
      </c>
      <c r="D20" s="111">
        <v>30</v>
      </c>
      <c r="E20" s="116">
        <v>145.19999999999999</v>
      </c>
      <c r="F20" s="116">
        <v>77.898792718991899</v>
      </c>
      <c r="G20" s="116">
        <v>108.32778669043373</v>
      </c>
      <c r="H20" s="116">
        <v>108.32778669043373</v>
      </c>
      <c r="I20" s="115">
        <v>0</v>
      </c>
      <c r="J20" s="115">
        <v>0</v>
      </c>
      <c r="K20" s="115">
        <v>1</v>
      </c>
      <c r="L20" s="116">
        <v>99.6</v>
      </c>
      <c r="M20" s="115">
        <v>0.2</v>
      </c>
      <c r="O20" s="116">
        <f t="shared" si="4"/>
        <v>2.7244460455154274</v>
      </c>
      <c r="P20" s="113">
        <f t="shared" si="0"/>
        <v>0.182726838833943</v>
      </c>
      <c r="Q20" s="116">
        <f t="shared" si="5"/>
        <v>11.797111786831966</v>
      </c>
      <c r="R20" s="116">
        <f t="shared" si="3"/>
        <v>7.413876155260402</v>
      </c>
      <c r="T20" s="30"/>
      <c r="U20" s="30"/>
      <c r="V20" s="30"/>
      <c r="W20" s="30"/>
      <c r="X20" s="30"/>
    </row>
    <row r="21" spans="1:24" x14ac:dyDescent="0.25">
      <c r="A21" s="3">
        <v>2038</v>
      </c>
      <c r="B21" s="93"/>
      <c r="C21" s="111">
        <v>1258.7343373535041</v>
      </c>
      <c r="D21" s="111">
        <v>30</v>
      </c>
      <c r="E21" s="116">
        <v>145.19999999999999</v>
      </c>
      <c r="F21" s="116">
        <v>75.856043015696542</v>
      </c>
      <c r="G21" s="116">
        <v>111.57762029114674</v>
      </c>
      <c r="H21" s="116">
        <v>111.57762029114674</v>
      </c>
      <c r="I21" s="115">
        <v>0</v>
      </c>
      <c r="J21" s="115">
        <v>0</v>
      </c>
      <c r="K21" s="115">
        <v>1</v>
      </c>
      <c r="L21" s="116">
        <v>99.6</v>
      </c>
      <c r="M21" s="115">
        <v>0.2</v>
      </c>
      <c r="O21" s="116">
        <f t="shared" si="4"/>
        <v>2.9015350384739298</v>
      </c>
      <c r="P21" s="113">
        <f t="shared" si="0"/>
        <v>0.18455410722228244</v>
      </c>
      <c r="Q21" s="116">
        <f t="shared" si="5"/>
        <v>11.974068463634444</v>
      </c>
      <c r="R21" s="116">
        <f t="shared" si="3"/>
        <v>7.5250842975893075</v>
      </c>
      <c r="T21" s="20"/>
      <c r="U21" s="19"/>
    </row>
    <row r="22" spans="1:24" x14ac:dyDescent="0.25">
      <c r="A22" s="3">
        <v>2039</v>
      </c>
      <c r="B22" s="93"/>
      <c r="C22" s="111">
        <v>1312.1994945755523</v>
      </c>
      <c r="D22" s="111">
        <v>30</v>
      </c>
      <c r="E22" s="116">
        <v>145.19999999999999</v>
      </c>
      <c r="F22" s="116">
        <v>76.928505686263392</v>
      </c>
      <c r="G22" s="116">
        <v>114.92494889988114</v>
      </c>
      <c r="H22" s="116">
        <v>114.92494889988114</v>
      </c>
      <c r="I22" s="115">
        <v>0</v>
      </c>
      <c r="J22" s="115">
        <v>0</v>
      </c>
      <c r="K22" s="115">
        <v>1</v>
      </c>
      <c r="L22" s="116">
        <v>99.6</v>
      </c>
      <c r="M22" s="115">
        <v>0.2</v>
      </c>
      <c r="O22" s="116">
        <f t="shared" si="4"/>
        <v>3.0901348159747353</v>
      </c>
      <c r="P22" s="113">
        <f t="shared" si="0"/>
        <v>0.18639964829450525</v>
      </c>
      <c r="Q22" s="116">
        <f t="shared" si="5"/>
        <v>12.15367949058896</v>
      </c>
      <c r="R22" s="116">
        <f t="shared" si="3"/>
        <v>7.6379605620531468</v>
      </c>
      <c r="T22" s="20"/>
      <c r="U22" s="19"/>
    </row>
    <row r="23" spans="1:24" x14ac:dyDescent="0.25">
      <c r="A23" s="3">
        <v>2040</v>
      </c>
      <c r="B23" s="93"/>
      <c r="C23" s="111">
        <v>1365.6646517975998</v>
      </c>
      <c r="D23" s="111">
        <v>30</v>
      </c>
      <c r="E23" s="116">
        <v>145.19999999999999</v>
      </c>
      <c r="F23" s="116">
        <v>76.176255323742211</v>
      </c>
      <c r="G23" s="116">
        <v>118.37269736687757</v>
      </c>
      <c r="H23" s="116">
        <v>118.37269736687757</v>
      </c>
      <c r="I23" s="115">
        <v>0</v>
      </c>
      <c r="J23" s="115">
        <v>0</v>
      </c>
      <c r="K23" s="115">
        <v>1</v>
      </c>
      <c r="L23" s="116">
        <v>99.6</v>
      </c>
      <c r="M23" s="115">
        <v>0.2</v>
      </c>
      <c r="O23" s="116">
        <f t="shared" si="4"/>
        <v>3.2909935790130929</v>
      </c>
      <c r="P23" s="113">
        <f t="shared" si="0"/>
        <v>0.18826364477745031</v>
      </c>
      <c r="Q23" s="116">
        <f t="shared" si="5"/>
        <v>12.335984682947792</v>
      </c>
      <c r="R23" s="116">
        <f t="shared" si="3"/>
        <v>7.752529970483943</v>
      </c>
      <c r="T23" s="20"/>
      <c r="U23" s="19"/>
    </row>
    <row r="24" spans="1:24" x14ac:dyDescent="0.25">
      <c r="A24" s="3">
        <v>2041</v>
      </c>
      <c r="B24" s="93"/>
      <c r="C24" s="111">
        <v>1377.0205274437919</v>
      </c>
      <c r="D24" s="111">
        <v>29</v>
      </c>
      <c r="E24" s="116">
        <v>145.19999999999999</v>
      </c>
      <c r="F24" s="116">
        <v>73.04989018996072</v>
      </c>
      <c r="G24" s="116">
        <v>121.92387828788389</v>
      </c>
      <c r="H24" s="116">
        <v>121.92387828788389</v>
      </c>
      <c r="I24" s="115">
        <v>0</v>
      </c>
      <c r="J24" s="115">
        <v>0</v>
      </c>
      <c r="K24" s="115">
        <v>1</v>
      </c>
      <c r="L24" s="116">
        <v>99.6</v>
      </c>
      <c r="M24" s="115">
        <v>0.2</v>
      </c>
      <c r="O24" s="116">
        <f t="shared" si="4"/>
        <v>3.5049081616489439</v>
      </c>
      <c r="P24" s="113">
        <f t="shared" si="0"/>
        <v>0.19014628122522481</v>
      </c>
      <c r="Q24" s="116">
        <f t="shared" si="5"/>
        <v>12.521024453192007</v>
      </c>
      <c r="R24" s="116">
        <f t="shared" si="3"/>
        <v>7.8688179200412014</v>
      </c>
      <c r="T24" s="20"/>
      <c r="U24" s="19"/>
    </row>
    <row r="25" spans="1:24" x14ac:dyDescent="0.25">
      <c r="A25" s="3">
        <v>2042</v>
      </c>
      <c r="B25" s="93"/>
      <c r="C25" s="111">
        <v>1388.376403089984</v>
      </c>
      <c r="D25" s="111">
        <v>28</v>
      </c>
      <c r="E25" s="116">
        <v>145.19999999999999</v>
      </c>
      <c r="F25" s="116">
        <v>69.814649716905976</v>
      </c>
      <c r="G25" s="116">
        <v>125.58159463652041</v>
      </c>
      <c r="H25" s="116">
        <v>125.58159463652041</v>
      </c>
      <c r="I25" s="115">
        <v>0</v>
      </c>
      <c r="J25" s="115">
        <v>0</v>
      </c>
      <c r="K25" s="115">
        <v>1</v>
      </c>
      <c r="L25" s="116">
        <v>99.6</v>
      </c>
      <c r="M25" s="115">
        <v>0.2</v>
      </c>
      <c r="O25" s="116">
        <f t="shared" si="4"/>
        <v>3.7327271921561249</v>
      </c>
      <c r="P25" s="113">
        <f t="shared" si="0"/>
        <v>0.19204774403747707</v>
      </c>
      <c r="Q25" s="116">
        <f t="shared" si="5"/>
        <v>12.708839819989887</v>
      </c>
      <c r="R25" s="116">
        <f t="shared" si="3"/>
        <v>7.9868501888418191</v>
      </c>
      <c r="T25" s="20"/>
      <c r="U25" s="19"/>
    </row>
    <row r="26" spans="1:24" x14ac:dyDescent="0.25">
      <c r="A26" s="3">
        <v>2043</v>
      </c>
      <c r="B26" s="93"/>
      <c r="C26" s="111">
        <v>1399.7322787361761</v>
      </c>
      <c r="D26" s="111">
        <v>27</v>
      </c>
      <c r="E26" s="116">
        <v>145.19999999999999</v>
      </c>
      <c r="F26" s="116">
        <v>67.186225809119023</v>
      </c>
      <c r="G26" s="116">
        <v>129.34904247561602</v>
      </c>
      <c r="H26" s="116">
        <v>129.34904247561602</v>
      </c>
      <c r="I26" s="115">
        <v>0</v>
      </c>
      <c r="J26" s="115">
        <v>0</v>
      </c>
      <c r="K26" s="115">
        <v>1</v>
      </c>
      <c r="L26" s="116">
        <v>99.6</v>
      </c>
      <c r="M26" s="115">
        <v>0.2</v>
      </c>
      <c r="O26" s="116">
        <f t="shared" si="4"/>
        <v>3.9753544596462729</v>
      </c>
      <c r="P26" s="113">
        <f t="shared" si="0"/>
        <v>0.19396822147785184</v>
      </c>
      <c r="Q26" s="116">
        <f t="shared" si="5"/>
        <v>12.899472417289735</v>
      </c>
      <c r="R26" s="116">
        <f t="shared" si="3"/>
        <v>8.1066529416744455</v>
      </c>
      <c r="T26" s="20"/>
      <c r="U26" s="19"/>
    </row>
    <row r="27" spans="1:24" x14ac:dyDescent="0.25">
      <c r="A27" s="3">
        <v>2044</v>
      </c>
      <c r="B27" s="93"/>
      <c r="C27" s="111">
        <v>1411.0881543823682</v>
      </c>
      <c r="D27" s="111">
        <v>26</v>
      </c>
      <c r="E27" s="116">
        <v>145.19999999999999</v>
      </c>
      <c r="F27" s="116">
        <v>64.062712142877842</v>
      </c>
      <c r="G27" s="116">
        <v>133.22951374988449</v>
      </c>
      <c r="H27" s="116">
        <v>133.22951374988449</v>
      </c>
      <c r="I27" s="115">
        <v>0</v>
      </c>
      <c r="J27" s="115">
        <v>0</v>
      </c>
      <c r="K27" s="115">
        <v>1</v>
      </c>
      <c r="L27" s="116">
        <v>99.6</v>
      </c>
      <c r="M27" s="115">
        <v>0.2</v>
      </c>
      <c r="O27" s="116">
        <f t="shared" si="4"/>
        <v>4.2337524995232805</v>
      </c>
      <c r="P27" s="113">
        <f t="shared" si="0"/>
        <v>0.19590790369263036</v>
      </c>
      <c r="Q27" s="116">
        <f t="shared" si="5"/>
        <v>13.09296450354908</v>
      </c>
      <c r="R27" s="116">
        <f t="shared" si="3"/>
        <v>8.2282527357995612</v>
      </c>
      <c r="T27" s="20"/>
      <c r="U27" s="19"/>
    </row>
    <row r="28" spans="1:24" x14ac:dyDescent="0.25">
      <c r="A28" s="3">
        <v>2045</v>
      </c>
      <c r="B28" s="93"/>
      <c r="C28" s="111">
        <v>1422.4440300285598</v>
      </c>
      <c r="D28" s="111">
        <v>25</v>
      </c>
      <c r="E28" s="116">
        <v>145.19999999999999</v>
      </c>
      <c r="F28" s="116">
        <v>63.233466559319417</v>
      </c>
      <c r="G28" s="116">
        <v>137.22639916238103</v>
      </c>
      <c r="H28" s="116">
        <v>137.22639916238103</v>
      </c>
      <c r="I28" s="115">
        <v>0</v>
      </c>
      <c r="J28" s="115">
        <v>0</v>
      </c>
      <c r="K28" s="115">
        <v>1</v>
      </c>
      <c r="L28" s="116">
        <v>99.6</v>
      </c>
      <c r="M28" s="115">
        <v>0.2</v>
      </c>
      <c r="O28" s="116">
        <f t="shared" si="4"/>
        <v>4.5089464119922935</v>
      </c>
      <c r="P28" s="113">
        <f t="shared" si="0"/>
        <v>0.19786698272955666</v>
      </c>
      <c r="Q28" s="116">
        <f t="shared" si="5"/>
        <v>13.289358971102315</v>
      </c>
      <c r="R28" s="116">
        <f t="shared" si="3"/>
        <v>8.3516765268365543</v>
      </c>
      <c r="T28" s="20"/>
      <c r="U28" s="19"/>
    </row>
    <row r="29" spans="1:24" x14ac:dyDescent="0.25">
      <c r="A29" s="3">
        <v>2046</v>
      </c>
      <c r="B29" s="93"/>
      <c r="C29" s="111">
        <v>1423.4691371614558</v>
      </c>
      <c r="D29" s="111">
        <v>24</v>
      </c>
      <c r="E29" s="116">
        <v>145.19999999999999</v>
      </c>
      <c r="F29" s="116">
        <v>62.039481801846094</v>
      </c>
      <c r="G29" s="116">
        <v>141.34319113725246</v>
      </c>
      <c r="H29" s="116">
        <v>141.34319113725246</v>
      </c>
      <c r="I29" s="115">
        <v>0</v>
      </c>
      <c r="J29" s="115">
        <v>0</v>
      </c>
      <c r="K29" s="115">
        <v>1</v>
      </c>
      <c r="L29" s="116">
        <v>99.6</v>
      </c>
      <c r="M29" s="115">
        <v>0.2</v>
      </c>
      <c r="O29" s="116">
        <f t="shared" si="4"/>
        <v>4.8020279287717926</v>
      </c>
      <c r="P29" s="113">
        <f t="shared" si="0"/>
        <v>0.19984565255685224</v>
      </c>
      <c r="Q29" s="116">
        <f t="shared" si="5"/>
        <v>13.488699355668848</v>
      </c>
      <c r="R29" s="116">
        <f t="shared" si="3"/>
        <v>8.4769516747391016</v>
      </c>
      <c r="T29" s="20"/>
      <c r="U29" s="19"/>
    </row>
    <row r="30" spans="1:24" x14ac:dyDescent="0.25">
      <c r="A30" s="3">
        <v>2047</v>
      </c>
      <c r="B30" s="93"/>
      <c r="C30" s="111">
        <v>1424.494244294352</v>
      </c>
      <c r="D30" s="111">
        <v>23</v>
      </c>
      <c r="E30" s="116">
        <v>145.19999999999999</v>
      </c>
      <c r="F30" s="116">
        <v>59.789880133094933</v>
      </c>
      <c r="G30" s="116">
        <v>145.58348687137004</v>
      </c>
      <c r="H30" s="116">
        <v>145.58348687137004</v>
      </c>
      <c r="I30" s="115">
        <v>0</v>
      </c>
      <c r="J30" s="115">
        <v>0</v>
      </c>
      <c r="K30" s="115">
        <v>1</v>
      </c>
      <c r="L30" s="116">
        <v>99.6</v>
      </c>
      <c r="M30" s="115">
        <v>0.2</v>
      </c>
      <c r="O30" s="116">
        <f t="shared" si="4"/>
        <v>5.1141597441419586</v>
      </c>
      <c r="P30" s="113">
        <f t="shared" si="0"/>
        <v>0.20184410908242076</v>
      </c>
      <c r="Q30" s="116">
        <f t="shared" si="5"/>
        <v>13.691029846003879</v>
      </c>
      <c r="R30" s="116">
        <f t="shared" si="3"/>
        <v>8.6041059498601875</v>
      </c>
      <c r="T30" s="20"/>
      <c r="U30" s="19"/>
    </row>
    <row r="31" spans="1:24" x14ac:dyDescent="0.25">
      <c r="A31" s="3">
        <v>2048</v>
      </c>
      <c r="B31" s="93"/>
      <c r="C31" s="111">
        <v>1425.519351427248</v>
      </c>
      <c r="D31" s="111">
        <v>22</v>
      </c>
      <c r="E31" s="116">
        <v>145.19999999999999</v>
      </c>
      <c r="F31" s="116">
        <v>60.700500891293665</v>
      </c>
      <c r="G31" s="116">
        <v>149.95099147751114</v>
      </c>
      <c r="H31" s="116">
        <v>149.95099147751114</v>
      </c>
      <c r="I31" s="115">
        <v>0</v>
      </c>
      <c r="J31" s="115">
        <v>0</v>
      </c>
      <c r="K31" s="115">
        <v>1</v>
      </c>
      <c r="L31" s="116">
        <v>99.6</v>
      </c>
      <c r="M31" s="115">
        <v>0.2</v>
      </c>
      <c r="O31" s="116">
        <f t="shared" si="4"/>
        <v>5.4465801275111856</v>
      </c>
      <c r="P31" s="113">
        <f t="shared" si="0"/>
        <v>0.20386255017324498</v>
      </c>
      <c r="Q31" s="116">
        <f t="shared" si="5"/>
        <v>13.896395293693935</v>
      </c>
      <c r="R31" s="116">
        <f t="shared" si="3"/>
        <v>8.7331675391080896</v>
      </c>
      <c r="T31" s="20"/>
      <c r="U31" s="19"/>
    </row>
    <row r="32" spans="1:24" x14ac:dyDescent="0.25">
      <c r="A32" s="3">
        <v>2049</v>
      </c>
      <c r="B32" s="93"/>
      <c r="C32" s="111">
        <v>1426.544458560144</v>
      </c>
      <c r="D32" s="111">
        <v>21</v>
      </c>
      <c r="E32" s="116">
        <v>145.19999999999999</v>
      </c>
      <c r="F32" s="116">
        <v>56.761432889547287</v>
      </c>
      <c r="G32" s="116">
        <v>154.44952122183648</v>
      </c>
      <c r="H32" s="116">
        <v>154.44952122183648</v>
      </c>
      <c r="I32" s="115">
        <v>0</v>
      </c>
      <c r="J32" s="115">
        <v>0</v>
      </c>
      <c r="K32" s="115">
        <v>1</v>
      </c>
      <c r="L32" s="116">
        <v>99.6</v>
      </c>
      <c r="M32" s="115">
        <v>0.2</v>
      </c>
      <c r="O32" s="116">
        <f t="shared" si="4"/>
        <v>5.8006078357994122</v>
      </c>
      <c r="P32" s="113">
        <f t="shared" si="0"/>
        <v>0.20590117567497743</v>
      </c>
      <c r="Q32" s="116">
        <f t="shared" si="5"/>
        <v>14.104841223099342</v>
      </c>
      <c r="R32" s="116">
        <f t="shared" si="3"/>
        <v>8.8641650521947106</v>
      </c>
      <c r="T32" s="20"/>
      <c r="U32" s="19"/>
    </row>
    <row r="33" spans="1:21" x14ac:dyDescent="0.25">
      <c r="A33" s="3">
        <v>2050</v>
      </c>
      <c r="B33" s="93"/>
      <c r="C33" s="111">
        <v>1427.56956569304</v>
      </c>
      <c r="D33" s="111">
        <v>20</v>
      </c>
      <c r="E33" s="116">
        <v>145.19999999999999</v>
      </c>
      <c r="F33" s="116">
        <v>54.465934743655353</v>
      </c>
      <c r="G33" s="116">
        <v>159.08300685849156</v>
      </c>
      <c r="H33" s="116">
        <v>159.08300685849156</v>
      </c>
      <c r="I33" s="115">
        <v>0</v>
      </c>
      <c r="J33" s="115">
        <v>0</v>
      </c>
      <c r="K33" s="115">
        <v>1</v>
      </c>
      <c r="L33" s="116">
        <v>99.6</v>
      </c>
      <c r="M33" s="115">
        <v>0.2</v>
      </c>
      <c r="O33" s="116">
        <f t="shared" si="4"/>
        <v>6.177647345126374</v>
      </c>
      <c r="P33" s="113">
        <f t="shared" si="0"/>
        <v>0.2079601874317272</v>
      </c>
      <c r="Q33" s="116">
        <f t="shared" si="5"/>
        <v>14.316413841445831</v>
      </c>
      <c r="R33" s="116">
        <f t="shared" si="3"/>
        <v>8.9971275279776304</v>
      </c>
      <c r="T33" s="20"/>
      <c r="U33" s="19"/>
    </row>
    <row r="34" spans="1:21" x14ac:dyDescent="0.25">
      <c r="A34" s="3">
        <v>2051</v>
      </c>
      <c r="B34" s="93"/>
      <c r="C34" s="111">
        <v>1427.56956569304</v>
      </c>
      <c r="D34" s="111">
        <v>20</v>
      </c>
      <c r="E34" s="116">
        <v>145.19999999999999</v>
      </c>
      <c r="F34" s="116">
        <v>54.465934743655353</v>
      </c>
      <c r="G34" s="116">
        <v>159.08300685849156</v>
      </c>
      <c r="H34" s="116">
        <v>159.08300685849156</v>
      </c>
      <c r="I34" s="115">
        <v>0</v>
      </c>
      <c r="J34" s="115">
        <v>0</v>
      </c>
      <c r="K34" s="115">
        <v>1</v>
      </c>
      <c r="L34" s="116">
        <v>99.6</v>
      </c>
      <c r="M34" s="115">
        <v>0.2</v>
      </c>
      <c r="O34" s="116">
        <f t="shared" si="4"/>
        <v>6.5791944225595884</v>
      </c>
      <c r="P34" s="113">
        <f t="shared" si="0"/>
        <v>0.21003978930604447</v>
      </c>
      <c r="Q34" s="116">
        <f t="shared" si="5"/>
        <v>14.531160049067518</v>
      </c>
      <c r="R34" s="116">
        <f t="shared" si="3"/>
        <v>9.1320844408972945</v>
      </c>
      <c r="T34" s="20"/>
      <c r="U34" s="19"/>
    </row>
    <row r="35" spans="1:21" x14ac:dyDescent="0.25">
      <c r="A35" s="3">
        <v>2052</v>
      </c>
      <c r="B35" s="93"/>
      <c r="C35" s="111">
        <v>1427.56956569304</v>
      </c>
      <c r="D35" s="111">
        <v>20</v>
      </c>
      <c r="E35" s="116">
        <v>145.19999999999999</v>
      </c>
      <c r="F35" s="116">
        <v>54.465934743655353</v>
      </c>
      <c r="G35" s="116">
        <v>159.08300685849156</v>
      </c>
      <c r="H35" s="116">
        <v>159.08300685849156</v>
      </c>
      <c r="I35" s="115">
        <v>0</v>
      </c>
      <c r="J35" s="115">
        <v>0</v>
      </c>
      <c r="K35" s="115">
        <v>1</v>
      </c>
      <c r="L35" s="116">
        <v>99.6</v>
      </c>
      <c r="M35" s="115">
        <v>0.2</v>
      </c>
      <c r="O35" s="116">
        <f t="shared" si="4"/>
        <v>7.0068420600259609</v>
      </c>
      <c r="P35" s="113">
        <f t="shared" si="0"/>
        <v>0.21214018719910491</v>
      </c>
      <c r="Q35" s="116">
        <f t="shared" si="5"/>
        <v>14.749127449803529</v>
      </c>
      <c r="R35" s="116">
        <f t="shared" si="3"/>
        <v>9.2690657075107534</v>
      </c>
      <c r="T35" s="20"/>
      <c r="U35" s="19"/>
    </row>
    <row r="36" spans="1:21" x14ac:dyDescent="0.25">
      <c r="A36" s="3">
        <v>2053</v>
      </c>
      <c r="B36" s="93"/>
      <c r="C36" s="111">
        <v>1427.56956569304</v>
      </c>
      <c r="D36" s="111">
        <v>20</v>
      </c>
      <c r="E36" s="116">
        <v>145.19999999999999</v>
      </c>
      <c r="F36" s="116">
        <v>54.465934743655353</v>
      </c>
      <c r="G36" s="116">
        <v>159.08300685849156</v>
      </c>
      <c r="H36" s="116">
        <v>159.08300685849156</v>
      </c>
      <c r="I36" s="115">
        <v>0</v>
      </c>
      <c r="J36" s="115">
        <v>0</v>
      </c>
      <c r="K36" s="115">
        <v>1</v>
      </c>
      <c r="L36" s="116">
        <v>99.6</v>
      </c>
      <c r="M36" s="115">
        <v>0.2</v>
      </c>
      <c r="O36" s="116">
        <f t="shared" si="4"/>
        <v>7.4622867939276478</v>
      </c>
      <c r="P36" s="113">
        <f t="shared" si="0"/>
        <v>0.21426158907109596</v>
      </c>
      <c r="Q36" s="116">
        <f t="shared" si="5"/>
        <v>14.970364361550581</v>
      </c>
      <c r="R36" s="116">
        <f t="shared" si="3"/>
        <v>9.4081016931234132</v>
      </c>
      <c r="T36" s="20"/>
      <c r="U36" s="19"/>
    </row>
    <row r="37" spans="1:21" x14ac:dyDescent="0.25">
      <c r="A37" s="3">
        <v>2054</v>
      </c>
      <c r="B37" s="93"/>
      <c r="C37" s="111">
        <v>1427.56956569304</v>
      </c>
      <c r="D37" s="111">
        <v>20</v>
      </c>
      <c r="E37" s="116">
        <v>145.19999999999999</v>
      </c>
      <c r="F37" s="116">
        <v>54.465934743655353</v>
      </c>
      <c r="G37" s="116">
        <v>159.08300685849156</v>
      </c>
      <c r="H37" s="116">
        <v>159.08300685849156</v>
      </c>
      <c r="I37" s="115">
        <v>0</v>
      </c>
      <c r="J37" s="115">
        <v>0</v>
      </c>
      <c r="K37" s="115">
        <v>1</v>
      </c>
      <c r="L37" s="116">
        <v>99.6</v>
      </c>
      <c r="M37" s="115">
        <v>0.2</v>
      </c>
      <c r="O37" s="116">
        <f t="shared" si="4"/>
        <v>7.6666666666666661</v>
      </c>
      <c r="P37" s="113">
        <f t="shared" si="0"/>
        <v>0.21640420496180693</v>
      </c>
      <c r="Q37" s="116">
        <f t="shared" si="5"/>
        <v>15.194919826973839</v>
      </c>
      <c r="R37" s="116">
        <f t="shared" si="3"/>
        <v>9.5492232185202628</v>
      </c>
      <c r="T37" s="20"/>
      <c r="U37" s="19"/>
    </row>
    <row r="38" spans="1:21" x14ac:dyDescent="0.25">
      <c r="A38" s="3">
        <v>2055</v>
      </c>
      <c r="B38" s="93"/>
      <c r="C38" s="111">
        <v>1427.56956569304</v>
      </c>
      <c r="D38" s="111">
        <v>20</v>
      </c>
      <c r="E38" s="116">
        <v>145.19999999999999</v>
      </c>
      <c r="F38" s="116">
        <v>54.465934743655353</v>
      </c>
      <c r="G38" s="116">
        <v>159.08300685849156</v>
      </c>
      <c r="H38" s="116">
        <v>159.08300685849156</v>
      </c>
      <c r="I38" s="115">
        <v>0</v>
      </c>
      <c r="J38" s="115">
        <v>0</v>
      </c>
      <c r="K38" s="115">
        <v>1</v>
      </c>
      <c r="L38" s="116">
        <v>99.6</v>
      </c>
      <c r="M38" s="115">
        <v>0.2</v>
      </c>
      <c r="O38" s="116">
        <f t="shared" si="4"/>
        <v>7.6666666666666661</v>
      </c>
      <c r="P38" s="113">
        <f t="shared" si="0"/>
        <v>0.21856824701142499</v>
      </c>
      <c r="Q38" s="116">
        <f t="shared" si="5"/>
        <v>15.422843624378446</v>
      </c>
      <c r="R38" s="116">
        <f t="shared" si="3"/>
        <v>9.692461566798066</v>
      </c>
      <c r="T38" s="20"/>
      <c r="U38" s="19"/>
    </row>
    <row r="39" spans="1:21" x14ac:dyDescent="0.25">
      <c r="A39" s="3">
        <v>2056</v>
      </c>
      <c r="B39" s="93"/>
      <c r="C39" s="111">
        <v>1427.56956569304</v>
      </c>
      <c r="D39" s="111">
        <v>20</v>
      </c>
      <c r="E39" s="116">
        <v>145.19999999999999</v>
      </c>
      <c r="F39" s="116">
        <v>54.465934743655353</v>
      </c>
      <c r="G39" s="116">
        <v>159.08300685849156</v>
      </c>
      <c r="H39" s="116">
        <v>159.08300685849156</v>
      </c>
      <c r="I39" s="115">
        <v>0</v>
      </c>
      <c r="J39" s="115">
        <v>0</v>
      </c>
      <c r="K39" s="115">
        <v>1</v>
      </c>
      <c r="L39" s="116">
        <v>99.6</v>
      </c>
      <c r="M39" s="115">
        <v>0.2</v>
      </c>
      <c r="O39" s="116">
        <f t="shared" si="4"/>
        <v>7.6666666666666661</v>
      </c>
      <c r="P39" s="113">
        <f t="shared" si="0"/>
        <v>0.22075392948153924</v>
      </c>
      <c r="Q39" s="116">
        <f t="shared" si="5"/>
        <v>15.654186278744122</v>
      </c>
      <c r="R39" s="116">
        <f t="shared" si="3"/>
        <v>9.8378484903000363</v>
      </c>
      <c r="T39" s="20"/>
      <c r="U39" s="19"/>
    </row>
    <row r="40" spans="1:21" x14ac:dyDescent="0.25">
      <c r="A40" s="3">
        <v>2057</v>
      </c>
      <c r="B40" s="93"/>
      <c r="C40" s="111">
        <v>1427.56956569304</v>
      </c>
      <c r="D40" s="111">
        <v>20</v>
      </c>
      <c r="E40" s="116">
        <v>145.19999999999999</v>
      </c>
      <c r="F40" s="116">
        <v>54.465934743655353</v>
      </c>
      <c r="G40" s="116">
        <v>159.08300685849156</v>
      </c>
      <c r="H40" s="116">
        <v>159.08300685849156</v>
      </c>
      <c r="I40" s="115">
        <v>0</v>
      </c>
      <c r="J40" s="115">
        <v>0</v>
      </c>
      <c r="K40" s="115">
        <v>1</v>
      </c>
      <c r="L40" s="116">
        <v>99.6</v>
      </c>
      <c r="M40" s="115">
        <v>0.2</v>
      </c>
      <c r="O40" s="116">
        <f t="shared" si="4"/>
        <v>7.6666666666666661</v>
      </c>
      <c r="P40" s="113">
        <f t="shared" si="0"/>
        <v>0.22296146877635464</v>
      </c>
      <c r="Q40" s="116">
        <f t="shared" si="5"/>
        <v>15.888999072925282</v>
      </c>
      <c r="R40" s="116">
        <f t="shared" si="3"/>
        <v>9.9854162176545351</v>
      </c>
      <c r="T40" s="20"/>
      <c r="U40" s="19"/>
    </row>
    <row r="41" spans="1:21" x14ac:dyDescent="0.25">
      <c r="A41" s="3">
        <v>2058</v>
      </c>
      <c r="B41" s="93"/>
      <c r="C41" s="111">
        <v>1427.56956569304</v>
      </c>
      <c r="D41" s="111">
        <v>20</v>
      </c>
      <c r="E41" s="116">
        <v>145.19999999999999</v>
      </c>
      <c r="F41" s="116">
        <v>54.465934743655353</v>
      </c>
      <c r="G41" s="116">
        <v>159.08300685849156</v>
      </c>
      <c r="H41" s="116">
        <v>159.08300685849156</v>
      </c>
      <c r="I41" s="115">
        <v>0</v>
      </c>
      <c r="J41" s="115">
        <v>0</v>
      </c>
      <c r="K41" s="115">
        <v>1</v>
      </c>
      <c r="L41" s="116">
        <v>99.6</v>
      </c>
      <c r="M41" s="115">
        <v>0.2</v>
      </c>
      <c r="O41" s="116">
        <f t="shared" si="4"/>
        <v>7.6666666666666661</v>
      </c>
      <c r="P41" s="113">
        <f t="shared" si="0"/>
        <v>0.2251910834641182</v>
      </c>
      <c r="Q41" s="116">
        <f t="shared" si="5"/>
        <v>16.127334059019159</v>
      </c>
      <c r="R41" s="116">
        <f t="shared" si="3"/>
        <v>10.135197460919352</v>
      </c>
      <c r="T41" s="20"/>
      <c r="U41" s="19"/>
    </row>
    <row r="42" spans="1:21" x14ac:dyDescent="0.25">
      <c r="A42" s="3">
        <v>2059</v>
      </c>
      <c r="B42" s="93"/>
      <c r="C42" s="111">
        <v>1427.56956569304</v>
      </c>
      <c r="D42" s="111">
        <v>20</v>
      </c>
      <c r="E42" s="116">
        <v>145.19999999999999</v>
      </c>
      <c r="F42" s="116">
        <v>54.465934743655353</v>
      </c>
      <c r="G42" s="116">
        <v>159.08300685849156</v>
      </c>
      <c r="H42" s="116">
        <v>159.08300685849156</v>
      </c>
      <c r="I42" s="115">
        <v>0</v>
      </c>
      <c r="J42" s="115">
        <v>0</v>
      </c>
      <c r="K42" s="115">
        <v>1</v>
      </c>
      <c r="L42" s="116">
        <v>99.6</v>
      </c>
      <c r="M42" s="115">
        <v>0.2</v>
      </c>
      <c r="O42" s="116">
        <f t="shared" si="4"/>
        <v>7.6666666666666661</v>
      </c>
      <c r="P42" s="113">
        <f t="shared" si="0"/>
        <v>0.22744299429875939</v>
      </c>
      <c r="Q42" s="116">
        <f t="shared" si="5"/>
        <v>16.369244069904443</v>
      </c>
      <c r="R42" s="116">
        <f t="shared" si="3"/>
        <v>10.287225422833142</v>
      </c>
      <c r="T42" s="20"/>
      <c r="U42" s="19"/>
    </row>
    <row r="43" spans="1:21" x14ac:dyDescent="0.25">
      <c r="A43" s="3">
        <v>2060</v>
      </c>
      <c r="B43" s="93"/>
      <c r="C43" s="111">
        <v>1427.56956569304</v>
      </c>
      <c r="D43" s="111">
        <v>20</v>
      </c>
      <c r="E43" s="116">
        <v>145.19999999999999</v>
      </c>
      <c r="F43" s="116">
        <v>54.465934743655353</v>
      </c>
      <c r="G43" s="116">
        <v>159.08300685849156</v>
      </c>
      <c r="H43" s="116">
        <v>159.08300685849156</v>
      </c>
      <c r="I43" s="115">
        <v>0</v>
      </c>
      <c r="J43" s="115">
        <v>0</v>
      </c>
      <c r="K43" s="115">
        <v>1</v>
      </c>
      <c r="L43" s="116">
        <v>99.6</v>
      </c>
      <c r="M43" s="115">
        <v>0.2</v>
      </c>
      <c r="O43" s="116">
        <f t="shared" si="4"/>
        <v>7.6666666666666661</v>
      </c>
      <c r="P43" s="113">
        <f t="shared" si="0"/>
        <v>0.22971742424174699</v>
      </c>
      <c r="Q43" s="116">
        <f t="shared" si="5"/>
        <v>16.61478273095301</v>
      </c>
      <c r="R43" s="116">
        <f t="shared" si="3"/>
        <v>10.441533804175638</v>
      </c>
      <c r="T43" s="20"/>
      <c r="U43" s="19"/>
    </row>
    <row r="44" spans="1:21" x14ac:dyDescent="0.25">
      <c r="A44" s="3">
        <v>2061</v>
      </c>
      <c r="B44" s="93"/>
      <c r="C44" s="111">
        <v>1427.56956569304</v>
      </c>
      <c r="D44" s="111">
        <v>20</v>
      </c>
      <c r="E44" s="116">
        <v>145.19999999999999</v>
      </c>
      <c r="F44" s="116">
        <v>54.465934743655353</v>
      </c>
      <c r="G44" s="116">
        <v>159.08300685849156</v>
      </c>
      <c r="H44" s="116">
        <v>159.08300685849156</v>
      </c>
      <c r="I44" s="115">
        <v>0</v>
      </c>
      <c r="J44" s="115">
        <v>0</v>
      </c>
      <c r="K44" s="115">
        <v>1</v>
      </c>
      <c r="L44" s="116">
        <v>99.6</v>
      </c>
      <c r="M44" s="115">
        <v>0.2</v>
      </c>
      <c r="O44" s="116">
        <f t="shared" si="4"/>
        <v>7.6666666666666661</v>
      </c>
      <c r="P44" s="113">
        <f t="shared" si="0"/>
        <v>0.23201459848416445</v>
      </c>
      <c r="Q44" s="116">
        <f t="shared" si="5"/>
        <v>16.726666666666667</v>
      </c>
      <c r="R44" s="116">
        <f t="shared" si="3"/>
        <v>10.598156811238271</v>
      </c>
      <c r="T44" s="20"/>
      <c r="U44" s="19"/>
    </row>
    <row r="45" spans="1:21" x14ac:dyDescent="0.25">
      <c r="A45" s="3">
        <v>2062</v>
      </c>
      <c r="B45" s="93"/>
      <c r="C45" s="111">
        <v>1427.56956569304</v>
      </c>
      <c r="D45" s="111">
        <v>20</v>
      </c>
      <c r="E45" s="116">
        <v>145.19999999999999</v>
      </c>
      <c r="F45" s="116">
        <v>54.465934743655353</v>
      </c>
      <c r="G45" s="116">
        <v>159.08300685849156</v>
      </c>
      <c r="H45" s="116">
        <v>159.08300685849156</v>
      </c>
      <c r="I45" s="115">
        <v>0</v>
      </c>
      <c r="J45" s="115">
        <v>0</v>
      </c>
      <c r="K45" s="115">
        <v>1</v>
      </c>
      <c r="L45" s="116">
        <v>99.6</v>
      </c>
      <c r="M45" s="115">
        <v>0.2</v>
      </c>
      <c r="O45" s="116">
        <f t="shared" si="4"/>
        <v>7.6666666666666661</v>
      </c>
      <c r="P45" s="113">
        <f t="shared" si="0"/>
        <v>0.2343347444690061</v>
      </c>
      <c r="Q45" s="116">
        <f t="shared" si="5"/>
        <v>16.726666666666667</v>
      </c>
      <c r="R45" s="116">
        <f t="shared" si="3"/>
        <v>10.757129163406844</v>
      </c>
      <c r="T45" s="20"/>
      <c r="U45" s="19"/>
    </row>
    <row r="46" spans="1:21" x14ac:dyDescent="0.25">
      <c r="A46" s="3">
        <v>2063</v>
      </c>
      <c r="B46" s="93"/>
      <c r="C46" s="111">
        <v>1427.56956569304</v>
      </c>
      <c r="D46" s="111">
        <v>20</v>
      </c>
      <c r="E46" s="116">
        <v>145.19999999999999</v>
      </c>
      <c r="F46" s="116">
        <v>54.465934743655353</v>
      </c>
      <c r="G46" s="116">
        <v>159.08300685849156</v>
      </c>
      <c r="H46" s="116">
        <v>159.08300685849156</v>
      </c>
      <c r="I46" s="115">
        <v>0</v>
      </c>
      <c r="J46" s="115">
        <v>0</v>
      </c>
      <c r="K46" s="115">
        <v>1</v>
      </c>
      <c r="L46" s="116">
        <v>99.6</v>
      </c>
      <c r="M46" s="115">
        <v>0.2</v>
      </c>
      <c r="O46" s="116">
        <f t="shared" si="4"/>
        <v>7.6666666666666661</v>
      </c>
      <c r="P46" s="113">
        <f t="shared" si="0"/>
        <v>0.23667809191369615</v>
      </c>
      <c r="Q46" s="116">
        <f t="shared" si="5"/>
        <v>16.726666666666667</v>
      </c>
      <c r="R46" s="116">
        <f t="shared" si="3"/>
        <v>10.918486100857946</v>
      </c>
      <c r="T46" s="20"/>
      <c r="U46" s="19"/>
    </row>
    <row r="47" spans="1:21" x14ac:dyDescent="0.25">
      <c r="A47" s="3">
        <v>2064</v>
      </c>
      <c r="B47" s="93"/>
      <c r="C47" s="111">
        <v>1427.56956569304</v>
      </c>
      <c r="D47" s="111">
        <v>20</v>
      </c>
      <c r="E47" s="116">
        <v>145.19999999999999</v>
      </c>
      <c r="F47" s="116">
        <v>54.465934743655353</v>
      </c>
      <c r="G47" s="116">
        <v>159.08300685849156</v>
      </c>
      <c r="H47" s="116">
        <v>159.08300685849156</v>
      </c>
      <c r="I47" s="115">
        <v>0</v>
      </c>
      <c r="J47" s="115">
        <v>0</v>
      </c>
      <c r="K47" s="115">
        <v>1</v>
      </c>
      <c r="L47" s="116">
        <v>99.6</v>
      </c>
      <c r="M47" s="115">
        <v>0.2</v>
      </c>
      <c r="O47" s="116">
        <f t="shared" si="4"/>
        <v>7.6666666666666661</v>
      </c>
      <c r="P47" s="113">
        <f t="shared" si="0"/>
        <v>0.23904487283283313</v>
      </c>
      <c r="Q47" s="116">
        <f t="shared" si="5"/>
        <v>16.726666666666667</v>
      </c>
      <c r="R47" s="116">
        <f t="shared" si="3"/>
        <v>11.082263392370814</v>
      </c>
      <c r="T47" s="20"/>
      <c r="U47" s="19"/>
    </row>
    <row r="48" spans="1:21" x14ac:dyDescent="0.25">
      <c r="A48" s="3">
        <v>2065</v>
      </c>
      <c r="B48" s="93"/>
      <c r="C48" s="111">
        <v>1427.56956569304</v>
      </c>
      <c r="D48" s="111">
        <v>20</v>
      </c>
      <c r="E48" s="116">
        <v>145.19999999999999</v>
      </c>
      <c r="F48" s="116">
        <v>54.465934743655353</v>
      </c>
      <c r="G48" s="116">
        <v>159.08300685849156</v>
      </c>
      <c r="H48" s="116">
        <v>159.08300685849156</v>
      </c>
      <c r="I48" s="115">
        <v>0</v>
      </c>
      <c r="J48" s="115">
        <v>0</v>
      </c>
      <c r="K48" s="115">
        <v>1</v>
      </c>
      <c r="L48" s="116">
        <v>99.6</v>
      </c>
      <c r="M48" s="115">
        <v>0.2</v>
      </c>
      <c r="O48" s="116">
        <f t="shared" si="4"/>
        <v>7.6666666666666661</v>
      </c>
      <c r="P48" s="113">
        <f t="shared" si="0"/>
        <v>0.24143532156116146</v>
      </c>
      <c r="Q48" s="116">
        <f t="shared" si="5"/>
        <v>16.726666666666667</v>
      </c>
      <c r="R48" s="116">
        <f t="shared" si="3"/>
        <v>11.248497343256375</v>
      </c>
      <c r="T48" s="20"/>
      <c r="U48" s="19"/>
    </row>
    <row r="49" spans="1:18" x14ac:dyDescent="0.25">
      <c r="A49" s="3">
        <v>2066</v>
      </c>
      <c r="B49" s="93"/>
      <c r="C49" s="111">
        <v>1427.56956569304</v>
      </c>
      <c r="D49" s="111">
        <v>20</v>
      </c>
      <c r="E49" s="116">
        <v>145.19999999999999</v>
      </c>
      <c r="F49" s="116">
        <v>54.465934743655353</v>
      </c>
      <c r="G49" s="116">
        <v>159.08300685849156</v>
      </c>
      <c r="H49" s="116">
        <v>159.08300685849156</v>
      </c>
      <c r="I49" s="115">
        <v>0</v>
      </c>
      <c r="J49" s="115">
        <v>0</v>
      </c>
      <c r="K49" s="115">
        <v>1</v>
      </c>
      <c r="L49" s="116">
        <v>99.6</v>
      </c>
      <c r="M49" s="115">
        <v>0.2</v>
      </c>
      <c r="O49" s="116">
        <f t="shared" si="4"/>
        <v>7.6666666666666661</v>
      </c>
      <c r="P49" s="113">
        <f t="shared" si="0"/>
        <v>0.24384967477677308</v>
      </c>
      <c r="Q49" s="116">
        <f t="shared" si="5"/>
        <v>16.726666666666667</v>
      </c>
      <c r="R49" s="116">
        <f t="shared" si="3"/>
        <v>11.417224803405219</v>
      </c>
    </row>
    <row r="50" spans="1:18" x14ac:dyDescent="0.25">
      <c r="A50" s="3">
        <v>2067</v>
      </c>
      <c r="B50" s="33"/>
      <c r="C50" s="111">
        <v>1427.56956569304</v>
      </c>
      <c r="D50" s="111">
        <v>20</v>
      </c>
      <c r="E50" s="116">
        <v>145.19999999999999</v>
      </c>
      <c r="F50" s="116">
        <v>54.465934743655353</v>
      </c>
      <c r="G50" s="116">
        <v>159.08300685849156</v>
      </c>
      <c r="H50" s="116">
        <v>159.08300685849156</v>
      </c>
      <c r="I50" s="115">
        <v>0</v>
      </c>
      <c r="J50" s="115">
        <v>0</v>
      </c>
      <c r="K50" s="115">
        <v>1</v>
      </c>
      <c r="L50" s="116">
        <v>99.6</v>
      </c>
      <c r="M50" s="115">
        <v>0.2</v>
      </c>
      <c r="O50" s="116">
        <f t="shared" si="4"/>
        <v>7.6666666666666661</v>
      </c>
      <c r="P50" s="113">
        <f t="shared" si="0"/>
        <v>0.2462881715245408</v>
      </c>
      <c r="Q50" s="116">
        <f t="shared" si="5"/>
        <v>16.726666666666667</v>
      </c>
      <c r="R50" s="116">
        <f t="shared" si="3"/>
        <v>11.588483175456297</v>
      </c>
    </row>
  </sheetData>
  <sheetProtection algorithmName="SHA-512" hashValue="GXLSK5WVASJMfHqdId5YjQota2xoqyGpsZ2kob2EyM8lhASbjGd1mjjq1hI0w63849qbp0BV5+AqBZR8L6tQOQ==" saltValue="RjCQ97dKJO8lhcai4rkHVQ==" spinCount="100000" sheet="1" objects="1" scenarios="1"/>
  <mergeCells count="10">
    <mergeCell ref="Y10:Y11"/>
    <mergeCell ref="Y8:Y9"/>
    <mergeCell ref="T18:U19"/>
    <mergeCell ref="I2:K2"/>
    <mergeCell ref="C1:H1"/>
    <mergeCell ref="O1:P1"/>
    <mergeCell ref="Q1:R1"/>
    <mergeCell ref="T14:V14"/>
    <mergeCell ref="T10:T11"/>
    <mergeCell ref="T8:T9"/>
  </mergeCells>
  <hyperlinks>
    <hyperlink ref="X4" r:id="rId1" display="https://www.bdew.de/service/daten-und-grafiken/bdew-strompreisanalyse/" xr:uid="{00000000-0004-0000-0300-000000000000}"/>
    <hyperlink ref="X5" r:id="rId2" display="https://www.bdew.de/service/daten-und-grafiken/bdew-gaspreisanalyse/" xr:uid="{00000000-0004-0000-0300-000001000000}"/>
  </hyperlinks>
  <pageMargins left="0.7" right="0.7" top="0.78740157499999996" bottom="0.78740157499999996" header="0.3" footer="0.3"/>
  <pageSetup paperSize="9" orientation="portrait"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EB24E-BE75-43CE-8B7E-64705429C117}">
  <sheetPr codeName="Tabelle9"/>
  <dimension ref="A1:S30"/>
  <sheetViews>
    <sheetView workbookViewId="0">
      <selection activeCell="B22" sqref="B22"/>
    </sheetView>
  </sheetViews>
  <sheetFormatPr baseColWidth="10" defaultRowHeight="15" x14ac:dyDescent="0.25"/>
  <cols>
    <col min="3" max="4" width="11.7109375" bestFit="1" customWidth="1"/>
    <col min="10" max="10" width="11.42578125" style="30"/>
  </cols>
  <sheetData>
    <row r="1" spans="1:19" ht="15.75" thickBot="1" x14ac:dyDescent="0.3">
      <c r="A1" s="293" t="s">
        <v>71</v>
      </c>
      <c r="B1" s="303" t="s">
        <v>67</v>
      </c>
      <c r="C1" s="304"/>
      <c r="D1" s="305"/>
      <c r="E1" s="30"/>
      <c r="F1" s="293" t="s">
        <v>71</v>
      </c>
      <c r="G1" s="303" t="s">
        <v>68</v>
      </c>
      <c r="H1" s="304"/>
      <c r="I1" s="305"/>
      <c r="K1" s="293" t="s">
        <v>71</v>
      </c>
      <c r="L1" s="296" t="s">
        <v>69</v>
      </c>
      <c r="M1" s="297"/>
      <c r="N1" s="298"/>
      <c r="O1" s="30"/>
      <c r="P1" s="293" t="s">
        <v>71</v>
      </c>
      <c r="Q1" s="296" t="s">
        <v>70</v>
      </c>
      <c r="R1" s="297"/>
      <c r="S1" s="298"/>
    </row>
    <row r="2" spans="1:19" ht="34.5" thickBot="1" x14ac:dyDescent="0.3">
      <c r="A2" s="294"/>
      <c r="B2" s="12" t="s">
        <v>72</v>
      </c>
      <c r="C2" s="13" t="s">
        <v>73</v>
      </c>
      <c r="D2" s="14" t="s">
        <v>74</v>
      </c>
      <c r="E2" s="30"/>
      <c r="F2" s="294"/>
      <c r="G2" s="12" t="s">
        <v>72</v>
      </c>
      <c r="H2" s="13" t="s">
        <v>73</v>
      </c>
      <c r="I2" s="14" t="s">
        <v>74</v>
      </c>
      <c r="K2" s="294"/>
      <c r="L2" s="12" t="s">
        <v>72</v>
      </c>
      <c r="M2" s="13" t="s">
        <v>73</v>
      </c>
      <c r="N2" s="14" t="s">
        <v>74</v>
      </c>
      <c r="O2" s="30"/>
      <c r="P2" s="294"/>
      <c r="Q2" s="12" t="s">
        <v>72</v>
      </c>
      <c r="R2" s="13" t="s">
        <v>73</v>
      </c>
      <c r="S2" s="14" t="s">
        <v>74</v>
      </c>
    </row>
    <row r="3" spans="1:19" ht="15.75" thickBot="1" x14ac:dyDescent="0.3">
      <c r="A3" s="295"/>
      <c r="B3" s="15" t="s">
        <v>75</v>
      </c>
      <c r="C3" s="15" t="s">
        <v>75</v>
      </c>
      <c r="D3" s="15" t="s">
        <v>75</v>
      </c>
      <c r="E3" s="30"/>
      <c r="F3" s="295"/>
      <c r="G3" s="15" t="s">
        <v>75</v>
      </c>
      <c r="H3" s="15" t="s">
        <v>75</v>
      </c>
      <c r="I3" s="15" t="s">
        <v>75</v>
      </c>
      <c r="K3" s="295"/>
      <c r="L3" s="15" t="s">
        <v>75</v>
      </c>
      <c r="M3" s="15" t="s">
        <v>75</v>
      </c>
      <c r="N3" s="15" t="s">
        <v>75</v>
      </c>
      <c r="O3" s="30"/>
      <c r="P3" s="295"/>
      <c r="Q3" s="15" t="s">
        <v>75</v>
      </c>
      <c r="R3" s="15" t="s">
        <v>75</v>
      </c>
      <c r="S3" s="15" t="s">
        <v>75</v>
      </c>
    </row>
    <row r="4" spans="1:19" ht="15.75" thickBot="1" x14ac:dyDescent="0.3">
      <c r="A4" s="16" t="s">
        <v>76</v>
      </c>
      <c r="B4" s="123">
        <v>3.6433333333333338E-2</v>
      </c>
      <c r="C4" s="123">
        <v>2.47E-2</v>
      </c>
      <c r="D4" s="123">
        <v>2.1699999999999997E-2</v>
      </c>
      <c r="E4" s="30"/>
      <c r="F4" s="16" t="s">
        <v>77</v>
      </c>
      <c r="G4" s="124">
        <v>2.4300000000000002E-2</v>
      </c>
      <c r="H4" s="124">
        <v>1.295E-2</v>
      </c>
      <c r="I4" s="124">
        <v>1.4100000000000001E-2</v>
      </c>
      <c r="K4" s="16" t="s">
        <v>78</v>
      </c>
      <c r="L4" s="125">
        <v>0.11159999999999999</v>
      </c>
      <c r="M4" s="125">
        <v>0.16426666666666667</v>
      </c>
      <c r="N4" s="125">
        <v>0.18590000000000004</v>
      </c>
      <c r="O4" s="30"/>
      <c r="P4" s="16" t="s">
        <v>79</v>
      </c>
      <c r="Q4" s="126">
        <v>5.8800000000000005E-2</v>
      </c>
      <c r="R4" s="126">
        <v>6.9399999999999989E-2</v>
      </c>
      <c r="S4" s="126">
        <v>0.15305000000000002</v>
      </c>
    </row>
    <row r="5" spans="1:19" ht="15.75" thickBot="1" x14ac:dyDescent="0.3">
      <c r="A5" s="16" t="s">
        <v>80</v>
      </c>
      <c r="B5" s="123">
        <v>2.8999999999999998E-2</v>
      </c>
      <c r="C5" s="123">
        <v>1.55E-2</v>
      </c>
      <c r="D5" s="123">
        <v>1.7499999999999998E-2</v>
      </c>
      <c r="E5" s="30"/>
      <c r="F5" s="16" t="s">
        <v>81</v>
      </c>
      <c r="G5" s="124">
        <v>2.0999999999999998E-2</v>
      </c>
      <c r="H5" s="124">
        <v>1.0450000000000001E-2</v>
      </c>
      <c r="I5" s="124">
        <v>1.2800000000000001E-2</v>
      </c>
      <c r="K5" s="16" t="s">
        <v>82</v>
      </c>
      <c r="L5" s="125">
        <v>7.796666666666667E-2</v>
      </c>
      <c r="M5" s="125">
        <v>9.5566666666666675E-2</v>
      </c>
      <c r="N5" s="125">
        <v>0.16620000000000001</v>
      </c>
      <c r="O5" s="30"/>
      <c r="P5" s="16" t="s">
        <v>83</v>
      </c>
      <c r="Q5" s="126">
        <v>4.0099999999999997E-2</v>
      </c>
      <c r="R5" s="126">
        <v>5.3650000000000003E-2</v>
      </c>
      <c r="S5" s="126">
        <v>0.13750000000000001</v>
      </c>
    </row>
    <row r="6" spans="1:19" ht="15.75" thickBot="1" x14ac:dyDescent="0.3">
      <c r="A6" s="16" t="s">
        <v>84</v>
      </c>
      <c r="B6" s="123">
        <v>2.5999999999999999E-2</v>
      </c>
      <c r="C6" s="123">
        <v>1.2699999999999998E-2</v>
      </c>
      <c r="D6" s="123">
        <v>1.6366666666666668E-2</v>
      </c>
      <c r="E6" s="30"/>
      <c r="F6" s="16" t="s">
        <v>85</v>
      </c>
      <c r="G6" s="124">
        <v>1.8700000000000001E-2</v>
      </c>
      <c r="H6" s="124">
        <v>6.2000000000000006E-3</v>
      </c>
      <c r="I6" s="124">
        <v>1.12E-2</v>
      </c>
      <c r="K6" s="16" t="s">
        <v>86</v>
      </c>
      <c r="L6" s="125">
        <v>6.5266666666666653E-2</v>
      </c>
      <c r="M6" s="125">
        <v>7.9333333333333325E-2</v>
      </c>
      <c r="N6" s="125">
        <v>0.1593</v>
      </c>
      <c r="O6" s="30"/>
      <c r="P6" s="16" t="s">
        <v>87</v>
      </c>
      <c r="Q6" s="126">
        <v>3.635E-2</v>
      </c>
      <c r="R6" s="126">
        <v>4.2849999999999999E-2</v>
      </c>
      <c r="S6" s="126">
        <v>0.1293</v>
      </c>
    </row>
    <row r="7" spans="1:19" ht="15.75" thickBot="1" x14ac:dyDescent="0.3">
      <c r="A7" s="16" t="s">
        <v>88</v>
      </c>
      <c r="B7" s="123">
        <v>2.8733333333333333E-2</v>
      </c>
      <c r="C7" s="123">
        <v>1.5333333333333332E-2</v>
      </c>
      <c r="D7" s="123">
        <v>1.7433333333333332E-2</v>
      </c>
      <c r="E7" s="30"/>
      <c r="F7" s="16" t="s">
        <v>89</v>
      </c>
      <c r="G7" s="124">
        <v>1.685E-2</v>
      </c>
      <c r="H7" s="124">
        <v>3.3E-3</v>
      </c>
      <c r="I7" s="124">
        <v>1.025E-2</v>
      </c>
      <c r="K7" s="16" t="s">
        <v>90</v>
      </c>
      <c r="L7" s="125">
        <v>6.196666666666667E-2</v>
      </c>
      <c r="M7" s="125">
        <v>6.4633333333333334E-2</v>
      </c>
      <c r="N7" s="125">
        <v>0.15383333333333335</v>
      </c>
      <c r="O7" s="30"/>
      <c r="P7" s="16" t="s">
        <v>91</v>
      </c>
      <c r="Q7" s="126">
        <v>3.4500000000000003E-2</v>
      </c>
      <c r="R7" s="126">
        <v>3.2549999999999996E-2</v>
      </c>
      <c r="S7" s="126">
        <v>0.11749999999999999</v>
      </c>
    </row>
    <row r="8" spans="1:19" ht="15.75" thickBot="1" x14ac:dyDescent="0.3">
      <c r="A8" s="30"/>
      <c r="B8" s="30"/>
      <c r="C8" s="30"/>
      <c r="D8" s="30"/>
      <c r="E8" s="30"/>
      <c r="F8" s="16" t="s">
        <v>92</v>
      </c>
      <c r="G8" s="124">
        <v>1.4200000000000001E-2</v>
      </c>
      <c r="H8" s="124">
        <v>1.25E-3</v>
      </c>
      <c r="I8" s="124">
        <v>9.3500000000000007E-3</v>
      </c>
      <c r="K8" s="16" t="s">
        <v>93</v>
      </c>
      <c r="L8" s="125">
        <v>5.2533333333333342E-2</v>
      </c>
      <c r="M8" s="125">
        <v>5.0333333333333334E-2</v>
      </c>
      <c r="N8" s="125">
        <v>0.14546666666666666</v>
      </c>
      <c r="O8" s="30"/>
      <c r="P8" s="16" t="s">
        <v>94</v>
      </c>
      <c r="Q8" s="126">
        <v>3.1550000000000002E-2</v>
      </c>
      <c r="R8" s="126">
        <v>2.2400000000000003E-2</v>
      </c>
      <c r="S8" s="126">
        <v>0.10045000000000001</v>
      </c>
    </row>
    <row r="9" spans="1:19" ht="15.75" thickBot="1" x14ac:dyDescent="0.3">
      <c r="A9" s="30"/>
      <c r="B9" s="30"/>
      <c r="C9" s="30"/>
      <c r="D9" s="30"/>
      <c r="E9" s="30"/>
      <c r="F9" s="16" t="s">
        <v>95</v>
      </c>
      <c r="G9" s="124">
        <v>1.3149999999999998E-2</v>
      </c>
      <c r="H9" s="124">
        <v>1.2000000000000001E-3</v>
      </c>
      <c r="I9" s="124">
        <v>9.1500000000000001E-3</v>
      </c>
      <c r="K9" s="16" t="s">
        <v>88</v>
      </c>
      <c r="L9" s="125">
        <v>6.9999999999999993E-2</v>
      </c>
      <c r="M9" s="125">
        <v>8.3633333333333337E-2</v>
      </c>
      <c r="N9" s="125">
        <v>0.16059999999999999</v>
      </c>
      <c r="O9" s="30"/>
      <c r="P9" s="16" t="s">
        <v>96</v>
      </c>
      <c r="Q9" s="126">
        <v>3.0899999999999997E-2</v>
      </c>
      <c r="R9" s="126">
        <v>1.4749999999999999E-2</v>
      </c>
      <c r="S9" s="126">
        <v>8.9799999999999991E-2</v>
      </c>
    </row>
    <row r="10" spans="1:19" ht="15.75" thickBot="1" x14ac:dyDescent="0.3">
      <c r="A10" s="30"/>
      <c r="B10" s="30"/>
      <c r="C10" s="30"/>
      <c r="D10" s="30"/>
      <c r="E10" s="30"/>
      <c r="F10" s="16" t="s">
        <v>88</v>
      </c>
      <c r="G10" s="124">
        <v>1.8349999999999998E-2</v>
      </c>
      <c r="H10" s="124">
        <v>6.3499999999999997E-3</v>
      </c>
      <c r="I10" s="124">
        <v>1.15E-2</v>
      </c>
      <c r="K10" s="30"/>
      <c r="L10" s="30"/>
      <c r="M10" s="30"/>
      <c r="N10" s="30"/>
      <c r="O10" s="30"/>
      <c r="P10" s="16" t="s">
        <v>97</v>
      </c>
      <c r="Q10" s="126">
        <v>2.6450000000000001E-2</v>
      </c>
      <c r="R10" s="126">
        <v>9.1999999999999998E-3</v>
      </c>
      <c r="S10" s="126">
        <v>7.0250000000000007E-2</v>
      </c>
    </row>
    <row r="11" spans="1:19" ht="15.75" thickBot="1" x14ac:dyDescent="0.3">
      <c r="A11" s="30"/>
      <c r="B11" s="30"/>
      <c r="C11" s="30"/>
      <c r="D11" s="30"/>
      <c r="E11" s="30"/>
      <c r="F11" s="30"/>
      <c r="G11" s="30"/>
      <c r="H11" s="30"/>
      <c r="I11" s="30"/>
      <c r="K11" s="30"/>
      <c r="L11" s="30"/>
      <c r="M11" s="30"/>
      <c r="N11" s="30"/>
      <c r="O11" s="30"/>
      <c r="P11" s="16" t="s">
        <v>88</v>
      </c>
      <c r="Q11" s="126">
        <v>3.5400000000000001E-2</v>
      </c>
      <c r="R11" s="126">
        <v>3.3600000000000005E-2</v>
      </c>
      <c r="S11" s="126">
        <v>0.11219999999999999</v>
      </c>
    </row>
    <row r="12" spans="1:19" x14ac:dyDescent="0.25">
      <c r="A12" s="30"/>
      <c r="B12" s="30"/>
      <c r="C12" s="30"/>
      <c r="D12" s="30"/>
      <c r="E12" s="30"/>
      <c r="F12" s="30"/>
      <c r="G12" s="30"/>
      <c r="H12" s="30"/>
      <c r="I12" s="30"/>
      <c r="K12" s="30"/>
      <c r="L12" s="30"/>
      <c r="M12" s="30"/>
      <c r="N12" s="30"/>
      <c r="O12" s="30"/>
      <c r="P12" s="30"/>
      <c r="Q12" s="30"/>
      <c r="R12" s="30"/>
      <c r="S12" s="30"/>
    </row>
    <row r="13" spans="1:19" x14ac:dyDescent="0.25">
      <c r="A13" s="63" t="s">
        <v>233</v>
      </c>
      <c r="B13" s="75" t="s">
        <v>234</v>
      </c>
      <c r="C13" s="30"/>
      <c r="D13" s="30"/>
      <c r="E13" s="30"/>
      <c r="F13" s="63" t="s">
        <v>233</v>
      </c>
      <c r="G13" s="75" t="s">
        <v>235</v>
      </c>
      <c r="H13" s="30"/>
      <c r="I13" s="30"/>
      <c r="K13" s="63" t="s">
        <v>233</v>
      </c>
      <c r="L13" s="75" t="s">
        <v>236</v>
      </c>
      <c r="M13" s="30"/>
      <c r="N13" s="30"/>
      <c r="O13" s="30"/>
      <c r="P13" s="63" t="s">
        <v>233</v>
      </c>
      <c r="Q13" s="75" t="s">
        <v>237</v>
      </c>
      <c r="R13" s="30"/>
      <c r="S13" s="30"/>
    </row>
    <row r="17" spans="1:17" ht="15.75" thickBot="1" x14ac:dyDescent="0.3"/>
    <row r="18" spans="1:17" ht="39" thickBot="1" x14ac:dyDescent="0.3">
      <c r="C18" s="299" t="s">
        <v>305</v>
      </c>
      <c r="D18" s="300"/>
      <c r="E18" s="172" t="s">
        <v>306</v>
      </c>
      <c r="F18" s="173" t="s">
        <v>73</v>
      </c>
      <c r="G18" s="174" t="s">
        <v>74</v>
      </c>
      <c r="H18" s="167"/>
      <c r="I18" s="167"/>
      <c r="J18" s="167"/>
      <c r="K18" s="167"/>
      <c r="L18" s="167"/>
      <c r="M18" s="299" t="s">
        <v>310</v>
      </c>
      <c r="N18" s="300"/>
      <c r="O18" s="172" t="s">
        <v>306</v>
      </c>
      <c r="P18" s="173" t="s">
        <v>73</v>
      </c>
      <c r="Q18" s="174" t="s">
        <v>74</v>
      </c>
    </row>
    <row r="19" spans="1:17" ht="15.75" thickBot="1" x14ac:dyDescent="0.3">
      <c r="C19" s="301" t="s">
        <v>307</v>
      </c>
      <c r="D19" s="302"/>
      <c r="E19" s="170" t="s">
        <v>308</v>
      </c>
      <c r="F19" s="170" t="s">
        <v>308</v>
      </c>
      <c r="G19" s="171" t="s">
        <v>308</v>
      </c>
      <c r="M19" s="301" t="s">
        <v>307</v>
      </c>
      <c r="N19" s="302"/>
      <c r="O19" s="170" t="s">
        <v>308</v>
      </c>
      <c r="P19" s="170" t="s">
        <v>308</v>
      </c>
      <c r="Q19" s="171" t="s">
        <v>308</v>
      </c>
    </row>
    <row r="20" spans="1:17" x14ac:dyDescent="0.25">
      <c r="A20" s="34" t="s">
        <v>313</v>
      </c>
      <c r="C20" s="175">
        <v>0</v>
      </c>
      <c r="D20" s="176">
        <v>5.6</v>
      </c>
      <c r="E20" s="143">
        <f>B4</f>
        <v>3.6433333333333338E-2</v>
      </c>
      <c r="F20" s="144">
        <f t="shared" ref="F20:G20" si="0">C4</f>
        <v>2.47E-2</v>
      </c>
      <c r="G20" s="145">
        <f t="shared" si="0"/>
        <v>2.1699999999999997E-2</v>
      </c>
      <c r="M20" s="175">
        <v>0</v>
      </c>
      <c r="N20" s="176">
        <v>1</v>
      </c>
      <c r="O20" s="155">
        <f>L4</f>
        <v>0.11159999999999999</v>
      </c>
      <c r="P20" s="156">
        <f t="shared" ref="P20:Q20" si="1">M4</f>
        <v>0.16426666666666667</v>
      </c>
      <c r="Q20" s="157">
        <f t="shared" si="1"/>
        <v>0.18590000000000004</v>
      </c>
    </row>
    <row r="21" spans="1:17" x14ac:dyDescent="0.25">
      <c r="A21" s="34" t="s">
        <v>314</v>
      </c>
      <c r="C21" s="175">
        <v>5.6</v>
      </c>
      <c r="D21" s="176">
        <v>55.6</v>
      </c>
      <c r="E21" s="146">
        <f t="shared" ref="E21" si="2">B5</f>
        <v>2.8999999999999998E-2</v>
      </c>
      <c r="F21" s="147">
        <f t="shared" ref="F21" si="3">C5</f>
        <v>1.55E-2</v>
      </c>
      <c r="G21" s="148">
        <f t="shared" ref="G21" si="4">D5</f>
        <v>1.7499999999999998E-2</v>
      </c>
      <c r="M21" s="175">
        <v>1</v>
      </c>
      <c r="N21" s="176">
        <v>2.5</v>
      </c>
      <c r="O21" s="158">
        <f t="shared" ref="O21:O23" si="5">L5</f>
        <v>7.796666666666667E-2</v>
      </c>
      <c r="P21" s="159">
        <f t="shared" ref="P21:P23" si="6">M5</f>
        <v>9.5566666666666675E-2</v>
      </c>
      <c r="Q21" s="160">
        <f t="shared" ref="Q21:Q23" si="7">N5</f>
        <v>0.16620000000000001</v>
      </c>
    </row>
    <row r="22" spans="1:17" x14ac:dyDescent="0.25">
      <c r="A22" s="34">
        <v>15</v>
      </c>
      <c r="C22" s="175">
        <v>55.6</v>
      </c>
      <c r="D22" s="176">
        <v>278</v>
      </c>
      <c r="E22" s="152">
        <f>AVERAGE(B6,G4)</f>
        <v>2.5149999999999999E-2</v>
      </c>
      <c r="F22" s="153">
        <f t="shared" ref="F22:G22" si="8">AVERAGE(C6,H4)</f>
        <v>1.2825E-2</v>
      </c>
      <c r="G22" s="154">
        <f t="shared" si="8"/>
        <v>1.5233333333333335E-2</v>
      </c>
      <c r="M22" s="175">
        <v>2.5</v>
      </c>
      <c r="N22" s="176">
        <v>5</v>
      </c>
      <c r="O22" s="158">
        <f t="shared" si="5"/>
        <v>6.5266666666666653E-2</v>
      </c>
      <c r="P22" s="159">
        <f t="shared" si="6"/>
        <v>7.9333333333333325E-2</v>
      </c>
      <c r="Q22" s="160">
        <f t="shared" si="7"/>
        <v>0.1593</v>
      </c>
    </row>
    <row r="23" spans="1:17" x14ac:dyDescent="0.25">
      <c r="A23" s="34">
        <v>30</v>
      </c>
      <c r="C23" s="175">
        <v>278</v>
      </c>
      <c r="D23" s="176">
        <v>2778</v>
      </c>
      <c r="E23" s="146">
        <f>G5</f>
        <v>2.0999999999999998E-2</v>
      </c>
      <c r="F23" s="147">
        <f t="shared" ref="F23:G23" si="9">H5</f>
        <v>1.0450000000000001E-2</v>
      </c>
      <c r="G23" s="148">
        <f t="shared" si="9"/>
        <v>1.2800000000000001E-2</v>
      </c>
      <c r="M23" s="175">
        <v>5</v>
      </c>
      <c r="N23" s="176">
        <v>15</v>
      </c>
      <c r="O23" s="158">
        <f t="shared" si="5"/>
        <v>6.196666666666667E-2</v>
      </c>
      <c r="P23" s="159">
        <f t="shared" si="6"/>
        <v>6.4633333333333334E-2</v>
      </c>
      <c r="Q23" s="160">
        <f t="shared" si="7"/>
        <v>0.15383333333333335</v>
      </c>
    </row>
    <row r="24" spans="1:17" x14ac:dyDescent="0.25">
      <c r="A24" s="34">
        <v>70</v>
      </c>
      <c r="C24" s="175">
        <v>2778</v>
      </c>
      <c r="D24" s="176">
        <v>27778</v>
      </c>
      <c r="E24" s="146">
        <f t="shared" ref="E24:E27" si="10">G6</f>
        <v>1.8700000000000001E-2</v>
      </c>
      <c r="F24" s="147">
        <f t="shared" ref="F24:F27" si="11">H6</f>
        <v>6.2000000000000006E-3</v>
      </c>
      <c r="G24" s="148">
        <f t="shared" ref="G24:G27" si="12">I6</f>
        <v>1.12E-2</v>
      </c>
      <c r="M24" s="175">
        <v>15</v>
      </c>
      <c r="N24" s="176">
        <v>20</v>
      </c>
      <c r="O24" s="161">
        <f>AVERAGE(L8,Q4)</f>
        <v>5.566666666666667E-2</v>
      </c>
      <c r="P24" s="162">
        <f t="shared" ref="P24:Q24" si="13">AVERAGE(M8,R4)</f>
        <v>5.9866666666666665E-2</v>
      </c>
      <c r="Q24" s="163">
        <f t="shared" si="13"/>
        <v>0.14925833333333333</v>
      </c>
    </row>
    <row r="25" spans="1:17" x14ac:dyDescent="0.25">
      <c r="A25" s="34">
        <v>125</v>
      </c>
      <c r="C25" s="175">
        <v>27778</v>
      </c>
      <c r="D25" s="176">
        <v>277778</v>
      </c>
      <c r="E25" s="146">
        <f t="shared" si="10"/>
        <v>1.685E-2</v>
      </c>
      <c r="F25" s="147">
        <f t="shared" si="11"/>
        <v>3.3E-3</v>
      </c>
      <c r="G25" s="148">
        <f t="shared" si="12"/>
        <v>1.025E-2</v>
      </c>
      <c r="M25" s="175">
        <v>20</v>
      </c>
      <c r="N25" s="176">
        <v>500</v>
      </c>
      <c r="O25" s="158">
        <f>Q5</f>
        <v>4.0099999999999997E-2</v>
      </c>
      <c r="P25" s="159">
        <f t="shared" ref="P25:Q25" si="14">R5</f>
        <v>5.3650000000000003E-2</v>
      </c>
      <c r="Q25" s="160">
        <f t="shared" si="14"/>
        <v>0.13750000000000001</v>
      </c>
    </row>
    <row r="26" spans="1:17" x14ac:dyDescent="0.25">
      <c r="A26" s="34">
        <v>200</v>
      </c>
      <c r="C26" s="175">
        <v>277778</v>
      </c>
      <c r="D26" s="176">
        <v>1111111</v>
      </c>
      <c r="E26" s="146">
        <f t="shared" si="10"/>
        <v>1.4200000000000001E-2</v>
      </c>
      <c r="F26" s="147">
        <f t="shared" si="11"/>
        <v>1.25E-3</v>
      </c>
      <c r="G26" s="148">
        <f t="shared" si="12"/>
        <v>9.3500000000000007E-3</v>
      </c>
      <c r="M26" s="175">
        <v>500</v>
      </c>
      <c r="N26" s="176">
        <v>2000</v>
      </c>
      <c r="O26" s="158">
        <f t="shared" ref="O26:O30" si="15">Q6</f>
        <v>3.635E-2</v>
      </c>
      <c r="P26" s="159">
        <f t="shared" ref="P26:P30" si="16">R6</f>
        <v>4.2849999999999999E-2</v>
      </c>
      <c r="Q26" s="160">
        <f t="shared" ref="Q26:Q30" si="17">S6</f>
        <v>0.1293</v>
      </c>
    </row>
    <row r="27" spans="1:17" ht="15.75" thickBot="1" x14ac:dyDescent="0.3">
      <c r="A27" s="34">
        <v>350</v>
      </c>
      <c r="C27" s="178">
        <v>1111111</v>
      </c>
      <c r="D27" s="179" t="s">
        <v>309</v>
      </c>
      <c r="E27" s="149">
        <f t="shared" si="10"/>
        <v>1.3149999999999998E-2</v>
      </c>
      <c r="F27" s="150">
        <f t="shared" si="11"/>
        <v>1.2000000000000001E-3</v>
      </c>
      <c r="G27" s="151">
        <f t="shared" si="12"/>
        <v>9.1500000000000001E-3</v>
      </c>
      <c r="M27" s="175">
        <v>2000</v>
      </c>
      <c r="N27" s="177">
        <v>20000</v>
      </c>
      <c r="O27" s="158">
        <f t="shared" si="15"/>
        <v>3.4500000000000003E-2</v>
      </c>
      <c r="P27" s="159">
        <f t="shared" si="16"/>
        <v>3.2549999999999996E-2</v>
      </c>
      <c r="Q27" s="160">
        <f t="shared" si="17"/>
        <v>0.11749999999999999</v>
      </c>
    </row>
    <row r="28" spans="1:17" x14ac:dyDescent="0.25">
      <c r="A28" s="34">
        <v>850</v>
      </c>
      <c r="M28" s="175">
        <v>20000</v>
      </c>
      <c r="N28" s="176">
        <v>70000</v>
      </c>
      <c r="O28" s="158">
        <f t="shared" si="15"/>
        <v>3.1550000000000002E-2</v>
      </c>
      <c r="P28" s="159">
        <f t="shared" si="16"/>
        <v>2.2400000000000003E-2</v>
      </c>
      <c r="Q28" s="160">
        <f t="shared" si="17"/>
        <v>0.10045000000000001</v>
      </c>
    </row>
    <row r="29" spans="1:17" x14ac:dyDescent="0.25">
      <c r="A29" s="34">
        <v>1900</v>
      </c>
      <c r="M29" s="175">
        <v>70000</v>
      </c>
      <c r="N29" s="176">
        <v>150000</v>
      </c>
      <c r="O29" s="158">
        <f t="shared" si="15"/>
        <v>3.0899999999999997E-2</v>
      </c>
      <c r="P29" s="159">
        <f t="shared" si="16"/>
        <v>1.4749999999999999E-2</v>
      </c>
      <c r="Q29" s="160">
        <f t="shared" si="17"/>
        <v>8.9799999999999991E-2</v>
      </c>
    </row>
    <row r="30" spans="1:17" ht="15.75" thickBot="1" x14ac:dyDescent="0.3">
      <c r="A30" s="34">
        <v>4000</v>
      </c>
      <c r="M30" s="178">
        <v>150000</v>
      </c>
      <c r="N30" s="179" t="s">
        <v>309</v>
      </c>
      <c r="O30" s="164">
        <f t="shared" si="15"/>
        <v>2.6450000000000001E-2</v>
      </c>
      <c r="P30" s="165">
        <f t="shared" si="16"/>
        <v>9.1999999999999998E-3</v>
      </c>
      <c r="Q30" s="166">
        <f t="shared" si="17"/>
        <v>7.0250000000000007E-2</v>
      </c>
    </row>
  </sheetData>
  <mergeCells count="12">
    <mergeCell ref="A1:A3"/>
    <mergeCell ref="B1:D1"/>
    <mergeCell ref="F1:F3"/>
    <mergeCell ref="G1:I1"/>
    <mergeCell ref="K1:K3"/>
    <mergeCell ref="P1:P3"/>
    <mergeCell ref="Q1:S1"/>
    <mergeCell ref="C18:D18"/>
    <mergeCell ref="C19:D19"/>
    <mergeCell ref="M18:N18"/>
    <mergeCell ref="M19:N19"/>
    <mergeCell ref="L1:N1"/>
  </mergeCells>
  <hyperlinks>
    <hyperlink ref="B13" r:id="rId1" location="abreadcrumb" display="abreadcrumb" xr:uid="{659EC547-E20D-43F6-BBFF-99BA4C8BFAC4}"/>
    <hyperlink ref="G13" r:id="rId2" location="abreadcrumb" display="https://www-genesis.destatis.de/genesis/online?sequenz=tabelleErgebnis&amp;selectionname=61243-0015&amp;language=de - abreadcrumb" xr:uid="{7D180906-B424-4F37-9A6C-CD95752C9BA7}"/>
    <hyperlink ref="L13" r:id="rId3" location="abreadcrumb" display="https://www-genesis.destatis.de/genesis/online?sequenz=tabelleErgebnis&amp;selectionname=61243-0002&amp;language=de - abreadcrumb" xr:uid="{C872CF73-3026-487E-A4F8-86B5334082C3}"/>
    <hyperlink ref="Q13" r:id="rId4" location="abreadcrumb" display="https://www-genesis.destatis.de/genesis/online?sequenz=tabelleErgebnis&amp;selectionname=61243-0006&amp;language=de - abreadcrumb" xr:uid="{E72D4BFC-B9FC-4A37-8732-BE125E8D96D9}"/>
  </hyperlinks>
  <pageMargins left="0.7" right="0.7" top="0.78740157499999996" bottom="0.78740157499999996" header="0.3" footer="0.3"/>
  <pageSetup paperSize="9" orientation="portrait"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8"/>
  <dimension ref="A1:S39"/>
  <sheetViews>
    <sheetView workbookViewId="0">
      <selection activeCell="N10" sqref="N10"/>
    </sheetView>
  </sheetViews>
  <sheetFormatPr baseColWidth="10" defaultRowHeight="15" x14ac:dyDescent="0.25"/>
  <cols>
    <col min="1" max="1" width="19.28515625" bestFit="1" customWidth="1"/>
    <col min="5" max="5" width="3.85546875" customWidth="1"/>
    <col min="6" max="6" width="23.7109375" bestFit="1" customWidth="1"/>
    <col min="10" max="10" width="3.7109375" customWidth="1"/>
    <col min="11" max="11" width="19.5703125" bestFit="1" customWidth="1"/>
    <col min="15" max="15" width="3.42578125" customWidth="1"/>
    <col min="16" max="16" width="21.42578125" bestFit="1" customWidth="1"/>
  </cols>
  <sheetData>
    <row r="1" spans="1:19" ht="15.75" thickBot="1" x14ac:dyDescent="0.3">
      <c r="J1" s="11"/>
    </row>
    <row r="2" spans="1:19" ht="15.75" thickBot="1" x14ac:dyDescent="0.3">
      <c r="A2" s="293" t="s">
        <v>71</v>
      </c>
      <c r="B2" s="303" t="s">
        <v>67</v>
      </c>
      <c r="C2" s="304"/>
      <c r="D2" s="305"/>
      <c r="F2" s="293" t="s">
        <v>71</v>
      </c>
      <c r="G2" s="303" t="s">
        <v>68</v>
      </c>
      <c r="H2" s="304"/>
      <c r="I2" s="305"/>
      <c r="J2" s="11"/>
      <c r="K2" s="293" t="s">
        <v>71</v>
      </c>
      <c r="L2" s="296" t="s">
        <v>69</v>
      </c>
      <c r="M2" s="297"/>
      <c r="N2" s="298"/>
      <c r="P2" s="293" t="s">
        <v>71</v>
      </c>
      <c r="Q2" s="296" t="s">
        <v>70</v>
      </c>
      <c r="R2" s="297"/>
      <c r="S2" s="298"/>
    </row>
    <row r="3" spans="1:19" ht="34.5" thickBot="1" x14ac:dyDescent="0.3">
      <c r="A3" s="294"/>
      <c r="B3" s="12" t="s">
        <v>72</v>
      </c>
      <c r="C3" s="13" t="s">
        <v>73</v>
      </c>
      <c r="D3" s="14" t="s">
        <v>74</v>
      </c>
      <c r="F3" s="294"/>
      <c r="G3" s="12" t="s">
        <v>72</v>
      </c>
      <c r="H3" s="13" t="s">
        <v>73</v>
      </c>
      <c r="I3" s="14" t="s">
        <v>74</v>
      </c>
      <c r="J3" s="11"/>
      <c r="K3" s="294"/>
      <c r="L3" s="12" t="s">
        <v>72</v>
      </c>
      <c r="M3" s="13" t="s">
        <v>73</v>
      </c>
      <c r="N3" s="14" t="s">
        <v>74</v>
      </c>
      <c r="P3" s="294"/>
      <c r="Q3" s="12" t="s">
        <v>72</v>
      </c>
      <c r="R3" s="13" t="s">
        <v>73</v>
      </c>
      <c r="S3" s="14" t="s">
        <v>74</v>
      </c>
    </row>
    <row r="4" spans="1:19" ht="15.75" thickBot="1" x14ac:dyDescent="0.3">
      <c r="A4" s="295"/>
      <c r="B4" s="15" t="s">
        <v>75</v>
      </c>
      <c r="C4" s="15" t="s">
        <v>75</v>
      </c>
      <c r="D4" s="15" t="s">
        <v>75</v>
      </c>
      <c r="F4" s="295"/>
      <c r="G4" s="15" t="s">
        <v>75</v>
      </c>
      <c r="H4" s="15" t="s">
        <v>75</v>
      </c>
      <c r="I4" s="15" t="s">
        <v>75</v>
      </c>
      <c r="J4" s="11"/>
      <c r="K4" s="295"/>
      <c r="L4" s="15" t="s">
        <v>75</v>
      </c>
      <c r="M4" s="15" t="s">
        <v>75</v>
      </c>
      <c r="N4" s="15" t="s">
        <v>75</v>
      </c>
      <c r="P4" s="295"/>
      <c r="Q4" s="15" t="s">
        <v>75</v>
      </c>
      <c r="R4" s="15" t="s">
        <v>75</v>
      </c>
      <c r="S4" s="15" t="s">
        <v>75</v>
      </c>
    </row>
    <row r="5" spans="1:19" ht="15.75" thickBot="1" x14ac:dyDescent="0.3">
      <c r="A5" s="16" t="s">
        <v>76</v>
      </c>
      <c r="B5" s="123">
        <v>3.6433333333333338E-2</v>
      </c>
      <c r="C5" s="123">
        <v>2.47E-2</v>
      </c>
      <c r="D5" s="123">
        <v>2.1699999999999997E-2</v>
      </c>
      <c r="F5" s="16" t="s">
        <v>77</v>
      </c>
      <c r="G5" s="124">
        <v>2.4300000000000002E-2</v>
      </c>
      <c r="H5" s="124">
        <v>1.295E-2</v>
      </c>
      <c r="I5" s="124">
        <v>1.4100000000000001E-2</v>
      </c>
      <c r="J5" s="11"/>
      <c r="K5" s="16" t="s">
        <v>78</v>
      </c>
      <c r="L5" s="125">
        <v>0.11159999999999999</v>
      </c>
      <c r="M5" s="125">
        <v>0.16426666666666667</v>
      </c>
      <c r="N5" s="125">
        <v>0.18590000000000004</v>
      </c>
      <c r="P5" s="16" t="s">
        <v>79</v>
      </c>
      <c r="Q5" s="126">
        <v>5.8800000000000005E-2</v>
      </c>
      <c r="R5" s="126">
        <v>6.9399999999999989E-2</v>
      </c>
      <c r="S5" s="126">
        <v>0.15305000000000002</v>
      </c>
    </row>
    <row r="6" spans="1:19" ht="15.75" thickBot="1" x14ac:dyDescent="0.3">
      <c r="A6" s="16" t="s">
        <v>80</v>
      </c>
      <c r="B6" s="123">
        <v>2.8999999999999998E-2</v>
      </c>
      <c r="C6" s="123">
        <v>1.55E-2</v>
      </c>
      <c r="D6" s="123">
        <v>1.7499999999999998E-2</v>
      </c>
      <c r="F6" s="16" t="s">
        <v>81</v>
      </c>
      <c r="G6" s="124">
        <v>2.0999999999999998E-2</v>
      </c>
      <c r="H6" s="124">
        <v>1.0450000000000001E-2</v>
      </c>
      <c r="I6" s="124">
        <v>1.2800000000000001E-2</v>
      </c>
      <c r="J6" s="11"/>
      <c r="K6" s="16" t="s">
        <v>82</v>
      </c>
      <c r="L6" s="125">
        <v>7.796666666666667E-2</v>
      </c>
      <c r="M6" s="125">
        <v>9.5566666666666675E-2</v>
      </c>
      <c r="N6" s="125">
        <v>0.16620000000000001</v>
      </c>
      <c r="P6" s="16" t="s">
        <v>83</v>
      </c>
      <c r="Q6" s="126">
        <v>4.0099999999999997E-2</v>
      </c>
      <c r="R6" s="126">
        <v>5.3650000000000003E-2</v>
      </c>
      <c r="S6" s="126">
        <v>0.13750000000000001</v>
      </c>
    </row>
    <row r="7" spans="1:19" ht="15.75" thickBot="1" x14ac:dyDescent="0.3">
      <c r="A7" s="16" t="s">
        <v>84</v>
      </c>
      <c r="B7" s="123">
        <v>2.5999999999999999E-2</v>
      </c>
      <c r="C7" s="123">
        <v>1.2699999999999998E-2</v>
      </c>
      <c r="D7" s="123">
        <v>1.6366666666666668E-2</v>
      </c>
      <c r="F7" s="16" t="s">
        <v>85</v>
      </c>
      <c r="G7" s="124">
        <v>1.8700000000000001E-2</v>
      </c>
      <c r="H7" s="124">
        <v>6.2000000000000006E-3</v>
      </c>
      <c r="I7" s="124">
        <v>1.12E-2</v>
      </c>
      <c r="J7" s="11"/>
      <c r="K7" s="16" t="s">
        <v>86</v>
      </c>
      <c r="L7" s="125">
        <v>6.5266666666666653E-2</v>
      </c>
      <c r="M7" s="125">
        <v>7.9333333333333325E-2</v>
      </c>
      <c r="N7" s="125">
        <v>0.1593</v>
      </c>
      <c r="P7" s="16" t="s">
        <v>87</v>
      </c>
      <c r="Q7" s="126">
        <v>3.635E-2</v>
      </c>
      <c r="R7" s="126">
        <v>4.2849999999999999E-2</v>
      </c>
      <c r="S7" s="126">
        <v>0.1293</v>
      </c>
    </row>
    <row r="8" spans="1:19" ht="15.75" thickBot="1" x14ac:dyDescent="0.3">
      <c r="A8" s="16" t="s">
        <v>88</v>
      </c>
      <c r="B8" s="123">
        <v>2.8733333333333333E-2</v>
      </c>
      <c r="C8" s="123">
        <v>1.5333333333333332E-2</v>
      </c>
      <c r="D8" s="123">
        <v>1.7433333333333332E-2</v>
      </c>
      <c r="F8" s="16" t="s">
        <v>89</v>
      </c>
      <c r="G8" s="124">
        <v>1.685E-2</v>
      </c>
      <c r="H8" s="124">
        <v>3.3E-3</v>
      </c>
      <c r="I8" s="124">
        <v>1.025E-2</v>
      </c>
      <c r="J8" s="11"/>
      <c r="K8" s="16" t="s">
        <v>90</v>
      </c>
      <c r="L8" s="125">
        <v>6.196666666666667E-2</v>
      </c>
      <c r="M8" s="125">
        <v>6.4633333333333334E-2</v>
      </c>
      <c r="N8" s="125">
        <v>0.15383333333333335</v>
      </c>
      <c r="P8" s="16" t="s">
        <v>91</v>
      </c>
      <c r="Q8" s="126">
        <v>3.4500000000000003E-2</v>
      </c>
      <c r="R8" s="126">
        <v>3.2549999999999996E-2</v>
      </c>
      <c r="S8" s="126">
        <v>0.11749999999999999</v>
      </c>
    </row>
    <row r="9" spans="1:19" ht="15.75" thickBot="1" x14ac:dyDescent="0.3">
      <c r="F9" s="16" t="s">
        <v>92</v>
      </c>
      <c r="G9" s="124">
        <v>1.4200000000000001E-2</v>
      </c>
      <c r="H9" s="124">
        <v>1.25E-3</v>
      </c>
      <c r="I9" s="124">
        <v>9.3500000000000007E-3</v>
      </c>
      <c r="J9" s="11"/>
      <c r="K9" s="16" t="s">
        <v>93</v>
      </c>
      <c r="L9" s="125">
        <v>5.2533333333333342E-2</v>
      </c>
      <c r="M9" s="125">
        <v>5.0333333333333334E-2</v>
      </c>
      <c r="N9" s="125">
        <v>0.14546666666666666</v>
      </c>
      <c r="P9" s="16" t="s">
        <v>94</v>
      </c>
      <c r="Q9" s="126">
        <v>3.1550000000000002E-2</v>
      </c>
      <c r="R9" s="126">
        <v>2.2400000000000003E-2</v>
      </c>
      <c r="S9" s="126">
        <v>0.10045000000000001</v>
      </c>
    </row>
    <row r="10" spans="1:19" ht="15.75" thickBot="1" x14ac:dyDescent="0.3">
      <c r="F10" s="16" t="s">
        <v>95</v>
      </c>
      <c r="G10" s="124">
        <v>1.3149999999999998E-2</v>
      </c>
      <c r="H10" s="124">
        <v>1.2000000000000001E-3</v>
      </c>
      <c r="I10" s="124">
        <v>9.1500000000000001E-3</v>
      </c>
      <c r="J10" s="11"/>
      <c r="K10" s="16" t="s">
        <v>88</v>
      </c>
      <c r="L10" s="125">
        <v>6.9999999999999993E-2</v>
      </c>
      <c r="M10" s="125">
        <v>8.3633333333333337E-2</v>
      </c>
      <c r="N10" s="125">
        <v>0.16059999999999999</v>
      </c>
      <c r="P10" s="16" t="s">
        <v>96</v>
      </c>
      <c r="Q10" s="126">
        <v>3.0899999999999997E-2</v>
      </c>
      <c r="R10" s="126">
        <v>1.4749999999999999E-2</v>
      </c>
      <c r="S10" s="126">
        <v>8.9799999999999991E-2</v>
      </c>
    </row>
    <row r="11" spans="1:19" ht="15.75" thickBot="1" x14ac:dyDescent="0.3">
      <c r="F11" s="16" t="s">
        <v>88</v>
      </c>
      <c r="G11" s="124">
        <v>1.8349999999999998E-2</v>
      </c>
      <c r="H11" s="124">
        <v>6.3499999999999997E-3</v>
      </c>
      <c r="I11" s="124">
        <v>1.15E-2</v>
      </c>
      <c r="J11" s="11"/>
      <c r="P11" s="16" t="s">
        <v>97</v>
      </c>
      <c r="Q11" s="126">
        <v>2.6450000000000001E-2</v>
      </c>
      <c r="R11" s="126">
        <v>9.1999999999999998E-3</v>
      </c>
      <c r="S11" s="126">
        <v>7.0250000000000007E-2</v>
      </c>
    </row>
    <row r="12" spans="1:19" ht="15.75" thickBot="1" x14ac:dyDescent="0.3">
      <c r="J12" s="11"/>
      <c r="P12" s="16" t="s">
        <v>88</v>
      </c>
      <c r="Q12" s="126">
        <v>3.5400000000000001E-2</v>
      </c>
      <c r="R12" s="126">
        <v>3.3600000000000005E-2</v>
      </c>
      <c r="S12" s="126">
        <v>0.11219999999999999</v>
      </c>
    </row>
    <row r="13" spans="1:19" x14ac:dyDescent="0.25">
      <c r="J13" s="11"/>
    </row>
    <row r="14" spans="1:19" x14ac:dyDescent="0.25">
      <c r="A14" s="63" t="s">
        <v>233</v>
      </c>
      <c r="B14" s="75" t="s">
        <v>234</v>
      </c>
      <c r="F14" s="63" t="s">
        <v>233</v>
      </c>
      <c r="G14" s="75" t="s">
        <v>235</v>
      </c>
      <c r="J14" s="11"/>
      <c r="K14" s="63" t="s">
        <v>233</v>
      </c>
      <c r="L14" s="75" t="s">
        <v>236</v>
      </c>
      <c r="P14" s="63" t="s">
        <v>233</v>
      </c>
      <c r="Q14" s="75" t="s">
        <v>237</v>
      </c>
      <c r="R14" s="30"/>
    </row>
    <row r="15" spans="1:19" x14ac:dyDescent="0.25">
      <c r="B15" s="17"/>
      <c r="J15" s="11"/>
    </row>
    <row r="16" spans="1:19" x14ac:dyDescent="0.25">
      <c r="J16" s="11"/>
    </row>
    <row r="17" spans="10:10" x14ac:dyDescent="0.25">
      <c r="J17" s="11"/>
    </row>
    <row r="18" spans="10:10" x14ac:dyDescent="0.25">
      <c r="J18" s="11"/>
    </row>
    <row r="19" spans="10:10" x14ac:dyDescent="0.25">
      <c r="J19" s="11"/>
    </row>
    <row r="20" spans="10:10" x14ac:dyDescent="0.25">
      <c r="J20" s="11"/>
    </row>
    <row r="21" spans="10:10" x14ac:dyDescent="0.25">
      <c r="J21" s="11"/>
    </row>
    <row r="22" spans="10:10" x14ac:dyDescent="0.25">
      <c r="J22" s="11"/>
    </row>
    <row r="23" spans="10:10" x14ac:dyDescent="0.25">
      <c r="J23" s="11"/>
    </row>
    <row r="24" spans="10:10" x14ac:dyDescent="0.25">
      <c r="J24" s="11"/>
    </row>
    <row r="25" spans="10:10" x14ac:dyDescent="0.25">
      <c r="J25" s="11"/>
    </row>
    <row r="26" spans="10:10" x14ac:dyDescent="0.25">
      <c r="J26" s="11"/>
    </row>
    <row r="27" spans="10:10" x14ac:dyDescent="0.25">
      <c r="J27" s="11"/>
    </row>
    <row r="28" spans="10:10" x14ac:dyDescent="0.25">
      <c r="J28" s="11"/>
    </row>
    <row r="29" spans="10:10" x14ac:dyDescent="0.25">
      <c r="J29" s="11"/>
    </row>
    <row r="30" spans="10:10" x14ac:dyDescent="0.25">
      <c r="J30" s="11"/>
    </row>
    <row r="31" spans="10:10" x14ac:dyDescent="0.25">
      <c r="J31" s="11"/>
    </row>
    <row r="32" spans="10:10" x14ac:dyDescent="0.25">
      <c r="J32" s="11"/>
    </row>
    <row r="33" spans="10:10" x14ac:dyDescent="0.25">
      <c r="J33" s="11"/>
    </row>
    <row r="34" spans="10:10" x14ac:dyDescent="0.25">
      <c r="J34" s="11"/>
    </row>
    <row r="35" spans="10:10" x14ac:dyDescent="0.25">
      <c r="J35" s="11"/>
    </row>
    <row r="36" spans="10:10" x14ac:dyDescent="0.25">
      <c r="J36" s="11"/>
    </row>
    <row r="37" spans="10:10" x14ac:dyDescent="0.25">
      <c r="J37" s="11"/>
    </row>
    <row r="38" spans="10:10" x14ac:dyDescent="0.25">
      <c r="J38" s="11"/>
    </row>
    <row r="39" spans="10:10" x14ac:dyDescent="0.25">
      <c r="J39" s="11"/>
    </row>
  </sheetData>
  <sheetProtection algorithmName="SHA-512" hashValue="eJeuBR3Ur1crnYLdupMFeTAfUYurJaBBa3jhzkuhxk/Y4M+qif/OVGTIR8pLFpsiHrcG5OuFUJrRQ+zdNBABEQ==" saltValue="BLz+sZfJzI1JuGfiO49E5A==" spinCount="100000" sheet="1" objects="1" scenarios="1"/>
  <mergeCells count="8">
    <mergeCell ref="B2:D2"/>
    <mergeCell ref="G2:I2"/>
    <mergeCell ref="L2:N2"/>
    <mergeCell ref="Q2:S2"/>
    <mergeCell ref="A2:A4"/>
    <mergeCell ref="F2:F4"/>
    <mergeCell ref="K2:K4"/>
    <mergeCell ref="P2:P4"/>
  </mergeCells>
  <hyperlinks>
    <hyperlink ref="B14" r:id="rId1" location="abreadcrumb" display="abreadcrumb" xr:uid="{00000000-0004-0000-0400-000000000000}"/>
    <hyperlink ref="G14" r:id="rId2" location="abreadcrumb" display="https://www-genesis.destatis.de/genesis/online?sequenz=tabelleErgebnis&amp;selectionname=61243-0015&amp;language=de - abreadcrumb" xr:uid="{00000000-0004-0000-0400-000001000000}"/>
    <hyperlink ref="L14" r:id="rId3" location="abreadcrumb" display="https://www-genesis.destatis.de/genesis/online?sequenz=tabelleErgebnis&amp;selectionname=61243-0002&amp;language=de - abreadcrumb" xr:uid="{00000000-0004-0000-0400-000002000000}"/>
    <hyperlink ref="Q14" r:id="rId4" location="abreadcrumb" display="https://www-genesis.destatis.de/genesis/online?sequenz=tabelleErgebnis&amp;selectionname=61243-0006&amp;language=de - abreadcrumb" xr:uid="{00000000-0004-0000-0400-000003000000}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2:AN84"/>
  <sheetViews>
    <sheetView topLeftCell="A4" zoomScale="90" zoomScaleNormal="90" workbookViewId="0">
      <selection activeCell="C39" sqref="C39"/>
    </sheetView>
  </sheetViews>
  <sheetFormatPr baseColWidth="10" defaultColWidth="10.85546875" defaultRowHeight="15" x14ac:dyDescent="0.25"/>
  <cols>
    <col min="1" max="1" width="10.85546875" style="30"/>
    <col min="2" max="2" width="17" style="30" bestFit="1" customWidth="1"/>
    <col min="3" max="6" width="11.7109375" style="30" bestFit="1" customWidth="1"/>
    <col min="7" max="7" width="13.28515625" style="30" bestFit="1" customWidth="1"/>
    <col min="8" max="8" width="14.28515625" style="30" bestFit="1" customWidth="1"/>
    <col min="9" max="9" width="12.7109375" style="30" bestFit="1" customWidth="1"/>
    <col min="10" max="11" width="17.28515625" style="30" bestFit="1" customWidth="1"/>
    <col min="12" max="13" width="16.5703125" style="30" bestFit="1" customWidth="1"/>
    <col min="14" max="14" width="11" style="30" bestFit="1" customWidth="1"/>
    <col min="15" max="15" width="21" style="30" bestFit="1" customWidth="1"/>
    <col min="16" max="16" width="12.7109375" style="30" bestFit="1" customWidth="1"/>
    <col min="17" max="19" width="14.28515625" style="30" bestFit="1" customWidth="1"/>
    <col min="20" max="16384" width="10.85546875" style="30"/>
  </cols>
  <sheetData>
    <row r="2" spans="1:40" x14ac:dyDescent="0.25">
      <c r="A2" s="314"/>
      <c r="B2" s="310" t="s">
        <v>186</v>
      </c>
      <c r="C2" s="311"/>
      <c r="D2" s="311"/>
      <c r="E2" s="312"/>
      <c r="F2" s="311" t="s">
        <v>187</v>
      </c>
      <c r="G2" s="311"/>
      <c r="H2" s="311"/>
      <c r="I2" s="311"/>
      <c r="J2" s="311" t="s">
        <v>188</v>
      </c>
      <c r="K2" s="311"/>
      <c r="L2" s="311"/>
      <c r="M2" s="311"/>
      <c r="N2" s="311"/>
      <c r="O2" s="58" t="s">
        <v>189</v>
      </c>
    </row>
    <row r="3" spans="1:40" x14ac:dyDescent="0.25">
      <c r="A3" s="315"/>
      <c r="B3" s="313" t="s">
        <v>190</v>
      </c>
      <c r="C3" s="306" t="s">
        <v>191</v>
      </c>
      <c r="D3" s="306" t="s">
        <v>192</v>
      </c>
      <c r="E3" s="306" t="s">
        <v>193</v>
      </c>
      <c r="F3" s="306" t="s">
        <v>194</v>
      </c>
      <c r="G3" s="306" t="s">
        <v>195</v>
      </c>
      <c r="H3" s="306" t="s">
        <v>196</v>
      </c>
      <c r="I3" s="306" t="s">
        <v>197</v>
      </c>
      <c r="J3" s="59" t="s">
        <v>198</v>
      </c>
      <c r="K3" s="33" t="s">
        <v>199</v>
      </c>
      <c r="L3" s="33" t="s">
        <v>200</v>
      </c>
      <c r="M3" s="33" t="s">
        <v>201</v>
      </c>
      <c r="N3" s="33" t="s">
        <v>202</v>
      </c>
      <c r="O3" s="307" t="s">
        <v>203</v>
      </c>
    </row>
    <row r="4" spans="1:40" x14ac:dyDescent="0.25">
      <c r="A4" s="316"/>
      <c r="B4" s="313"/>
      <c r="C4" s="306"/>
      <c r="D4" s="306"/>
      <c r="E4" s="306"/>
      <c r="F4" s="306"/>
      <c r="G4" s="306"/>
      <c r="H4" s="306"/>
      <c r="I4" s="306"/>
      <c r="J4" s="33" t="s">
        <v>204</v>
      </c>
      <c r="K4" s="33" t="s">
        <v>205</v>
      </c>
      <c r="L4" s="33" t="s">
        <v>206</v>
      </c>
      <c r="M4" s="33" t="s">
        <v>207</v>
      </c>
      <c r="N4" s="33" t="s">
        <v>208</v>
      </c>
      <c r="O4" s="307"/>
    </row>
    <row r="5" spans="1:40" x14ac:dyDescent="0.25">
      <c r="A5" s="127">
        <v>2022</v>
      </c>
      <c r="B5" s="128">
        <v>42.99</v>
      </c>
      <c r="C5" s="128">
        <v>52.32</v>
      </c>
      <c r="D5" s="128">
        <v>68.430000000000007</v>
      </c>
      <c r="E5" s="128">
        <v>71.06</v>
      </c>
      <c r="F5" s="129">
        <v>14.37</v>
      </c>
      <c r="G5" s="129">
        <v>14.23</v>
      </c>
      <c r="H5" s="129">
        <v>14.08</v>
      </c>
      <c r="I5" s="129">
        <v>11.65</v>
      </c>
      <c r="J5" s="130">
        <v>50.18</v>
      </c>
      <c r="K5" s="130">
        <v>146.16</v>
      </c>
      <c r="L5" s="130">
        <v>282.76</v>
      </c>
      <c r="M5" s="130">
        <v>565.52</v>
      </c>
      <c r="N5" s="130">
        <v>857.84</v>
      </c>
      <c r="O5" s="131">
        <v>193.99</v>
      </c>
    </row>
    <row r="6" spans="1:40" x14ac:dyDescent="0.25">
      <c r="A6" s="127">
        <v>2023</v>
      </c>
      <c r="B6" s="128">
        <v>45.21</v>
      </c>
      <c r="C6" s="128">
        <v>55.03</v>
      </c>
      <c r="D6" s="128">
        <v>71.97</v>
      </c>
      <c r="E6" s="128">
        <v>74.73</v>
      </c>
      <c r="F6" s="129">
        <v>12.85</v>
      </c>
      <c r="G6" s="129">
        <v>12.719999999999999</v>
      </c>
      <c r="H6" s="129">
        <v>12.59</v>
      </c>
      <c r="I6" s="129">
        <v>10.44</v>
      </c>
      <c r="J6" s="130">
        <v>53</v>
      </c>
      <c r="K6" s="130">
        <v>154.37</v>
      </c>
      <c r="L6" s="130">
        <v>298.64999999999998</v>
      </c>
      <c r="M6" s="130">
        <v>597.29999999999995</v>
      </c>
      <c r="N6" s="130">
        <v>906.05</v>
      </c>
      <c r="O6" s="131">
        <v>204.89</v>
      </c>
    </row>
    <row r="7" spans="1:40" x14ac:dyDescent="0.25">
      <c r="A7" s="127">
        <v>2024</v>
      </c>
      <c r="B7" s="128">
        <v>44.88</v>
      </c>
      <c r="C7" s="128">
        <v>54.62</v>
      </c>
      <c r="D7" s="128">
        <v>71.44</v>
      </c>
      <c r="E7" s="128">
        <v>74.180000000000007</v>
      </c>
      <c r="F7" s="129">
        <v>15.02</v>
      </c>
      <c r="G7" s="129">
        <v>14.879999999999999</v>
      </c>
      <c r="H7" s="129">
        <v>14.729999999999999</v>
      </c>
      <c r="I7" s="129">
        <v>12.17</v>
      </c>
      <c r="J7" s="130">
        <v>52</v>
      </c>
      <c r="K7" s="130">
        <v>151.46</v>
      </c>
      <c r="L7" s="130">
        <v>293.02999999999997</v>
      </c>
      <c r="M7" s="130">
        <v>586.05999999999995</v>
      </c>
      <c r="N7" s="130">
        <v>889</v>
      </c>
      <c r="O7" s="131">
        <v>201.03</v>
      </c>
    </row>
    <row r="8" spans="1:40" s="60" customFormat="1" x14ac:dyDescent="0.25">
      <c r="A8" s="127">
        <v>2025</v>
      </c>
      <c r="B8" s="128">
        <v>46.41</v>
      </c>
      <c r="C8" s="128">
        <v>56.49</v>
      </c>
      <c r="D8" s="128">
        <v>73.88</v>
      </c>
      <c r="E8" s="128">
        <v>76.709999999999994</v>
      </c>
      <c r="F8" s="129">
        <v>12.82</v>
      </c>
      <c r="G8" s="129">
        <v>12.700000000000001</v>
      </c>
      <c r="H8" s="129">
        <v>12.58</v>
      </c>
      <c r="I8" s="129">
        <v>10.47</v>
      </c>
      <c r="J8" s="130">
        <v>53.94</v>
      </c>
      <c r="K8" s="130">
        <v>157.12</v>
      </c>
      <c r="L8" s="130">
        <v>303.97000000000003</v>
      </c>
      <c r="M8" s="130">
        <v>607.94000000000005</v>
      </c>
      <c r="N8" s="130">
        <v>922.19</v>
      </c>
      <c r="O8" s="131">
        <v>208.53</v>
      </c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</row>
    <row r="9" spans="1:40" x14ac:dyDescent="0.25">
      <c r="A9" s="127">
        <v>2026</v>
      </c>
      <c r="B9" s="132">
        <v>47.69</v>
      </c>
      <c r="C9" s="132">
        <v>58.05</v>
      </c>
      <c r="D9" s="132">
        <v>75.92</v>
      </c>
      <c r="E9" s="132">
        <v>78.84</v>
      </c>
      <c r="F9" s="133">
        <v>10.11</v>
      </c>
      <c r="G9" s="133">
        <v>10.02</v>
      </c>
      <c r="H9" s="133">
        <v>9.93</v>
      </c>
      <c r="I9" s="133">
        <v>8.370000000000001</v>
      </c>
      <c r="J9" s="130">
        <v>55.6</v>
      </c>
      <c r="K9" s="130">
        <v>161.96</v>
      </c>
      <c r="L9" s="130">
        <v>313.33</v>
      </c>
      <c r="M9" s="130">
        <v>626.66999999999996</v>
      </c>
      <c r="N9" s="130">
        <v>950.6</v>
      </c>
      <c r="O9" s="131">
        <v>214.96</v>
      </c>
    </row>
    <row r="10" spans="1:40" x14ac:dyDescent="0.25">
      <c r="A10" s="127">
        <v>2027</v>
      </c>
      <c r="B10" s="132">
        <v>49.02</v>
      </c>
      <c r="C10" s="132">
        <v>59.66</v>
      </c>
      <c r="D10" s="132">
        <v>78.03</v>
      </c>
      <c r="E10" s="132">
        <v>81.03</v>
      </c>
      <c r="F10" s="133">
        <v>9.9499999999999993</v>
      </c>
      <c r="G10" s="133">
        <v>9.870000000000001</v>
      </c>
      <c r="H10" s="133">
        <v>9.7899999999999991</v>
      </c>
      <c r="I10" s="133">
        <v>8.35</v>
      </c>
      <c r="J10" s="130">
        <v>57.32</v>
      </c>
      <c r="K10" s="130">
        <v>166.96</v>
      </c>
      <c r="L10" s="130">
        <v>323</v>
      </c>
      <c r="M10" s="130">
        <v>646</v>
      </c>
      <c r="N10" s="130">
        <v>979.93</v>
      </c>
      <c r="O10" s="131">
        <v>221.59</v>
      </c>
    </row>
    <row r="11" spans="1:40" x14ac:dyDescent="0.25">
      <c r="A11" s="127">
        <v>2028</v>
      </c>
      <c r="B11" s="132">
        <v>49.76</v>
      </c>
      <c r="C11" s="132">
        <v>60.56</v>
      </c>
      <c r="D11" s="132">
        <v>79.209999999999994</v>
      </c>
      <c r="E11" s="132">
        <v>82.25</v>
      </c>
      <c r="F11" s="133">
        <v>9.2799999999999994</v>
      </c>
      <c r="G11" s="133">
        <v>9.1999999999999993</v>
      </c>
      <c r="H11" s="133">
        <v>9.120000000000001</v>
      </c>
      <c r="I11" s="133">
        <v>7.75</v>
      </c>
      <c r="J11" s="130">
        <v>58.36</v>
      </c>
      <c r="K11" s="130">
        <v>170</v>
      </c>
      <c r="L11" s="130">
        <v>328.88</v>
      </c>
      <c r="M11" s="130">
        <v>657.76</v>
      </c>
      <c r="N11" s="130">
        <v>997.76</v>
      </c>
      <c r="O11" s="131">
        <v>225.63</v>
      </c>
    </row>
    <row r="12" spans="1:40" x14ac:dyDescent="0.25">
      <c r="A12" s="127">
        <v>2029</v>
      </c>
      <c r="B12" s="132">
        <v>50.51</v>
      </c>
      <c r="C12" s="132">
        <v>61.48</v>
      </c>
      <c r="D12" s="132">
        <v>80.41</v>
      </c>
      <c r="E12" s="132">
        <v>83.49</v>
      </c>
      <c r="F12" s="133">
        <v>8.6300000000000008</v>
      </c>
      <c r="G12" s="133">
        <v>8.5500000000000007</v>
      </c>
      <c r="H12" s="133">
        <v>8.48</v>
      </c>
      <c r="I12" s="133">
        <v>7.1899999999999995</v>
      </c>
      <c r="J12" s="130">
        <v>59.43</v>
      </c>
      <c r="K12" s="130">
        <v>173.1</v>
      </c>
      <c r="L12" s="130">
        <v>334.88</v>
      </c>
      <c r="M12" s="130">
        <v>669.77</v>
      </c>
      <c r="N12" s="130">
        <v>1015.98</v>
      </c>
      <c r="O12" s="131">
        <v>229.74</v>
      </c>
    </row>
    <row r="13" spans="1:40" x14ac:dyDescent="0.25">
      <c r="A13" s="127">
        <v>2030</v>
      </c>
      <c r="B13" s="132">
        <v>51.74</v>
      </c>
      <c r="C13" s="132">
        <v>62.98</v>
      </c>
      <c r="D13" s="132">
        <v>82.37</v>
      </c>
      <c r="E13" s="132">
        <v>85.53</v>
      </c>
      <c r="F13" s="133">
        <v>7.5</v>
      </c>
      <c r="G13" s="133">
        <v>7.43</v>
      </c>
      <c r="H13" s="133">
        <v>7.37</v>
      </c>
      <c r="I13" s="133">
        <v>6.27</v>
      </c>
      <c r="J13" s="130">
        <v>60.52</v>
      </c>
      <c r="K13" s="130">
        <v>176.27</v>
      </c>
      <c r="L13" s="130">
        <v>341.01</v>
      </c>
      <c r="M13" s="130">
        <v>682.03</v>
      </c>
      <c r="N13" s="130">
        <v>1034.58</v>
      </c>
      <c r="O13" s="131">
        <v>233.95</v>
      </c>
    </row>
    <row r="14" spans="1:40" x14ac:dyDescent="0.25">
      <c r="A14" s="127">
        <v>2031</v>
      </c>
      <c r="B14" s="132">
        <v>52.49</v>
      </c>
      <c r="C14" s="132">
        <v>63.89</v>
      </c>
      <c r="D14" s="132">
        <v>83.57</v>
      </c>
      <c r="E14" s="132">
        <v>86.77</v>
      </c>
      <c r="F14" s="133">
        <v>7.8</v>
      </c>
      <c r="G14" s="133">
        <v>7.73</v>
      </c>
      <c r="H14" s="133">
        <v>7.67</v>
      </c>
      <c r="I14" s="133">
        <v>6.51</v>
      </c>
      <c r="J14" s="130">
        <v>61.63</v>
      </c>
      <c r="K14" s="130">
        <v>179.5</v>
      </c>
      <c r="L14" s="130">
        <v>347.28</v>
      </c>
      <c r="M14" s="130">
        <v>694.55</v>
      </c>
      <c r="N14" s="130">
        <v>1053.58</v>
      </c>
      <c r="O14" s="131">
        <v>238.25</v>
      </c>
    </row>
    <row r="15" spans="1:40" x14ac:dyDescent="0.25">
      <c r="A15" s="127">
        <v>2032</v>
      </c>
      <c r="B15" s="132">
        <v>53.26</v>
      </c>
      <c r="C15" s="132">
        <v>64.83</v>
      </c>
      <c r="D15" s="132">
        <v>84.79</v>
      </c>
      <c r="E15" s="132">
        <v>88.04</v>
      </c>
      <c r="F15" s="133">
        <v>7.93</v>
      </c>
      <c r="G15" s="133">
        <v>7.86</v>
      </c>
      <c r="H15" s="133">
        <v>7.8</v>
      </c>
      <c r="I15" s="133">
        <v>6.63</v>
      </c>
      <c r="J15" s="130">
        <v>62.76</v>
      </c>
      <c r="K15" s="130">
        <v>182.81</v>
      </c>
      <c r="L15" s="130">
        <v>353.67</v>
      </c>
      <c r="M15" s="130">
        <v>707.35</v>
      </c>
      <c r="N15" s="130">
        <v>1072.98</v>
      </c>
      <c r="O15" s="131">
        <v>242.63</v>
      </c>
    </row>
    <row r="16" spans="1:40" x14ac:dyDescent="0.25">
      <c r="A16" s="127">
        <v>2033</v>
      </c>
      <c r="B16" s="132">
        <v>54.04</v>
      </c>
      <c r="C16" s="132">
        <v>65.78</v>
      </c>
      <c r="D16" s="132">
        <v>86.03</v>
      </c>
      <c r="E16" s="132">
        <v>89.33</v>
      </c>
      <c r="F16" s="133">
        <v>8.07</v>
      </c>
      <c r="G16" s="133">
        <v>8</v>
      </c>
      <c r="H16" s="133">
        <v>7.9300000000000006</v>
      </c>
      <c r="I16" s="133">
        <v>6.76</v>
      </c>
      <c r="J16" s="130">
        <v>63.92</v>
      </c>
      <c r="K16" s="130">
        <v>186.19</v>
      </c>
      <c r="L16" s="130">
        <v>360.21</v>
      </c>
      <c r="M16" s="130">
        <v>720.41</v>
      </c>
      <c r="N16" s="130">
        <v>1092.8</v>
      </c>
      <c r="O16" s="131">
        <v>247.12</v>
      </c>
    </row>
    <row r="17" spans="1:15" x14ac:dyDescent="0.25">
      <c r="A17" s="127">
        <v>2034</v>
      </c>
      <c r="B17" s="132">
        <v>54.84</v>
      </c>
      <c r="C17" s="132">
        <v>66.75</v>
      </c>
      <c r="D17" s="132">
        <v>87.3</v>
      </c>
      <c r="E17" s="132">
        <v>90.65</v>
      </c>
      <c r="F17" s="133">
        <v>8.18</v>
      </c>
      <c r="G17" s="133">
        <v>8.11</v>
      </c>
      <c r="H17" s="133">
        <v>8.0399999999999991</v>
      </c>
      <c r="I17" s="133">
        <v>6.8599999999999994</v>
      </c>
      <c r="J17" s="130">
        <v>65.11</v>
      </c>
      <c r="K17" s="130">
        <v>189.64</v>
      </c>
      <c r="L17" s="130">
        <v>366.88</v>
      </c>
      <c r="M17" s="130">
        <v>733.76</v>
      </c>
      <c r="N17" s="130">
        <v>1113.05</v>
      </c>
      <c r="O17" s="131">
        <v>251.7</v>
      </c>
    </row>
    <row r="18" spans="1:15" x14ac:dyDescent="0.25">
      <c r="A18" s="127">
        <v>2035</v>
      </c>
      <c r="B18" s="132">
        <v>56.74</v>
      </c>
      <c r="C18" s="132">
        <v>69.06</v>
      </c>
      <c r="D18" s="132">
        <v>90.32</v>
      </c>
      <c r="E18" s="132">
        <v>93.79</v>
      </c>
      <c r="F18" s="133">
        <v>7.53</v>
      </c>
      <c r="G18" s="133">
        <v>7.47</v>
      </c>
      <c r="H18" s="133">
        <v>7.41</v>
      </c>
      <c r="I18" s="133">
        <v>6.37</v>
      </c>
      <c r="J18" s="130">
        <v>66.319999999999993</v>
      </c>
      <c r="K18" s="130">
        <v>193.16</v>
      </c>
      <c r="L18" s="130">
        <v>373.7</v>
      </c>
      <c r="M18" s="130">
        <v>747.4</v>
      </c>
      <c r="N18" s="130">
        <v>1133.73</v>
      </c>
      <c r="O18" s="131">
        <v>256.37</v>
      </c>
    </row>
    <row r="19" spans="1:15" x14ac:dyDescent="0.25">
      <c r="A19" s="127">
        <v>2036</v>
      </c>
      <c r="B19" s="132">
        <v>57.6</v>
      </c>
      <c r="C19" s="132">
        <v>70.099999999999994</v>
      </c>
      <c r="D19" s="132">
        <v>91.69</v>
      </c>
      <c r="E19" s="132">
        <v>95.21</v>
      </c>
      <c r="F19" s="133">
        <v>7.620000000000001</v>
      </c>
      <c r="G19" s="133">
        <v>7.5600000000000005</v>
      </c>
      <c r="H19" s="133">
        <v>7.5</v>
      </c>
      <c r="I19" s="133">
        <v>6.4600000000000009</v>
      </c>
      <c r="J19" s="130">
        <v>67.55</v>
      </c>
      <c r="K19" s="130">
        <v>196.76</v>
      </c>
      <c r="L19" s="130">
        <v>380.66</v>
      </c>
      <c r="M19" s="130">
        <v>761.32</v>
      </c>
      <c r="N19" s="130">
        <v>1154.8599999999999</v>
      </c>
      <c r="O19" s="131">
        <v>261.14999999999998</v>
      </c>
    </row>
    <row r="20" spans="1:15" x14ac:dyDescent="0.25">
      <c r="A20" s="127">
        <v>2037</v>
      </c>
      <c r="B20" s="132">
        <v>58.47</v>
      </c>
      <c r="C20" s="132">
        <v>71.17</v>
      </c>
      <c r="D20" s="132">
        <v>93.08</v>
      </c>
      <c r="E20" s="132">
        <v>96.66</v>
      </c>
      <c r="F20" s="133">
        <v>7.7</v>
      </c>
      <c r="G20" s="133">
        <v>7.64</v>
      </c>
      <c r="H20" s="133">
        <v>7.58</v>
      </c>
      <c r="I20" s="133">
        <v>6.53</v>
      </c>
      <c r="J20" s="130">
        <v>68.81</v>
      </c>
      <c r="K20" s="130">
        <v>200.44</v>
      </c>
      <c r="L20" s="130">
        <v>387.78</v>
      </c>
      <c r="M20" s="130">
        <v>775.55</v>
      </c>
      <c r="N20" s="130">
        <v>1176.44</v>
      </c>
      <c r="O20" s="131">
        <v>266.02999999999997</v>
      </c>
    </row>
    <row r="21" spans="1:15" x14ac:dyDescent="0.25">
      <c r="A21" s="127">
        <v>2038</v>
      </c>
      <c r="B21" s="132">
        <v>59.37</v>
      </c>
      <c r="C21" s="132">
        <v>72.260000000000005</v>
      </c>
      <c r="D21" s="132">
        <v>94.51</v>
      </c>
      <c r="E21" s="132">
        <v>98.13</v>
      </c>
      <c r="F21" s="133">
        <v>7.83</v>
      </c>
      <c r="G21" s="133">
        <v>7.77</v>
      </c>
      <c r="H21" s="133">
        <v>7.7099999999999991</v>
      </c>
      <c r="I21" s="133">
        <v>6.65</v>
      </c>
      <c r="J21" s="130">
        <v>70.099999999999994</v>
      </c>
      <c r="K21" s="130">
        <v>204.2</v>
      </c>
      <c r="L21" s="130">
        <v>395.04</v>
      </c>
      <c r="M21" s="130">
        <v>790.09</v>
      </c>
      <c r="N21" s="130">
        <v>1198.49</v>
      </c>
      <c r="O21" s="131">
        <v>271.02</v>
      </c>
    </row>
    <row r="22" spans="1:15" x14ac:dyDescent="0.25">
      <c r="A22" s="127">
        <v>2039</v>
      </c>
      <c r="B22" s="132">
        <v>60.28</v>
      </c>
      <c r="C22" s="132">
        <v>73.37</v>
      </c>
      <c r="D22" s="132">
        <v>95.96</v>
      </c>
      <c r="E22" s="132">
        <v>99.64</v>
      </c>
      <c r="F22" s="133">
        <v>8.01</v>
      </c>
      <c r="G22" s="133">
        <v>7.9499999999999993</v>
      </c>
      <c r="H22" s="133">
        <v>7.8800000000000008</v>
      </c>
      <c r="I22" s="133">
        <v>6.8100000000000005</v>
      </c>
      <c r="J22" s="130">
        <v>71.42</v>
      </c>
      <c r="K22" s="130">
        <v>208.03</v>
      </c>
      <c r="L22" s="130">
        <v>402.47</v>
      </c>
      <c r="M22" s="130">
        <v>804.94</v>
      </c>
      <c r="N22" s="130">
        <v>1221.02</v>
      </c>
      <c r="O22" s="131">
        <v>276.11</v>
      </c>
    </row>
    <row r="23" spans="1:15" x14ac:dyDescent="0.25">
      <c r="A23" s="127">
        <v>2040</v>
      </c>
      <c r="B23" s="132">
        <v>61.29</v>
      </c>
      <c r="C23" s="132">
        <v>74.599999999999994</v>
      </c>
      <c r="D23" s="132">
        <v>97.57</v>
      </c>
      <c r="E23" s="132">
        <v>101.32</v>
      </c>
      <c r="F23" s="133">
        <v>7.6</v>
      </c>
      <c r="G23" s="133">
        <v>7.54</v>
      </c>
      <c r="H23" s="133">
        <v>7.48</v>
      </c>
      <c r="I23" s="133">
        <v>6.5</v>
      </c>
      <c r="J23" s="130">
        <v>72.77</v>
      </c>
      <c r="K23" s="130">
        <v>211.95</v>
      </c>
      <c r="L23" s="130">
        <v>410.06</v>
      </c>
      <c r="M23" s="130">
        <v>820.11</v>
      </c>
      <c r="N23" s="130">
        <v>1244.04</v>
      </c>
      <c r="O23" s="131">
        <v>281.32</v>
      </c>
    </row>
    <row r="24" spans="1:15" x14ac:dyDescent="0.25">
      <c r="A24" s="127">
        <v>2041</v>
      </c>
      <c r="B24" s="132">
        <v>62.2</v>
      </c>
      <c r="C24" s="132">
        <v>75.7</v>
      </c>
      <c r="D24" s="132">
        <v>99.01</v>
      </c>
      <c r="E24" s="132">
        <v>102.81</v>
      </c>
      <c r="F24" s="133">
        <v>7.68</v>
      </c>
      <c r="G24" s="133">
        <v>7.62</v>
      </c>
      <c r="H24" s="133">
        <v>7.5600000000000005</v>
      </c>
      <c r="I24" s="133">
        <v>6.58</v>
      </c>
      <c r="J24" s="130">
        <v>74.14</v>
      </c>
      <c r="K24" s="130">
        <v>215.96</v>
      </c>
      <c r="L24" s="130">
        <v>417.81</v>
      </c>
      <c r="M24" s="130">
        <v>835.62</v>
      </c>
      <c r="N24" s="130">
        <v>1267.56</v>
      </c>
      <c r="O24" s="131">
        <v>286.63</v>
      </c>
    </row>
    <row r="25" spans="1:15" x14ac:dyDescent="0.25">
      <c r="A25" s="127">
        <v>2042</v>
      </c>
      <c r="B25" s="132">
        <v>63.12</v>
      </c>
      <c r="C25" s="132">
        <v>76.819999999999993</v>
      </c>
      <c r="D25" s="132">
        <v>100.47</v>
      </c>
      <c r="E25" s="132">
        <v>104.33</v>
      </c>
      <c r="F25" s="133">
        <v>7.7099999999999991</v>
      </c>
      <c r="G25" s="133">
        <v>7.65</v>
      </c>
      <c r="H25" s="133">
        <v>7.59</v>
      </c>
      <c r="I25" s="133">
        <v>6.62</v>
      </c>
      <c r="J25" s="130">
        <v>75.55</v>
      </c>
      <c r="K25" s="130">
        <v>220.06</v>
      </c>
      <c r="L25" s="130">
        <v>425.73</v>
      </c>
      <c r="M25" s="130">
        <v>851.46</v>
      </c>
      <c r="N25" s="130">
        <v>1291.58</v>
      </c>
      <c r="O25" s="131">
        <v>292.07</v>
      </c>
    </row>
    <row r="26" spans="1:15" x14ac:dyDescent="0.25">
      <c r="A26" s="127">
        <v>2043</v>
      </c>
      <c r="B26" s="132">
        <v>64.05</v>
      </c>
      <c r="C26" s="132">
        <v>77.959999999999994</v>
      </c>
      <c r="D26" s="132">
        <v>101.97</v>
      </c>
      <c r="E26" s="132">
        <v>105.88</v>
      </c>
      <c r="F26" s="133">
        <v>7.77</v>
      </c>
      <c r="G26" s="133">
        <v>7.7200000000000006</v>
      </c>
      <c r="H26" s="133">
        <v>7.66</v>
      </c>
      <c r="I26" s="133">
        <v>6.68</v>
      </c>
      <c r="J26" s="130">
        <v>76.989999999999995</v>
      </c>
      <c r="K26" s="130">
        <v>224.24</v>
      </c>
      <c r="L26" s="130">
        <v>433.82</v>
      </c>
      <c r="M26" s="130">
        <v>867.64</v>
      </c>
      <c r="N26" s="130">
        <v>1316.14</v>
      </c>
      <c r="O26" s="131">
        <v>297.62</v>
      </c>
    </row>
    <row r="27" spans="1:15" x14ac:dyDescent="0.25">
      <c r="A27" s="127">
        <v>2044</v>
      </c>
      <c r="B27" s="132">
        <v>65.010000000000005</v>
      </c>
      <c r="C27" s="132">
        <v>79.13</v>
      </c>
      <c r="D27" s="132">
        <v>103.49</v>
      </c>
      <c r="E27" s="132">
        <v>107.46</v>
      </c>
      <c r="F27" s="133">
        <v>8</v>
      </c>
      <c r="G27" s="133">
        <v>7.9399999999999995</v>
      </c>
      <c r="H27" s="133">
        <v>7.879999999999999</v>
      </c>
      <c r="I27" s="133">
        <v>6.879999999999999</v>
      </c>
      <c r="J27" s="130">
        <v>78.45</v>
      </c>
      <c r="K27" s="130">
        <v>228.51</v>
      </c>
      <c r="L27" s="130">
        <v>442.09</v>
      </c>
      <c r="M27" s="130">
        <v>884.18</v>
      </c>
      <c r="N27" s="130">
        <v>1341.23</v>
      </c>
      <c r="O27" s="131">
        <v>303.29000000000002</v>
      </c>
    </row>
    <row r="28" spans="1:15" x14ac:dyDescent="0.25">
      <c r="A28" s="127">
        <v>2045</v>
      </c>
      <c r="B28" s="132">
        <v>65.819999999999993</v>
      </c>
      <c r="C28" s="132">
        <v>80.11</v>
      </c>
      <c r="D28" s="132">
        <v>104.78</v>
      </c>
      <c r="E28" s="132">
        <v>108.8</v>
      </c>
      <c r="F28" s="133">
        <v>7.6300000000000008</v>
      </c>
      <c r="G28" s="133">
        <v>7.58</v>
      </c>
      <c r="H28" s="133">
        <v>7.5299999999999994</v>
      </c>
      <c r="I28" s="133">
        <v>6.6099999999999994</v>
      </c>
      <c r="J28" s="130">
        <v>79.95</v>
      </c>
      <c r="K28" s="130">
        <v>232.88</v>
      </c>
      <c r="L28" s="130">
        <v>450.54</v>
      </c>
      <c r="M28" s="130">
        <v>901.09</v>
      </c>
      <c r="N28" s="130">
        <v>1366.87</v>
      </c>
      <c r="O28" s="131">
        <v>309.08999999999997</v>
      </c>
    </row>
    <row r="29" spans="1:15" x14ac:dyDescent="0.25">
      <c r="A29" s="127">
        <v>2046</v>
      </c>
      <c r="B29" s="132">
        <v>66.760000000000005</v>
      </c>
      <c r="C29" s="132">
        <v>81.25</v>
      </c>
      <c r="D29" s="132">
        <v>106.27</v>
      </c>
      <c r="E29" s="132">
        <v>110.35</v>
      </c>
      <c r="F29" s="133">
        <v>7.71</v>
      </c>
      <c r="G29" s="133">
        <v>7.65</v>
      </c>
      <c r="H29" s="133">
        <v>7.6000000000000005</v>
      </c>
      <c r="I29" s="133">
        <v>6.69</v>
      </c>
      <c r="J29" s="130">
        <v>81.489999999999995</v>
      </c>
      <c r="K29" s="130">
        <v>237.35</v>
      </c>
      <c r="L29" s="130">
        <v>459.18</v>
      </c>
      <c r="M29" s="130">
        <v>918.36</v>
      </c>
      <c r="N29" s="130">
        <v>1393.07</v>
      </c>
      <c r="O29" s="131">
        <v>315.02</v>
      </c>
    </row>
    <row r="30" spans="1:15" x14ac:dyDescent="0.25">
      <c r="A30" s="127">
        <v>2047</v>
      </c>
      <c r="B30" s="132">
        <v>67.709999999999994</v>
      </c>
      <c r="C30" s="132">
        <v>82.42</v>
      </c>
      <c r="D30" s="132">
        <v>107.79</v>
      </c>
      <c r="E30" s="132">
        <v>111.93</v>
      </c>
      <c r="F30" s="133">
        <v>7.8100000000000005</v>
      </c>
      <c r="G30" s="133">
        <v>7.76</v>
      </c>
      <c r="H30" s="133">
        <v>7.71</v>
      </c>
      <c r="I30" s="133">
        <v>6.79</v>
      </c>
      <c r="J30" s="130">
        <v>83.05</v>
      </c>
      <c r="K30" s="130">
        <v>241.91</v>
      </c>
      <c r="L30" s="130">
        <v>468.01</v>
      </c>
      <c r="M30" s="130">
        <v>936.01</v>
      </c>
      <c r="N30" s="130">
        <v>1419.84</v>
      </c>
      <c r="O30" s="131">
        <v>321.07</v>
      </c>
    </row>
    <row r="31" spans="1:15" x14ac:dyDescent="0.25">
      <c r="A31" s="127">
        <v>2048</v>
      </c>
      <c r="B31" s="132">
        <v>68.680000000000007</v>
      </c>
      <c r="C31" s="132">
        <v>83.6</v>
      </c>
      <c r="D31" s="132">
        <v>109.34</v>
      </c>
      <c r="E31" s="132">
        <v>113.54</v>
      </c>
      <c r="F31" s="133">
        <v>7.88</v>
      </c>
      <c r="G31" s="133">
        <v>7.82</v>
      </c>
      <c r="H31" s="133">
        <v>7.77</v>
      </c>
      <c r="I31" s="133">
        <v>6.8599999999999994</v>
      </c>
      <c r="J31" s="130">
        <v>84.65</v>
      </c>
      <c r="K31" s="130">
        <v>246.57</v>
      </c>
      <c r="L31" s="130">
        <v>477.03</v>
      </c>
      <c r="M31" s="130">
        <v>954.05</v>
      </c>
      <c r="N31" s="130">
        <v>1447.21</v>
      </c>
      <c r="O31" s="131">
        <v>327.26</v>
      </c>
    </row>
    <row r="32" spans="1:15" x14ac:dyDescent="0.25">
      <c r="A32" s="127">
        <v>2049</v>
      </c>
      <c r="B32" s="132">
        <v>69.67</v>
      </c>
      <c r="C32" s="132">
        <v>84.81</v>
      </c>
      <c r="D32" s="132">
        <v>110.92</v>
      </c>
      <c r="E32" s="132">
        <v>115.17</v>
      </c>
      <c r="F32" s="133">
        <v>7.9499999999999993</v>
      </c>
      <c r="G32" s="133">
        <v>7.9</v>
      </c>
      <c r="H32" s="133">
        <v>7.85</v>
      </c>
      <c r="I32" s="133">
        <v>6.9399999999999995</v>
      </c>
      <c r="J32" s="130">
        <v>86.29</v>
      </c>
      <c r="K32" s="130">
        <v>251.34</v>
      </c>
      <c r="L32" s="130">
        <v>486.24</v>
      </c>
      <c r="M32" s="130">
        <v>972.49</v>
      </c>
      <c r="N32" s="130">
        <v>1475.18</v>
      </c>
      <c r="O32" s="131">
        <v>333.58</v>
      </c>
    </row>
    <row r="33" spans="1:15" x14ac:dyDescent="0.25">
      <c r="A33" s="127">
        <v>2050</v>
      </c>
      <c r="B33" s="132">
        <v>70.680000000000007</v>
      </c>
      <c r="C33" s="132">
        <v>86.03</v>
      </c>
      <c r="D33" s="132">
        <v>112.52</v>
      </c>
      <c r="E33" s="132">
        <v>116.84</v>
      </c>
      <c r="F33" s="133">
        <v>8.18</v>
      </c>
      <c r="G33" s="133">
        <v>8.1199999999999992</v>
      </c>
      <c r="H33" s="133">
        <v>8.07</v>
      </c>
      <c r="I33" s="133">
        <v>7.14</v>
      </c>
      <c r="J33" s="130">
        <v>87.96</v>
      </c>
      <c r="K33" s="130">
        <v>256.20999999999998</v>
      </c>
      <c r="L33" s="130">
        <v>495.67</v>
      </c>
      <c r="M33" s="130">
        <v>991.33</v>
      </c>
      <c r="N33" s="130">
        <v>1503.76</v>
      </c>
      <c r="O33" s="131">
        <v>340.05</v>
      </c>
    </row>
    <row r="34" spans="1:15" x14ac:dyDescent="0.25">
      <c r="J34" s="61"/>
    </row>
    <row r="35" spans="1:15" x14ac:dyDescent="0.25">
      <c r="J35" s="61"/>
    </row>
    <row r="36" spans="1:15" x14ac:dyDescent="0.25">
      <c r="A36" s="37" t="s">
        <v>209</v>
      </c>
      <c r="C36" s="308" t="s">
        <v>210</v>
      </c>
      <c r="D36" s="308"/>
      <c r="E36" s="308"/>
      <c r="F36" s="308"/>
      <c r="G36" s="308"/>
      <c r="H36" s="308"/>
      <c r="I36" s="308"/>
      <c r="J36" s="308"/>
      <c r="K36" s="308"/>
    </row>
    <row r="37" spans="1:15" x14ac:dyDescent="0.25">
      <c r="A37" s="62">
        <v>1200</v>
      </c>
      <c r="B37" s="63" t="s">
        <v>211</v>
      </c>
      <c r="C37" s="66">
        <v>15</v>
      </c>
      <c r="D37" s="66">
        <v>30</v>
      </c>
      <c r="E37" s="66">
        <v>70</v>
      </c>
      <c r="F37" s="66">
        <v>125</v>
      </c>
      <c r="G37" s="66">
        <v>200</v>
      </c>
      <c r="H37" s="66">
        <v>350</v>
      </c>
      <c r="I37" s="66">
        <v>850</v>
      </c>
      <c r="J37" s="66">
        <v>1900</v>
      </c>
      <c r="K37" s="66">
        <v>4000</v>
      </c>
    </row>
    <row r="38" spans="1:15" x14ac:dyDescent="0.25">
      <c r="A38" s="64"/>
      <c r="B38" s="63" t="s">
        <v>213</v>
      </c>
      <c r="C38" s="134">
        <f>(C37*$A$37)/1000</f>
        <v>18</v>
      </c>
      <c r="D38" s="134">
        <f t="shared" ref="D38:K38" si="0">(D37*$A$37)/1000</f>
        <v>36</v>
      </c>
      <c r="E38" s="134">
        <f t="shared" si="0"/>
        <v>84</v>
      </c>
      <c r="F38" s="134">
        <f t="shared" si="0"/>
        <v>150</v>
      </c>
      <c r="G38" s="134">
        <f t="shared" si="0"/>
        <v>240</v>
      </c>
      <c r="H38" s="134">
        <f t="shared" si="0"/>
        <v>420</v>
      </c>
      <c r="I38" s="134">
        <f t="shared" si="0"/>
        <v>1020</v>
      </c>
      <c r="J38" s="134">
        <f t="shared" si="0"/>
        <v>2280</v>
      </c>
      <c r="K38" s="134">
        <f t="shared" si="0"/>
        <v>4800</v>
      </c>
    </row>
    <row r="39" spans="1:15" ht="14.45" customHeight="1" x14ac:dyDescent="0.25">
      <c r="A39" s="309" t="s">
        <v>212</v>
      </c>
      <c r="B39" s="37">
        <v>2022</v>
      </c>
      <c r="C39" s="101">
        <f>(
IF($C$37&lt;=15,B5,IF(AND($C$37&gt;15,$C$37&lt;=150),C5,IF(AND($C$37&gt;150,$C$37&lt;=1200),D5,E5)))*$C$37+
(IF($C$38&lt;=300,F5,IF(AND($C$38&gt;300,$C$38&lt;=1500),G5,IF(AND($C$38&gt;1500,$C$38&lt;=3000),H5,I5)))/100)*$C$38*1000+
IF($C$37&lt;=80,J5,IF(AND($C$37&gt;80,$C$37&lt;=160),K5,IF(AND($C$37&gt;160,$C$37&lt;=750),L5,IF(AND($C$37&gt;750,$C$37&lt;=4900),M5,N5))))+
IF($C$37&gt;500,O5,0)
)
/($C$38*1000)</f>
        <v>0.18231277777777777</v>
      </c>
      <c r="D39" s="101">
        <f>(
IF($D$37&lt;=15,B5,IF(AND($D$37&gt;15,$D$37&lt;=150),C5,IF(AND($D$37&gt;150,$D$37&lt;=1200),D5,E5)))*$D$37+
(IF($D$38&lt;=300,F5,IF(AND($D$38&gt;300,$D$38&lt;=1500),G5,IF(AND($D$38&gt;1500,$D$38&lt;=3000),H5,I5)))/100)*$D$38*1000+
IF($D$37&lt;=80,J5,IF(AND($D$37&gt;80,$D$37&lt;=160),K5,IF(AND($D$37&gt;160,$D$37&lt;=750),L5,IF(AND($D$37&gt;750,$D$37&lt;=4900),M5,N5))))+
IF($D$37&gt;500,O5,0)
)
/($D$38*1000)</f>
        <v>0.18869388888888888</v>
      </c>
      <c r="E39" s="101">
        <f>(
IF($E$37&lt;=15,B5,IF(AND($E$37&gt;15,$E$37&lt;=150),C5,IF(AND($E$37&gt;150,$E$37&lt;=1200),D5,E5)))*$E$37+
(IF($E$38&lt;=300,F5,IF(AND($E$38&gt;300,$E$38&lt;=1500),G5,IF(AND($E$38&gt;1500,$E$38&lt;=3000),H5,I5)))/100)*$E$38*1000+
IF($E$37&lt;=80,J5,IF(AND($E$37&gt;80,$E$37&lt;=160),K5,IF(AND($E$37&gt;160,$E$37&lt;=750),L5,IF(AND($E$37&gt;750,$E$37&lt;=4900),M5,N5))))+
IF($E$37&gt;500,O5,0)
)
/($E$38*1000)</f>
        <v>0.18789738095238095</v>
      </c>
      <c r="F39" s="101">
        <f>(
IF($F$37&lt;=15,B5,IF(AND($F$37&gt;15,$F$37&lt;=150),C5,IF(AND($F$37&gt;150,$F$37&lt;=1200),D5,E5)))*$F$37+
(IF($F$38&lt;=300,F5,IF(AND($F$38&gt;300,$F$38&lt;=1500),G5,IF(AND($F$38&gt;1500,$F$38&lt;=3000),H5,I5)))/100)*$F$38*1000+
IF($F$37&lt;=80,J5,IF(AND($F$37&gt;80,$F$37&lt;=160),K5,IF(AND($F$37&gt;160,$F$37&lt;=750),L5,IF(AND($F$37&gt;750,$F$37&lt;=4900),M5,N5))))+
IF($F$37&gt;500,O5,0)
)
/($F$38*1000)</f>
        <v>0.18827440000000001</v>
      </c>
      <c r="G39" s="101">
        <f>(
IF($G$37&lt;=15,B5,IF(AND($G$37&gt;15,$G$37&lt;=150),C5,IF(AND($G$37&gt;150,$G$37&lt;=1200),D5,E5)))*$G$37+
(IF($G$38&lt;=300,F5,IF(AND($G$38&gt;300,$G$38&lt;=1500),G5,IF(AND($G$38&gt;1500,$G$38&lt;=3000),H5,I5)))/100)*$G$38*1000+
IF($G$37&lt;=80,J5,IF(AND($G$37&gt;80,$G$37&lt;=160),K5,IF(AND($G$37&gt;160,$G$37&lt;=750),L5,IF(AND($G$37&gt;750,$G$37&lt;=4900),M5,N5))))+
IF($G$37&gt;500,O5,0)
)
/($G$38*1000)</f>
        <v>0.20190316666666666</v>
      </c>
      <c r="H39" s="101">
        <f>(
IF($H$37&lt;=15,B5,IF(AND($H$37&gt;15,$H$37&lt;=150),C5,IF(AND($H$37&gt;150,$H$37&lt;=1200),D5,E5)))*$H$37+
(IF($H$38&lt;=300,F5,IF(AND($H$38&gt;300,$H$38&lt;=1500),G5,IF(AND($H$38&gt;1500,$H$38&lt;=3000),H5,I5)))/100)*$H$38*1000+
IF($H$37&lt;=80,J5,IF(AND($H$37&gt;80,$H$37&lt;=160),K5,IF(AND($H$37&gt;160,$H$37&lt;=750),L5,IF(AND($H$37&gt;750,$H$37&lt;=4900),M5,N5))))+
IF($H$37&gt;500,O5,0)
)
/($H$38*1000)</f>
        <v>0.19999823809523812</v>
      </c>
      <c r="I39" s="101">
        <f>(
IF($I$37&lt;=15,$B$5,IF(AND($I$37&gt;15,$I$37&lt;=150),C5,IF(AND($I$37&gt;150,$I$37&lt;=1200),D5,E5)))*$I$37+
(IF($I$38&lt;=300,F5,IF(AND($I$38&gt;300,$I$38&lt;=1500),G5,IF(AND($I$38&gt;1500,$I$38&lt;=3000),H5,I5)))/100)*$I$38*1000+
IF($I$37&lt;=80,J5,IF(AND($I$37&gt;80,$I$37&lt;=160),K5,IF(AND($I$37&gt;160,$I$37&lt;=750),L5,IF(AND($I$37&gt;750,$I$37&lt;=4900),M5,N5))))+
IF($I$37&gt;500,O5,0)
)
/($I$38*1000)</f>
        <v>0.20006961764705883</v>
      </c>
      <c r="J39" s="101">
        <f>(
IF($J$37&lt;=15,B5,IF(AND($J$37&gt;15,$J$37&lt;=150),C5,IF(AND($J$37&gt;150,$J$37&lt;=1200),D5,E5)))*$J$37+
(IF($J$38&lt;=300,F5,IF(AND($J$38&gt;300,$J$38&lt;=1500),G5,IF(AND($J$38&gt;1500,$J$38&lt;=3000),H5,I5)))/100)*$J$38*1000+
IF($J$37&lt;=80,J5,IF(AND($J$37&gt;80,$J$37&lt;=160),K5,IF(AND($J$37&gt;160,$J$37&lt;=750),L5,IF(AND($J$37&gt;750,$J$37&lt;=4900),M5,N5))))+
IF($J$37&gt;500,O5,0)
)
/($J$38*1000)</f>
        <v>0.20034978508771931</v>
      </c>
      <c r="K39" s="101">
        <f>(
IF($K$37&lt;=15,B5,IF(AND($K$37&gt;15,$K$37&lt;=150),C5,IF(AND($K$37&gt;150,$K$37&lt;=1200),D5,E5)))*$K$37+
(IF($K$38&lt;=300,F5,IF(AND($K$38&gt;300,$K$38&lt;=1500),G5,IF(AND($K$38&gt;1500,$K$38&lt;=3000),H5,I5)))/100)*$K$38*1000+
IF($K$37&lt;=80,J5,IF(AND($K$37&gt;80,$K$37&lt;=160),K5,IF(AND($K$37&gt;160,$K$37&lt;=750),L5,IF(AND($K$37&gt;750,$K$37&lt;=4900),M5,N5))))+
IF($K$37&gt;500,O5,0)
)
/($K$38*1000)</f>
        <v>0.17587489791666666</v>
      </c>
    </row>
    <row r="40" spans="1:15" x14ac:dyDescent="0.25">
      <c r="A40" s="309"/>
      <c r="B40" s="37">
        <v>2023</v>
      </c>
      <c r="C40" s="101">
        <f t="shared" ref="C40:C67" si="1">(
IF($C$37&lt;=15,B6,IF(AND($C$37&gt;15,$C$37&lt;=150),C6,IF(AND($C$37&gt;150,$C$37&lt;=1200),D6,E6)))*$C$37+
(IF($C$38&lt;=300,F6,IF(AND($C$38&gt;300,$C$38&lt;=1500),G6,IF(AND($C$38&gt;1500,$C$38&lt;=3000),H6,I6)))/100)*$C$38*1000+
IF($C$37&lt;=80,J6,IF(AND($C$37&gt;80,$C$37&lt;=160),K6,IF(AND($C$37&gt;160,$C$37&lt;=750),L6,IF(AND($C$37&gt;750,$C$37&lt;=4900),M6,N6))))+
IF($C$37&gt;500,O6,0)
)
/($C$38*1000)</f>
        <v>0.16911944444444446</v>
      </c>
      <c r="D40" s="101">
        <f t="shared" ref="D40:D67" si="2">(
IF($D$37&lt;=15,B6,IF(AND($D$37&gt;15,$D$37&lt;=150),C6,IF(AND($D$37&gt;150,$D$37&lt;=1200),D6,E6)))*$D$37+
(IF($D$38&lt;=300,F6,IF(AND($D$38&gt;300,$D$38&lt;=1500),G6,IF(AND($D$38&gt;1500,$D$38&lt;=3000),H6,I6)))/100)*$D$38*1000+
IF($D$37&lt;=80,J6,IF(AND($D$37&gt;80,$D$37&lt;=160),K6,IF(AND($D$37&gt;160,$D$37&lt;=750),L6,IF(AND($D$37&gt;750,$D$37&lt;=4900),M6,N6))))+
IF($D$37&gt;500,O6,0)
)
/($D$38*1000)</f>
        <v>0.17583055555555555</v>
      </c>
      <c r="E40" s="101">
        <f t="shared" ref="E40:E67" si="3">(
IF($E$37&lt;=15,B6,IF(AND($E$37&gt;15,$E$37&lt;=150),C6,IF(AND($E$37&gt;150,$E$37&lt;=1200),D6,E6)))*$E$37+
(IF($E$38&lt;=300,F6,IF(AND($E$38&gt;300,$E$38&lt;=1500),G6,IF(AND($E$38&gt;1500,$E$38&lt;=3000),H6,I6)))/100)*$E$38*1000+
IF($E$37&lt;=80,J6,IF(AND($E$37&gt;80,$E$37&lt;=160),K6,IF(AND($E$37&gt;160,$E$37&lt;=750),L6,IF(AND($E$37&gt;750,$E$37&lt;=4900),M6,N6))))+
IF($E$37&gt;500,O6,0)
)
/($E$38*1000)</f>
        <v>0.17498928571428571</v>
      </c>
      <c r="F40" s="101">
        <f t="shared" ref="F40:F67" si="4">(
IF($F$37&lt;=15,B6,IF(AND($F$37&gt;15,$F$37&lt;=150),C6,IF(AND($F$37&gt;150,$F$37&lt;=1200),D6,E6)))*$F$37+
(IF($F$38&lt;=300,F6,IF(AND($F$38&gt;300,$F$38&lt;=1500),G6,IF(AND($F$38&gt;1500,$F$38&lt;=3000),H6,I6)))/100)*$F$38*1000+
IF($F$37&lt;=80,J6,IF(AND($F$37&gt;80,$F$37&lt;=160),K6,IF(AND($F$37&gt;160,$F$37&lt;=750),L6,IF(AND($F$37&gt;750,$F$37&lt;=4900),M6,N6))))+
IF($F$37&gt;500,O6,0)
)
/($F$38*1000)</f>
        <v>0.17538746666666669</v>
      </c>
      <c r="G40" s="101">
        <f t="shared" ref="G40:G67" si="5">(
IF($G$37&lt;=15,B6,IF(AND($G$37&gt;15,$G$37&lt;=150),C6,IF(AND($G$37&gt;150,$G$37&lt;=1200),D6,E6)))*$G$37+
(IF($G$38&lt;=300,F6,IF(AND($G$38&gt;300,$G$38&lt;=1500),G6,IF(AND($G$38&gt;1500,$G$38&lt;=3000),H6,I6)))/100)*$G$38*1000+
IF($G$37&lt;=80,J6,IF(AND($G$37&gt;80,$G$37&lt;=160),K6,IF(AND($G$37&gt;160,$G$37&lt;=750),L6,IF(AND($G$37&gt;750,$G$37&lt;=4900),M6,N6))))+
IF($G$37&gt;500,O6,0)
)
/($G$38*1000)</f>
        <v>0.189719375</v>
      </c>
      <c r="H40" s="101">
        <f t="shared" ref="H40:H67" si="6">(
IF($H$37&lt;=15,B6,IF(AND($H$37&gt;15,$H$37&lt;=150),C6,IF(AND($H$37&gt;150,$H$37&lt;=1200),D6,E6)))*$H$37+
(IF($H$38&lt;=300,F6,IF(AND($H$38&gt;300,$H$38&lt;=1500),G6,IF(AND($H$38&gt;1500,$H$38&lt;=3000),H6,I6)))/100)*$H$38*1000+
IF($H$37&lt;=80,J6,IF(AND($H$37&gt;80,$H$37&lt;=160),K6,IF(AND($H$37&gt;160,$H$37&lt;=750),L6,IF(AND($H$37&gt;750,$H$37&lt;=4900),M6,N6))))+
IF($H$37&gt;500,O6,0)
)
/($H$38*1000)</f>
        <v>0.18788607142857142</v>
      </c>
      <c r="I40" s="101">
        <f t="shared" ref="I40:I67" si="7">(
IF($I$37&lt;=15,$B$5,IF(AND($I$37&gt;15,$I$37&lt;=150),C6,IF(AND($I$37&gt;150,$I$37&lt;=1200),D6,E6)))*$I$37+
(IF($I$38&lt;=300,F6,IF(AND($I$38&gt;300,$I$38&lt;=1500),G6,IF(AND($I$38&gt;1500,$I$38&lt;=3000),H6,I6)))/100)*$I$38*1000+
IF($I$37&lt;=80,J6,IF(AND($I$37&gt;80,$I$37&lt;=160),K6,IF(AND($I$37&gt;160,$I$37&lt;=750),L6,IF(AND($I$37&gt;750,$I$37&lt;=4900),M6,N6))))+
IF($I$37&gt;500,O6,0)
)
/($I$38*1000)</f>
        <v>0.18796146078431369</v>
      </c>
      <c r="J40" s="101">
        <f t="shared" ref="J40:J67" si="8">(
IF($J$37&lt;=15,B6,IF(AND($J$37&gt;15,$J$37&lt;=150),C6,IF(AND($J$37&gt;150,$J$37&lt;=1200),D6,E6)))*$J$37+
(IF($J$38&lt;=300,F6,IF(AND($J$38&gt;300,$J$38&lt;=1500),G6,IF(AND($J$38&gt;1500,$J$38&lt;=3000),H6,I6)))/100)*$J$38*1000+
IF($J$37&lt;=80,J6,IF(AND($J$37&gt;80,$J$37&lt;=160),K6,IF(AND($J$37&gt;160,$J$37&lt;=750),L6,IF(AND($J$37&gt;750,$J$37&lt;=4900),M6,N6))))+
IF($J$37&gt;500,O6,0)
)
/($J$38*1000)</f>
        <v>0.18852683771929823</v>
      </c>
      <c r="K40" s="101">
        <f t="shared" ref="K40:K67" si="9">(
IF($K$37&lt;=15,B6,IF(AND($K$37&gt;15,$K$37&lt;=150),C6,IF(AND($K$37&gt;150,$K$37&lt;=1200),D6,E6)))*$K$37+
(IF($K$38&lt;=300,F6,IF(AND($K$38&gt;300,$K$38&lt;=1500),G6,IF(AND($K$38&gt;1500,$K$38&lt;=3000),H6,I6)))/100)*$K$38*1000+
IF($K$37&lt;=80,J6,IF(AND($K$37&gt;80,$K$37&lt;=160),K6,IF(AND($K$37&gt;160,$K$37&lt;=750),L6,IF(AND($K$37&gt;750,$K$37&lt;=4900),M6,N6))))+
IF($K$37&gt;500,O6,0)
)
/($K$38*1000)</f>
        <v>0.16684212291666667</v>
      </c>
    </row>
    <row r="41" spans="1:15" x14ac:dyDescent="0.25">
      <c r="A41" s="309"/>
      <c r="B41" s="37">
        <v>2024</v>
      </c>
      <c r="C41" s="101">
        <f t="shared" si="1"/>
        <v>0.1904888888888889</v>
      </c>
      <c r="D41" s="101">
        <f t="shared" si="2"/>
        <v>0.19716111111111109</v>
      </c>
      <c r="E41" s="101">
        <f t="shared" si="3"/>
        <v>0.19633571428571425</v>
      </c>
      <c r="F41" s="101">
        <f t="shared" si="4"/>
        <v>0.1967264</v>
      </c>
      <c r="G41" s="101">
        <f t="shared" si="5"/>
        <v>0.21095429166666665</v>
      </c>
      <c r="H41" s="101">
        <f t="shared" si="6"/>
        <v>0.20903102380952382</v>
      </c>
      <c r="I41" s="101">
        <f t="shared" si="7"/>
        <v>0.20910499019607839</v>
      </c>
      <c r="J41" s="101">
        <f t="shared" si="8"/>
        <v>0.20946188157894738</v>
      </c>
      <c r="K41" s="101">
        <f t="shared" si="9"/>
        <v>0.18368064375000001</v>
      </c>
    </row>
    <row r="42" spans="1:15" x14ac:dyDescent="0.25">
      <c r="A42" s="309"/>
      <c r="B42" s="37">
        <v>2025</v>
      </c>
      <c r="C42" s="101">
        <f t="shared" si="1"/>
        <v>0.1698716666666667</v>
      </c>
      <c r="D42" s="101">
        <f t="shared" si="2"/>
        <v>0.17677333333333334</v>
      </c>
      <c r="E42" s="101">
        <f t="shared" si="3"/>
        <v>0.17591714285714288</v>
      </c>
      <c r="F42" s="101">
        <f t="shared" si="4"/>
        <v>0.17632246666666665</v>
      </c>
      <c r="G42" s="101">
        <f t="shared" si="5"/>
        <v>0.19103320833333334</v>
      </c>
      <c r="H42" s="101">
        <f t="shared" si="6"/>
        <v>0.18929040476190476</v>
      </c>
      <c r="I42" s="101">
        <f t="shared" si="7"/>
        <v>0.18936712745098036</v>
      </c>
      <c r="J42" s="101">
        <f t="shared" si="8"/>
        <v>0.19008310087719299</v>
      </c>
      <c r="K42" s="101">
        <f t="shared" si="9"/>
        <v>0.16879509791666666</v>
      </c>
    </row>
    <row r="43" spans="1:15" x14ac:dyDescent="0.25">
      <c r="A43" s="309"/>
      <c r="B43" s="37">
        <v>2026</v>
      </c>
      <c r="C43" s="101">
        <f t="shared" si="1"/>
        <v>0.14393055555555553</v>
      </c>
      <c r="D43" s="101">
        <f t="shared" si="2"/>
        <v>0.15101944444444446</v>
      </c>
      <c r="E43" s="101">
        <f t="shared" si="3"/>
        <v>0.15013690476190475</v>
      </c>
      <c r="F43" s="101">
        <f t="shared" si="4"/>
        <v>0.15055473333333333</v>
      </c>
      <c r="G43" s="101">
        <f t="shared" si="5"/>
        <v>0.16567220833333335</v>
      </c>
      <c r="H43" s="101">
        <f t="shared" si="6"/>
        <v>0.16421269047619047</v>
      </c>
      <c r="I43" s="101">
        <f t="shared" si="7"/>
        <v>0.16429179411764705</v>
      </c>
      <c r="J43" s="101">
        <f t="shared" si="8"/>
        <v>0.16536913596491229</v>
      </c>
      <c r="K43" s="101">
        <f t="shared" si="9"/>
        <v>0.14957533958333333</v>
      </c>
    </row>
    <row r="44" spans="1:15" x14ac:dyDescent="0.25">
      <c r="A44" s="309"/>
      <c r="B44" s="37">
        <v>2027</v>
      </c>
      <c r="C44" s="101">
        <f t="shared" si="1"/>
        <v>0.14353444444444446</v>
      </c>
      <c r="D44" s="101">
        <f t="shared" si="2"/>
        <v>0.15080888888888888</v>
      </c>
      <c r="E44" s="101">
        <f t="shared" si="3"/>
        <v>0.14989904761904757</v>
      </c>
      <c r="F44" s="101">
        <f t="shared" si="4"/>
        <v>0.15032973333333333</v>
      </c>
      <c r="G44" s="101">
        <f t="shared" si="5"/>
        <v>0.16587083333333333</v>
      </c>
      <c r="H44" s="101">
        <f t="shared" si="6"/>
        <v>0.16449404761904762</v>
      </c>
      <c r="I44" s="101">
        <f t="shared" si="7"/>
        <v>0.16457557843137255</v>
      </c>
      <c r="J44" s="101">
        <f t="shared" si="8"/>
        <v>0.16580552192982456</v>
      </c>
      <c r="K44" s="101">
        <f t="shared" si="9"/>
        <v>0.15120574791666666</v>
      </c>
    </row>
    <row r="45" spans="1:15" x14ac:dyDescent="0.25">
      <c r="A45" s="309"/>
      <c r="B45" s="37">
        <v>2028</v>
      </c>
      <c r="C45" s="101">
        <f t="shared" si="1"/>
        <v>0.13750888888888887</v>
      </c>
      <c r="D45" s="101">
        <f t="shared" si="2"/>
        <v>0.14488777777777778</v>
      </c>
      <c r="E45" s="101">
        <f t="shared" si="3"/>
        <v>0.14396142857142857</v>
      </c>
      <c r="F45" s="101">
        <f t="shared" si="4"/>
        <v>0.1444</v>
      </c>
      <c r="G45" s="101">
        <f t="shared" si="5"/>
        <v>0.16017866666666666</v>
      </c>
      <c r="H45" s="101">
        <f t="shared" si="6"/>
        <v>0.15879138095238096</v>
      </c>
      <c r="I45" s="101">
        <f t="shared" si="7"/>
        <v>0.15887440196078434</v>
      </c>
      <c r="J45" s="101">
        <f t="shared" si="8"/>
        <v>0.16012911842105262</v>
      </c>
      <c r="K45" s="101">
        <f t="shared" si="9"/>
        <v>0.14622570625</v>
      </c>
    </row>
    <row r="46" spans="1:15" x14ac:dyDescent="0.25">
      <c r="A46" s="309"/>
      <c r="B46" s="37">
        <v>2029</v>
      </c>
      <c r="C46" s="101">
        <f t="shared" si="1"/>
        <v>0.13169333333333333</v>
      </c>
      <c r="D46" s="101">
        <f t="shared" si="2"/>
        <v>0.13918416666666666</v>
      </c>
      <c r="E46" s="101">
        <f t="shared" si="3"/>
        <v>0.13824083333333334</v>
      </c>
      <c r="F46" s="101">
        <f t="shared" si="4"/>
        <v>0.13868733333333333</v>
      </c>
      <c r="G46" s="101">
        <f t="shared" si="5"/>
        <v>0.15470366666666666</v>
      </c>
      <c r="H46" s="101">
        <f t="shared" si="6"/>
        <v>0.15330566666666667</v>
      </c>
      <c r="I46" s="101">
        <f t="shared" si="7"/>
        <v>0.15339020588235291</v>
      </c>
      <c r="J46" s="101">
        <f t="shared" si="8"/>
        <v>0.15476952192982457</v>
      </c>
      <c r="K46" s="101">
        <f t="shared" si="9"/>
        <v>0.14166239791666668</v>
      </c>
    </row>
    <row r="47" spans="1:15" x14ac:dyDescent="0.25">
      <c r="A47" s="309"/>
      <c r="B47" s="37">
        <v>2030</v>
      </c>
      <c r="C47" s="101">
        <f t="shared" si="1"/>
        <v>0.12147888888888889</v>
      </c>
      <c r="D47" s="101">
        <f t="shared" si="2"/>
        <v>0.12916444444444444</v>
      </c>
      <c r="E47" s="101">
        <f t="shared" si="3"/>
        <v>0.12820380952380953</v>
      </c>
      <c r="F47" s="101">
        <f t="shared" si="4"/>
        <v>0.12865846666666667</v>
      </c>
      <c r="G47" s="101">
        <f t="shared" si="5"/>
        <v>0.14506254166666668</v>
      </c>
      <c r="H47" s="101">
        <f t="shared" si="6"/>
        <v>0.14375359523809525</v>
      </c>
      <c r="I47" s="101">
        <f t="shared" si="7"/>
        <v>0.14383968627450983</v>
      </c>
      <c r="J47" s="101">
        <f t="shared" si="8"/>
        <v>0.1453767456140351</v>
      </c>
      <c r="K47" s="101">
        <f t="shared" si="9"/>
        <v>0.13416582916666667</v>
      </c>
    </row>
    <row r="48" spans="1:15" x14ac:dyDescent="0.25">
      <c r="A48" s="309"/>
      <c r="B48" s="37">
        <v>2031</v>
      </c>
      <c r="C48" s="101">
        <f t="shared" si="1"/>
        <v>0.12516555555555556</v>
      </c>
      <c r="D48" s="101">
        <f t="shared" si="2"/>
        <v>0.13295361111111112</v>
      </c>
      <c r="E48" s="101">
        <f t="shared" si="3"/>
        <v>0.13197535714285713</v>
      </c>
      <c r="F48" s="101">
        <f t="shared" si="4"/>
        <v>0.13243833333333332</v>
      </c>
      <c r="G48" s="101">
        <f t="shared" si="5"/>
        <v>0.14908866666666667</v>
      </c>
      <c r="H48" s="101">
        <f t="shared" si="6"/>
        <v>0.14776852380952379</v>
      </c>
      <c r="I48" s="101">
        <f t="shared" si="7"/>
        <v>0.14785617647058821</v>
      </c>
      <c r="J48" s="101">
        <f t="shared" si="8"/>
        <v>0.14941745614035087</v>
      </c>
      <c r="K48" s="101">
        <f t="shared" si="9"/>
        <v>0.13760266666666668</v>
      </c>
    </row>
    <row r="49" spans="1:11" x14ac:dyDescent="0.25">
      <c r="A49" s="309"/>
      <c r="B49" s="37">
        <v>2032</v>
      </c>
      <c r="C49" s="101">
        <f t="shared" si="1"/>
        <v>0.12717000000000003</v>
      </c>
      <c r="D49" s="101">
        <f t="shared" si="2"/>
        <v>0.13506833333333335</v>
      </c>
      <c r="E49" s="101">
        <f t="shared" si="3"/>
        <v>0.13407214285714286</v>
      </c>
      <c r="F49" s="101">
        <f t="shared" si="4"/>
        <v>0.13454373333333333</v>
      </c>
      <c r="G49" s="101">
        <f t="shared" si="5"/>
        <v>0.15143195833333334</v>
      </c>
      <c r="H49" s="101">
        <f t="shared" si="6"/>
        <v>0.15010040476190475</v>
      </c>
      <c r="I49" s="101">
        <f t="shared" si="7"/>
        <v>0.15018968627450982</v>
      </c>
      <c r="J49" s="101">
        <f t="shared" si="8"/>
        <v>0.1517833245614035</v>
      </c>
      <c r="K49" s="101">
        <f t="shared" si="9"/>
        <v>0.13986457916666667</v>
      </c>
    </row>
    <row r="50" spans="1:11" x14ac:dyDescent="0.25">
      <c r="A50" s="309"/>
      <c r="B50" s="37">
        <v>2033</v>
      </c>
      <c r="C50" s="101">
        <f t="shared" si="1"/>
        <v>0.12928444444444445</v>
      </c>
      <c r="D50" s="101">
        <f t="shared" si="2"/>
        <v>0.13729222222222223</v>
      </c>
      <c r="E50" s="101">
        <f t="shared" si="3"/>
        <v>0.13627761904761906</v>
      </c>
      <c r="F50" s="101">
        <f t="shared" si="4"/>
        <v>0.13675793333333333</v>
      </c>
      <c r="G50" s="101">
        <f t="shared" si="5"/>
        <v>0.15389254166666666</v>
      </c>
      <c r="H50" s="101">
        <f t="shared" si="6"/>
        <v>0.15254930952380952</v>
      </c>
      <c r="I50" s="101">
        <f t="shared" si="7"/>
        <v>0.15264022549019607</v>
      </c>
      <c r="J50" s="101">
        <f t="shared" si="8"/>
        <v>0.15416602192982454</v>
      </c>
      <c r="K50" s="101">
        <f t="shared" si="9"/>
        <v>0.14224323541666667</v>
      </c>
    </row>
    <row r="51" spans="1:11" x14ac:dyDescent="0.25">
      <c r="A51" s="309"/>
      <c r="B51" s="37">
        <v>2034</v>
      </c>
      <c r="C51" s="101">
        <f t="shared" si="1"/>
        <v>0.13111722222222222</v>
      </c>
      <c r="D51" s="101">
        <f t="shared" si="2"/>
        <v>0.13923361111111107</v>
      </c>
      <c r="E51" s="101">
        <f t="shared" si="3"/>
        <v>0.13820011904761906</v>
      </c>
      <c r="F51" s="101">
        <f t="shared" si="4"/>
        <v>0.13868926666666667</v>
      </c>
      <c r="G51" s="101">
        <f t="shared" si="5"/>
        <v>0.15607866666666664</v>
      </c>
      <c r="H51" s="101">
        <f t="shared" si="6"/>
        <v>0.15472352380952381</v>
      </c>
      <c r="I51" s="101">
        <f t="shared" si="7"/>
        <v>0.15481613725490198</v>
      </c>
      <c r="J51" s="101">
        <f t="shared" si="8"/>
        <v>0.15637388596491225</v>
      </c>
      <c r="K51" s="101">
        <f t="shared" si="9"/>
        <v>0.14434697083333334</v>
      </c>
    </row>
    <row r="52" spans="1:11" x14ac:dyDescent="0.25">
      <c r="A52" s="309"/>
      <c r="B52" s="37">
        <v>2035</v>
      </c>
      <c r="C52" s="101">
        <f t="shared" si="1"/>
        <v>0.12626777777777778</v>
      </c>
      <c r="D52" s="101">
        <f t="shared" si="2"/>
        <v>0.13469222222222221</v>
      </c>
      <c r="E52" s="101">
        <f t="shared" si="3"/>
        <v>0.13363952380952382</v>
      </c>
      <c r="F52" s="101">
        <f t="shared" si="4"/>
        <v>0.13413773333333334</v>
      </c>
      <c r="G52" s="101">
        <f t="shared" si="5"/>
        <v>0.15212374999999997</v>
      </c>
      <c r="H52" s="101">
        <f t="shared" si="6"/>
        <v>0.15085642857142856</v>
      </c>
      <c r="I52" s="101">
        <f t="shared" si="7"/>
        <v>0.15095075490196078</v>
      </c>
      <c r="J52" s="101">
        <f t="shared" si="8"/>
        <v>0.15269858333333333</v>
      </c>
      <c r="K52" s="101">
        <f t="shared" si="9"/>
        <v>0.14206745208333335</v>
      </c>
    </row>
    <row r="53" spans="1:11" x14ac:dyDescent="0.25">
      <c r="A53" s="309"/>
      <c r="B53" s="37">
        <v>2036</v>
      </c>
      <c r="C53" s="101">
        <f t="shared" si="1"/>
        <v>0.1279527777777778</v>
      </c>
      <c r="D53" s="101">
        <f t="shared" si="2"/>
        <v>0.13649305555555558</v>
      </c>
      <c r="E53" s="101">
        <f t="shared" si="3"/>
        <v>0.13542083333333332</v>
      </c>
      <c r="F53" s="101">
        <f t="shared" si="4"/>
        <v>0.13592839999999998</v>
      </c>
      <c r="G53" s="101">
        <f t="shared" si="5"/>
        <v>0.15419441666666669</v>
      </c>
      <c r="H53" s="101">
        <f t="shared" si="6"/>
        <v>0.15291466666666667</v>
      </c>
      <c r="I53" s="101">
        <f t="shared" si="7"/>
        <v>0.15301075490196078</v>
      </c>
      <c r="J53" s="101">
        <f t="shared" si="8"/>
        <v>0.15479011842105264</v>
      </c>
      <c r="K53" s="101">
        <f t="shared" si="9"/>
        <v>0.14415468125</v>
      </c>
    </row>
    <row r="54" spans="1:11" x14ac:dyDescent="0.25">
      <c r="A54" s="309"/>
      <c r="B54" s="37">
        <v>2037</v>
      </c>
      <c r="C54" s="101">
        <f t="shared" si="1"/>
        <v>0.12954777777777779</v>
      </c>
      <c r="D54" s="101">
        <f t="shared" si="2"/>
        <v>0.13821972222222223</v>
      </c>
      <c r="E54" s="101">
        <f t="shared" si="3"/>
        <v>0.13712750000000001</v>
      </c>
      <c r="F54" s="101">
        <f t="shared" si="4"/>
        <v>0.13764459999999998</v>
      </c>
      <c r="G54" s="101">
        <f t="shared" si="5"/>
        <v>0.15618241666666666</v>
      </c>
      <c r="H54" s="101">
        <f t="shared" si="6"/>
        <v>0.15488995238095238</v>
      </c>
      <c r="I54" s="101">
        <f t="shared" si="7"/>
        <v>0.15498782352941176</v>
      </c>
      <c r="J54" s="101">
        <f t="shared" si="8"/>
        <v>0.15680683333333334</v>
      </c>
      <c r="K54" s="101">
        <f t="shared" si="9"/>
        <v>0.14606699583333335</v>
      </c>
    </row>
    <row r="55" spans="1:11" x14ac:dyDescent="0.25">
      <c r="A55" s="309"/>
      <c r="B55" s="37">
        <v>2038</v>
      </c>
      <c r="C55" s="101">
        <f t="shared" si="1"/>
        <v>0.13166944444444442</v>
      </c>
      <c r="D55" s="101">
        <f t="shared" si="2"/>
        <v>0.14046388888888892</v>
      </c>
      <c r="E55" s="101">
        <f t="shared" si="3"/>
        <v>0.13935119047619049</v>
      </c>
      <c r="F55" s="101">
        <f t="shared" si="4"/>
        <v>0.139878</v>
      </c>
      <c r="G55" s="101">
        <f t="shared" si="5"/>
        <v>0.15870433333333334</v>
      </c>
      <c r="H55" s="101">
        <f t="shared" si="6"/>
        <v>0.15739890476190474</v>
      </c>
      <c r="I55" s="101">
        <f t="shared" si="7"/>
        <v>0.15749863725490196</v>
      </c>
      <c r="J55" s="101">
        <f t="shared" si="8"/>
        <v>0.15934039912280704</v>
      </c>
      <c r="K55" s="101">
        <f t="shared" si="9"/>
        <v>0.14849606458333334</v>
      </c>
    </row>
    <row r="56" spans="1:11" x14ac:dyDescent="0.25">
      <c r="A56" s="309"/>
      <c r="B56" s="37">
        <v>2039</v>
      </c>
      <c r="C56" s="101">
        <f t="shared" si="1"/>
        <v>0.13430111111111112</v>
      </c>
      <c r="D56" s="101">
        <f t="shared" si="2"/>
        <v>0.14322555555555558</v>
      </c>
      <c r="E56" s="101">
        <f t="shared" si="3"/>
        <v>0.14209190476190478</v>
      </c>
      <c r="F56" s="101">
        <f t="shared" si="4"/>
        <v>0.14262853333333333</v>
      </c>
      <c r="G56" s="101">
        <f t="shared" si="5"/>
        <v>0.161743625</v>
      </c>
      <c r="H56" s="101">
        <f t="shared" si="6"/>
        <v>0.16042492857142857</v>
      </c>
      <c r="I56" s="101">
        <f t="shared" si="7"/>
        <v>0.16052651960784312</v>
      </c>
      <c r="J56" s="101">
        <f t="shared" si="8"/>
        <v>0.16230747807017543</v>
      </c>
      <c r="K56" s="101">
        <f t="shared" si="9"/>
        <v>0.15135855208333332</v>
      </c>
    </row>
    <row r="57" spans="1:11" x14ac:dyDescent="0.25">
      <c r="A57" s="309"/>
      <c r="B57" s="37">
        <v>2040</v>
      </c>
      <c r="C57" s="101">
        <f t="shared" si="1"/>
        <v>0.13111777777777778</v>
      </c>
      <c r="D57" s="101">
        <f t="shared" si="2"/>
        <v>0.14018805555555558</v>
      </c>
      <c r="E57" s="101">
        <f t="shared" si="3"/>
        <v>0.13903297619047619</v>
      </c>
      <c r="F57" s="101">
        <f t="shared" si="4"/>
        <v>0.13957966666666669</v>
      </c>
      <c r="G57" s="101">
        <f t="shared" si="5"/>
        <v>0.15901691666666665</v>
      </c>
      <c r="H57" s="101">
        <f t="shared" si="6"/>
        <v>0.15768466666666667</v>
      </c>
      <c r="I57" s="101">
        <f t="shared" si="7"/>
        <v>0.15778816666666665</v>
      </c>
      <c r="J57" s="101">
        <f t="shared" si="8"/>
        <v>0.15971641666666667</v>
      </c>
      <c r="K57" s="101">
        <f t="shared" si="9"/>
        <v>0.14966279791666665</v>
      </c>
    </row>
    <row r="58" spans="1:11" x14ac:dyDescent="0.25">
      <c r="A58" s="309"/>
      <c r="B58" s="37">
        <v>2041</v>
      </c>
      <c r="C58" s="101">
        <f t="shared" si="1"/>
        <v>0.13275222222222219</v>
      </c>
      <c r="D58" s="101">
        <f t="shared" si="2"/>
        <v>0.14194277777777778</v>
      </c>
      <c r="E58" s="101">
        <f t="shared" si="3"/>
        <v>0.14076595238095235</v>
      </c>
      <c r="F58" s="101">
        <f t="shared" si="4"/>
        <v>0.14132306666666666</v>
      </c>
      <c r="G58" s="101">
        <f t="shared" si="5"/>
        <v>0.16104920833333333</v>
      </c>
      <c r="H58" s="101">
        <f t="shared" si="6"/>
        <v>0.15970311904761905</v>
      </c>
      <c r="I58" s="101">
        <f t="shared" si="7"/>
        <v>0.15980857843137256</v>
      </c>
      <c r="J58" s="101">
        <f t="shared" si="8"/>
        <v>0.16176721491228069</v>
      </c>
      <c r="K58" s="101">
        <f t="shared" si="9"/>
        <v>0.15170880208333334</v>
      </c>
    </row>
    <row r="59" spans="1:11" x14ac:dyDescent="0.25">
      <c r="A59" s="309"/>
      <c r="B59" s="37">
        <v>2042</v>
      </c>
      <c r="C59" s="101">
        <f t="shared" si="1"/>
        <v>0.1338972222222222</v>
      </c>
      <c r="D59" s="101">
        <f t="shared" si="2"/>
        <v>0.14321527777777776</v>
      </c>
      <c r="E59" s="101">
        <f t="shared" si="3"/>
        <v>0.14201607142857142</v>
      </c>
      <c r="F59" s="101">
        <f t="shared" si="4"/>
        <v>0.14258373333333335</v>
      </c>
      <c r="G59" s="101">
        <f t="shared" si="5"/>
        <v>0.162598875</v>
      </c>
      <c r="H59" s="101">
        <f t="shared" si="6"/>
        <v>0.16123864285714284</v>
      </c>
      <c r="I59" s="101">
        <f t="shared" si="7"/>
        <v>0.16134610784313724</v>
      </c>
      <c r="J59" s="101">
        <f t="shared" si="8"/>
        <v>0.16334321491228071</v>
      </c>
      <c r="K59" s="101">
        <f t="shared" si="9"/>
        <v>0.15337990208333332</v>
      </c>
    </row>
    <row r="60" spans="1:11" x14ac:dyDescent="0.25">
      <c r="A60" s="309"/>
      <c r="B60" s="37">
        <v>2043</v>
      </c>
      <c r="C60" s="101">
        <f t="shared" si="1"/>
        <v>0.13535222222222221</v>
      </c>
      <c r="D60" s="101">
        <f t="shared" si="2"/>
        <v>0.14480527777777777</v>
      </c>
      <c r="E60" s="101">
        <f t="shared" si="3"/>
        <v>0.14358321428571427</v>
      </c>
      <c r="F60" s="101">
        <f t="shared" si="4"/>
        <v>0.1441616</v>
      </c>
      <c r="G60" s="101">
        <f t="shared" si="5"/>
        <v>0.16448258333333332</v>
      </c>
      <c r="H60" s="101">
        <f t="shared" si="6"/>
        <v>0.16320790476190478</v>
      </c>
      <c r="I60" s="101">
        <f t="shared" si="7"/>
        <v>0.16331741176470588</v>
      </c>
      <c r="J60" s="101">
        <f t="shared" si="8"/>
        <v>0.16534441228070176</v>
      </c>
      <c r="K60" s="101">
        <f t="shared" si="9"/>
        <v>0.15527609583333332</v>
      </c>
    </row>
    <row r="61" spans="1:11" x14ac:dyDescent="0.25">
      <c r="A61" s="309"/>
      <c r="B61" s="37">
        <v>2044</v>
      </c>
      <c r="C61" s="101">
        <f t="shared" si="1"/>
        <v>0.13853333333333334</v>
      </c>
      <c r="D61" s="101">
        <f t="shared" si="2"/>
        <v>0.14812083333333331</v>
      </c>
      <c r="E61" s="101">
        <f t="shared" si="3"/>
        <v>0.14687559523809524</v>
      </c>
      <c r="F61" s="101">
        <f t="shared" si="4"/>
        <v>0.14746506666666664</v>
      </c>
      <c r="G61" s="101">
        <f t="shared" si="5"/>
        <v>0.16808370833333333</v>
      </c>
      <c r="H61" s="101">
        <f t="shared" si="6"/>
        <v>0.16669426190476189</v>
      </c>
      <c r="I61" s="101">
        <f t="shared" si="7"/>
        <v>0.16680585294117647</v>
      </c>
      <c r="J61" s="101">
        <f t="shared" si="8"/>
        <v>0.16887082017543859</v>
      </c>
      <c r="K61" s="101">
        <f t="shared" si="9"/>
        <v>0.15859738958333336</v>
      </c>
    </row>
    <row r="62" spans="1:11" x14ac:dyDescent="0.25">
      <c r="A62" s="309"/>
      <c r="B62" s="37">
        <v>2045</v>
      </c>
      <c r="C62" s="101">
        <f t="shared" si="1"/>
        <v>0.13559166666666664</v>
      </c>
      <c r="D62" s="101">
        <f t="shared" si="2"/>
        <v>0.14527916666666668</v>
      </c>
      <c r="E62" s="101">
        <f t="shared" si="3"/>
        <v>0.14401011904761904</v>
      </c>
      <c r="F62" s="101">
        <f t="shared" si="4"/>
        <v>0.14461086666666667</v>
      </c>
      <c r="G62" s="101">
        <f t="shared" si="5"/>
        <v>0.16549391666666666</v>
      </c>
      <c r="H62" s="101">
        <f t="shared" si="6"/>
        <v>0.16418938095238095</v>
      </c>
      <c r="I62" s="101">
        <f t="shared" si="7"/>
        <v>0.16430311764705882</v>
      </c>
      <c r="J62" s="101">
        <f t="shared" si="8"/>
        <v>0.16649744736842106</v>
      </c>
      <c r="K62" s="101">
        <f t="shared" si="9"/>
        <v>0.15701878749999998</v>
      </c>
    </row>
    <row r="63" spans="1:11" x14ac:dyDescent="0.25">
      <c r="A63" s="309"/>
      <c r="B63" s="37">
        <v>2046</v>
      </c>
      <c r="C63" s="101">
        <f t="shared" si="1"/>
        <v>0.13726055555555552</v>
      </c>
      <c r="D63" s="101">
        <f t="shared" si="2"/>
        <v>0.14707194444444444</v>
      </c>
      <c r="E63" s="101">
        <f t="shared" si="3"/>
        <v>0.14577845238095238</v>
      </c>
      <c r="F63" s="101">
        <f t="shared" si="4"/>
        <v>0.14639066666666667</v>
      </c>
      <c r="G63" s="101">
        <f t="shared" si="5"/>
        <v>0.16757158333333333</v>
      </c>
      <c r="H63" s="101">
        <f t="shared" si="6"/>
        <v>0.16615161904761902</v>
      </c>
      <c r="I63" s="101">
        <f t="shared" si="7"/>
        <v>0.16626752941176468</v>
      </c>
      <c r="J63" s="101">
        <f t="shared" si="8"/>
        <v>0.1684992894736842</v>
      </c>
      <c r="K63" s="101">
        <f t="shared" si="9"/>
        <v>0.15911528750000001</v>
      </c>
    </row>
    <row r="64" spans="1:11" x14ac:dyDescent="0.25">
      <c r="A64" s="309"/>
      <c r="B64" s="37">
        <v>2047</v>
      </c>
      <c r="C64" s="101">
        <f t="shared" si="1"/>
        <v>0.1391388888888889</v>
      </c>
      <c r="D64" s="101">
        <f t="shared" si="2"/>
        <v>0.14909027777777781</v>
      </c>
      <c r="E64" s="101">
        <f t="shared" si="3"/>
        <v>0.14777202380952381</v>
      </c>
      <c r="F64" s="101">
        <f t="shared" si="4"/>
        <v>0.14839606666666666</v>
      </c>
      <c r="G64" s="101">
        <f t="shared" si="5"/>
        <v>0.16987504166666667</v>
      </c>
      <c r="H64" s="101">
        <f t="shared" si="6"/>
        <v>0.16853930952380952</v>
      </c>
      <c r="I64" s="101">
        <f t="shared" si="7"/>
        <v>0.16865743137254904</v>
      </c>
      <c r="J64" s="101">
        <f t="shared" si="8"/>
        <v>0.17092635087719299</v>
      </c>
      <c r="K64" s="101">
        <f t="shared" si="9"/>
        <v>0.16143689166666667</v>
      </c>
    </row>
    <row r="65" spans="1:11" x14ac:dyDescent="0.25">
      <c r="A65" s="309"/>
      <c r="B65" s="37">
        <v>2048</v>
      </c>
      <c r="C65" s="101">
        <f t="shared" si="1"/>
        <v>0.14073611111111112</v>
      </c>
      <c r="D65" s="101">
        <f t="shared" si="2"/>
        <v>0.15081805555555552</v>
      </c>
      <c r="E65" s="101">
        <f t="shared" si="3"/>
        <v>0.14947440476190474</v>
      </c>
      <c r="F65" s="101">
        <f t="shared" si="4"/>
        <v>0.15011046666666666</v>
      </c>
      <c r="G65" s="101">
        <f t="shared" si="5"/>
        <v>0.17190429166666665</v>
      </c>
      <c r="H65" s="101">
        <f t="shared" si="6"/>
        <v>0.17045245238095239</v>
      </c>
      <c r="I65" s="101">
        <f t="shared" si="7"/>
        <v>0.17057285294117647</v>
      </c>
      <c r="J65" s="101">
        <f t="shared" si="8"/>
        <v>0.17287864473684211</v>
      </c>
      <c r="K65" s="101">
        <f t="shared" si="9"/>
        <v>0.16348360625000002</v>
      </c>
    </row>
    <row r="66" spans="1:11" x14ac:dyDescent="0.25">
      <c r="A66" s="309"/>
      <c r="B66" s="37">
        <v>2049</v>
      </c>
      <c r="C66" s="101">
        <f t="shared" si="1"/>
        <v>0.14235222222222221</v>
      </c>
      <c r="D66" s="101">
        <f t="shared" si="2"/>
        <v>0.15257194444444441</v>
      </c>
      <c r="E66" s="101">
        <f t="shared" si="3"/>
        <v>0.15120226190476191</v>
      </c>
      <c r="F66" s="101">
        <f t="shared" si="4"/>
        <v>0.1518506</v>
      </c>
      <c r="G66" s="101">
        <f t="shared" si="5"/>
        <v>0.17395933333333333</v>
      </c>
      <c r="H66" s="101">
        <f t="shared" si="6"/>
        <v>0.17259104761904764</v>
      </c>
      <c r="I66" s="101">
        <f t="shared" si="7"/>
        <v>0.17271379411764703</v>
      </c>
      <c r="J66" s="101">
        <f t="shared" si="8"/>
        <v>0.17504783771929824</v>
      </c>
      <c r="K66" s="101">
        <f t="shared" si="9"/>
        <v>0.16564709791666665</v>
      </c>
    </row>
    <row r="67" spans="1:11" x14ac:dyDescent="0.25">
      <c r="A67" s="309"/>
      <c r="B67" s="37">
        <v>2050</v>
      </c>
      <c r="C67" s="101">
        <f t="shared" si="1"/>
        <v>0.14558666666666667</v>
      </c>
      <c r="D67" s="101">
        <f t="shared" si="2"/>
        <v>0.15593499999999999</v>
      </c>
      <c r="E67" s="101">
        <f t="shared" si="3"/>
        <v>0.15453880952380949</v>
      </c>
      <c r="F67" s="101">
        <f t="shared" si="4"/>
        <v>0.15519973333333334</v>
      </c>
      <c r="G67" s="101">
        <f t="shared" si="5"/>
        <v>0.17763195833333334</v>
      </c>
      <c r="H67" s="101">
        <f t="shared" si="6"/>
        <v>0.17614683333333334</v>
      </c>
      <c r="I67" s="101">
        <f t="shared" si="7"/>
        <v>0.17627194117647058</v>
      </c>
      <c r="J67" s="101">
        <f t="shared" si="8"/>
        <v>0.1786506052631579</v>
      </c>
      <c r="K67" s="101">
        <f t="shared" si="9"/>
        <v>0.16904403749999999</v>
      </c>
    </row>
    <row r="68" spans="1:11" x14ac:dyDescent="0.25">
      <c r="A68" s="309"/>
      <c r="B68" s="37">
        <v>2051</v>
      </c>
      <c r="C68" s="101">
        <f>$C$67</f>
        <v>0.14558666666666667</v>
      </c>
      <c r="D68" s="101">
        <f>$D$67</f>
        <v>0.15593499999999999</v>
      </c>
      <c r="E68" s="101">
        <f>$E$67</f>
        <v>0.15453880952380949</v>
      </c>
      <c r="F68" s="101">
        <f>$F$67</f>
        <v>0.15519973333333334</v>
      </c>
      <c r="G68" s="101">
        <f>$G$67</f>
        <v>0.17763195833333334</v>
      </c>
      <c r="H68" s="101">
        <f>$H$67</f>
        <v>0.17614683333333334</v>
      </c>
      <c r="I68" s="101">
        <f>$I$67</f>
        <v>0.17627194117647058</v>
      </c>
      <c r="J68" s="101">
        <f>$J$67</f>
        <v>0.1786506052631579</v>
      </c>
      <c r="K68" s="101">
        <f>$K$67</f>
        <v>0.16904403749999999</v>
      </c>
    </row>
    <row r="69" spans="1:11" x14ac:dyDescent="0.25">
      <c r="A69" s="309"/>
      <c r="B69" s="37">
        <v>2052</v>
      </c>
      <c r="C69" s="101">
        <f t="shared" ref="C69:C84" si="10">$C$67</f>
        <v>0.14558666666666667</v>
      </c>
      <c r="D69" s="101">
        <f t="shared" ref="D69:D84" si="11">$D$67</f>
        <v>0.15593499999999999</v>
      </c>
      <c r="E69" s="101">
        <f t="shared" ref="E69:E84" si="12">$E$67</f>
        <v>0.15453880952380949</v>
      </c>
      <c r="F69" s="101">
        <f t="shared" ref="F69:F84" si="13">$F$67</f>
        <v>0.15519973333333334</v>
      </c>
      <c r="G69" s="101">
        <f t="shared" ref="G69:G84" si="14">$G$67</f>
        <v>0.17763195833333334</v>
      </c>
      <c r="H69" s="101">
        <f t="shared" ref="H69:H84" si="15">$H$67</f>
        <v>0.17614683333333334</v>
      </c>
      <c r="I69" s="101">
        <f t="shared" ref="I69:I84" si="16">$I$67</f>
        <v>0.17627194117647058</v>
      </c>
      <c r="J69" s="101">
        <f t="shared" ref="J69:J84" si="17">$J$67</f>
        <v>0.1786506052631579</v>
      </c>
      <c r="K69" s="101">
        <f t="shared" ref="K69:K84" si="18">$K$67</f>
        <v>0.16904403749999999</v>
      </c>
    </row>
    <row r="70" spans="1:11" x14ac:dyDescent="0.25">
      <c r="A70" s="309"/>
      <c r="B70" s="37">
        <v>2053</v>
      </c>
      <c r="C70" s="101">
        <f t="shared" si="10"/>
        <v>0.14558666666666667</v>
      </c>
      <c r="D70" s="101">
        <f t="shared" si="11"/>
        <v>0.15593499999999999</v>
      </c>
      <c r="E70" s="101">
        <f t="shared" si="12"/>
        <v>0.15453880952380949</v>
      </c>
      <c r="F70" s="101">
        <f t="shared" si="13"/>
        <v>0.15519973333333334</v>
      </c>
      <c r="G70" s="101">
        <f t="shared" si="14"/>
        <v>0.17763195833333334</v>
      </c>
      <c r="H70" s="101">
        <f t="shared" si="15"/>
        <v>0.17614683333333334</v>
      </c>
      <c r="I70" s="101">
        <f t="shared" si="16"/>
        <v>0.17627194117647058</v>
      </c>
      <c r="J70" s="101">
        <f t="shared" si="17"/>
        <v>0.1786506052631579</v>
      </c>
      <c r="K70" s="101">
        <f t="shared" si="18"/>
        <v>0.16904403749999999</v>
      </c>
    </row>
    <row r="71" spans="1:11" x14ac:dyDescent="0.25">
      <c r="A71" s="309"/>
      <c r="B71" s="37">
        <v>2054</v>
      </c>
      <c r="C71" s="101">
        <f t="shared" si="10"/>
        <v>0.14558666666666667</v>
      </c>
      <c r="D71" s="101">
        <f t="shared" si="11"/>
        <v>0.15593499999999999</v>
      </c>
      <c r="E71" s="101">
        <f t="shared" si="12"/>
        <v>0.15453880952380949</v>
      </c>
      <c r="F71" s="101">
        <f t="shared" si="13"/>
        <v>0.15519973333333334</v>
      </c>
      <c r="G71" s="101">
        <f t="shared" si="14"/>
        <v>0.17763195833333334</v>
      </c>
      <c r="H71" s="101">
        <f t="shared" si="15"/>
        <v>0.17614683333333334</v>
      </c>
      <c r="I71" s="101">
        <f t="shared" si="16"/>
        <v>0.17627194117647058</v>
      </c>
      <c r="J71" s="101">
        <f t="shared" si="17"/>
        <v>0.1786506052631579</v>
      </c>
      <c r="K71" s="101">
        <f t="shared" si="18"/>
        <v>0.16904403749999999</v>
      </c>
    </row>
    <row r="72" spans="1:11" x14ac:dyDescent="0.25">
      <c r="A72" s="309"/>
      <c r="B72" s="37">
        <v>2055</v>
      </c>
      <c r="C72" s="101">
        <f t="shared" si="10"/>
        <v>0.14558666666666667</v>
      </c>
      <c r="D72" s="101">
        <f t="shared" si="11"/>
        <v>0.15593499999999999</v>
      </c>
      <c r="E72" s="101">
        <f t="shared" si="12"/>
        <v>0.15453880952380949</v>
      </c>
      <c r="F72" s="101">
        <f t="shared" si="13"/>
        <v>0.15519973333333334</v>
      </c>
      <c r="G72" s="101">
        <f t="shared" si="14"/>
        <v>0.17763195833333334</v>
      </c>
      <c r="H72" s="101">
        <f t="shared" si="15"/>
        <v>0.17614683333333334</v>
      </c>
      <c r="I72" s="101">
        <f t="shared" si="16"/>
        <v>0.17627194117647058</v>
      </c>
      <c r="J72" s="101">
        <f t="shared" si="17"/>
        <v>0.1786506052631579</v>
      </c>
      <c r="K72" s="101">
        <f t="shared" si="18"/>
        <v>0.16904403749999999</v>
      </c>
    </row>
    <row r="73" spans="1:11" x14ac:dyDescent="0.25">
      <c r="A73" s="309"/>
      <c r="B73" s="37">
        <v>2056</v>
      </c>
      <c r="C73" s="101">
        <f t="shared" si="10"/>
        <v>0.14558666666666667</v>
      </c>
      <c r="D73" s="101">
        <f t="shared" si="11"/>
        <v>0.15593499999999999</v>
      </c>
      <c r="E73" s="101">
        <f t="shared" si="12"/>
        <v>0.15453880952380949</v>
      </c>
      <c r="F73" s="101">
        <f t="shared" si="13"/>
        <v>0.15519973333333334</v>
      </c>
      <c r="G73" s="101">
        <f t="shared" si="14"/>
        <v>0.17763195833333334</v>
      </c>
      <c r="H73" s="101">
        <f t="shared" si="15"/>
        <v>0.17614683333333334</v>
      </c>
      <c r="I73" s="101">
        <f t="shared" si="16"/>
        <v>0.17627194117647058</v>
      </c>
      <c r="J73" s="101">
        <f t="shared" si="17"/>
        <v>0.1786506052631579</v>
      </c>
      <c r="K73" s="101">
        <f t="shared" si="18"/>
        <v>0.16904403749999999</v>
      </c>
    </row>
    <row r="74" spans="1:11" x14ac:dyDescent="0.25">
      <c r="A74" s="309"/>
      <c r="B74" s="37">
        <v>2057</v>
      </c>
      <c r="C74" s="101">
        <f t="shared" si="10"/>
        <v>0.14558666666666667</v>
      </c>
      <c r="D74" s="101">
        <f t="shared" si="11"/>
        <v>0.15593499999999999</v>
      </c>
      <c r="E74" s="101">
        <f t="shared" si="12"/>
        <v>0.15453880952380949</v>
      </c>
      <c r="F74" s="101">
        <f t="shared" si="13"/>
        <v>0.15519973333333334</v>
      </c>
      <c r="G74" s="101">
        <f t="shared" si="14"/>
        <v>0.17763195833333334</v>
      </c>
      <c r="H74" s="101">
        <f t="shared" si="15"/>
        <v>0.17614683333333334</v>
      </c>
      <c r="I74" s="101">
        <f t="shared" si="16"/>
        <v>0.17627194117647058</v>
      </c>
      <c r="J74" s="101">
        <f t="shared" si="17"/>
        <v>0.1786506052631579</v>
      </c>
      <c r="K74" s="101">
        <f t="shared" si="18"/>
        <v>0.16904403749999999</v>
      </c>
    </row>
    <row r="75" spans="1:11" x14ac:dyDescent="0.25">
      <c r="A75" s="309"/>
      <c r="B75" s="37">
        <v>2058</v>
      </c>
      <c r="C75" s="101">
        <f t="shared" si="10"/>
        <v>0.14558666666666667</v>
      </c>
      <c r="D75" s="101">
        <f t="shared" si="11"/>
        <v>0.15593499999999999</v>
      </c>
      <c r="E75" s="101">
        <f t="shared" si="12"/>
        <v>0.15453880952380949</v>
      </c>
      <c r="F75" s="101">
        <f t="shared" si="13"/>
        <v>0.15519973333333334</v>
      </c>
      <c r="G75" s="101">
        <f t="shared" si="14"/>
        <v>0.17763195833333334</v>
      </c>
      <c r="H75" s="101">
        <f t="shared" si="15"/>
        <v>0.17614683333333334</v>
      </c>
      <c r="I75" s="101">
        <f t="shared" si="16"/>
        <v>0.17627194117647058</v>
      </c>
      <c r="J75" s="101">
        <f t="shared" si="17"/>
        <v>0.1786506052631579</v>
      </c>
      <c r="K75" s="101">
        <f t="shared" si="18"/>
        <v>0.16904403749999999</v>
      </c>
    </row>
    <row r="76" spans="1:11" x14ac:dyDescent="0.25">
      <c r="A76" s="309"/>
      <c r="B76" s="37">
        <v>2059</v>
      </c>
      <c r="C76" s="101">
        <f t="shared" si="10"/>
        <v>0.14558666666666667</v>
      </c>
      <c r="D76" s="101">
        <f t="shared" si="11"/>
        <v>0.15593499999999999</v>
      </c>
      <c r="E76" s="101">
        <f t="shared" si="12"/>
        <v>0.15453880952380949</v>
      </c>
      <c r="F76" s="101">
        <f t="shared" si="13"/>
        <v>0.15519973333333334</v>
      </c>
      <c r="G76" s="101">
        <f t="shared" si="14"/>
        <v>0.17763195833333334</v>
      </c>
      <c r="H76" s="101">
        <f t="shared" si="15"/>
        <v>0.17614683333333334</v>
      </c>
      <c r="I76" s="101">
        <f t="shared" si="16"/>
        <v>0.17627194117647058</v>
      </c>
      <c r="J76" s="101">
        <f t="shared" si="17"/>
        <v>0.1786506052631579</v>
      </c>
      <c r="K76" s="101">
        <f t="shared" si="18"/>
        <v>0.16904403749999999</v>
      </c>
    </row>
    <row r="77" spans="1:11" x14ac:dyDescent="0.25">
      <c r="A77" s="309"/>
      <c r="B77" s="37">
        <v>2060</v>
      </c>
      <c r="C77" s="101">
        <f t="shared" si="10"/>
        <v>0.14558666666666667</v>
      </c>
      <c r="D77" s="101">
        <f t="shared" si="11"/>
        <v>0.15593499999999999</v>
      </c>
      <c r="E77" s="101">
        <f t="shared" si="12"/>
        <v>0.15453880952380949</v>
      </c>
      <c r="F77" s="101">
        <f t="shared" si="13"/>
        <v>0.15519973333333334</v>
      </c>
      <c r="G77" s="101">
        <f t="shared" si="14"/>
        <v>0.17763195833333334</v>
      </c>
      <c r="H77" s="101">
        <f t="shared" si="15"/>
        <v>0.17614683333333334</v>
      </c>
      <c r="I77" s="101">
        <f t="shared" si="16"/>
        <v>0.17627194117647058</v>
      </c>
      <c r="J77" s="101">
        <f t="shared" si="17"/>
        <v>0.1786506052631579</v>
      </c>
      <c r="K77" s="101">
        <f t="shared" si="18"/>
        <v>0.16904403749999999</v>
      </c>
    </row>
    <row r="78" spans="1:11" x14ac:dyDescent="0.25">
      <c r="A78" s="309"/>
      <c r="B78" s="37">
        <v>2061</v>
      </c>
      <c r="C78" s="101">
        <f t="shared" si="10"/>
        <v>0.14558666666666667</v>
      </c>
      <c r="D78" s="101">
        <f t="shared" si="11"/>
        <v>0.15593499999999999</v>
      </c>
      <c r="E78" s="101">
        <f t="shared" si="12"/>
        <v>0.15453880952380949</v>
      </c>
      <c r="F78" s="101">
        <f t="shared" si="13"/>
        <v>0.15519973333333334</v>
      </c>
      <c r="G78" s="101">
        <f t="shared" si="14"/>
        <v>0.17763195833333334</v>
      </c>
      <c r="H78" s="101">
        <f t="shared" si="15"/>
        <v>0.17614683333333334</v>
      </c>
      <c r="I78" s="101">
        <f t="shared" si="16"/>
        <v>0.17627194117647058</v>
      </c>
      <c r="J78" s="101">
        <f t="shared" si="17"/>
        <v>0.1786506052631579</v>
      </c>
      <c r="K78" s="101">
        <f t="shared" si="18"/>
        <v>0.16904403749999999</v>
      </c>
    </row>
    <row r="79" spans="1:11" x14ac:dyDescent="0.25">
      <c r="A79" s="309"/>
      <c r="B79" s="37">
        <v>2062</v>
      </c>
      <c r="C79" s="101">
        <f t="shared" si="10"/>
        <v>0.14558666666666667</v>
      </c>
      <c r="D79" s="101">
        <f t="shared" si="11"/>
        <v>0.15593499999999999</v>
      </c>
      <c r="E79" s="101">
        <f t="shared" si="12"/>
        <v>0.15453880952380949</v>
      </c>
      <c r="F79" s="101">
        <f t="shared" si="13"/>
        <v>0.15519973333333334</v>
      </c>
      <c r="G79" s="101">
        <f t="shared" si="14"/>
        <v>0.17763195833333334</v>
      </c>
      <c r="H79" s="101">
        <f t="shared" si="15"/>
        <v>0.17614683333333334</v>
      </c>
      <c r="I79" s="101">
        <f t="shared" si="16"/>
        <v>0.17627194117647058</v>
      </c>
      <c r="J79" s="101">
        <f t="shared" si="17"/>
        <v>0.1786506052631579</v>
      </c>
      <c r="K79" s="101">
        <f t="shared" si="18"/>
        <v>0.16904403749999999</v>
      </c>
    </row>
    <row r="80" spans="1:11" x14ac:dyDescent="0.25">
      <c r="A80" s="309"/>
      <c r="B80" s="37">
        <v>2063</v>
      </c>
      <c r="C80" s="101">
        <f t="shared" si="10"/>
        <v>0.14558666666666667</v>
      </c>
      <c r="D80" s="101">
        <f t="shared" si="11"/>
        <v>0.15593499999999999</v>
      </c>
      <c r="E80" s="101">
        <f t="shared" si="12"/>
        <v>0.15453880952380949</v>
      </c>
      <c r="F80" s="101">
        <f t="shared" si="13"/>
        <v>0.15519973333333334</v>
      </c>
      <c r="G80" s="101">
        <f t="shared" si="14"/>
        <v>0.17763195833333334</v>
      </c>
      <c r="H80" s="101">
        <f t="shared" si="15"/>
        <v>0.17614683333333334</v>
      </c>
      <c r="I80" s="101">
        <f t="shared" si="16"/>
        <v>0.17627194117647058</v>
      </c>
      <c r="J80" s="101">
        <f t="shared" si="17"/>
        <v>0.1786506052631579</v>
      </c>
      <c r="K80" s="101">
        <f t="shared" si="18"/>
        <v>0.16904403749999999</v>
      </c>
    </row>
    <row r="81" spans="1:11" x14ac:dyDescent="0.25">
      <c r="A81" s="309"/>
      <c r="B81" s="37">
        <v>2064</v>
      </c>
      <c r="C81" s="101">
        <f t="shared" si="10"/>
        <v>0.14558666666666667</v>
      </c>
      <c r="D81" s="101">
        <f t="shared" si="11"/>
        <v>0.15593499999999999</v>
      </c>
      <c r="E81" s="101">
        <f t="shared" si="12"/>
        <v>0.15453880952380949</v>
      </c>
      <c r="F81" s="101">
        <f t="shared" si="13"/>
        <v>0.15519973333333334</v>
      </c>
      <c r="G81" s="101">
        <f t="shared" si="14"/>
        <v>0.17763195833333334</v>
      </c>
      <c r="H81" s="101">
        <f t="shared" si="15"/>
        <v>0.17614683333333334</v>
      </c>
      <c r="I81" s="101">
        <f t="shared" si="16"/>
        <v>0.17627194117647058</v>
      </c>
      <c r="J81" s="101">
        <f t="shared" si="17"/>
        <v>0.1786506052631579</v>
      </c>
      <c r="K81" s="101">
        <f t="shared" si="18"/>
        <v>0.16904403749999999</v>
      </c>
    </row>
    <row r="82" spans="1:11" x14ac:dyDescent="0.25">
      <c r="A82" s="309"/>
      <c r="B82" s="37">
        <v>2065</v>
      </c>
      <c r="C82" s="101">
        <f t="shared" si="10"/>
        <v>0.14558666666666667</v>
      </c>
      <c r="D82" s="101">
        <f t="shared" si="11"/>
        <v>0.15593499999999999</v>
      </c>
      <c r="E82" s="101">
        <f t="shared" si="12"/>
        <v>0.15453880952380949</v>
      </c>
      <c r="F82" s="101">
        <f t="shared" si="13"/>
        <v>0.15519973333333334</v>
      </c>
      <c r="G82" s="101">
        <f t="shared" si="14"/>
        <v>0.17763195833333334</v>
      </c>
      <c r="H82" s="101">
        <f t="shared" si="15"/>
        <v>0.17614683333333334</v>
      </c>
      <c r="I82" s="101">
        <f t="shared" si="16"/>
        <v>0.17627194117647058</v>
      </c>
      <c r="J82" s="101">
        <f t="shared" si="17"/>
        <v>0.1786506052631579</v>
      </c>
      <c r="K82" s="101">
        <f t="shared" si="18"/>
        <v>0.16904403749999999</v>
      </c>
    </row>
    <row r="83" spans="1:11" x14ac:dyDescent="0.25">
      <c r="A83" s="309"/>
      <c r="B83" s="37">
        <v>2066</v>
      </c>
      <c r="C83" s="101">
        <f t="shared" si="10"/>
        <v>0.14558666666666667</v>
      </c>
      <c r="D83" s="101">
        <f t="shared" si="11"/>
        <v>0.15593499999999999</v>
      </c>
      <c r="E83" s="101">
        <f t="shared" si="12"/>
        <v>0.15453880952380949</v>
      </c>
      <c r="F83" s="101">
        <f t="shared" si="13"/>
        <v>0.15519973333333334</v>
      </c>
      <c r="G83" s="101">
        <f t="shared" si="14"/>
        <v>0.17763195833333334</v>
      </c>
      <c r="H83" s="101">
        <f t="shared" si="15"/>
        <v>0.17614683333333334</v>
      </c>
      <c r="I83" s="101">
        <f t="shared" si="16"/>
        <v>0.17627194117647058</v>
      </c>
      <c r="J83" s="101">
        <f t="shared" si="17"/>
        <v>0.1786506052631579</v>
      </c>
      <c r="K83" s="101">
        <f t="shared" si="18"/>
        <v>0.16904403749999999</v>
      </c>
    </row>
    <row r="84" spans="1:11" x14ac:dyDescent="0.25">
      <c r="A84" s="309"/>
      <c r="B84" s="37">
        <v>2067</v>
      </c>
      <c r="C84" s="101">
        <f t="shared" si="10"/>
        <v>0.14558666666666667</v>
      </c>
      <c r="D84" s="101">
        <f t="shared" si="11"/>
        <v>0.15593499999999999</v>
      </c>
      <c r="E84" s="101">
        <f t="shared" si="12"/>
        <v>0.15453880952380949</v>
      </c>
      <c r="F84" s="101">
        <f t="shared" si="13"/>
        <v>0.15519973333333334</v>
      </c>
      <c r="G84" s="101">
        <f t="shared" si="14"/>
        <v>0.17763195833333334</v>
      </c>
      <c r="H84" s="101">
        <f t="shared" si="15"/>
        <v>0.17614683333333334</v>
      </c>
      <c r="I84" s="101">
        <f t="shared" si="16"/>
        <v>0.17627194117647058</v>
      </c>
      <c r="J84" s="101">
        <f t="shared" si="17"/>
        <v>0.1786506052631579</v>
      </c>
      <c r="K84" s="101">
        <f t="shared" si="18"/>
        <v>0.16904403749999999</v>
      </c>
    </row>
  </sheetData>
  <sheetProtection algorithmName="SHA-512" hashValue="+lG1hRkDvisjvvJJIsYVFyP9KLzkgD49hO7zgvgPL6Sym7pfOyRivZxH7hB5N+M7C+keTMU3m4et06E4QZ0jCA==" saltValue="acL7H9dRhdgi4slJBwQnxg==" spinCount="100000" sheet="1" objects="1" scenarios="1"/>
  <mergeCells count="15">
    <mergeCell ref="I3:I4"/>
    <mergeCell ref="O3:O4"/>
    <mergeCell ref="C36:K36"/>
    <mergeCell ref="A39:A84"/>
    <mergeCell ref="B2:E2"/>
    <mergeCell ref="F2:I2"/>
    <mergeCell ref="J2:N2"/>
    <mergeCell ref="B3:B4"/>
    <mergeCell ref="C3:C4"/>
    <mergeCell ref="D3:D4"/>
    <mergeCell ref="E3:E4"/>
    <mergeCell ref="F3:F4"/>
    <mergeCell ref="G3:G4"/>
    <mergeCell ref="H3:H4"/>
    <mergeCell ref="A2:A4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3">
    <tabColor theme="9" tint="-0.249977111117893"/>
  </sheetPr>
  <dimension ref="A1:P169"/>
  <sheetViews>
    <sheetView zoomScaleNormal="100" workbookViewId="0">
      <selection activeCell="B1" sqref="B1"/>
    </sheetView>
  </sheetViews>
  <sheetFormatPr baseColWidth="10" defaultRowHeight="15" x14ac:dyDescent="0.25"/>
  <cols>
    <col min="3" max="3" width="59.5703125" bestFit="1" customWidth="1"/>
  </cols>
  <sheetData>
    <row r="1" spans="1:16" x14ac:dyDescent="0.25">
      <c r="A1" s="98" t="s">
        <v>66</v>
      </c>
      <c r="B1" s="98" t="s">
        <v>143</v>
      </c>
      <c r="C1" s="98" t="s">
        <v>0</v>
      </c>
      <c r="D1" s="99">
        <v>15</v>
      </c>
      <c r="E1" s="99">
        <v>30</v>
      </c>
      <c r="F1" s="99">
        <v>70</v>
      </c>
      <c r="G1" s="99">
        <v>125</v>
      </c>
      <c r="H1" s="99">
        <v>200</v>
      </c>
      <c r="I1" s="99">
        <v>350</v>
      </c>
      <c r="J1" s="99">
        <v>850</v>
      </c>
      <c r="K1" s="99">
        <v>1900</v>
      </c>
      <c r="L1" s="99">
        <v>4000</v>
      </c>
      <c r="O1" s="320" t="s">
        <v>291</v>
      </c>
      <c r="P1" s="320"/>
    </row>
    <row r="2" spans="1:16" x14ac:dyDescent="0.25">
      <c r="A2" s="317">
        <v>2023</v>
      </c>
      <c r="B2" s="317">
        <v>1200</v>
      </c>
      <c r="C2" s="100" t="s">
        <v>3</v>
      </c>
      <c r="D2" s="101">
        <v>449.96237248194188</v>
      </c>
      <c r="E2" s="101">
        <v>418.76142579381508</v>
      </c>
      <c r="F2" s="101">
        <v>398.74716946946</v>
      </c>
      <c r="G2" s="101">
        <v>371.81480859500761</v>
      </c>
      <c r="H2" s="101">
        <v>336.93255506491579</v>
      </c>
      <c r="I2" s="101">
        <v>324.99666826401409</v>
      </c>
      <c r="J2" s="101">
        <v>297.98691872132099</v>
      </c>
      <c r="K2" s="101">
        <v>268.11923713496509</v>
      </c>
      <c r="L2" s="101">
        <v>252.92527599403579</v>
      </c>
    </row>
    <row r="3" spans="1:16" x14ac:dyDescent="0.25">
      <c r="A3" s="318"/>
      <c r="B3" s="318"/>
      <c r="C3" s="100" t="s">
        <v>280</v>
      </c>
      <c r="D3" s="101">
        <v>444.44659891441609</v>
      </c>
      <c r="E3" s="101">
        <v>415.59653092508131</v>
      </c>
      <c r="F3" s="101">
        <v>396.92563385717881</v>
      </c>
      <c r="G3" s="101">
        <v>370.43658153735572</v>
      </c>
      <c r="H3" s="101">
        <v>335.76590709015522</v>
      </c>
      <c r="I3" s="101">
        <v>322.79293267860783</v>
      </c>
      <c r="J3" s="101">
        <v>296.60066514501142</v>
      </c>
      <c r="K3" s="101">
        <v>267.04922002006941</v>
      </c>
      <c r="L3" s="101">
        <v>251.98965937524079</v>
      </c>
    </row>
    <row r="4" spans="1:16" x14ac:dyDescent="0.25">
      <c r="A4" s="318"/>
      <c r="B4" s="318"/>
      <c r="C4" s="100" t="s">
        <v>16</v>
      </c>
      <c r="D4" s="101">
        <v>307.52881435607912</v>
      </c>
      <c r="E4" s="101">
        <v>276.6878342652372</v>
      </c>
      <c r="F4" s="101">
        <v>251.1510291565574</v>
      </c>
      <c r="G4" s="101">
        <v>238.53733280435199</v>
      </c>
      <c r="H4" s="101">
        <v>233.1097922321571</v>
      </c>
      <c r="I4" s="101">
        <v>228.5172774685449</v>
      </c>
      <c r="J4" s="101">
        <v>227.45190158492181</v>
      </c>
      <c r="K4" s="101">
        <v>165.82431907380931</v>
      </c>
      <c r="L4" s="101">
        <v>172.1062384972503</v>
      </c>
    </row>
    <row r="5" spans="1:16" x14ac:dyDescent="0.25">
      <c r="A5" s="318"/>
      <c r="B5" s="318"/>
      <c r="C5" s="100" t="s">
        <v>144</v>
      </c>
      <c r="D5" s="101">
        <v>143.05893120776719</v>
      </c>
      <c r="E5" s="101">
        <v>122.313685752932</v>
      </c>
      <c r="F5" s="101">
        <v>94.594374294796708</v>
      </c>
      <c r="G5" s="101">
        <v>94.251379483429844</v>
      </c>
      <c r="H5" s="101">
        <v>93.76180746675513</v>
      </c>
      <c r="I5" s="101">
        <v>93.007501384817445</v>
      </c>
      <c r="J5" s="101">
        <v>114.73337188835249</v>
      </c>
      <c r="K5" s="101">
        <v>105.9092092710233</v>
      </c>
      <c r="L5" s="101">
        <v>99.38759333204716</v>
      </c>
    </row>
    <row r="6" spans="1:16" x14ac:dyDescent="0.25">
      <c r="A6" s="318"/>
      <c r="B6" s="318"/>
      <c r="C6" s="100" t="s">
        <v>145</v>
      </c>
      <c r="D6" s="101">
        <v>149.15154941084319</v>
      </c>
      <c r="E6" s="101">
        <v>127.5386489956192</v>
      </c>
      <c r="F6" s="101">
        <v>99.27151263370925</v>
      </c>
      <c r="G6" s="101">
        <v>99.089015958483557</v>
      </c>
      <c r="H6" s="101">
        <v>98.562799329782251</v>
      </c>
      <c r="I6" s="101">
        <v>97.599121768628734</v>
      </c>
      <c r="J6" s="101">
        <v>118.9861971524398</v>
      </c>
      <c r="K6" s="101">
        <v>110.2276462344518</v>
      </c>
      <c r="L6" s="101">
        <v>103.48638104423181</v>
      </c>
    </row>
    <row r="7" spans="1:16" x14ac:dyDescent="0.25">
      <c r="A7" s="318"/>
      <c r="B7" s="318"/>
      <c r="C7" s="100" t="s">
        <v>146</v>
      </c>
      <c r="D7" s="101">
        <v>156.23986376897341</v>
      </c>
      <c r="E7" s="101">
        <v>134.21083603666739</v>
      </c>
      <c r="F7" s="101">
        <v>104.9067032855698</v>
      </c>
      <c r="G7" s="101">
        <v>104.5160679965737</v>
      </c>
      <c r="H7" s="101">
        <v>103.95843941855701</v>
      </c>
      <c r="I7" s="101">
        <v>102.9368571771351</v>
      </c>
      <c r="J7" s="101">
        <v>124.0588729373103</v>
      </c>
      <c r="K7" s="101">
        <v>115.2445594081516</v>
      </c>
      <c r="L7" s="101">
        <v>108.24217710619131</v>
      </c>
    </row>
    <row r="8" spans="1:16" x14ac:dyDescent="0.25">
      <c r="A8" s="318"/>
      <c r="B8" s="318"/>
      <c r="C8" s="100" t="s">
        <v>147</v>
      </c>
      <c r="D8" s="101">
        <v>142.4435430699013</v>
      </c>
      <c r="E8" s="101">
        <v>112.27508091126781</v>
      </c>
      <c r="F8" s="101">
        <v>83.351929976894425</v>
      </c>
      <c r="G8" s="101">
        <v>82.108597104372265</v>
      </c>
      <c r="H8" s="101">
        <v>81.717152563256263</v>
      </c>
      <c r="I8" s="101">
        <v>81.135955493177889</v>
      </c>
      <c r="J8" s="101">
        <v>85.894677168009537</v>
      </c>
      <c r="K8" s="101">
        <v>83.625509689921742</v>
      </c>
      <c r="L8" s="101">
        <v>82.68079369900282</v>
      </c>
    </row>
    <row r="9" spans="1:16" x14ac:dyDescent="0.25">
      <c r="A9" s="318"/>
      <c r="B9" s="318"/>
      <c r="C9" s="100" t="s">
        <v>281</v>
      </c>
      <c r="D9" s="101">
        <v>131.65619389263989</v>
      </c>
      <c r="E9" s="101">
        <v>108.5843941720252</v>
      </c>
      <c r="F9" s="101">
        <v>82.357194601949502</v>
      </c>
      <c r="G9" s="101">
        <v>81.915086481700868</v>
      </c>
      <c r="H9" s="101">
        <v>81.634685443130167</v>
      </c>
      <c r="I9" s="101">
        <v>81.106085796520802</v>
      </c>
      <c r="J9" s="101">
        <v>85.88870790788711</v>
      </c>
      <c r="K9" s="101">
        <v>83.623170417222994</v>
      </c>
      <c r="L9" s="101">
        <v>82.679682544470907</v>
      </c>
    </row>
    <row r="10" spans="1:16" x14ac:dyDescent="0.25">
      <c r="A10" s="318"/>
      <c r="B10" s="318"/>
      <c r="C10" s="100" t="s">
        <v>148</v>
      </c>
      <c r="D10" s="101">
        <v>146.81219651898431</v>
      </c>
      <c r="E10" s="101">
        <v>117.3804311749812</v>
      </c>
      <c r="F10" s="101">
        <v>87.431759392588575</v>
      </c>
      <c r="G10" s="101">
        <v>86.316414392150008</v>
      </c>
      <c r="H10" s="101">
        <v>85.903510587878074</v>
      </c>
      <c r="I10" s="101">
        <v>85.14643313839845</v>
      </c>
      <c r="J10" s="101">
        <v>89.712612197305546</v>
      </c>
      <c r="K10" s="101">
        <v>87.395519179694091</v>
      </c>
      <c r="L10" s="101">
        <v>86.372986523798573</v>
      </c>
    </row>
    <row r="11" spans="1:16" x14ac:dyDescent="0.25">
      <c r="A11" s="318"/>
      <c r="B11" s="318"/>
      <c r="C11" s="100" t="s">
        <v>282</v>
      </c>
      <c r="D11" s="101">
        <v>136.0248473417229</v>
      </c>
      <c r="E11" s="101">
        <v>113.6897444357385</v>
      </c>
      <c r="F11" s="101">
        <v>86.437024017643651</v>
      </c>
      <c r="G11" s="101">
        <v>86.122903769478611</v>
      </c>
      <c r="H11" s="101">
        <v>85.821043467751991</v>
      </c>
      <c r="I11" s="101">
        <v>85.116563441741363</v>
      </c>
      <c r="J11" s="101">
        <v>89.706642937183119</v>
      </c>
      <c r="K11" s="101">
        <v>87.393179906995329</v>
      </c>
      <c r="L11" s="101">
        <v>86.371875369266661</v>
      </c>
    </row>
    <row r="12" spans="1:16" x14ac:dyDescent="0.25">
      <c r="A12" s="318"/>
      <c r="B12" s="318"/>
      <c r="C12" s="100" t="s">
        <v>149</v>
      </c>
      <c r="D12" s="101">
        <v>151.3884602580882</v>
      </c>
      <c r="E12" s="101">
        <v>122.826066727951</v>
      </c>
      <c r="F12" s="101">
        <v>92.363037024873577</v>
      </c>
      <c r="G12" s="101">
        <v>91.221659959669921</v>
      </c>
      <c r="H12" s="101">
        <v>90.625101667107401</v>
      </c>
      <c r="I12" s="101">
        <v>89.824449317075889</v>
      </c>
      <c r="J12" s="101">
        <v>94.170337985198586</v>
      </c>
      <c r="K12" s="101">
        <v>91.790279048324592</v>
      </c>
      <c r="L12" s="101">
        <v>90.479434893216379</v>
      </c>
    </row>
    <row r="13" spans="1:16" x14ac:dyDescent="0.25">
      <c r="A13" s="318"/>
      <c r="B13" s="318"/>
      <c r="C13" s="100" t="s">
        <v>283</v>
      </c>
      <c r="D13" s="101">
        <v>140.6011110808268</v>
      </c>
      <c r="E13" s="101">
        <v>119.13537998870839</v>
      </c>
      <c r="F13" s="101">
        <v>91.368301649928654</v>
      </c>
      <c r="G13" s="101">
        <v>91.028149336998524</v>
      </c>
      <c r="H13" s="101">
        <v>90.542634546981319</v>
      </c>
      <c r="I13" s="101">
        <v>89.794579620418801</v>
      </c>
      <c r="J13" s="101">
        <v>94.164368725076173</v>
      </c>
      <c r="K13" s="101">
        <v>91.78793977562583</v>
      </c>
      <c r="L13" s="101">
        <v>90.478323738684466</v>
      </c>
    </row>
    <row r="14" spans="1:16" x14ac:dyDescent="0.25">
      <c r="A14" s="318"/>
      <c r="B14" s="318"/>
      <c r="C14" s="100" t="s">
        <v>137</v>
      </c>
      <c r="D14" s="101">
        <v>288.47411521705033</v>
      </c>
      <c r="E14" s="101">
        <v>258.10201030803211</v>
      </c>
      <c r="F14" s="101">
        <v>221.176375194158</v>
      </c>
      <c r="G14" s="101">
        <v>207.21624110706651</v>
      </c>
      <c r="H14" s="101">
        <v>202.97983653530599</v>
      </c>
      <c r="I14" s="101">
        <v>195.42333732886391</v>
      </c>
      <c r="J14" s="101">
        <v>189.5311737988109</v>
      </c>
      <c r="K14" s="101">
        <v>181.70110603154751</v>
      </c>
      <c r="L14" s="101">
        <v>170.4825238584383</v>
      </c>
    </row>
    <row r="15" spans="1:16" x14ac:dyDescent="0.25">
      <c r="A15" s="318"/>
      <c r="B15" s="318"/>
      <c r="C15" s="100" t="s">
        <v>284</v>
      </c>
      <c r="D15" s="101">
        <v>282.95834164952453</v>
      </c>
      <c r="E15" s="101">
        <v>254.93711543929831</v>
      </c>
      <c r="F15" s="101">
        <v>219.35483958187669</v>
      </c>
      <c r="G15" s="101">
        <v>205.8380140494146</v>
      </c>
      <c r="H15" s="101">
        <v>201.8131885605454</v>
      </c>
      <c r="I15" s="101">
        <v>193.2196017434575</v>
      </c>
      <c r="J15" s="101">
        <v>188.14492022250141</v>
      </c>
      <c r="K15" s="101">
        <v>180.63108891665169</v>
      </c>
      <c r="L15" s="101">
        <v>169.5469072396433</v>
      </c>
    </row>
    <row r="16" spans="1:16" x14ac:dyDescent="0.25">
      <c r="A16" s="318"/>
      <c r="B16" s="318"/>
      <c r="C16" s="100" t="s">
        <v>150</v>
      </c>
      <c r="D16" s="101">
        <v>663.99520474686926</v>
      </c>
      <c r="E16" s="101">
        <v>598.39626139175732</v>
      </c>
      <c r="F16" s="101">
        <v>522.73972069471324</v>
      </c>
      <c r="G16" s="101">
        <v>458.66483120672501</v>
      </c>
      <c r="H16" s="101">
        <v>422.50931371406608</v>
      </c>
      <c r="I16" s="101">
        <v>451.88431106180968</v>
      </c>
      <c r="J16" s="101">
        <v>401.10223431614332</v>
      </c>
      <c r="K16" s="101">
        <v>348.59784648343958</v>
      </c>
      <c r="L16" s="101">
        <v>334.98311050017242</v>
      </c>
    </row>
    <row r="17" spans="1:12" x14ac:dyDescent="0.25">
      <c r="A17" s="318"/>
      <c r="B17" s="318"/>
      <c r="C17" s="100" t="s">
        <v>285</v>
      </c>
      <c r="D17" s="101">
        <v>658.47943117934346</v>
      </c>
      <c r="E17" s="101">
        <v>595.23136652302355</v>
      </c>
      <c r="F17" s="101">
        <v>520.91818508243205</v>
      </c>
      <c r="G17" s="101">
        <v>457.28660414907313</v>
      </c>
      <c r="H17" s="101">
        <v>421.34266573930552</v>
      </c>
      <c r="I17" s="101">
        <v>449.68057547640342</v>
      </c>
      <c r="J17" s="101">
        <v>399.71598073983381</v>
      </c>
      <c r="K17" s="101">
        <v>347.52782936854379</v>
      </c>
      <c r="L17" s="101">
        <v>334.04749388137748</v>
      </c>
    </row>
    <row r="18" spans="1:12" x14ac:dyDescent="0.25">
      <c r="A18" s="318"/>
      <c r="B18" s="318"/>
      <c r="C18" s="100" t="s">
        <v>151</v>
      </c>
      <c r="D18" s="101">
        <v>652.74453516728613</v>
      </c>
      <c r="E18" s="101">
        <v>592.60399830726851</v>
      </c>
      <c r="F18" s="101">
        <v>516.69648452243359</v>
      </c>
      <c r="G18" s="101">
        <v>452.37244584087063</v>
      </c>
      <c r="H18" s="101">
        <v>413.1501847787581</v>
      </c>
      <c r="I18" s="101">
        <v>438.63664354484752</v>
      </c>
      <c r="J18" s="101">
        <v>388.73960534473389</v>
      </c>
      <c r="K18" s="101">
        <v>337.59271778353389</v>
      </c>
      <c r="L18" s="101">
        <v>324.664705745802</v>
      </c>
    </row>
    <row r="19" spans="1:12" x14ac:dyDescent="0.25">
      <c r="A19" s="318"/>
      <c r="B19" s="318"/>
      <c r="C19" s="100" t="s">
        <v>286</v>
      </c>
      <c r="D19" s="101">
        <v>647.22876159976033</v>
      </c>
      <c r="E19" s="101">
        <v>589.43910343853474</v>
      </c>
      <c r="F19" s="101">
        <v>514.87494891015228</v>
      </c>
      <c r="G19" s="101">
        <v>450.99421878321868</v>
      </c>
      <c r="H19" s="101">
        <v>411.98353680399748</v>
      </c>
      <c r="I19" s="101">
        <v>436.43290795944108</v>
      </c>
      <c r="J19" s="101">
        <v>387.35335176842432</v>
      </c>
      <c r="K19" s="101">
        <v>336.52270066863821</v>
      </c>
      <c r="L19" s="101">
        <v>323.72908912700711</v>
      </c>
    </row>
    <row r="20" spans="1:12" x14ac:dyDescent="0.25">
      <c r="A20" s="318"/>
      <c r="B20" s="318"/>
      <c r="C20" s="100" t="s">
        <v>152</v>
      </c>
      <c r="D20" s="101">
        <v>394.09082485359608</v>
      </c>
      <c r="E20" s="101">
        <v>357.03282984246027</v>
      </c>
      <c r="F20" s="101">
        <v>336.95144297281149</v>
      </c>
      <c r="G20" s="101">
        <v>321.56199308132841</v>
      </c>
      <c r="H20" s="101">
        <v>297.84105752393111</v>
      </c>
      <c r="I20" s="101">
        <v>272.38791944528191</v>
      </c>
      <c r="J20" s="101">
        <v>251.93923714571119</v>
      </c>
      <c r="K20" s="101">
        <v>233.05448325119471</v>
      </c>
      <c r="L20" s="101">
        <v>212.18203347204161</v>
      </c>
    </row>
    <row r="21" spans="1:12" x14ac:dyDescent="0.25">
      <c r="A21" s="318"/>
      <c r="B21" s="318"/>
      <c r="C21" s="100" t="s">
        <v>287</v>
      </c>
      <c r="D21" s="101">
        <v>388.57505128607028</v>
      </c>
      <c r="E21" s="101">
        <v>353.86793497372639</v>
      </c>
      <c r="F21" s="101">
        <v>335.1299073605303</v>
      </c>
      <c r="G21" s="101">
        <v>320.18376602367653</v>
      </c>
      <c r="H21" s="101">
        <v>296.67440954917049</v>
      </c>
      <c r="I21" s="101">
        <v>270.18418385987547</v>
      </c>
      <c r="J21" s="101">
        <v>250.5529835694017</v>
      </c>
      <c r="K21" s="101">
        <v>231.98446613629889</v>
      </c>
      <c r="L21" s="101">
        <v>211.24641685324659</v>
      </c>
    </row>
    <row r="22" spans="1:12" x14ac:dyDescent="0.25">
      <c r="A22" s="318"/>
      <c r="B22" s="318"/>
      <c r="C22" s="100" t="s">
        <v>153</v>
      </c>
      <c r="D22" s="101">
        <v>337.52794627456308</v>
      </c>
      <c r="E22" s="101">
        <v>310.61689531652132</v>
      </c>
      <c r="F22" s="101">
        <v>288.38206168499681</v>
      </c>
      <c r="G22" s="101">
        <v>277.50166718306508</v>
      </c>
      <c r="H22" s="101">
        <v>258.19542233947652</v>
      </c>
      <c r="I22" s="101">
        <v>230.13178464611121</v>
      </c>
      <c r="J22" s="101">
        <v>215.56667767604341</v>
      </c>
      <c r="K22" s="101">
        <v>203.36137331076739</v>
      </c>
      <c r="L22" s="101">
        <v>181.47467207681439</v>
      </c>
    </row>
    <row r="23" spans="1:12" x14ac:dyDescent="0.25">
      <c r="A23" s="318"/>
      <c r="B23" s="318"/>
      <c r="C23" s="100" t="s">
        <v>288</v>
      </c>
      <c r="D23" s="101">
        <v>332.01217270703728</v>
      </c>
      <c r="E23" s="101">
        <v>307.4520004477875</v>
      </c>
      <c r="F23" s="101">
        <v>286.5605260727155</v>
      </c>
      <c r="G23" s="101">
        <v>276.12344012541331</v>
      </c>
      <c r="H23" s="101">
        <v>257.0287743647159</v>
      </c>
      <c r="I23" s="101">
        <v>227.92804906070501</v>
      </c>
      <c r="J23" s="101">
        <v>214.1804240997339</v>
      </c>
      <c r="K23" s="101">
        <v>202.2913561958716</v>
      </c>
      <c r="L23" s="101">
        <v>180.53905545801939</v>
      </c>
    </row>
    <row r="24" spans="1:12" x14ac:dyDescent="0.25">
      <c r="A24" s="318"/>
      <c r="B24" s="318"/>
      <c r="C24" s="100" t="s">
        <v>154</v>
      </c>
      <c r="D24" s="101">
        <v>142.7519927236585</v>
      </c>
      <c r="E24" s="101">
        <v>123.2832577021652</v>
      </c>
      <c r="F24" s="101">
        <v>97.170153589645594</v>
      </c>
      <c r="G24" s="101">
        <v>95.917743193671214</v>
      </c>
      <c r="H24" s="101">
        <v>94.544330957540623</v>
      </c>
      <c r="I24" s="101">
        <v>91.837898244057058</v>
      </c>
      <c r="J24" s="101">
        <v>116.78280903998809</v>
      </c>
      <c r="K24" s="101">
        <v>107.64890203568</v>
      </c>
      <c r="L24" s="101">
        <v>101.1684383319768</v>
      </c>
    </row>
    <row r="25" spans="1:12" x14ac:dyDescent="0.25">
      <c r="A25" s="318"/>
      <c r="B25" s="318"/>
      <c r="C25" s="100" t="s">
        <v>155</v>
      </c>
      <c r="D25" s="101">
        <v>140.8988267812941</v>
      </c>
      <c r="E25" s="101">
        <v>119.3540673573299</v>
      </c>
      <c r="F25" s="101">
        <v>97.877286747436955</v>
      </c>
      <c r="G25" s="101">
        <v>91.520501174760597</v>
      </c>
      <c r="H25" s="101">
        <v>88.227558670069129</v>
      </c>
      <c r="I25" s="101">
        <v>85.48342295357952</v>
      </c>
      <c r="J25" s="101">
        <v>111.8848470287611</v>
      </c>
      <c r="K25" s="101">
        <v>103.0241306791807</v>
      </c>
      <c r="L25" s="101">
        <v>96.843293538130453</v>
      </c>
    </row>
    <row r="26" spans="1:12" x14ac:dyDescent="0.25">
      <c r="A26" s="318"/>
      <c r="B26" s="318"/>
      <c r="C26" s="100" t="s">
        <v>156</v>
      </c>
      <c r="D26" s="101">
        <v>232.44538720651829</v>
      </c>
      <c r="E26" s="101">
        <v>201.0594158209513</v>
      </c>
      <c r="F26" s="101">
        <v>176.8485507012671</v>
      </c>
      <c r="G26" s="101">
        <v>169.80673811070821</v>
      </c>
      <c r="H26" s="101">
        <v>183.49528481550681</v>
      </c>
      <c r="I26" s="101">
        <v>179.0870568056489</v>
      </c>
      <c r="J26" s="101">
        <v>176.83538988105909</v>
      </c>
      <c r="K26" s="101">
        <v>177.42567502134401</v>
      </c>
      <c r="L26" s="101">
        <v>161.8050555823219</v>
      </c>
    </row>
    <row r="27" spans="1:12" x14ac:dyDescent="0.25">
      <c r="A27" s="318"/>
      <c r="B27" s="318"/>
      <c r="C27" s="100" t="s">
        <v>289</v>
      </c>
      <c r="D27" s="101">
        <v>159.50573963760479</v>
      </c>
      <c r="E27" s="101">
        <v>163.54900803258559</v>
      </c>
      <c r="F27" s="101">
        <v>159.5834227875001</v>
      </c>
      <c r="G27" s="101">
        <v>159.22255255555879</v>
      </c>
      <c r="H27" s="101">
        <v>176.0997308406067</v>
      </c>
      <c r="I27" s="101">
        <v>173.9690968166411</v>
      </c>
      <c r="J27" s="101">
        <v>173.50377811628061</v>
      </c>
      <c r="K27" s="101">
        <v>174.6046434323703</v>
      </c>
      <c r="L27" s="101">
        <v>159.22590389461749</v>
      </c>
    </row>
    <row r="28" spans="1:12" x14ac:dyDescent="0.25">
      <c r="A28" s="318"/>
      <c r="B28" s="318"/>
      <c r="C28" s="100" t="s">
        <v>157</v>
      </c>
      <c r="D28" s="101">
        <v>365.87435929282981</v>
      </c>
      <c r="E28" s="101">
        <v>266.0689902192845</v>
      </c>
      <c r="F28" s="101">
        <v>203.34922698793571</v>
      </c>
      <c r="G28" s="101">
        <v>183.47601890141959</v>
      </c>
      <c r="H28" s="101">
        <v>191.20082700146969</v>
      </c>
      <c r="I28" s="101">
        <v>182.73435161125309</v>
      </c>
      <c r="J28" s="101">
        <v>177.38274329194471</v>
      </c>
      <c r="K28" s="101">
        <v>176.68249939404549</v>
      </c>
      <c r="L28" s="101">
        <v>160.57356247437829</v>
      </c>
    </row>
    <row r="29" spans="1:12" x14ac:dyDescent="0.25">
      <c r="A29" s="319"/>
      <c r="B29" s="319"/>
      <c r="C29" s="100" t="s">
        <v>290</v>
      </c>
      <c r="D29" s="101">
        <v>148.92352942836109</v>
      </c>
      <c r="E29" s="101">
        <v>157.08210179360341</v>
      </c>
      <c r="F29" s="101">
        <v>156.0560193844189</v>
      </c>
      <c r="G29" s="101">
        <v>156.541725969217</v>
      </c>
      <c r="H29" s="101">
        <v>173.983288798758</v>
      </c>
      <c r="I29" s="101">
        <v>172.4573525010349</v>
      </c>
      <c r="J29" s="101">
        <v>172.5493042542704</v>
      </c>
      <c r="K29" s="101">
        <v>173.9548585949606</v>
      </c>
      <c r="L29" s="101">
        <v>158.74088592669389</v>
      </c>
    </row>
    <row r="30" spans="1:12" x14ac:dyDescent="0.25">
      <c r="A30" s="317">
        <v>2028</v>
      </c>
      <c r="B30" s="317">
        <v>1200</v>
      </c>
      <c r="C30" s="100" t="s">
        <v>3</v>
      </c>
      <c r="D30" s="101">
        <v>379.71692154608292</v>
      </c>
      <c r="E30" s="101">
        <v>351.60441784830618</v>
      </c>
      <c r="F30" s="101">
        <v>334.31008612396403</v>
      </c>
      <c r="G30" s="101">
        <v>311.81321210954928</v>
      </c>
      <c r="H30" s="101">
        <v>283.42730648668157</v>
      </c>
      <c r="I30" s="101">
        <v>271.63022816716892</v>
      </c>
      <c r="J30" s="101">
        <v>254.06319783608021</v>
      </c>
      <c r="K30" s="101">
        <v>227.8363977828439</v>
      </c>
      <c r="L30" s="101">
        <v>214.4328936792011</v>
      </c>
    </row>
    <row r="31" spans="1:12" x14ac:dyDescent="0.25">
      <c r="A31" s="318"/>
      <c r="B31" s="318"/>
      <c r="C31" s="100" t="s">
        <v>280</v>
      </c>
      <c r="D31" s="101">
        <v>374.20114797855712</v>
      </c>
      <c r="E31" s="101">
        <v>348.43952297957242</v>
      </c>
      <c r="F31" s="101">
        <v>332.48855051168277</v>
      </c>
      <c r="G31" s="101">
        <v>310.43498505189751</v>
      </c>
      <c r="H31" s="101">
        <v>282.26065851192101</v>
      </c>
      <c r="I31" s="101">
        <v>269.42649258176249</v>
      </c>
      <c r="J31" s="101">
        <v>252.67694425977069</v>
      </c>
      <c r="K31" s="101">
        <v>226.76638066794811</v>
      </c>
      <c r="L31" s="101">
        <v>213.49727706040611</v>
      </c>
    </row>
    <row r="32" spans="1:12" x14ac:dyDescent="0.25">
      <c r="A32" s="318"/>
      <c r="B32" s="318"/>
      <c r="C32" s="100" t="s">
        <v>16</v>
      </c>
      <c r="D32" s="101">
        <v>324.91681842954148</v>
      </c>
      <c r="E32" s="101">
        <v>294.13446719017702</v>
      </c>
      <c r="F32" s="101">
        <v>268.4197021614761</v>
      </c>
      <c r="G32" s="101">
        <v>255.58928325653051</v>
      </c>
      <c r="H32" s="101">
        <v>249.79895885830439</v>
      </c>
      <c r="I32" s="101">
        <v>244.8464596627571</v>
      </c>
      <c r="J32" s="101">
        <v>243.5618504919407</v>
      </c>
      <c r="K32" s="101">
        <v>198.86286665074459</v>
      </c>
      <c r="L32" s="101">
        <v>204.1075702350505</v>
      </c>
    </row>
    <row r="33" spans="1:12" x14ac:dyDescent="0.25">
      <c r="A33" s="318"/>
      <c r="B33" s="318"/>
      <c r="C33" s="100" t="s">
        <v>144</v>
      </c>
      <c r="D33" s="101">
        <v>123.9460232115013</v>
      </c>
      <c r="E33" s="101">
        <v>104.8703929574969</v>
      </c>
      <c r="F33" s="101">
        <v>81.354226323641797</v>
      </c>
      <c r="G33" s="101">
        <v>81.089480932733579</v>
      </c>
      <c r="H33" s="101">
        <v>80.835402929509911</v>
      </c>
      <c r="I33" s="101">
        <v>80.243562895691383</v>
      </c>
      <c r="J33" s="101">
        <v>104.54574363036809</v>
      </c>
      <c r="K33" s="101">
        <v>96.207343353572909</v>
      </c>
      <c r="L33" s="101">
        <v>89.900259632954572</v>
      </c>
    </row>
    <row r="34" spans="1:12" x14ac:dyDescent="0.25">
      <c r="A34" s="318"/>
      <c r="B34" s="318"/>
      <c r="C34" s="100" t="s">
        <v>145</v>
      </c>
      <c r="D34" s="101">
        <v>128.25963978675799</v>
      </c>
      <c r="E34" s="101">
        <v>108.9842714310433</v>
      </c>
      <c r="F34" s="101">
        <v>85.226711412194774</v>
      </c>
      <c r="G34" s="101">
        <v>84.943001451737274</v>
      </c>
      <c r="H34" s="101">
        <v>84.53870146741022</v>
      </c>
      <c r="I34" s="101">
        <v>83.917063853227432</v>
      </c>
      <c r="J34" s="101">
        <v>108.0472697399438</v>
      </c>
      <c r="K34" s="101">
        <v>99.671806839165583</v>
      </c>
      <c r="L34" s="101">
        <v>93.179034981907407</v>
      </c>
    </row>
    <row r="35" spans="1:12" x14ac:dyDescent="0.25">
      <c r="A35" s="318"/>
      <c r="B35" s="318"/>
      <c r="C35" s="100" t="s">
        <v>146</v>
      </c>
      <c r="D35" s="101">
        <v>133.82007094021679</v>
      </c>
      <c r="E35" s="101">
        <v>114.2249595578399</v>
      </c>
      <c r="F35" s="101">
        <v>89.542426003169638</v>
      </c>
      <c r="G35" s="101">
        <v>89.243054520561969</v>
      </c>
      <c r="H35" s="101">
        <v>88.955705092407769</v>
      </c>
      <c r="I35" s="101">
        <v>88.159958433983078</v>
      </c>
      <c r="J35" s="101">
        <v>112.09418003068021</v>
      </c>
      <c r="K35" s="101">
        <v>103.6704168447507</v>
      </c>
      <c r="L35" s="101">
        <v>96.957449528308445</v>
      </c>
    </row>
    <row r="36" spans="1:12" x14ac:dyDescent="0.25">
      <c r="A36" s="318"/>
      <c r="B36" s="318"/>
      <c r="C36" s="100" t="s">
        <v>147</v>
      </c>
      <c r="D36" s="101">
        <v>127.4978328818721</v>
      </c>
      <c r="E36" s="101">
        <v>98.651187960677859</v>
      </c>
      <c r="F36" s="101">
        <v>74.460924211064338</v>
      </c>
      <c r="G36" s="101">
        <v>72.235469623882608</v>
      </c>
      <c r="H36" s="101">
        <v>71.899345309186742</v>
      </c>
      <c r="I36" s="101">
        <v>71.333078175892382</v>
      </c>
      <c r="J36" s="101">
        <v>75.275733470539862</v>
      </c>
      <c r="K36" s="101">
        <v>73.484096183258714</v>
      </c>
      <c r="L36" s="101">
        <v>72.703683344513493</v>
      </c>
    </row>
    <row r="37" spans="1:12" x14ac:dyDescent="0.25">
      <c r="A37" s="318"/>
      <c r="B37" s="318"/>
      <c r="C37" s="100" t="s">
        <v>281</v>
      </c>
      <c r="D37" s="101">
        <v>116.1633584281584</v>
      </c>
      <c r="E37" s="101">
        <v>94.773312694455569</v>
      </c>
      <c r="F37" s="101">
        <v>73.415736694627512</v>
      </c>
      <c r="G37" s="101">
        <v>72.032144305201484</v>
      </c>
      <c r="H37" s="101">
        <v>71.812695526095396</v>
      </c>
      <c r="I37" s="101">
        <v>71.301693513345839</v>
      </c>
      <c r="J37" s="101">
        <v>75.269461454565089</v>
      </c>
      <c r="K37" s="101">
        <v>73.48163826461635</v>
      </c>
      <c r="L37" s="101">
        <v>72.702515833158387</v>
      </c>
    </row>
    <row r="38" spans="1:12" x14ac:dyDescent="0.25">
      <c r="A38" s="318"/>
      <c r="B38" s="318"/>
      <c r="C38" s="100" t="s">
        <v>148</v>
      </c>
      <c r="D38" s="101">
        <v>130.8690933456752</v>
      </c>
      <c r="E38" s="101">
        <v>102.6380031218085</v>
      </c>
      <c r="F38" s="101">
        <v>76.521294389220927</v>
      </c>
      <c r="G38" s="101">
        <v>75.439105064766991</v>
      </c>
      <c r="H38" s="101">
        <v>75.091785904891665</v>
      </c>
      <c r="I38" s="101">
        <v>74.602449919691907</v>
      </c>
      <c r="J38" s="101">
        <v>78.302122424921208</v>
      </c>
      <c r="K38" s="101">
        <v>76.474721121450003</v>
      </c>
      <c r="L38" s="101">
        <v>75.630517271163257</v>
      </c>
    </row>
    <row r="39" spans="1:12" x14ac:dyDescent="0.25">
      <c r="A39" s="318"/>
      <c r="B39" s="318"/>
      <c r="C39" s="100" t="s">
        <v>282</v>
      </c>
      <c r="D39" s="101">
        <v>119.5346188919615</v>
      </c>
      <c r="E39" s="101">
        <v>98.760127855586191</v>
      </c>
      <c r="F39" s="101">
        <v>75.476106872784101</v>
      </c>
      <c r="G39" s="101">
        <v>75.235779746085868</v>
      </c>
      <c r="H39" s="101">
        <v>75.005136121800305</v>
      </c>
      <c r="I39" s="101">
        <v>74.571065257145364</v>
      </c>
      <c r="J39" s="101">
        <v>78.295850408946436</v>
      </c>
      <c r="K39" s="101">
        <v>76.472263202807653</v>
      </c>
      <c r="L39" s="101">
        <v>75.629349759808136</v>
      </c>
    </row>
    <row r="40" spans="1:12" x14ac:dyDescent="0.25">
      <c r="A40" s="318"/>
      <c r="B40" s="318"/>
      <c r="C40" s="100" t="s">
        <v>149</v>
      </c>
      <c r="D40" s="101">
        <v>134.83676611229859</v>
      </c>
      <c r="E40" s="101">
        <v>106.84026752304359</v>
      </c>
      <c r="F40" s="101">
        <v>80.375256586154293</v>
      </c>
      <c r="G40" s="101">
        <v>79.274193403582714</v>
      </c>
      <c r="H40" s="101">
        <v>78.908760870072399</v>
      </c>
      <c r="I40" s="101">
        <v>78.274050271391104</v>
      </c>
      <c r="J40" s="101">
        <v>81.809111735020949</v>
      </c>
      <c r="K40" s="101">
        <v>79.934783293057336</v>
      </c>
      <c r="L40" s="101">
        <v>78.933907526103539</v>
      </c>
    </row>
    <row r="41" spans="1:12" x14ac:dyDescent="0.25">
      <c r="A41" s="318"/>
      <c r="B41" s="318"/>
      <c r="C41" s="100" t="s">
        <v>283</v>
      </c>
      <c r="D41" s="101">
        <v>123.50229165858489</v>
      </c>
      <c r="E41" s="101">
        <v>102.9623922568213</v>
      </c>
      <c r="F41" s="101">
        <v>79.330069069717467</v>
      </c>
      <c r="G41" s="101">
        <v>79.070868084901591</v>
      </c>
      <c r="H41" s="101">
        <v>78.822111086981039</v>
      </c>
      <c r="I41" s="101">
        <v>78.242665608844561</v>
      </c>
      <c r="J41" s="101">
        <v>81.802839719046176</v>
      </c>
      <c r="K41" s="101">
        <v>79.932325374414972</v>
      </c>
      <c r="L41" s="101">
        <v>78.932740014748433</v>
      </c>
    </row>
    <row r="42" spans="1:12" x14ac:dyDescent="0.25">
      <c r="A42" s="318"/>
      <c r="B42" s="318"/>
      <c r="C42" s="100" t="s">
        <v>137</v>
      </c>
      <c r="D42" s="101">
        <v>246.77047573881799</v>
      </c>
      <c r="E42" s="101">
        <v>219.3996734396539</v>
      </c>
      <c r="F42" s="101">
        <v>188.29766639337441</v>
      </c>
      <c r="G42" s="101">
        <v>174.92878509989831</v>
      </c>
      <c r="H42" s="101">
        <v>171.23283779997089</v>
      </c>
      <c r="I42" s="101">
        <v>165.3583412328384</v>
      </c>
      <c r="J42" s="101">
        <v>165.63724298398429</v>
      </c>
      <c r="K42" s="101">
        <v>158.6544158592007</v>
      </c>
      <c r="L42" s="101">
        <v>148.37656009588619</v>
      </c>
    </row>
    <row r="43" spans="1:12" x14ac:dyDescent="0.25">
      <c r="A43" s="318"/>
      <c r="B43" s="318"/>
      <c r="C43" s="100" t="s">
        <v>284</v>
      </c>
      <c r="D43" s="101">
        <v>241.25470217129219</v>
      </c>
      <c r="E43" s="101">
        <v>216.2347785709201</v>
      </c>
      <c r="F43" s="101">
        <v>186.4761307810931</v>
      </c>
      <c r="G43" s="101">
        <v>173.55055804224639</v>
      </c>
      <c r="H43" s="101">
        <v>170.0661898252103</v>
      </c>
      <c r="I43" s="101">
        <v>163.15460564743219</v>
      </c>
      <c r="J43" s="101">
        <v>164.25098940767481</v>
      </c>
      <c r="K43" s="101">
        <v>157.58439874430479</v>
      </c>
      <c r="L43" s="101">
        <v>147.44094347709131</v>
      </c>
    </row>
    <row r="44" spans="1:12" x14ac:dyDescent="0.25">
      <c r="A44" s="318"/>
      <c r="B44" s="318"/>
      <c r="C44" s="100" t="s">
        <v>150</v>
      </c>
      <c r="D44" s="101">
        <v>597.80643567020638</v>
      </c>
      <c r="E44" s="101">
        <v>535.02285496321053</v>
      </c>
      <c r="F44" s="101">
        <v>462.93525372488642</v>
      </c>
      <c r="G44" s="101">
        <v>403.94018180572061</v>
      </c>
      <c r="H44" s="101">
        <v>372.47588445215769</v>
      </c>
      <c r="I44" s="101">
        <v>399.96308053339578</v>
      </c>
      <c r="J44" s="101">
        <v>355.56964811192501</v>
      </c>
      <c r="K44" s="101">
        <v>308.43407620474687</v>
      </c>
      <c r="L44" s="101">
        <v>295.71705366548008</v>
      </c>
    </row>
    <row r="45" spans="1:12" x14ac:dyDescent="0.25">
      <c r="A45" s="318"/>
      <c r="B45" s="318"/>
      <c r="C45" s="100" t="s">
        <v>285</v>
      </c>
      <c r="D45" s="101">
        <v>592.29066210268059</v>
      </c>
      <c r="E45" s="101">
        <v>531.85796009447677</v>
      </c>
      <c r="F45" s="101">
        <v>461.11371811260511</v>
      </c>
      <c r="G45" s="101">
        <v>402.56195474806867</v>
      </c>
      <c r="H45" s="101">
        <v>371.30923647739712</v>
      </c>
      <c r="I45" s="101">
        <v>397.75934494798952</v>
      </c>
      <c r="J45" s="101">
        <v>354.18339453561538</v>
      </c>
      <c r="K45" s="101">
        <v>307.36405908985108</v>
      </c>
      <c r="L45" s="101">
        <v>294.7814370466852</v>
      </c>
    </row>
    <row r="46" spans="1:12" x14ac:dyDescent="0.25">
      <c r="A46" s="318"/>
      <c r="B46" s="318"/>
      <c r="C46" s="100" t="s">
        <v>151</v>
      </c>
      <c r="D46" s="101">
        <v>587.19413085087592</v>
      </c>
      <c r="E46" s="101">
        <v>528.90297515214934</v>
      </c>
      <c r="F46" s="101">
        <v>456.51137632807308</v>
      </c>
      <c r="G46" s="101">
        <v>397.17123616893463</v>
      </c>
      <c r="H46" s="101">
        <v>362.51276435533248</v>
      </c>
      <c r="I46" s="101">
        <v>385.4214908611861</v>
      </c>
      <c r="J46" s="101">
        <v>341.67530858642971</v>
      </c>
      <c r="K46" s="101">
        <v>295.75826207933437</v>
      </c>
      <c r="L46" s="101">
        <v>283.70633961039471</v>
      </c>
    </row>
    <row r="47" spans="1:12" x14ac:dyDescent="0.25">
      <c r="A47" s="318"/>
      <c r="B47" s="318"/>
      <c r="C47" s="100" t="s">
        <v>286</v>
      </c>
      <c r="D47" s="101">
        <v>581.67835728335012</v>
      </c>
      <c r="E47" s="101">
        <v>525.73808028341546</v>
      </c>
      <c r="F47" s="101">
        <v>454.68984071579189</v>
      </c>
      <c r="G47" s="101">
        <v>395.79300911128269</v>
      </c>
      <c r="H47" s="101">
        <v>361.34611638057191</v>
      </c>
      <c r="I47" s="101">
        <v>383.21775527577978</v>
      </c>
      <c r="J47" s="101">
        <v>340.28905501012008</v>
      </c>
      <c r="K47" s="101">
        <v>294.68824496443852</v>
      </c>
      <c r="L47" s="101">
        <v>282.77072299159971</v>
      </c>
    </row>
    <row r="48" spans="1:12" x14ac:dyDescent="0.25">
      <c r="A48" s="318"/>
      <c r="B48" s="318"/>
      <c r="C48" s="100" t="s">
        <v>152</v>
      </c>
      <c r="D48" s="101">
        <v>336.11390834854723</v>
      </c>
      <c r="E48" s="101">
        <v>302.2360419784477</v>
      </c>
      <c r="F48" s="101">
        <v>284.38473103622812</v>
      </c>
      <c r="G48" s="101">
        <v>271.6295370545489</v>
      </c>
      <c r="H48" s="101">
        <v>251.4989342092108</v>
      </c>
      <c r="I48" s="101">
        <v>228.7719819504949</v>
      </c>
      <c r="J48" s="101">
        <v>216.04020608699381</v>
      </c>
      <c r="K48" s="101">
        <v>199.39172761074849</v>
      </c>
      <c r="L48" s="101">
        <v>180.9783879275719</v>
      </c>
    </row>
    <row r="49" spans="1:12" x14ac:dyDescent="0.25">
      <c r="A49" s="318"/>
      <c r="B49" s="318"/>
      <c r="C49" s="100" t="s">
        <v>287</v>
      </c>
      <c r="D49" s="101">
        <v>330.59813478102137</v>
      </c>
      <c r="E49" s="101">
        <v>299.07114710971388</v>
      </c>
      <c r="F49" s="101">
        <v>282.56319542394692</v>
      </c>
      <c r="G49" s="101">
        <v>270.25130999689702</v>
      </c>
      <c r="H49" s="101">
        <v>250.33228623445021</v>
      </c>
      <c r="I49" s="101">
        <v>226.56824636508861</v>
      </c>
      <c r="J49" s="101">
        <v>214.65395251068429</v>
      </c>
      <c r="K49" s="101">
        <v>198.3217104958527</v>
      </c>
      <c r="L49" s="101">
        <v>180.04277130877699</v>
      </c>
    </row>
    <row r="50" spans="1:12" x14ac:dyDescent="0.25">
      <c r="A50" s="318"/>
      <c r="B50" s="318"/>
      <c r="C50" s="100" t="s">
        <v>153</v>
      </c>
      <c r="D50" s="101">
        <v>289.27257577794029</v>
      </c>
      <c r="E50" s="101">
        <v>265.13011922431792</v>
      </c>
      <c r="F50" s="101">
        <v>245.0366209566607</v>
      </c>
      <c r="G50" s="101">
        <v>235.42879140551949</v>
      </c>
      <c r="H50" s="101">
        <v>218.92979026003931</v>
      </c>
      <c r="I50" s="101">
        <v>194.54123678140871</v>
      </c>
      <c r="J50" s="101">
        <v>185.83614701828239</v>
      </c>
      <c r="K50" s="101">
        <v>175.04063936227431</v>
      </c>
      <c r="L50" s="101">
        <v>155.7481975380999</v>
      </c>
    </row>
    <row r="51" spans="1:12" x14ac:dyDescent="0.25">
      <c r="A51" s="318"/>
      <c r="B51" s="318"/>
      <c r="C51" s="100" t="s">
        <v>288</v>
      </c>
      <c r="D51" s="101">
        <v>283.75680221041449</v>
      </c>
      <c r="E51" s="101">
        <v>261.96522435558421</v>
      </c>
      <c r="F51" s="101">
        <v>243.2150853443795</v>
      </c>
      <c r="G51" s="101">
        <v>234.05056434786761</v>
      </c>
      <c r="H51" s="101">
        <v>217.76314228527869</v>
      </c>
      <c r="I51" s="101">
        <v>192.33750119600239</v>
      </c>
      <c r="J51" s="101">
        <v>184.4498934419729</v>
      </c>
      <c r="K51" s="101">
        <v>173.97062224737849</v>
      </c>
      <c r="L51" s="101">
        <v>154.81258091930491</v>
      </c>
    </row>
    <row r="52" spans="1:12" x14ac:dyDescent="0.25">
      <c r="A52" s="318"/>
      <c r="B52" s="318"/>
      <c r="C52" s="100" t="s">
        <v>154</v>
      </c>
      <c r="D52" s="101">
        <v>124.9056637617671</v>
      </c>
      <c r="E52" s="101">
        <v>106.61967903611929</v>
      </c>
      <c r="F52" s="101">
        <v>84.537383154952906</v>
      </c>
      <c r="G52" s="101">
        <v>83.373316502054536</v>
      </c>
      <c r="H52" s="101">
        <v>82.076509520262761</v>
      </c>
      <c r="I52" s="101">
        <v>79.643369460633011</v>
      </c>
      <c r="J52" s="101">
        <v>106.7371583463417</v>
      </c>
      <c r="K52" s="101">
        <v>98.102947375119342</v>
      </c>
      <c r="L52" s="101">
        <v>91.818715973547953</v>
      </c>
    </row>
    <row r="53" spans="1:12" x14ac:dyDescent="0.25">
      <c r="A53" s="318"/>
      <c r="B53" s="318"/>
      <c r="C53" s="100" t="s">
        <v>155</v>
      </c>
      <c r="D53" s="101">
        <v>124.323497090923</v>
      </c>
      <c r="E53" s="101">
        <v>104.766429656136</v>
      </c>
      <c r="F53" s="101">
        <v>87.498578951730238</v>
      </c>
      <c r="G53" s="101">
        <v>80.643186517163713</v>
      </c>
      <c r="H53" s="101">
        <v>77.408690883288727</v>
      </c>
      <c r="I53" s="101">
        <v>74.864886284810638</v>
      </c>
      <c r="J53" s="101">
        <v>103.3038412029852</v>
      </c>
      <c r="K53" s="101">
        <v>94.951336372636447</v>
      </c>
      <c r="L53" s="101">
        <v>88.869195697859737</v>
      </c>
    </row>
    <row r="54" spans="1:12" x14ac:dyDescent="0.25">
      <c r="A54" s="318"/>
      <c r="B54" s="318"/>
      <c r="C54" s="100" t="s">
        <v>156</v>
      </c>
      <c r="D54" s="101">
        <v>221.14353463259741</v>
      </c>
      <c r="E54" s="101">
        <v>190.4920069552762</v>
      </c>
      <c r="F54" s="101">
        <v>166.17622041013229</v>
      </c>
      <c r="G54" s="101">
        <v>159.18406747752221</v>
      </c>
      <c r="H54" s="101">
        <v>174.48428606988409</v>
      </c>
      <c r="I54" s="101">
        <v>170.20111177157241</v>
      </c>
      <c r="J54" s="101">
        <v>167.95884639552801</v>
      </c>
      <c r="K54" s="101">
        <v>168.95673409021751</v>
      </c>
      <c r="L54" s="101">
        <v>156.76059793565321</v>
      </c>
    </row>
    <row r="55" spans="1:12" x14ac:dyDescent="0.25">
      <c r="A55" s="318"/>
      <c r="B55" s="318"/>
      <c r="C55" s="100" t="s">
        <v>289</v>
      </c>
      <c r="D55" s="101">
        <v>148.20388706368379</v>
      </c>
      <c r="E55" s="101">
        <v>152.98159916691051</v>
      </c>
      <c r="F55" s="101">
        <v>148.9110924963654</v>
      </c>
      <c r="G55" s="101">
        <v>148.59988192237279</v>
      </c>
      <c r="H55" s="101">
        <v>167.08873209498401</v>
      </c>
      <c r="I55" s="101">
        <v>165.08315178256461</v>
      </c>
      <c r="J55" s="101">
        <v>164.62723463074951</v>
      </c>
      <c r="K55" s="101">
        <v>166.1357025012438</v>
      </c>
      <c r="L55" s="101">
        <v>154.1814462479488</v>
      </c>
    </row>
    <row r="56" spans="1:12" x14ac:dyDescent="0.25">
      <c r="A56" s="318"/>
      <c r="B56" s="318"/>
      <c r="C56" s="100" t="s">
        <v>157</v>
      </c>
      <c r="D56" s="101">
        <v>354.57250671890881</v>
      </c>
      <c r="E56" s="101">
        <v>255.5015813536094</v>
      </c>
      <c r="F56" s="101">
        <v>192.67689669680101</v>
      </c>
      <c r="G56" s="101">
        <v>172.85334826823359</v>
      </c>
      <c r="H56" s="101">
        <v>182.189828255847</v>
      </c>
      <c r="I56" s="101">
        <v>173.8484065771766</v>
      </c>
      <c r="J56" s="101">
        <v>168.5061998064136</v>
      </c>
      <c r="K56" s="101">
        <v>168.21355846291911</v>
      </c>
      <c r="L56" s="101">
        <v>155.5291048277096</v>
      </c>
    </row>
    <row r="57" spans="1:12" x14ac:dyDescent="0.25">
      <c r="A57" s="319"/>
      <c r="B57" s="319"/>
      <c r="C57" s="100" t="s">
        <v>290</v>
      </c>
      <c r="D57" s="101">
        <v>137.62167685444021</v>
      </c>
      <c r="E57" s="101">
        <v>146.51469292792819</v>
      </c>
      <c r="F57" s="101">
        <v>145.38368909328409</v>
      </c>
      <c r="G57" s="101">
        <v>145.91905533603111</v>
      </c>
      <c r="H57" s="101">
        <v>164.97229005313531</v>
      </c>
      <c r="I57" s="101">
        <v>163.57140746695839</v>
      </c>
      <c r="J57" s="101">
        <v>163.67276076873929</v>
      </c>
      <c r="K57" s="101">
        <v>165.4859176638341</v>
      </c>
      <c r="L57" s="101">
        <v>153.69642828002509</v>
      </c>
    </row>
    <row r="58" spans="1:12" x14ac:dyDescent="0.25">
      <c r="A58" s="317">
        <v>2033</v>
      </c>
      <c r="B58" s="317">
        <v>1200</v>
      </c>
      <c r="C58" s="100" t="s">
        <v>3</v>
      </c>
      <c r="D58" s="101">
        <v>310.88509614727309</v>
      </c>
      <c r="E58" s="101">
        <v>285.88860297806468</v>
      </c>
      <c r="F58" s="101">
        <v>271.42102094306432</v>
      </c>
      <c r="G58" s="101">
        <v>252.69244114747511</v>
      </c>
      <c r="H58" s="101">
        <v>229.42185171211489</v>
      </c>
      <c r="I58" s="101">
        <v>218.7283352427599</v>
      </c>
      <c r="J58" s="101">
        <v>206.29630621496489</v>
      </c>
      <c r="K58" s="101">
        <v>183.70974075404831</v>
      </c>
      <c r="L58" s="101">
        <v>172.0897217687685</v>
      </c>
    </row>
    <row r="59" spans="1:12" x14ac:dyDescent="0.25">
      <c r="A59" s="318"/>
      <c r="B59" s="318"/>
      <c r="C59" s="100" t="s">
        <v>280</v>
      </c>
      <c r="D59" s="101">
        <v>305.36932257974729</v>
      </c>
      <c r="E59" s="101">
        <v>282.72370810933091</v>
      </c>
      <c r="F59" s="101">
        <v>269.59948533078301</v>
      </c>
      <c r="G59" s="101">
        <v>251.31421408982331</v>
      </c>
      <c r="H59" s="101">
        <v>228.25520373735429</v>
      </c>
      <c r="I59" s="101">
        <v>216.5245996573536</v>
      </c>
      <c r="J59" s="101">
        <v>204.9100526386554</v>
      </c>
      <c r="K59" s="101">
        <v>182.63972363915249</v>
      </c>
      <c r="L59" s="101">
        <v>171.15410514997359</v>
      </c>
    </row>
    <row r="60" spans="1:12" x14ac:dyDescent="0.25">
      <c r="A60" s="318"/>
      <c r="B60" s="318"/>
      <c r="C60" s="100" t="s">
        <v>16</v>
      </c>
      <c r="D60" s="101">
        <v>344.62509477320179</v>
      </c>
      <c r="E60" s="101">
        <v>313.85133859964873</v>
      </c>
      <c r="F60" s="101">
        <v>287.89423060584539</v>
      </c>
      <c r="G60" s="101">
        <v>274.80223284566551</v>
      </c>
      <c r="H60" s="101">
        <v>268.71610680422287</v>
      </c>
      <c r="I60" s="101">
        <v>263.358806729896</v>
      </c>
      <c r="J60" s="101">
        <v>261.58329952062991</v>
      </c>
      <c r="K60" s="101">
        <v>225.30824632728309</v>
      </c>
      <c r="L60" s="101">
        <v>229.80924580817219</v>
      </c>
    </row>
    <row r="61" spans="1:12" x14ac:dyDescent="0.25">
      <c r="A61" s="318"/>
      <c r="B61" s="318"/>
      <c r="C61" s="100" t="s">
        <v>144</v>
      </c>
      <c r="D61" s="101">
        <v>142.68753291487189</v>
      </c>
      <c r="E61" s="101">
        <v>118.201468312329</v>
      </c>
      <c r="F61" s="101">
        <v>91.837211877185965</v>
      </c>
      <c r="G61" s="101">
        <v>91.570410080375609</v>
      </c>
      <c r="H61" s="101">
        <v>91.3144171425363</v>
      </c>
      <c r="I61" s="101">
        <v>90.71831424647273</v>
      </c>
      <c r="J61" s="101">
        <v>131.93852953456161</v>
      </c>
      <c r="K61" s="101">
        <v>120.1405133374784</v>
      </c>
      <c r="L61" s="101">
        <v>111.1147309364939</v>
      </c>
    </row>
    <row r="62" spans="1:12" x14ac:dyDescent="0.25">
      <c r="A62" s="318"/>
      <c r="B62" s="318"/>
      <c r="C62" s="100" t="s">
        <v>145</v>
      </c>
      <c r="D62" s="101">
        <v>146.4350277411672</v>
      </c>
      <c r="E62" s="101">
        <v>122.7170425137657</v>
      </c>
      <c r="F62" s="101">
        <v>95.689295385916139</v>
      </c>
      <c r="G62" s="101">
        <v>95.403862178713979</v>
      </c>
      <c r="H62" s="101">
        <v>94.997220559357359</v>
      </c>
      <c r="I62" s="101">
        <v>94.372208098276744</v>
      </c>
      <c r="J62" s="101">
        <v>135.51181661862501</v>
      </c>
      <c r="K62" s="101">
        <v>123.58852968609339</v>
      </c>
      <c r="L62" s="101">
        <v>114.3829794072568</v>
      </c>
    </row>
    <row r="63" spans="1:12" x14ac:dyDescent="0.25">
      <c r="A63" s="318"/>
      <c r="B63" s="318"/>
      <c r="C63" s="100" t="s">
        <v>146</v>
      </c>
      <c r="D63" s="101">
        <v>151.9232453190651</v>
      </c>
      <c r="E63" s="101">
        <v>127.4433702314371</v>
      </c>
      <c r="F63" s="101">
        <v>99.964747427264768</v>
      </c>
      <c r="G63" s="101">
        <v>99.664175895849922</v>
      </c>
      <c r="H63" s="101">
        <v>99.375737415752823</v>
      </c>
      <c r="I63" s="101">
        <v>98.577245094352406</v>
      </c>
      <c r="J63" s="101">
        <v>139.43350035227411</v>
      </c>
      <c r="K63" s="101">
        <v>127.5537143565935</v>
      </c>
      <c r="L63" s="101">
        <v>118.1355658420032</v>
      </c>
    </row>
    <row r="64" spans="1:12" x14ac:dyDescent="0.25">
      <c r="A64" s="318"/>
      <c r="B64" s="318"/>
      <c r="C64" s="100" t="s">
        <v>147</v>
      </c>
      <c r="D64" s="101">
        <v>146.01067745529221</v>
      </c>
      <c r="E64" s="101">
        <v>110.8155057005545</v>
      </c>
      <c r="F64" s="101">
        <v>85.082438008546262</v>
      </c>
      <c r="G64" s="101">
        <v>81.619334330955866</v>
      </c>
      <c r="H64" s="101">
        <v>81.279832242265485</v>
      </c>
      <c r="I64" s="101">
        <v>80.81415312071762</v>
      </c>
      <c r="J64" s="101">
        <v>88.558516306278491</v>
      </c>
      <c r="K64" s="101">
        <v>86.769980873989894</v>
      </c>
      <c r="L64" s="101">
        <v>85.995802318565026</v>
      </c>
    </row>
    <row r="65" spans="1:12" x14ac:dyDescent="0.25">
      <c r="A65" s="318"/>
      <c r="B65" s="318"/>
      <c r="C65" s="100" t="s">
        <v>281</v>
      </c>
      <c r="D65" s="101">
        <v>134.075763841396</v>
      </c>
      <c r="E65" s="101">
        <v>106.7322015741189</v>
      </c>
      <c r="F65" s="101">
        <v>83.981882109820049</v>
      </c>
      <c r="G65" s="101">
        <v>81.405237936466051</v>
      </c>
      <c r="H65" s="101">
        <v>81.188592222264433</v>
      </c>
      <c r="I65" s="101">
        <v>80.781105868476345</v>
      </c>
      <c r="J65" s="101">
        <v>88.55191203281619</v>
      </c>
      <c r="K65" s="101">
        <v>86.767392748110197</v>
      </c>
      <c r="L65" s="101">
        <v>85.994572958772167</v>
      </c>
    </row>
    <row r="66" spans="1:12" x14ac:dyDescent="0.25">
      <c r="A66" s="318"/>
      <c r="B66" s="318"/>
      <c r="C66" s="100" t="s">
        <v>148</v>
      </c>
      <c r="D66" s="101">
        <v>149.30308503291289</v>
      </c>
      <c r="E66" s="101">
        <v>114.7050558303193</v>
      </c>
      <c r="F66" s="101">
        <v>86.515638927689594</v>
      </c>
      <c r="G66" s="101">
        <v>84.872072097405066</v>
      </c>
      <c r="H66" s="101">
        <v>84.404617625997389</v>
      </c>
      <c r="I66" s="101">
        <v>83.918675045822411</v>
      </c>
      <c r="J66" s="101">
        <v>91.524859035480347</v>
      </c>
      <c r="K66" s="101">
        <v>89.637456034961289</v>
      </c>
      <c r="L66" s="101">
        <v>88.868125816451951</v>
      </c>
    </row>
    <row r="67" spans="1:12" x14ac:dyDescent="0.25">
      <c r="A67" s="318"/>
      <c r="B67" s="318"/>
      <c r="C67" s="100" t="s">
        <v>282</v>
      </c>
      <c r="D67" s="101">
        <v>137.3681714190167</v>
      </c>
      <c r="E67" s="101">
        <v>110.6217517038837</v>
      </c>
      <c r="F67" s="101">
        <v>85.41508302896338</v>
      </c>
      <c r="G67" s="101">
        <v>84.657975702915252</v>
      </c>
      <c r="H67" s="101">
        <v>84.313377605996351</v>
      </c>
      <c r="I67" s="101">
        <v>83.885627793581136</v>
      </c>
      <c r="J67" s="101">
        <v>91.518254762018046</v>
      </c>
      <c r="K67" s="101">
        <v>89.634867909081592</v>
      </c>
      <c r="L67" s="101">
        <v>88.866896456659092</v>
      </c>
    </row>
    <row r="68" spans="1:12" x14ac:dyDescent="0.25">
      <c r="A68" s="318"/>
      <c r="B68" s="318"/>
      <c r="C68" s="100" t="s">
        <v>149</v>
      </c>
      <c r="D68" s="101">
        <v>153.16903878212079</v>
      </c>
      <c r="E68" s="101">
        <v>119.1984984527307</v>
      </c>
      <c r="F68" s="101">
        <v>89.639648461002452</v>
      </c>
      <c r="G68" s="101">
        <v>88.498045166058546</v>
      </c>
      <c r="H68" s="101">
        <v>88.130381562624791</v>
      </c>
      <c r="I68" s="101">
        <v>87.611596768387983</v>
      </c>
      <c r="J68" s="101">
        <v>95.035819177613135</v>
      </c>
      <c r="K68" s="101">
        <v>93.088834747126526</v>
      </c>
      <c r="L68" s="101">
        <v>92.09937963162912</v>
      </c>
    </row>
    <row r="69" spans="1:12" x14ac:dyDescent="0.25">
      <c r="A69" s="318"/>
      <c r="B69" s="318"/>
      <c r="C69" s="100" t="s">
        <v>283</v>
      </c>
      <c r="D69" s="101">
        <v>141.23412516822449</v>
      </c>
      <c r="E69" s="101">
        <v>115.1151943262951</v>
      </c>
      <c r="F69" s="101">
        <v>88.539092562276238</v>
      </c>
      <c r="G69" s="101">
        <v>88.283948771568731</v>
      </c>
      <c r="H69" s="101">
        <v>88.039141542623739</v>
      </c>
      <c r="I69" s="101">
        <v>87.578549516146708</v>
      </c>
      <c r="J69" s="101">
        <v>95.029214904150834</v>
      </c>
      <c r="K69" s="101">
        <v>93.086246621246829</v>
      </c>
      <c r="L69" s="101">
        <v>92.098150271836261</v>
      </c>
    </row>
    <row r="70" spans="1:12" x14ac:dyDescent="0.25">
      <c r="A70" s="318"/>
      <c r="B70" s="318"/>
      <c r="C70" s="100" t="s">
        <v>137</v>
      </c>
      <c r="D70" s="101">
        <v>237.14918306093739</v>
      </c>
      <c r="E70" s="101">
        <v>206.32543322590729</v>
      </c>
      <c r="F70" s="101">
        <v>174.2243513845973</v>
      </c>
      <c r="G70" s="101">
        <v>159.43752183615459</v>
      </c>
      <c r="H70" s="101">
        <v>156.28962773710279</v>
      </c>
      <c r="I70" s="101">
        <v>151.72701801810851</v>
      </c>
      <c r="J70" s="101">
        <v>165.32614329481621</v>
      </c>
      <c r="K70" s="101">
        <v>156.7810046019919</v>
      </c>
      <c r="L70" s="101">
        <v>145.6566755346567</v>
      </c>
    </row>
    <row r="71" spans="1:12" x14ac:dyDescent="0.25">
      <c r="A71" s="318"/>
      <c r="B71" s="318"/>
      <c r="C71" s="100" t="s">
        <v>284</v>
      </c>
      <c r="D71" s="101">
        <v>231.63340949341159</v>
      </c>
      <c r="E71" s="101">
        <v>203.16053835717349</v>
      </c>
      <c r="F71" s="101">
        <v>172.40281577231599</v>
      </c>
      <c r="G71" s="101">
        <v>158.0592947785027</v>
      </c>
      <c r="H71" s="101">
        <v>155.1229797623422</v>
      </c>
      <c r="I71" s="101">
        <v>149.52328243270219</v>
      </c>
      <c r="J71" s="101">
        <v>163.93988971850669</v>
      </c>
      <c r="K71" s="101">
        <v>155.71098748709611</v>
      </c>
      <c r="L71" s="101">
        <v>144.7210589158617</v>
      </c>
    </row>
    <row r="72" spans="1:12" x14ac:dyDescent="0.25">
      <c r="A72" s="318"/>
      <c r="B72" s="318"/>
      <c r="C72" s="100" t="s">
        <v>150</v>
      </c>
      <c r="D72" s="101">
        <v>534.57485967779212</v>
      </c>
      <c r="E72" s="101">
        <v>476.33117509414029</v>
      </c>
      <c r="F72" s="101">
        <v>409.36501966904922</v>
      </c>
      <c r="G72" s="101">
        <v>357.76387031658959</v>
      </c>
      <c r="H72" s="101">
        <v>314.59548496077031</v>
      </c>
      <c r="I72" s="101">
        <v>328.55443010438933</v>
      </c>
      <c r="J72" s="101">
        <v>288.57750405249311</v>
      </c>
      <c r="K72" s="101">
        <v>247.02059090062781</v>
      </c>
      <c r="L72" s="101">
        <v>235.5624799474173</v>
      </c>
    </row>
    <row r="73" spans="1:12" x14ac:dyDescent="0.25">
      <c r="A73" s="318"/>
      <c r="B73" s="318"/>
      <c r="C73" s="100" t="s">
        <v>285</v>
      </c>
      <c r="D73" s="101">
        <v>529.05908611026632</v>
      </c>
      <c r="E73" s="101">
        <v>473.16628022540652</v>
      </c>
      <c r="F73" s="101">
        <v>407.54348405676802</v>
      </c>
      <c r="G73" s="101">
        <v>356.38564325893782</v>
      </c>
      <c r="H73" s="101">
        <v>313.42883698600969</v>
      </c>
      <c r="I73" s="101">
        <v>326.35069451898289</v>
      </c>
      <c r="J73" s="101">
        <v>287.19125047618343</v>
      </c>
      <c r="K73" s="101">
        <v>245.95057378573199</v>
      </c>
      <c r="L73" s="101">
        <v>234.62686332862231</v>
      </c>
    </row>
    <row r="74" spans="1:12" x14ac:dyDescent="0.25">
      <c r="A74" s="318"/>
      <c r="B74" s="318"/>
      <c r="C74" s="100" t="s">
        <v>151</v>
      </c>
      <c r="D74" s="101">
        <v>519.94402094611348</v>
      </c>
      <c r="E74" s="101">
        <v>466.265009860475</v>
      </c>
      <c r="F74" s="101">
        <v>398.72313282426012</v>
      </c>
      <c r="G74" s="101">
        <v>346.39641740938151</v>
      </c>
      <c r="H74" s="101">
        <v>302.16718037750491</v>
      </c>
      <c r="I74" s="101">
        <v>307.87570454969273</v>
      </c>
      <c r="J74" s="101">
        <v>269.13641656031461</v>
      </c>
      <c r="K74" s="101">
        <v>228.82601944413551</v>
      </c>
      <c r="L74" s="101">
        <v>218.11002994441469</v>
      </c>
    </row>
    <row r="75" spans="1:12" x14ac:dyDescent="0.25">
      <c r="A75" s="318"/>
      <c r="B75" s="318"/>
      <c r="C75" s="100" t="s">
        <v>286</v>
      </c>
      <c r="D75" s="101">
        <v>514.42824737858768</v>
      </c>
      <c r="E75" s="101">
        <v>463.10011499174118</v>
      </c>
      <c r="F75" s="101">
        <v>396.90159721197892</v>
      </c>
      <c r="G75" s="101">
        <v>345.01819035172957</v>
      </c>
      <c r="H75" s="101">
        <v>301.00053240274428</v>
      </c>
      <c r="I75" s="101">
        <v>305.67196896428652</v>
      </c>
      <c r="J75" s="101">
        <v>267.7501629840051</v>
      </c>
      <c r="K75" s="101">
        <v>227.75600232923969</v>
      </c>
      <c r="L75" s="101">
        <v>217.17441332561981</v>
      </c>
    </row>
    <row r="76" spans="1:12" x14ac:dyDescent="0.25">
      <c r="A76" s="318"/>
      <c r="B76" s="318"/>
      <c r="C76" s="100" t="s">
        <v>152</v>
      </c>
      <c r="D76" s="101">
        <v>282.35845935504409</v>
      </c>
      <c r="E76" s="101">
        <v>257.62689442075907</v>
      </c>
      <c r="F76" s="101">
        <v>241.37401774417839</v>
      </c>
      <c r="G76" s="101">
        <v>229.98530201904839</v>
      </c>
      <c r="H76" s="101">
        <v>212.75310469420921</v>
      </c>
      <c r="I76" s="101">
        <v>191.92733949355889</v>
      </c>
      <c r="J76" s="101">
        <v>182.40620693482751</v>
      </c>
      <c r="K76" s="101">
        <v>167.96662397875181</v>
      </c>
      <c r="L76" s="101">
        <v>151.94526709475531</v>
      </c>
    </row>
    <row r="77" spans="1:12" x14ac:dyDescent="0.25">
      <c r="A77" s="318"/>
      <c r="B77" s="318"/>
      <c r="C77" s="100" t="s">
        <v>287</v>
      </c>
      <c r="D77" s="101">
        <v>276.84268578751829</v>
      </c>
      <c r="E77" s="101">
        <v>254.46199955202519</v>
      </c>
      <c r="F77" s="101">
        <v>239.55248213189719</v>
      </c>
      <c r="G77" s="101">
        <v>228.60707496139659</v>
      </c>
      <c r="H77" s="101">
        <v>211.58645671944851</v>
      </c>
      <c r="I77" s="101">
        <v>189.7236039081526</v>
      </c>
      <c r="J77" s="101">
        <v>181.01995335851791</v>
      </c>
      <c r="K77" s="101">
        <v>166.89660686385599</v>
      </c>
      <c r="L77" s="101">
        <v>151.0096504759604</v>
      </c>
    </row>
    <row r="78" spans="1:12" x14ac:dyDescent="0.25">
      <c r="A78" s="318"/>
      <c r="B78" s="318"/>
      <c r="C78" s="100" t="s">
        <v>153</v>
      </c>
      <c r="D78" s="101">
        <v>256.76594141890718</v>
      </c>
      <c r="E78" s="101">
        <v>234.33435011900761</v>
      </c>
      <c r="F78" s="101">
        <v>215.21425930724979</v>
      </c>
      <c r="G78" s="101">
        <v>205.29126280942589</v>
      </c>
      <c r="H78" s="101">
        <v>189.61738455931001</v>
      </c>
      <c r="I78" s="101">
        <v>167.56838319116801</v>
      </c>
      <c r="J78" s="101">
        <v>161.87919028026701</v>
      </c>
      <c r="K78" s="101">
        <v>152.4669094682759</v>
      </c>
      <c r="L78" s="101">
        <v>135.70352523771999</v>
      </c>
    </row>
    <row r="79" spans="1:12" x14ac:dyDescent="0.25">
      <c r="A79" s="318"/>
      <c r="B79" s="318"/>
      <c r="C79" s="100" t="s">
        <v>288</v>
      </c>
      <c r="D79" s="101">
        <v>251.25016785138149</v>
      </c>
      <c r="E79" s="101">
        <v>231.16945525027381</v>
      </c>
      <c r="F79" s="101">
        <v>213.39272369496859</v>
      </c>
      <c r="G79" s="101">
        <v>203.91303575177409</v>
      </c>
      <c r="H79" s="101">
        <v>188.45073658454939</v>
      </c>
      <c r="I79" s="101">
        <v>165.36464760576169</v>
      </c>
      <c r="J79" s="101">
        <v>160.49293670395741</v>
      </c>
      <c r="K79" s="101">
        <v>151.39689235338011</v>
      </c>
      <c r="L79" s="101">
        <v>134.76790861892499</v>
      </c>
    </row>
    <row r="80" spans="1:12" x14ac:dyDescent="0.25">
      <c r="A80" s="318"/>
      <c r="B80" s="318"/>
      <c r="C80" s="100" t="s">
        <v>154</v>
      </c>
      <c r="D80" s="101">
        <v>150.1643297895065</v>
      </c>
      <c r="E80" s="101">
        <v>126.6873777863993</v>
      </c>
      <c r="F80" s="101">
        <v>101.0974005206741</v>
      </c>
      <c r="G80" s="101">
        <v>99.579606114710202</v>
      </c>
      <c r="H80" s="101">
        <v>97.791043942367537</v>
      </c>
      <c r="I80" s="101">
        <v>94.367804450051835</v>
      </c>
      <c r="J80" s="101">
        <v>137.51781832270649</v>
      </c>
      <c r="K80" s="101">
        <v>125.438951722601</v>
      </c>
      <c r="L80" s="101">
        <v>116.4376559620644</v>
      </c>
    </row>
    <row r="81" spans="1:12" x14ac:dyDescent="0.25">
      <c r="A81" s="318"/>
      <c r="B81" s="318"/>
      <c r="C81" s="100" t="s">
        <v>155</v>
      </c>
      <c r="D81" s="101">
        <v>154.08406996849661</v>
      </c>
      <c r="E81" s="101">
        <v>128.7567414544302</v>
      </c>
      <c r="F81" s="101">
        <v>108.87966435297071</v>
      </c>
      <c r="G81" s="101">
        <v>99.890989951485267</v>
      </c>
      <c r="H81" s="101">
        <v>95.141562820117002</v>
      </c>
      <c r="I81" s="101">
        <v>91.465982160951995</v>
      </c>
      <c r="J81" s="101">
        <v>136.61640337349979</v>
      </c>
      <c r="K81" s="101">
        <v>124.87989139918891</v>
      </c>
      <c r="L81" s="101">
        <v>115.9527807260521</v>
      </c>
    </row>
    <row r="82" spans="1:12" x14ac:dyDescent="0.25">
      <c r="A82" s="318"/>
      <c r="B82" s="318"/>
      <c r="C82" s="100" t="s">
        <v>156</v>
      </c>
      <c r="D82" s="101">
        <v>269.3790367712935</v>
      </c>
      <c r="E82" s="101">
        <v>218.13734075736139</v>
      </c>
      <c r="F82" s="101">
        <v>181.22957425756931</v>
      </c>
      <c r="G82" s="101">
        <v>170.23521011787119</v>
      </c>
      <c r="H82" s="101">
        <v>185.08036673562029</v>
      </c>
      <c r="I82" s="101">
        <v>179.23214150971799</v>
      </c>
      <c r="J82" s="101">
        <v>175.7375914121435</v>
      </c>
      <c r="K82" s="101">
        <v>176.53214581174461</v>
      </c>
      <c r="L82" s="101">
        <v>164.98305569507579</v>
      </c>
    </row>
    <row r="83" spans="1:12" x14ac:dyDescent="0.25">
      <c r="A83" s="318"/>
      <c r="B83" s="318"/>
      <c r="C83" s="100" t="s">
        <v>289</v>
      </c>
      <c r="D83" s="101">
        <v>157.16419435758041</v>
      </c>
      <c r="E83" s="101">
        <v>160.4290210829526</v>
      </c>
      <c r="F83" s="101">
        <v>154.6678390056201</v>
      </c>
      <c r="G83" s="101">
        <v>153.95184772533361</v>
      </c>
      <c r="H83" s="101">
        <v>173.70259138962021</v>
      </c>
      <c r="I83" s="101">
        <v>171.35835691124461</v>
      </c>
      <c r="J83" s="101">
        <v>170.61203485094589</v>
      </c>
      <c r="K83" s="101">
        <v>172.19209721332359</v>
      </c>
      <c r="L83" s="101">
        <v>161.01513002168451</v>
      </c>
    </row>
    <row r="84" spans="1:12" x14ac:dyDescent="0.25">
      <c r="A84" s="318"/>
      <c r="B84" s="318"/>
      <c r="C84" s="100" t="s">
        <v>157</v>
      </c>
      <c r="D84" s="101">
        <v>474.654378442542</v>
      </c>
      <c r="E84" s="101">
        <v>318.15207060095088</v>
      </c>
      <c r="F84" s="101">
        <v>221.99984546782869</v>
      </c>
      <c r="G84" s="101">
        <v>191.26487287281179</v>
      </c>
      <c r="H84" s="101">
        <v>196.93504702171711</v>
      </c>
      <c r="I84" s="101">
        <v>184.84336428757069</v>
      </c>
      <c r="J84" s="101">
        <v>176.5796735827368</v>
      </c>
      <c r="K84" s="101">
        <v>175.38879869282391</v>
      </c>
      <c r="L84" s="101">
        <v>163.0884509136242</v>
      </c>
    </row>
    <row r="85" spans="1:12" x14ac:dyDescent="0.25">
      <c r="A85" s="319"/>
      <c r="B85" s="319"/>
      <c r="C85" s="100" t="s">
        <v>290</v>
      </c>
      <c r="D85" s="101">
        <v>140.88387095874401</v>
      </c>
      <c r="E85" s="101">
        <v>150.4799345614415</v>
      </c>
      <c r="F85" s="101">
        <v>149.24106453934129</v>
      </c>
      <c r="G85" s="101">
        <v>149.82749913096171</v>
      </c>
      <c r="H85" s="101">
        <v>170.44652670985289</v>
      </c>
      <c r="I85" s="101">
        <v>169.03259642569651</v>
      </c>
      <c r="J85" s="101">
        <v>169.14361352477641</v>
      </c>
      <c r="K85" s="101">
        <v>171.19242823269329</v>
      </c>
      <c r="L85" s="101">
        <v>160.26894853257119</v>
      </c>
    </row>
    <row r="86" spans="1:12" x14ac:dyDescent="0.25">
      <c r="A86" s="317">
        <v>2038</v>
      </c>
      <c r="B86" s="317">
        <v>1200</v>
      </c>
      <c r="C86" s="100" t="s">
        <v>3</v>
      </c>
      <c r="D86" s="101">
        <v>277.25845298305438</v>
      </c>
      <c r="E86" s="101">
        <v>253.21076925931911</v>
      </c>
      <c r="F86" s="101">
        <v>240.3127041279019</v>
      </c>
      <c r="G86" s="101">
        <v>223.38144592133409</v>
      </c>
      <c r="H86" s="101">
        <v>202.14213521817919</v>
      </c>
      <c r="I86" s="101">
        <v>191.97927613795579</v>
      </c>
      <c r="J86" s="101">
        <v>181.12958336796549</v>
      </c>
      <c r="K86" s="101">
        <v>159.84580768626361</v>
      </c>
      <c r="L86" s="101">
        <v>148.84700312088091</v>
      </c>
    </row>
    <row r="87" spans="1:12" x14ac:dyDescent="0.25">
      <c r="A87" s="318"/>
      <c r="B87" s="318"/>
      <c r="C87" s="100" t="s">
        <v>280</v>
      </c>
      <c r="D87" s="101">
        <v>271.74267941552858</v>
      </c>
      <c r="E87" s="101">
        <v>250.04587439058531</v>
      </c>
      <c r="F87" s="101">
        <v>238.49116851562059</v>
      </c>
      <c r="G87" s="101">
        <v>222.00321886368221</v>
      </c>
      <c r="H87" s="101">
        <v>200.9754872434186</v>
      </c>
      <c r="I87" s="101">
        <v>189.7755405525495</v>
      </c>
      <c r="J87" s="101">
        <v>179.74332979165601</v>
      </c>
      <c r="K87" s="101">
        <v>158.77579057136779</v>
      </c>
      <c r="L87" s="101">
        <v>147.91138650208589</v>
      </c>
    </row>
    <row r="88" spans="1:12" x14ac:dyDescent="0.25">
      <c r="A88" s="318"/>
      <c r="B88" s="318"/>
      <c r="C88" s="100" t="s">
        <v>16</v>
      </c>
      <c r="D88" s="101">
        <v>359.63570218799498</v>
      </c>
      <c r="E88" s="101">
        <v>328.99951601298551</v>
      </c>
      <c r="F88" s="101">
        <v>302.94985407787863</v>
      </c>
      <c r="G88" s="101">
        <v>289.69471757108181</v>
      </c>
      <c r="H88" s="101">
        <v>283.45942585849332</v>
      </c>
      <c r="I88" s="101">
        <v>277.78652079710838</v>
      </c>
      <c r="J88" s="101">
        <v>275.52268927583401</v>
      </c>
      <c r="K88" s="101">
        <v>241.94911639937999</v>
      </c>
      <c r="L88" s="101">
        <v>246.0529578272932</v>
      </c>
    </row>
    <row r="89" spans="1:12" x14ac:dyDescent="0.25">
      <c r="A89" s="318"/>
      <c r="B89" s="318"/>
      <c r="C89" s="100" t="s">
        <v>144</v>
      </c>
      <c r="D89" s="101">
        <v>143.8117715009532</v>
      </c>
      <c r="E89" s="101">
        <v>119.1355040045167</v>
      </c>
      <c r="F89" s="101">
        <v>92.647833704154039</v>
      </c>
      <c r="G89" s="101">
        <v>92.375683623432522</v>
      </c>
      <c r="H89" s="101">
        <v>92.114613837547026</v>
      </c>
      <c r="I89" s="101">
        <v>91.506870440376503</v>
      </c>
      <c r="J89" s="101">
        <v>133.41946375276319</v>
      </c>
      <c r="K89" s="101">
        <v>121.5268446488811</v>
      </c>
      <c r="L89" s="101">
        <v>112.4976466975819</v>
      </c>
    </row>
    <row r="90" spans="1:12" x14ac:dyDescent="0.25">
      <c r="A90" s="318"/>
      <c r="B90" s="318"/>
      <c r="C90" s="100" t="s">
        <v>145</v>
      </c>
      <c r="D90" s="101">
        <v>147.06768771048911</v>
      </c>
      <c r="E90" s="101">
        <v>123.7216903806612</v>
      </c>
      <c r="F90" s="101">
        <v>96.570626002786028</v>
      </c>
      <c r="G90" s="101">
        <v>96.27973280355755</v>
      </c>
      <c r="H90" s="101">
        <v>95.865418933887028</v>
      </c>
      <c r="I90" s="101">
        <v>95.228819713105935</v>
      </c>
      <c r="J90" s="101">
        <v>136.97263562247059</v>
      </c>
      <c r="K90" s="101">
        <v>125.0406873440088</v>
      </c>
      <c r="L90" s="101">
        <v>115.9240129800791</v>
      </c>
    </row>
    <row r="91" spans="1:12" x14ac:dyDescent="0.25">
      <c r="A91" s="318"/>
      <c r="B91" s="318"/>
      <c r="C91" s="100" t="s">
        <v>146</v>
      </c>
      <c r="D91" s="101">
        <v>152.62907295387009</v>
      </c>
      <c r="E91" s="101">
        <v>128.99429262088171</v>
      </c>
      <c r="F91" s="101">
        <v>101.07371302015061</v>
      </c>
      <c r="G91" s="101">
        <v>100.7613040517484</v>
      </c>
      <c r="H91" s="101">
        <v>100.3163456650904</v>
      </c>
      <c r="I91" s="101">
        <v>99.632660703127272</v>
      </c>
      <c r="J91" s="101">
        <v>141.05670235389499</v>
      </c>
      <c r="K91" s="101">
        <v>129.16425297088929</v>
      </c>
      <c r="L91" s="101">
        <v>119.7482713349017</v>
      </c>
    </row>
    <row r="92" spans="1:12" x14ac:dyDescent="0.25">
      <c r="A92" s="318"/>
      <c r="B92" s="318"/>
      <c r="C92" s="100" t="s">
        <v>147</v>
      </c>
      <c r="D92" s="101">
        <v>143.83568234629931</v>
      </c>
      <c r="E92" s="101">
        <v>108.7870758594272</v>
      </c>
      <c r="F92" s="101">
        <v>84.598295970314666</v>
      </c>
      <c r="G92" s="101">
        <v>79.69641071245546</v>
      </c>
      <c r="H92" s="101">
        <v>79.35244652219032</v>
      </c>
      <c r="I92" s="101">
        <v>78.887701643386464</v>
      </c>
      <c r="J92" s="101">
        <v>87.656023920107543</v>
      </c>
      <c r="K92" s="101">
        <v>85.926214218945788</v>
      </c>
      <c r="L92" s="101">
        <v>85.094436989074509</v>
      </c>
    </row>
    <row r="93" spans="1:12" x14ac:dyDescent="0.25">
      <c r="A93" s="318"/>
      <c r="B93" s="318"/>
      <c r="C93" s="100" t="s">
        <v>281</v>
      </c>
      <c r="D93" s="101">
        <v>131.2647869830671</v>
      </c>
      <c r="E93" s="101">
        <v>104.4861826506225</v>
      </c>
      <c r="F93" s="101">
        <v>83.439094195434066</v>
      </c>
      <c r="G93" s="101">
        <v>79.470905655624279</v>
      </c>
      <c r="H93" s="101">
        <v>79.256344549316651</v>
      </c>
      <c r="I93" s="101">
        <v>78.852893385580245</v>
      </c>
      <c r="J93" s="101">
        <v>87.649067721400911</v>
      </c>
      <c r="K93" s="101">
        <v>85.923488178299564</v>
      </c>
      <c r="L93" s="101">
        <v>85.093142119767563</v>
      </c>
    </row>
    <row r="94" spans="1:12" x14ac:dyDescent="0.25">
      <c r="A94" s="318"/>
      <c r="B94" s="318"/>
      <c r="C94" s="100" t="s">
        <v>148</v>
      </c>
      <c r="D94" s="101">
        <v>147.14548025048859</v>
      </c>
      <c r="E94" s="101">
        <v>112.6902834377896</v>
      </c>
      <c r="F94" s="101">
        <v>85.791575933276491</v>
      </c>
      <c r="G94" s="101">
        <v>82.94903923877223</v>
      </c>
      <c r="H94" s="101">
        <v>82.589817369836339</v>
      </c>
      <c r="I94" s="101">
        <v>82.096382630500102</v>
      </c>
      <c r="J94" s="101">
        <v>90.628312437047512</v>
      </c>
      <c r="K94" s="101">
        <v>88.739636920672311</v>
      </c>
      <c r="L94" s="101">
        <v>87.974781622494689</v>
      </c>
    </row>
    <row r="95" spans="1:12" x14ac:dyDescent="0.25">
      <c r="A95" s="318"/>
      <c r="B95" s="318"/>
      <c r="C95" s="100" t="s">
        <v>282</v>
      </c>
      <c r="D95" s="101">
        <v>134.57458488725641</v>
      </c>
      <c r="E95" s="101">
        <v>108.38939022898499</v>
      </c>
      <c r="F95" s="101">
        <v>84.632374158395891</v>
      </c>
      <c r="G95" s="101">
        <v>82.723534181941048</v>
      </c>
      <c r="H95" s="101">
        <v>82.493715396962656</v>
      </c>
      <c r="I95" s="101">
        <v>82.061574372693883</v>
      </c>
      <c r="J95" s="101">
        <v>90.62135623834088</v>
      </c>
      <c r="K95" s="101">
        <v>88.736910880026088</v>
      </c>
      <c r="L95" s="101">
        <v>87.973486753187743</v>
      </c>
    </row>
    <row r="96" spans="1:12" x14ac:dyDescent="0.25">
      <c r="A96" s="318"/>
      <c r="B96" s="318"/>
      <c r="C96" s="100" t="s">
        <v>149</v>
      </c>
      <c r="D96" s="101">
        <v>151.03144182402411</v>
      </c>
      <c r="E96" s="101">
        <v>117.19781956110781</v>
      </c>
      <c r="F96" s="101">
        <v>87.761000454632494</v>
      </c>
      <c r="G96" s="101">
        <v>86.574685958305722</v>
      </c>
      <c r="H96" s="101">
        <v>86.202950154435356</v>
      </c>
      <c r="I96" s="101">
        <v>85.68584036552771</v>
      </c>
      <c r="J96" s="101">
        <v>94.145367934697177</v>
      </c>
      <c r="K96" s="101">
        <v>92.126003555444626</v>
      </c>
      <c r="L96" s="101">
        <v>91.214598966730804</v>
      </c>
    </row>
    <row r="97" spans="1:12" x14ac:dyDescent="0.25">
      <c r="A97" s="318"/>
      <c r="B97" s="318"/>
      <c r="C97" s="100" t="s">
        <v>283</v>
      </c>
      <c r="D97" s="101">
        <v>138.46054646079179</v>
      </c>
      <c r="E97" s="101">
        <v>112.8969263523032</v>
      </c>
      <c r="F97" s="101">
        <v>86.601798679751894</v>
      </c>
      <c r="G97" s="101">
        <v>86.34918090147454</v>
      </c>
      <c r="H97" s="101">
        <v>86.106848181561674</v>
      </c>
      <c r="I97" s="101">
        <v>85.651032107721505</v>
      </c>
      <c r="J97" s="101">
        <v>94.138411735990545</v>
      </c>
      <c r="K97" s="101">
        <v>92.123277514798403</v>
      </c>
      <c r="L97" s="101">
        <v>91.213304097423844</v>
      </c>
    </row>
    <row r="98" spans="1:12" x14ac:dyDescent="0.25">
      <c r="A98" s="318"/>
      <c r="B98" s="318"/>
      <c r="C98" s="100" t="s">
        <v>137</v>
      </c>
      <c r="D98" s="101">
        <v>225.42707578732899</v>
      </c>
      <c r="E98" s="101">
        <v>195.05494387931961</v>
      </c>
      <c r="F98" s="101">
        <v>163.8451939285705</v>
      </c>
      <c r="G98" s="101">
        <v>149.04436456062999</v>
      </c>
      <c r="H98" s="101">
        <v>146.35177216816211</v>
      </c>
      <c r="I98" s="101">
        <v>142.42411172040511</v>
      </c>
      <c r="J98" s="101">
        <v>157.38023427745341</v>
      </c>
      <c r="K98" s="101">
        <v>149.00898613182829</v>
      </c>
      <c r="L98" s="101">
        <v>138.19022362872209</v>
      </c>
    </row>
    <row r="99" spans="1:12" x14ac:dyDescent="0.25">
      <c r="A99" s="318"/>
      <c r="B99" s="318"/>
      <c r="C99" s="100" t="s">
        <v>284</v>
      </c>
      <c r="D99" s="101">
        <v>219.9113022198033</v>
      </c>
      <c r="E99" s="101">
        <v>191.89004901058581</v>
      </c>
      <c r="F99" s="101">
        <v>162.02365831628919</v>
      </c>
      <c r="G99" s="101">
        <v>147.66613750297819</v>
      </c>
      <c r="H99" s="101">
        <v>145.18512419340149</v>
      </c>
      <c r="I99" s="101">
        <v>140.22037613499879</v>
      </c>
      <c r="J99" s="101">
        <v>155.99398070114381</v>
      </c>
      <c r="K99" s="101">
        <v>147.9389690169325</v>
      </c>
      <c r="L99" s="101">
        <v>137.2546070099271</v>
      </c>
    </row>
    <row r="100" spans="1:12" x14ac:dyDescent="0.25">
      <c r="A100" s="318"/>
      <c r="B100" s="318"/>
      <c r="C100" s="100" t="s">
        <v>150</v>
      </c>
      <c r="D100" s="101">
        <v>488.13442666550492</v>
      </c>
      <c r="E100" s="101">
        <v>432.22534336249288</v>
      </c>
      <c r="F100" s="101">
        <v>367.73875471430603</v>
      </c>
      <c r="G100" s="101">
        <v>319.26478388775053</v>
      </c>
      <c r="H100" s="101">
        <v>278.06956497434589</v>
      </c>
      <c r="I100" s="101">
        <v>282.0214903029709</v>
      </c>
      <c r="J100" s="101">
        <v>244.33365866219421</v>
      </c>
      <c r="K100" s="101">
        <v>204.7940205101529</v>
      </c>
      <c r="L100" s="101">
        <v>194.05443798435519</v>
      </c>
    </row>
    <row r="101" spans="1:12" x14ac:dyDescent="0.25">
      <c r="A101" s="318"/>
      <c r="B101" s="318"/>
      <c r="C101" s="100" t="s">
        <v>285</v>
      </c>
      <c r="D101" s="101">
        <v>482.61865309797912</v>
      </c>
      <c r="E101" s="101">
        <v>429.06044849375911</v>
      </c>
      <c r="F101" s="101">
        <v>365.91721910202477</v>
      </c>
      <c r="G101" s="101">
        <v>317.88655683009858</v>
      </c>
      <c r="H101" s="101">
        <v>276.90291699958527</v>
      </c>
      <c r="I101" s="101">
        <v>279.81775471756458</v>
      </c>
      <c r="J101" s="101">
        <v>242.94740508588461</v>
      </c>
      <c r="K101" s="101">
        <v>203.72400339525711</v>
      </c>
      <c r="L101" s="101">
        <v>193.11882136556031</v>
      </c>
    </row>
    <row r="102" spans="1:12" x14ac:dyDescent="0.25">
      <c r="A102" s="318"/>
      <c r="B102" s="318"/>
      <c r="C102" s="100" t="s">
        <v>151</v>
      </c>
      <c r="D102" s="101">
        <v>472.61781382828252</v>
      </c>
      <c r="E102" s="101">
        <v>421.44054400656398</v>
      </c>
      <c r="F102" s="101">
        <v>356.33227835560888</v>
      </c>
      <c r="G102" s="101">
        <v>307.07071536996341</v>
      </c>
      <c r="H102" s="101">
        <v>264.72578423595508</v>
      </c>
      <c r="I102" s="101">
        <v>259.7788350233796</v>
      </c>
      <c r="J102" s="101">
        <v>223.37793222177129</v>
      </c>
      <c r="K102" s="101">
        <v>185.14847002341659</v>
      </c>
      <c r="L102" s="101">
        <v>175.19746439198701</v>
      </c>
    </row>
    <row r="103" spans="1:12" x14ac:dyDescent="0.25">
      <c r="A103" s="318"/>
      <c r="B103" s="318"/>
      <c r="C103" s="100" t="s">
        <v>286</v>
      </c>
      <c r="D103" s="101">
        <v>467.10204026075672</v>
      </c>
      <c r="E103" s="101">
        <v>418.27564913783021</v>
      </c>
      <c r="F103" s="101">
        <v>354.51074274332768</v>
      </c>
      <c r="G103" s="101">
        <v>305.69248831231153</v>
      </c>
      <c r="H103" s="101">
        <v>263.55913626119451</v>
      </c>
      <c r="I103" s="101">
        <v>257.57509943797328</v>
      </c>
      <c r="J103" s="101">
        <v>221.99167864546169</v>
      </c>
      <c r="K103" s="101">
        <v>184.0784529085208</v>
      </c>
      <c r="L103" s="101">
        <v>174.26184777319199</v>
      </c>
    </row>
    <row r="104" spans="1:12" x14ac:dyDescent="0.25">
      <c r="A104" s="318"/>
      <c r="B104" s="318"/>
      <c r="C104" s="100" t="s">
        <v>152</v>
      </c>
      <c r="D104" s="101">
        <v>254.6265710818177</v>
      </c>
      <c r="E104" s="101">
        <v>230.64473676543389</v>
      </c>
      <c r="F104" s="101">
        <v>215.69513955447229</v>
      </c>
      <c r="G104" s="101">
        <v>205.4275044351113</v>
      </c>
      <c r="H104" s="101">
        <v>189.70782681574531</v>
      </c>
      <c r="I104" s="101">
        <v>170.14296240881481</v>
      </c>
      <c r="J104" s="101">
        <v>161.86668443907561</v>
      </c>
      <c r="K104" s="101">
        <v>148.57281224369859</v>
      </c>
      <c r="L104" s="101">
        <v>133.07493805287339</v>
      </c>
    </row>
    <row r="105" spans="1:12" x14ac:dyDescent="0.25">
      <c r="A105" s="318"/>
      <c r="B105" s="318"/>
      <c r="C105" s="100" t="s">
        <v>287</v>
      </c>
      <c r="D105" s="101">
        <v>249.1107975142919</v>
      </c>
      <c r="E105" s="101">
        <v>227.47984189670009</v>
      </c>
      <c r="F105" s="101">
        <v>213.8736039421911</v>
      </c>
      <c r="G105" s="101">
        <v>204.04927737745939</v>
      </c>
      <c r="H105" s="101">
        <v>188.54117884098471</v>
      </c>
      <c r="I105" s="101">
        <v>167.93922682340849</v>
      </c>
      <c r="J105" s="101">
        <v>160.48043086276601</v>
      </c>
      <c r="K105" s="101">
        <v>147.5027951288028</v>
      </c>
      <c r="L105" s="101">
        <v>132.13932143407851</v>
      </c>
    </row>
    <row r="106" spans="1:12" x14ac:dyDescent="0.25">
      <c r="A106" s="318"/>
      <c r="B106" s="318"/>
      <c r="C106" s="100" t="s">
        <v>153</v>
      </c>
      <c r="D106" s="101">
        <v>233.58299650544379</v>
      </c>
      <c r="E106" s="101">
        <v>211.70630082684681</v>
      </c>
      <c r="F106" s="101">
        <v>193.79780790222719</v>
      </c>
      <c r="G106" s="101">
        <v>184.54000756906311</v>
      </c>
      <c r="H106" s="101">
        <v>170.22470527582391</v>
      </c>
      <c r="I106" s="101">
        <v>149.61321045119351</v>
      </c>
      <c r="J106" s="101">
        <v>144.8542335334414</v>
      </c>
      <c r="K106" s="101">
        <v>135.9595083385737</v>
      </c>
      <c r="L106" s="101">
        <v>120.10723913893131</v>
      </c>
    </row>
    <row r="107" spans="1:12" x14ac:dyDescent="0.25">
      <c r="A107" s="318"/>
      <c r="B107" s="318"/>
      <c r="C107" s="100" t="s">
        <v>288</v>
      </c>
      <c r="D107" s="101">
        <v>228.06722293791799</v>
      </c>
      <c r="E107" s="101">
        <v>208.54140595811299</v>
      </c>
      <c r="F107" s="101">
        <v>191.976272289946</v>
      </c>
      <c r="G107" s="101">
        <v>183.16178051141119</v>
      </c>
      <c r="H107" s="101">
        <v>169.05805730106329</v>
      </c>
      <c r="I107" s="101">
        <v>147.4094748657871</v>
      </c>
      <c r="J107" s="101">
        <v>143.46797995713189</v>
      </c>
      <c r="K107" s="101">
        <v>134.88949122367791</v>
      </c>
      <c r="L107" s="101">
        <v>119.1716225201364</v>
      </c>
    </row>
    <row r="108" spans="1:12" x14ac:dyDescent="0.25">
      <c r="A108" s="318"/>
      <c r="B108" s="318"/>
      <c r="C108" s="100" t="s">
        <v>154</v>
      </c>
      <c r="D108" s="101">
        <v>150.19711646059329</v>
      </c>
      <c r="E108" s="101">
        <v>127.02158482506491</v>
      </c>
      <c r="F108" s="101">
        <v>101.47502088146931</v>
      </c>
      <c r="G108" s="101">
        <v>99.85844177999769</v>
      </c>
      <c r="H108" s="101">
        <v>98.105901019581722</v>
      </c>
      <c r="I108" s="101">
        <v>94.75052061400018</v>
      </c>
      <c r="J108" s="101">
        <v>138.5336531876587</v>
      </c>
      <c r="K108" s="101">
        <v>126.3773943839952</v>
      </c>
      <c r="L108" s="101">
        <v>117.38362861385831</v>
      </c>
    </row>
    <row r="109" spans="1:12" x14ac:dyDescent="0.25">
      <c r="A109" s="318"/>
      <c r="B109" s="318"/>
      <c r="C109" s="100" t="s">
        <v>155</v>
      </c>
      <c r="D109" s="101">
        <v>153.47753617482681</v>
      </c>
      <c r="E109" s="101">
        <v>128.42968944388829</v>
      </c>
      <c r="F109" s="101">
        <v>109.0984999909291</v>
      </c>
      <c r="G109" s="101">
        <v>99.647421579372477</v>
      </c>
      <c r="H109" s="101">
        <v>95.009982584901678</v>
      </c>
      <c r="I109" s="101">
        <v>91.415586607498909</v>
      </c>
      <c r="J109" s="101">
        <v>137.07959026979549</v>
      </c>
      <c r="K109" s="101">
        <v>125.41652522430419</v>
      </c>
      <c r="L109" s="101">
        <v>116.506123532716</v>
      </c>
    </row>
    <row r="110" spans="1:12" x14ac:dyDescent="0.25">
      <c r="A110" s="318"/>
      <c r="B110" s="318"/>
      <c r="C110" s="100" t="s">
        <v>156</v>
      </c>
      <c r="D110" s="101">
        <v>273.85534816633259</v>
      </c>
      <c r="E110" s="101">
        <v>223.20016538550669</v>
      </c>
      <c r="F110" s="101">
        <v>186.19451695198799</v>
      </c>
      <c r="G110" s="101">
        <v>175.24649323642001</v>
      </c>
      <c r="H110" s="101">
        <v>191.42491841084691</v>
      </c>
      <c r="I110" s="101">
        <v>185.53503566842551</v>
      </c>
      <c r="J110" s="101">
        <v>182.04925675548111</v>
      </c>
      <c r="K110" s="101">
        <v>183.0460040317958</v>
      </c>
      <c r="L110" s="101">
        <v>172.02073700176879</v>
      </c>
    </row>
    <row r="111" spans="1:12" x14ac:dyDescent="0.25">
      <c r="A111" s="318"/>
      <c r="B111" s="318"/>
      <c r="C111" s="100" t="s">
        <v>289</v>
      </c>
      <c r="D111" s="101">
        <v>161.64050575261959</v>
      </c>
      <c r="E111" s="101">
        <v>165.49184571109791</v>
      </c>
      <c r="F111" s="101">
        <v>159.63278170003881</v>
      </c>
      <c r="G111" s="101">
        <v>158.9631308438824</v>
      </c>
      <c r="H111" s="101">
        <v>180.04714306484669</v>
      </c>
      <c r="I111" s="101">
        <v>177.66125106995199</v>
      </c>
      <c r="J111" s="101">
        <v>176.9237001942835</v>
      </c>
      <c r="K111" s="101">
        <v>178.70595543337481</v>
      </c>
      <c r="L111" s="101">
        <v>168.05281132837749</v>
      </c>
    </row>
    <row r="112" spans="1:12" x14ac:dyDescent="0.25">
      <c r="A112" s="318"/>
      <c r="B112" s="318"/>
      <c r="C112" s="100" t="s">
        <v>157</v>
      </c>
      <c r="D112" s="101">
        <v>479.1306898375812</v>
      </c>
      <c r="E112" s="101">
        <v>323.21489522909621</v>
      </c>
      <c r="F112" s="101">
        <v>226.9647881622474</v>
      </c>
      <c r="G112" s="101">
        <v>196.27615599136061</v>
      </c>
      <c r="H112" s="101">
        <v>203.27959869694359</v>
      </c>
      <c r="I112" s="101">
        <v>191.14625844627821</v>
      </c>
      <c r="J112" s="101">
        <v>182.89133892607441</v>
      </c>
      <c r="K112" s="101">
        <v>181.9026569128751</v>
      </c>
      <c r="L112" s="101">
        <v>170.1261322203172</v>
      </c>
    </row>
    <row r="113" spans="1:12" x14ac:dyDescent="0.25">
      <c r="A113" s="319"/>
      <c r="B113" s="319"/>
      <c r="C113" s="100" t="s">
        <v>290</v>
      </c>
      <c r="D113" s="101">
        <v>145.36018235378319</v>
      </c>
      <c r="E113" s="101">
        <v>155.54275918958669</v>
      </c>
      <c r="F113" s="101">
        <v>154.20600723376</v>
      </c>
      <c r="G113" s="101">
        <v>154.8387822495105</v>
      </c>
      <c r="H113" s="101">
        <v>176.7910783850794</v>
      </c>
      <c r="I113" s="101">
        <v>175.335490584404</v>
      </c>
      <c r="J113" s="101">
        <v>175.45527886811391</v>
      </c>
      <c r="K113" s="101">
        <v>177.70628645274451</v>
      </c>
      <c r="L113" s="101">
        <v>167.30662983926419</v>
      </c>
    </row>
    <row r="114" spans="1:12" x14ac:dyDescent="0.25">
      <c r="A114" s="317">
        <v>2043</v>
      </c>
      <c r="B114" s="317">
        <v>1200</v>
      </c>
      <c r="C114" s="100" t="s">
        <v>3</v>
      </c>
      <c r="D114" s="101">
        <v>273.86631838029928</v>
      </c>
      <c r="E114" s="101">
        <v>248.99870937007711</v>
      </c>
      <c r="F114" s="101">
        <v>236.60912804866101</v>
      </c>
      <c r="G114" s="101">
        <v>219.89287628937549</v>
      </c>
      <c r="H114" s="101">
        <v>198.92756437088909</v>
      </c>
      <c r="I114" s="101">
        <v>187.92767999837449</v>
      </c>
      <c r="J114" s="101">
        <v>177.52674390749019</v>
      </c>
      <c r="K114" s="101">
        <v>155.54770715330841</v>
      </c>
      <c r="L114" s="101">
        <v>144.18128644012401</v>
      </c>
    </row>
    <row r="115" spans="1:12" x14ac:dyDescent="0.25">
      <c r="A115" s="318"/>
      <c r="B115" s="318"/>
      <c r="C115" s="100" t="s">
        <v>280</v>
      </c>
      <c r="D115" s="101">
        <v>268.35054481277348</v>
      </c>
      <c r="E115" s="101">
        <v>245.83381450134331</v>
      </c>
      <c r="F115" s="101">
        <v>234.78759243637981</v>
      </c>
      <c r="G115" s="101">
        <v>218.51464923172361</v>
      </c>
      <c r="H115" s="101">
        <v>197.76091639612849</v>
      </c>
      <c r="I115" s="101">
        <v>185.72394441296819</v>
      </c>
      <c r="J115" s="101">
        <v>176.1404903311807</v>
      </c>
      <c r="K115" s="101">
        <v>154.47769003841259</v>
      </c>
      <c r="L115" s="101">
        <v>143.24566982132899</v>
      </c>
    </row>
    <row r="116" spans="1:12" x14ac:dyDescent="0.25">
      <c r="A116" s="318"/>
      <c r="B116" s="318"/>
      <c r="C116" s="100" t="s">
        <v>16</v>
      </c>
      <c r="D116" s="101">
        <v>357.73220398351077</v>
      </c>
      <c r="E116" s="101">
        <v>327.67328235455432</v>
      </c>
      <c r="F116" s="101">
        <v>302.0530500137769</v>
      </c>
      <c r="G116" s="101">
        <v>288.98241240500698</v>
      </c>
      <c r="H116" s="101">
        <v>282.87418462866202</v>
      </c>
      <c r="I116" s="101">
        <v>277.20820106361361</v>
      </c>
      <c r="J116" s="101">
        <v>274.9535765991302</v>
      </c>
      <c r="K116" s="101">
        <v>246.55575959920631</v>
      </c>
      <c r="L116" s="101">
        <v>250.59810594057751</v>
      </c>
    </row>
    <row r="117" spans="1:12" x14ac:dyDescent="0.25">
      <c r="A117" s="318"/>
      <c r="B117" s="318"/>
      <c r="C117" s="100" t="s">
        <v>144</v>
      </c>
      <c r="D117" s="101">
        <v>144.3156301518512</v>
      </c>
      <c r="E117" s="101">
        <v>120.4366181396217</v>
      </c>
      <c r="F117" s="101">
        <v>93.405193465244878</v>
      </c>
      <c r="G117" s="101">
        <v>93.128467598950891</v>
      </c>
      <c r="H117" s="101">
        <v>92.863067991205867</v>
      </c>
      <c r="I117" s="101">
        <v>92.245440841222489</v>
      </c>
      <c r="J117" s="101">
        <v>134.76817350039059</v>
      </c>
      <c r="K117" s="101">
        <v>122.87153619592981</v>
      </c>
      <c r="L117" s="101">
        <v>113.9320692316565</v>
      </c>
    </row>
    <row r="118" spans="1:12" x14ac:dyDescent="0.25">
      <c r="A118" s="318"/>
      <c r="B118" s="318"/>
      <c r="C118" s="100" t="s">
        <v>145</v>
      </c>
      <c r="D118" s="101">
        <v>148.1549894879831</v>
      </c>
      <c r="E118" s="101">
        <v>124.6293138000318</v>
      </c>
      <c r="F118" s="101">
        <v>97.393154772403889</v>
      </c>
      <c r="G118" s="101">
        <v>97.097629594541004</v>
      </c>
      <c r="H118" s="101">
        <v>96.676834106603735</v>
      </c>
      <c r="I118" s="101">
        <v>96.154614605988655</v>
      </c>
      <c r="J118" s="101">
        <v>138.3830376666406</v>
      </c>
      <c r="K118" s="101">
        <v>126.5327175548732</v>
      </c>
      <c r="L118" s="101">
        <v>117.32471717906679</v>
      </c>
    </row>
    <row r="119" spans="1:12" x14ac:dyDescent="0.25">
      <c r="A119" s="318"/>
      <c r="B119" s="318"/>
      <c r="C119" s="100" t="s">
        <v>146</v>
      </c>
      <c r="D119" s="101">
        <v>153.81210010227659</v>
      </c>
      <c r="E119" s="101">
        <v>129.96461082714171</v>
      </c>
      <c r="F119" s="101">
        <v>101.9624515470788</v>
      </c>
      <c r="G119" s="101">
        <v>101.6453866332201</v>
      </c>
      <c r="H119" s="101">
        <v>101.1939209202145</v>
      </c>
      <c r="I119" s="101">
        <v>100.5004741944997</v>
      </c>
      <c r="J119" s="101">
        <v>142.5301161390276</v>
      </c>
      <c r="K119" s="101">
        <v>130.6352393577929</v>
      </c>
      <c r="L119" s="101">
        <v>121.20497709327179</v>
      </c>
    </row>
    <row r="120" spans="1:12" x14ac:dyDescent="0.25">
      <c r="A120" s="318"/>
      <c r="B120" s="318"/>
      <c r="C120" s="100" t="s">
        <v>147</v>
      </c>
      <c r="D120" s="101">
        <v>141.1448881871635</v>
      </c>
      <c r="E120" s="101">
        <v>106.73064408118979</v>
      </c>
      <c r="F120" s="101">
        <v>84.094107124080153</v>
      </c>
      <c r="G120" s="101">
        <v>77.758084809486874</v>
      </c>
      <c r="H120" s="101">
        <v>77.40998341369189</v>
      </c>
      <c r="I120" s="101">
        <v>77.043438089143592</v>
      </c>
      <c r="J120" s="101">
        <v>86.740254396386362</v>
      </c>
      <c r="K120" s="101">
        <v>85.070608205789327</v>
      </c>
      <c r="L120" s="101">
        <v>84.182394885248371</v>
      </c>
    </row>
    <row r="121" spans="1:12" x14ac:dyDescent="0.25">
      <c r="A121" s="318"/>
      <c r="B121" s="318"/>
      <c r="C121" s="100" t="s">
        <v>281</v>
      </c>
      <c r="D121" s="101">
        <v>127.93801107459529</v>
      </c>
      <c r="E121" s="101">
        <v>102.2121617900161</v>
      </c>
      <c r="F121" s="101">
        <v>82.876259473045167</v>
      </c>
      <c r="G121" s="101">
        <v>77.521171090314354</v>
      </c>
      <c r="H121" s="101">
        <v>77.309019487945591</v>
      </c>
      <c r="I121" s="101">
        <v>77.006868825772443</v>
      </c>
      <c r="J121" s="101">
        <v>86.732946272435399</v>
      </c>
      <c r="K121" s="101">
        <v>85.067744250376577</v>
      </c>
      <c r="L121" s="101">
        <v>84.181034506427338</v>
      </c>
    </row>
    <row r="122" spans="1:12" x14ac:dyDescent="0.25">
      <c r="A122" s="318"/>
      <c r="B122" s="318"/>
      <c r="C122" s="100" t="s">
        <v>148</v>
      </c>
      <c r="D122" s="101">
        <v>144.97514925892901</v>
      </c>
      <c r="E122" s="101">
        <v>110.64655955085141</v>
      </c>
      <c r="F122" s="101">
        <v>85.23600399989374</v>
      </c>
      <c r="G122" s="101">
        <v>81.010173232055891</v>
      </c>
      <c r="H122" s="101">
        <v>80.647023215932904</v>
      </c>
      <c r="I122" s="101">
        <v>80.155540393258917</v>
      </c>
      <c r="J122" s="101">
        <v>89.718359462097894</v>
      </c>
      <c r="K122" s="101">
        <v>87.83051947645221</v>
      </c>
      <c r="L122" s="101">
        <v>87.070596304396943</v>
      </c>
    </row>
    <row r="123" spans="1:12" x14ac:dyDescent="0.25">
      <c r="A123" s="318"/>
      <c r="B123" s="318"/>
      <c r="C123" s="100" t="s">
        <v>282</v>
      </c>
      <c r="D123" s="101">
        <v>131.76827214636069</v>
      </c>
      <c r="E123" s="101">
        <v>106.1280772596778</v>
      </c>
      <c r="F123" s="101">
        <v>84.018156348858753</v>
      </c>
      <c r="G123" s="101">
        <v>80.773259512883357</v>
      </c>
      <c r="H123" s="101">
        <v>80.546059290186577</v>
      </c>
      <c r="I123" s="101">
        <v>80.118971129887754</v>
      </c>
      <c r="J123" s="101">
        <v>89.71105133814693</v>
      </c>
      <c r="K123" s="101">
        <v>87.827655521039475</v>
      </c>
      <c r="L123" s="101">
        <v>87.069235925575882</v>
      </c>
    </row>
    <row r="124" spans="1:12" x14ac:dyDescent="0.25">
      <c r="A124" s="318"/>
      <c r="B124" s="318"/>
      <c r="C124" s="100" t="s">
        <v>149</v>
      </c>
      <c r="D124" s="101">
        <v>148.88113804450981</v>
      </c>
      <c r="E124" s="101">
        <v>114.7418800560469</v>
      </c>
      <c r="F124" s="101">
        <v>86.827771120130095</v>
      </c>
      <c r="G124" s="101">
        <v>84.758849209391471</v>
      </c>
      <c r="H124" s="101">
        <v>84.259848898193582</v>
      </c>
      <c r="I124" s="101">
        <v>83.745093562651732</v>
      </c>
      <c r="J124" s="101">
        <v>93.24134767753182</v>
      </c>
      <c r="K124" s="101">
        <v>91.224043933427552</v>
      </c>
      <c r="L124" s="101">
        <v>90.318910987360795</v>
      </c>
    </row>
    <row r="125" spans="1:12" x14ac:dyDescent="0.25">
      <c r="A125" s="318"/>
      <c r="B125" s="318"/>
      <c r="C125" s="100" t="s">
        <v>283</v>
      </c>
      <c r="D125" s="101">
        <v>135.6742609319416</v>
      </c>
      <c r="E125" s="101">
        <v>110.2233977648732</v>
      </c>
      <c r="F125" s="101">
        <v>85.609923469095094</v>
      </c>
      <c r="G125" s="101">
        <v>84.521935490218951</v>
      </c>
      <c r="H125" s="101">
        <v>84.158884972447282</v>
      </c>
      <c r="I125" s="101">
        <v>83.708524299280583</v>
      </c>
      <c r="J125" s="101">
        <v>93.234039553580857</v>
      </c>
      <c r="K125" s="101">
        <v>91.221179978014817</v>
      </c>
      <c r="L125" s="101">
        <v>90.317550608539747</v>
      </c>
    </row>
    <row r="126" spans="1:12" x14ac:dyDescent="0.25">
      <c r="A126" s="318"/>
      <c r="B126" s="318"/>
      <c r="C126" s="100" t="s">
        <v>137</v>
      </c>
      <c r="D126" s="101">
        <v>225.59934894676661</v>
      </c>
      <c r="E126" s="101">
        <v>194.6498301051025</v>
      </c>
      <c r="F126" s="101">
        <v>163.77676968167671</v>
      </c>
      <c r="G126" s="101">
        <v>148.35813849201719</v>
      </c>
      <c r="H126" s="101">
        <v>145.9640542024604</v>
      </c>
      <c r="I126" s="101">
        <v>142.14230055916491</v>
      </c>
      <c r="J126" s="101">
        <v>157.3341592178391</v>
      </c>
      <c r="K126" s="101">
        <v>148.86203499280219</v>
      </c>
      <c r="L126" s="101">
        <v>137.97270139130609</v>
      </c>
    </row>
    <row r="127" spans="1:12" x14ac:dyDescent="0.25">
      <c r="A127" s="318"/>
      <c r="B127" s="318"/>
      <c r="C127" s="100" t="s">
        <v>284</v>
      </c>
      <c r="D127" s="101">
        <v>220.0835753792409</v>
      </c>
      <c r="E127" s="101">
        <v>191.4849352363687</v>
      </c>
      <c r="F127" s="101">
        <v>161.9552340693954</v>
      </c>
      <c r="G127" s="101">
        <v>146.97991143436531</v>
      </c>
      <c r="H127" s="101">
        <v>144.79740622769981</v>
      </c>
      <c r="I127" s="101">
        <v>139.93856497375859</v>
      </c>
      <c r="J127" s="101">
        <v>155.9479056415295</v>
      </c>
      <c r="K127" s="101">
        <v>147.7920178779064</v>
      </c>
      <c r="L127" s="101">
        <v>137.03708477251121</v>
      </c>
    </row>
    <row r="128" spans="1:12" x14ac:dyDescent="0.25">
      <c r="A128" s="318"/>
      <c r="B128" s="318"/>
      <c r="C128" s="100" t="s">
        <v>150</v>
      </c>
      <c r="D128" s="101">
        <v>480.45716528108818</v>
      </c>
      <c r="E128" s="101">
        <v>425.02789914307039</v>
      </c>
      <c r="F128" s="101">
        <v>361.86233634561472</v>
      </c>
      <c r="G128" s="101">
        <v>313.61049807167581</v>
      </c>
      <c r="H128" s="101">
        <v>272.26615556236442</v>
      </c>
      <c r="I128" s="101">
        <v>273.82735395875233</v>
      </c>
      <c r="J128" s="101">
        <v>235.7053059952579</v>
      </c>
      <c r="K128" s="101">
        <v>195.14864817180381</v>
      </c>
      <c r="L128" s="101">
        <v>184.46572810904141</v>
      </c>
    </row>
    <row r="129" spans="1:12" x14ac:dyDescent="0.25">
      <c r="A129" s="318"/>
      <c r="B129" s="318"/>
      <c r="C129" s="100" t="s">
        <v>285</v>
      </c>
      <c r="D129" s="101">
        <v>474.94139171356238</v>
      </c>
      <c r="E129" s="101">
        <v>421.86300427433662</v>
      </c>
      <c r="F129" s="101">
        <v>360.04080073333341</v>
      </c>
      <c r="G129" s="101">
        <v>312.23227101402392</v>
      </c>
      <c r="H129" s="101">
        <v>271.0995075876038</v>
      </c>
      <c r="I129" s="101">
        <v>271.62361837334601</v>
      </c>
      <c r="J129" s="101">
        <v>234.31905241894839</v>
      </c>
      <c r="K129" s="101">
        <v>194.07863105690799</v>
      </c>
      <c r="L129" s="101">
        <v>183.53011149024641</v>
      </c>
    </row>
    <row r="130" spans="1:12" x14ac:dyDescent="0.25">
      <c r="A130" s="318"/>
      <c r="B130" s="318"/>
      <c r="C130" s="100" t="s">
        <v>151</v>
      </c>
      <c r="D130" s="101">
        <v>464.02069661926231</v>
      </c>
      <c r="E130" s="101">
        <v>413.48127739954992</v>
      </c>
      <c r="F130" s="101">
        <v>349.6447523518886</v>
      </c>
      <c r="G130" s="101">
        <v>300.53837684344302</v>
      </c>
      <c r="H130" s="101">
        <v>257.94860182578191</v>
      </c>
      <c r="I130" s="101">
        <v>249.91667352342989</v>
      </c>
      <c r="J130" s="101">
        <v>213.12941951879631</v>
      </c>
      <c r="K130" s="101">
        <v>173.9475149054762</v>
      </c>
      <c r="L130" s="101">
        <v>164.10162942435761</v>
      </c>
    </row>
    <row r="131" spans="1:12" x14ac:dyDescent="0.25">
      <c r="A131" s="318"/>
      <c r="B131" s="318"/>
      <c r="C131" s="100" t="s">
        <v>286</v>
      </c>
      <c r="D131" s="101">
        <v>458.50492305173651</v>
      </c>
      <c r="E131" s="101">
        <v>410.31638253081599</v>
      </c>
      <c r="F131" s="101">
        <v>347.82321673960729</v>
      </c>
      <c r="G131" s="101">
        <v>299.16014978579108</v>
      </c>
      <c r="H131" s="101">
        <v>256.78195385102129</v>
      </c>
      <c r="I131" s="101">
        <v>247.7129379380236</v>
      </c>
      <c r="J131" s="101">
        <v>211.74316594248671</v>
      </c>
      <c r="K131" s="101">
        <v>172.87749779058041</v>
      </c>
      <c r="L131" s="101">
        <v>163.16601280556259</v>
      </c>
    </row>
    <row r="132" spans="1:12" x14ac:dyDescent="0.25">
      <c r="A132" s="318"/>
      <c r="B132" s="318"/>
      <c r="C132" s="100" t="s">
        <v>152</v>
      </c>
      <c r="D132" s="101">
        <v>251.60337072777759</v>
      </c>
      <c r="E132" s="101">
        <v>226.76985531787449</v>
      </c>
      <c r="F132" s="101">
        <v>212.121471000767</v>
      </c>
      <c r="G132" s="101">
        <v>202.1314297645429</v>
      </c>
      <c r="H132" s="101">
        <v>186.65195341249969</v>
      </c>
      <c r="I132" s="101">
        <v>166.59365162403199</v>
      </c>
      <c r="J132" s="101">
        <v>158.80082547194559</v>
      </c>
      <c r="K132" s="101">
        <v>145.1095918047279</v>
      </c>
      <c r="L132" s="101">
        <v>129.1035616035156</v>
      </c>
    </row>
    <row r="133" spans="1:12" x14ac:dyDescent="0.25">
      <c r="A133" s="318"/>
      <c r="B133" s="318"/>
      <c r="C133" s="100" t="s">
        <v>287</v>
      </c>
      <c r="D133" s="101">
        <v>246.08759716025179</v>
      </c>
      <c r="E133" s="101">
        <v>223.60496044914069</v>
      </c>
      <c r="F133" s="101">
        <v>210.29993538848569</v>
      </c>
      <c r="G133" s="101">
        <v>200.75320270689099</v>
      </c>
      <c r="H133" s="101">
        <v>185.4853054377391</v>
      </c>
      <c r="I133" s="101">
        <v>164.3899160386257</v>
      </c>
      <c r="J133" s="101">
        <v>157.4145718956361</v>
      </c>
      <c r="K133" s="101">
        <v>144.03957468983211</v>
      </c>
      <c r="L133" s="101">
        <v>128.16794498472069</v>
      </c>
    </row>
    <row r="134" spans="1:12" x14ac:dyDescent="0.25">
      <c r="A134" s="318"/>
      <c r="B134" s="318"/>
      <c r="C134" s="100" t="s">
        <v>153</v>
      </c>
      <c r="D134" s="101">
        <v>230.84185322831451</v>
      </c>
      <c r="E134" s="101">
        <v>208.33493195124501</v>
      </c>
      <c r="F134" s="101">
        <v>190.4495862720928</v>
      </c>
      <c r="G134" s="101">
        <v>181.45162490378229</v>
      </c>
      <c r="H134" s="101">
        <v>167.54808942243619</v>
      </c>
      <c r="I134" s="101">
        <v>146.53586770889621</v>
      </c>
      <c r="J134" s="101">
        <v>142.1583674069874</v>
      </c>
      <c r="K134" s="101">
        <v>133.27933220996559</v>
      </c>
      <c r="L134" s="101">
        <v>116.6465904763439</v>
      </c>
    </row>
    <row r="135" spans="1:12" x14ac:dyDescent="0.25">
      <c r="A135" s="318"/>
      <c r="B135" s="318"/>
      <c r="C135" s="100" t="s">
        <v>288</v>
      </c>
      <c r="D135" s="101">
        <v>225.32607966078871</v>
      </c>
      <c r="E135" s="101">
        <v>205.17003708251119</v>
      </c>
      <c r="F135" s="101">
        <v>188.62805065981161</v>
      </c>
      <c r="G135" s="101">
        <v>180.0733978461304</v>
      </c>
      <c r="H135" s="101">
        <v>166.3814414476756</v>
      </c>
      <c r="I135" s="101">
        <v>144.33213212348991</v>
      </c>
      <c r="J135" s="101">
        <v>140.7721138306778</v>
      </c>
      <c r="K135" s="101">
        <v>132.20931509506991</v>
      </c>
      <c r="L135" s="101">
        <v>115.71097385754889</v>
      </c>
    </row>
    <row r="136" spans="1:12" x14ac:dyDescent="0.25">
      <c r="A136" s="318"/>
      <c r="B136" s="318"/>
      <c r="C136" s="100" t="s">
        <v>154</v>
      </c>
      <c r="D136" s="101">
        <v>150.6645065777185</v>
      </c>
      <c r="E136" s="101">
        <v>127.2682810186592</v>
      </c>
      <c r="F136" s="101">
        <v>102.0831143438826</v>
      </c>
      <c r="G136" s="101">
        <v>100.2113225213629</v>
      </c>
      <c r="H136" s="101">
        <v>98.369996060974273</v>
      </c>
      <c r="I136" s="101">
        <v>95.083782078715501</v>
      </c>
      <c r="J136" s="101">
        <v>139.4217988468971</v>
      </c>
      <c r="K136" s="101">
        <v>127.2743222565217</v>
      </c>
      <c r="L136" s="101">
        <v>118.3711202793034</v>
      </c>
    </row>
    <row r="137" spans="1:12" x14ac:dyDescent="0.25">
      <c r="A137" s="318"/>
      <c r="B137" s="318"/>
      <c r="C137" s="100" t="s">
        <v>155</v>
      </c>
      <c r="D137" s="101">
        <v>153.27001877712169</v>
      </c>
      <c r="E137" s="101">
        <v>128.02963062775891</v>
      </c>
      <c r="F137" s="101">
        <v>109.5335521154513</v>
      </c>
      <c r="G137" s="101">
        <v>99.361762121908725</v>
      </c>
      <c r="H137" s="101">
        <v>94.836880695352875</v>
      </c>
      <c r="I137" s="101">
        <v>91.324487536679811</v>
      </c>
      <c r="J137" s="101">
        <v>137.57913464461529</v>
      </c>
      <c r="K137" s="101">
        <v>125.9214228015623</v>
      </c>
      <c r="L137" s="101">
        <v>116.966424337189</v>
      </c>
    </row>
    <row r="138" spans="1:12" x14ac:dyDescent="0.25">
      <c r="A138" s="318"/>
      <c r="B138" s="318"/>
      <c r="C138" s="100" t="s">
        <v>156</v>
      </c>
      <c r="D138" s="101">
        <v>277.77201082516149</v>
      </c>
      <c r="E138" s="101">
        <v>227.53404754482489</v>
      </c>
      <c r="F138" s="101">
        <v>190.45106750993409</v>
      </c>
      <c r="G138" s="101">
        <v>179.53964760837559</v>
      </c>
      <c r="H138" s="101">
        <v>196.68967832285159</v>
      </c>
      <c r="I138" s="101">
        <v>190.75681239771461</v>
      </c>
      <c r="J138" s="101">
        <v>187.27795991663831</v>
      </c>
      <c r="K138" s="101">
        <v>188.43100782950381</v>
      </c>
      <c r="L138" s="101">
        <v>177.6885785601531</v>
      </c>
    </row>
    <row r="139" spans="1:12" x14ac:dyDescent="0.25">
      <c r="A139" s="318"/>
      <c r="B139" s="318"/>
      <c r="C139" s="100" t="s">
        <v>289</v>
      </c>
      <c r="D139" s="101">
        <v>165.5571684114484</v>
      </c>
      <c r="E139" s="101">
        <v>169.8257278704161</v>
      </c>
      <c r="F139" s="101">
        <v>163.8893322579849</v>
      </c>
      <c r="G139" s="101">
        <v>163.25628521583809</v>
      </c>
      <c r="H139" s="101">
        <v>185.3119029768514</v>
      </c>
      <c r="I139" s="101">
        <v>182.88302779924109</v>
      </c>
      <c r="J139" s="101">
        <v>182.1524033554407</v>
      </c>
      <c r="K139" s="101">
        <v>184.09095923108279</v>
      </c>
      <c r="L139" s="101">
        <v>173.7206528867618</v>
      </c>
    </row>
    <row r="140" spans="1:12" x14ac:dyDescent="0.25">
      <c r="A140" s="318"/>
      <c r="B140" s="318"/>
      <c r="C140" s="100" t="s">
        <v>157</v>
      </c>
      <c r="D140" s="101">
        <v>483.04735249640999</v>
      </c>
      <c r="E140" s="101">
        <v>327.54877738841441</v>
      </c>
      <c r="F140" s="101">
        <v>231.2213387201935</v>
      </c>
      <c r="G140" s="101">
        <v>200.5693103633163</v>
      </c>
      <c r="H140" s="101">
        <v>208.5443586089483</v>
      </c>
      <c r="I140" s="101">
        <v>196.3680351755672</v>
      </c>
      <c r="J140" s="101">
        <v>188.12004208723161</v>
      </c>
      <c r="K140" s="101">
        <v>187.28766071058311</v>
      </c>
      <c r="L140" s="101">
        <v>175.79397377870151</v>
      </c>
    </row>
    <row r="141" spans="1:12" x14ac:dyDescent="0.25">
      <c r="A141" s="319"/>
      <c r="B141" s="319"/>
      <c r="C141" s="100" t="s">
        <v>290</v>
      </c>
      <c r="D141" s="101">
        <v>149.276845012612</v>
      </c>
      <c r="E141" s="101">
        <v>159.876641348905</v>
      </c>
      <c r="F141" s="101">
        <v>158.4625577917061</v>
      </c>
      <c r="G141" s="101">
        <v>159.1319366214662</v>
      </c>
      <c r="H141" s="101">
        <v>182.05583829708411</v>
      </c>
      <c r="I141" s="101">
        <v>180.5572673136931</v>
      </c>
      <c r="J141" s="101">
        <v>180.68398202927111</v>
      </c>
      <c r="K141" s="101">
        <v>183.09129025045249</v>
      </c>
      <c r="L141" s="101">
        <v>172.9744713976485</v>
      </c>
    </row>
    <row r="142" spans="1:12" x14ac:dyDescent="0.25">
      <c r="A142" s="317">
        <v>2048</v>
      </c>
      <c r="B142" s="317">
        <v>1200</v>
      </c>
      <c r="C142" s="100" t="s">
        <v>3</v>
      </c>
      <c r="D142" s="101">
        <v>277.04340723099438</v>
      </c>
      <c r="E142" s="101">
        <v>250.9520813052161</v>
      </c>
      <c r="F142" s="101">
        <v>238.76179544811421</v>
      </c>
      <c r="G142" s="101">
        <v>221.95332077948751</v>
      </c>
      <c r="H142" s="101">
        <v>200.67528965872549</v>
      </c>
      <c r="I142" s="101">
        <v>188.9272483337148</v>
      </c>
      <c r="J142" s="101">
        <v>178.8164974845669</v>
      </c>
      <c r="K142" s="101">
        <v>156.34995313133911</v>
      </c>
      <c r="L142" s="101">
        <v>143.99566314069551</v>
      </c>
    </row>
    <row r="143" spans="1:12" x14ac:dyDescent="0.25">
      <c r="A143" s="318"/>
      <c r="B143" s="318"/>
      <c r="C143" s="100" t="s">
        <v>280</v>
      </c>
      <c r="D143" s="101">
        <v>271.52763366346858</v>
      </c>
      <c r="E143" s="101">
        <v>247.7871864364823</v>
      </c>
      <c r="F143" s="101">
        <v>236.9402598358329</v>
      </c>
      <c r="G143" s="101">
        <v>220.5750937218356</v>
      </c>
      <c r="H143" s="101">
        <v>199.5086416839649</v>
      </c>
      <c r="I143" s="101">
        <v>186.72351274830851</v>
      </c>
      <c r="J143" s="101">
        <v>177.43024390825741</v>
      </c>
      <c r="K143" s="101">
        <v>155.27993601644329</v>
      </c>
      <c r="L143" s="101">
        <v>143.06004652190049</v>
      </c>
    </row>
    <row r="144" spans="1:12" x14ac:dyDescent="0.25">
      <c r="A144" s="318"/>
      <c r="B144" s="318"/>
      <c r="C144" s="100" t="s">
        <v>16</v>
      </c>
      <c r="D144" s="101">
        <v>350.46898388592831</v>
      </c>
      <c r="E144" s="101">
        <v>321.12665669404151</v>
      </c>
      <c r="F144" s="101">
        <v>296.10125947637158</v>
      </c>
      <c r="G144" s="101">
        <v>283.32527977354772</v>
      </c>
      <c r="H144" s="101">
        <v>277.43164724651541</v>
      </c>
      <c r="I144" s="101">
        <v>271.8747869904833</v>
      </c>
      <c r="J144" s="101">
        <v>269.78702673770539</v>
      </c>
      <c r="K144" s="101">
        <v>247.06487250579201</v>
      </c>
      <c r="L144" s="101">
        <v>251.16001354324561</v>
      </c>
    </row>
    <row r="145" spans="1:12" x14ac:dyDescent="0.25">
      <c r="A145" s="318"/>
      <c r="B145" s="318"/>
      <c r="C145" s="100" t="s">
        <v>144</v>
      </c>
      <c r="D145" s="101">
        <v>145.24979608136229</v>
      </c>
      <c r="E145" s="101">
        <v>121.1739782416179</v>
      </c>
      <c r="F145" s="101">
        <v>94.093652970961486</v>
      </c>
      <c r="G145" s="101">
        <v>93.812802897270302</v>
      </c>
      <c r="H145" s="101">
        <v>93.543480315964786</v>
      </c>
      <c r="I145" s="101">
        <v>92.916806911872015</v>
      </c>
      <c r="J145" s="101">
        <v>136.05071221588989</v>
      </c>
      <c r="K145" s="101">
        <v>124.23282121805541</v>
      </c>
      <c r="L145" s="101">
        <v>115.2122844945515</v>
      </c>
    </row>
    <row r="146" spans="1:12" x14ac:dyDescent="0.25">
      <c r="A146" s="318"/>
      <c r="B146" s="318"/>
      <c r="C146" s="100" t="s">
        <v>145</v>
      </c>
      <c r="D146" s="101">
        <v>149.13200913362769</v>
      </c>
      <c r="E146" s="101">
        <v>125.9015552355211</v>
      </c>
      <c r="F146" s="101">
        <v>98.140418148659222</v>
      </c>
      <c r="G146" s="101">
        <v>97.840744343487387</v>
      </c>
      <c r="H146" s="101">
        <v>97.553370650834268</v>
      </c>
      <c r="I146" s="101">
        <v>96.884695007861325</v>
      </c>
      <c r="J146" s="101">
        <v>139.81697442333061</v>
      </c>
      <c r="K146" s="101">
        <v>127.86926420052779</v>
      </c>
      <c r="L146" s="101">
        <v>118.6546893011127</v>
      </c>
    </row>
    <row r="147" spans="1:12" x14ac:dyDescent="0.25">
      <c r="A147" s="318"/>
      <c r="B147" s="318"/>
      <c r="C147" s="100" t="s">
        <v>146</v>
      </c>
      <c r="D147" s="101">
        <v>154.26129780405651</v>
      </c>
      <c r="E147" s="101">
        <v>130.8004019559659</v>
      </c>
      <c r="F147" s="101">
        <v>102.76861510476181</v>
      </c>
      <c r="G147" s="101">
        <v>102.44741300898851</v>
      </c>
      <c r="H147" s="101">
        <v>101.9901224436677</v>
      </c>
      <c r="I147" s="101">
        <v>101.2878200681653</v>
      </c>
      <c r="J147" s="101">
        <v>144.02441267728</v>
      </c>
      <c r="K147" s="101">
        <v>132.02750737594579</v>
      </c>
      <c r="L147" s="101">
        <v>122.5843481317096</v>
      </c>
    </row>
    <row r="148" spans="1:12" x14ac:dyDescent="0.25">
      <c r="A148" s="318"/>
      <c r="B148" s="318"/>
      <c r="C148" s="100" t="s">
        <v>147</v>
      </c>
      <c r="D148" s="101">
        <v>138.8903307707867</v>
      </c>
      <c r="E148" s="101">
        <v>104.2370683049438</v>
      </c>
      <c r="F148" s="101">
        <v>83.493660030025382</v>
      </c>
      <c r="G148" s="101">
        <v>75.792563905115941</v>
      </c>
      <c r="H148" s="101">
        <v>75.440382435224734</v>
      </c>
      <c r="I148" s="101">
        <v>75.074287220774835</v>
      </c>
      <c r="J148" s="101">
        <v>85.719238366999974</v>
      </c>
      <c r="K148" s="101">
        <v>84.124212383279328</v>
      </c>
      <c r="L148" s="101">
        <v>83.241181987319436</v>
      </c>
    </row>
    <row r="149" spans="1:12" x14ac:dyDescent="0.25">
      <c r="A149" s="318"/>
      <c r="B149" s="318"/>
      <c r="C149" s="100" t="s">
        <v>281</v>
      </c>
      <c r="D149" s="101">
        <v>125.0474719088825</v>
      </c>
      <c r="E149" s="101">
        <v>99.500996931401176</v>
      </c>
      <c r="F149" s="101">
        <v>82.217166502835994</v>
      </c>
      <c r="G149" s="101">
        <v>75.544241523602054</v>
      </c>
      <c r="H149" s="101">
        <v>75.33455655660579</v>
      </c>
      <c r="I149" s="101">
        <v>75.035956951838742</v>
      </c>
      <c r="J149" s="101">
        <v>85.71157831780468</v>
      </c>
      <c r="K149" s="101">
        <v>84.121210513100067</v>
      </c>
      <c r="L149" s="101">
        <v>83.239756098984287</v>
      </c>
    </row>
    <row r="150" spans="1:12" x14ac:dyDescent="0.25">
      <c r="A150" s="318"/>
      <c r="B150" s="318"/>
      <c r="C150" s="100" t="s">
        <v>148</v>
      </c>
      <c r="D150" s="101">
        <v>142.22102662952</v>
      </c>
      <c r="E150" s="101">
        <v>108.1427702871197</v>
      </c>
      <c r="F150" s="101">
        <v>84.649731829749925</v>
      </c>
      <c r="G150" s="101">
        <v>79.042778034736997</v>
      </c>
      <c r="H150" s="101">
        <v>78.675757321027618</v>
      </c>
      <c r="I150" s="101">
        <v>78.186265011689642</v>
      </c>
      <c r="J150" s="101">
        <v>88.779012588734247</v>
      </c>
      <c r="K150" s="101">
        <v>86.956366400140411</v>
      </c>
      <c r="L150" s="101">
        <v>86.063044828940605</v>
      </c>
    </row>
    <row r="151" spans="1:12" x14ac:dyDescent="0.25">
      <c r="A151" s="318"/>
      <c r="B151" s="318"/>
      <c r="C151" s="100" t="s">
        <v>282</v>
      </c>
      <c r="D151" s="101">
        <v>128.37816776761579</v>
      </c>
      <c r="E151" s="101">
        <v>103.406698913577</v>
      </c>
      <c r="F151" s="101">
        <v>83.373238302560537</v>
      </c>
      <c r="G151" s="101">
        <v>78.79445565322311</v>
      </c>
      <c r="H151" s="101">
        <v>78.569931442408674</v>
      </c>
      <c r="I151" s="101">
        <v>78.147934742753534</v>
      </c>
      <c r="J151" s="101">
        <v>88.771352539538952</v>
      </c>
      <c r="K151" s="101">
        <v>86.953364529961163</v>
      </c>
      <c r="L151" s="101">
        <v>86.061618940605456</v>
      </c>
    </row>
    <row r="152" spans="1:12" x14ac:dyDescent="0.25">
      <c r="A152" s="318"/>
      <c r="B152" s="318"/>
      <c r="C152" s="100" t="s">
        <v>149</v>
      </c>
      <c r="D152" s="101">
        <v>146.13047998604969</v>
      </c>
      <c r="E152" s="101">
        <v>112.6501729218504</v>
      </c>
      <c r="F152" s="101">
        <v>86.165711775876829</v>
      </c>
      <c r="G152" s="101">
        <v>82.788057892710953</v>
      </c>
      <c r="H152" s="101">
        <v>82.403937653012363</v>
      </c>
      <c r="I152" s="101">
        <v>81.882306522177487</v>
      </c>
      <c r="J152" s="101">
        <v>92.221452184464979</v>
      </c>
      <c r="K152" s="101">
        <v>90.218087172212108</v>
      </c>
      <c r="L152" s="101">
        <v>89.390946856982282</v>
      </c>
    </row>
    <row r="153" spans="1:12" x14ac:dyDescent="0.25">
      <c r="A153" s="318"/>
      <c r="B153" s="318"/>
      <c r="C153" s="100" t="s">
        <v>283</v>
      </c>
      <c r="D153" s="101">
        <v>132.2876211241456</v>
      </c>
      <c r="E153" s="101">
        <v>107.9141015483077</v>
      </c>
      <c r="F153" s="101">
        <v>84.889218248687442</v>
      </c>
      <c r="G153" s="101">
        <v>82.539735511197065</v>
      </c>
      <c r="H153" s="101">
        <v>82.298111774393419</v>
      </c>
      <c r="I153" s="101">
        <v>81.843976253241394</v>
      </c>
      <c r="J153" s="101">
        <v>92.213792135269685</v>
      </c>
      <c r="K153" s="101">
        <v>90.215085302032847</v>
      </c>
      <c r="L153" s="101">
        <v>89.389520968647147</v>
      </c>
    </row>
    <row r="154" spans="1:12" x14ac:dyDescent="0.25">
      <c r="A154" s="318"/>
      <c r="B154" s="318"/>
      <c r="C154" s="100" t="s">
        <v>137</v>
      </c>
      <c r="D154" s="101">
        <v>227.59203623024769</v>
      </c>
      <c r="E154" s="101">
        <v>196.78137705404021</v>
      </c>
      <c r="F154" s="101">
        <v>165.65925878254481</v>
      </c>
      <c r="G154" s="101">
        <v>149.71797462835559</v>
      </c>
      <c r="H154" s="101">
        <v>147.67399109204851</v>
      </c>
      <c r="I154" s="101">
        <v>143.70065310359439</v>
      </c>
      <c r="J154" s="101">
        <v>158.92102467304821</v>
      </c>
      <c r="K154" s="101">
        <v>150.33480800959529</v>
      </c>
      <c r="L154" s="101">
        <v>139.22617149755871</v>
      </c>
    </row>
    <row r="155" spans="1:12" x14ac:dyDescent="0.25">
      <c r="A155" s="318"/>
      <c r="B155" s="318"/>
      <c r="C155" s="100" t="s">
        <v>284</v>
      </c>
      <c r="D155" s="101">
        <v>222.07626266272189</v>
      </c>
      <c r="E155" s="101">
        <v>193.61648218530641</v>
      </c>
      <c r="F155" s="101">
        <v>163.8377231702635</v>
      </c>
      <c r="G155" s="101">
        <v>148.33974757070379</v>
      </c>
      <c r="H155" s="101">
        <v>146.50734311728789</v>
      </c>
      <c r="I155" s="101">
        <v>141.49691751818821</v>
      </c>
      <c r="J155" s="101">
        <v>157.53477109673861</v>
      </c>
      <c r="K155" s="101">
        <v>149.2647908946995</v>
      </c>
      <c r="L155" s="101">
        <v>138.2905548787638</v>
      </c>
    </row>
    <row r="156" spans="1:12" x14ac:dyDescent="0.25">
      <c r="A156" s="318"/>
      <c r="B156" s="318"/>
      <c r="C156" s="100" t="s">
        <v>150</v>
      </c>
      <c r="D156" s="101">
        <v>480.93281844177392</v>
      </c>
      <c r="E156" s="101">
        <v>425.8537981695539</v>
      </c>
      <c r="F156" s="101">
        <v>363.54576888392518</v>
      </c>
      <c r="G156" s="101">
        <v>315.12206239591308</v>
      </c>
      <c r="H156" s="101">
        <v>273.05004563932141</v>
      </c>
      <c r="I156" s="101">
        <v>274.22654132785618</v>
      </c>
      <c r="J156" s="101">
        <v>235.28666925781289</v>
      </c>
      <c r="K156" s="101">
        <v>193.3033240933778</v>
      </c>
      <c r="L156" s="101">
        <v>182.5605521565395</v>
      </c>
    </row>
    <row r="157" spans="1:12" x14ac:dyDescent="0.25">
      <c r="A157" s="318"/>
      <c r="B157" s="318"/>
      <c r="C157" s="100" t="s">
        <v>285</v>
      </c>
      <c r="D157" s="101">
        <v>475.41704487424812</v>
      </c>
      <c r="E157" s="101">
        <v>422.68890330082007</v>
      </c>
      <c r="F157" s="101">
        <v>361.72423327164393</v>
      </c>
      <c r="G157" s="101">
        <v>313.74383533826119</v>
      </c>
      <c r="H157" s="101">
        <v>271.88339766456079</v>
      </c>
      <c r="I157" s="101">
        <v>272.02280574244992</v>
      </c>
      <c r="J157" s="101">
        <v>233.90041568150329</v>
      </c>
      <c r="K157" s="101">
        <v>192.23330697848201</v>
      </c>
      <c r="L157" s="101">
        <v>181.62493553774451</v>
      </c>
    </row>
    <row r="158" spans="1:12" x14ac:dyDescent="0.25">
      <c r="A158" s="318"/>
      <c r="B158" s="318"/>
      <c r="C158" s="100" t="s">
        <v>151</v>
      </c>
      <c r="D158" s="101">
        <v>463.59633814411018</v>
      </c>
      <c r="E158" s="101">
        <v>413.55319416403142</v>
      </c>
      <c r="F158" s="101">
        <v>350.5253011038522</v>
      </c>
      <c r="G158" s="101">
        <v>301.18060144176542</v>
      </c>
      <c r="H158" s="101">
        <v>257.76826523915918</v>
      </c>
      <c r="I158" s="101">
        <v>248.6644310357205</v>
      </c>
      <c r="J158" s="101">
        <v>211.10774511973381</v>
      </c>
      <c r="K158" s="101">
        <v>170.5630172559413</v>
      </c>
      <c r="L158" s="101">
        <v>160.7047781746364</v>
      </c>
    </row>
    <row r="159" spans="1:12" x14ac:dyDescent="0.25">
      <c r="A159" s="318"/>
      <c r="B159" s="318"/>
      <c r="C159" s="100" t="s">
        <v>286</v>
      </c>
      <c r="D159" s="101">
        <v>458.08056457658438</v>
      </c>
      <c r="E159" s="101">
        <v>410.38829929529749</v>
      </c>
      <c r="F159" s="101">
        <v>348.70376549157089</v>
      </c>
      <c r="G159" s="101">
        <v>299.80237438411348</v>
      </c>
      <c r="H159" s="101">
        <v>256.60161726439861</v>
      </c>
      <c r="I159" s="101">
        <v>246.4606954503142</v>
      </c>
      <c r="J159" s="101">
        <v>209.72149154342429</v>
      </c>
      <c r="K159" s="101">
        <v>169.49300014104551</v>
      </c>
      <c r="L159" s="101">
        <v>159.76916155584141</v>
      </c>
    </row>
    <row r="160" spans="1:12" x14ac:dyDescent="0.25">
      <c r="A160" s="318"/>
      <c r="B160" s="318"/>
      <c r="C160" s="100" t="s">
        <v>152</v>
      </c>
      <c r="D160" s="101">
        <v>253.71528059877409</v>
      </c>
      <c r="E160" s="101">
        <v>227.95657798689851</v>
      </c>
      <c r="F160" s="101">
        <v>213.2465604877959</v>
      </c>
      <c r="G160" s="101">
        <v>203.4868646883144</v>
      </c>
      <c r="H160" s="101">
        <v>188.1024357672253</v>
      </c>
      <c r="I160" s="101">
        <v>167.37252939498131</v>
      </c>
      <c r="J160" s="101">
        <v>159.68102814008739</v>
      </c>
      <c r="K160" s="101">
        <v>145.42444663622609</v>
      </c>
      <c r="L160" s="101">
        <v>128.72126657200499</v>
      </c>
    </row>
    <row r="161" spans="1:12" x14ac:dyDescent="0.25">
      <c r="A161" s="318"/>
      <c r="B161" s="318"/>
      <c r="C161" s="100" t="s">
        <v>287</v>
      </c>
      <c r="D161" s="101">
        <v>248.19950703124829</v>
      </c>
      <c r="E161" s="101">
        <v>224.79168311816471</v>
      </c>
      <c r="F161" s="101">
        <v>211.42502487551471</v>
      </c>
      <c r="G161" s="101">
        <v>202.10863763066251</v>
      </c>
      <c r="H161" s="101">
        <v>186.93578779246471</v>
      </c>
      <c r="I161" s="101">
        <v>165.16879380957499</v>
      </c>
      <c r="J161" s="101">
        <v>158.29477456377791</v>
      </c>
      <c r="K161" s="101">
        <v>144.35442952133019</v>
      </c>
      <c r="L161" s="101">
        <v>127.78564995321</v>
      </c>
    </row>
    <row r="162" spans="1:12" x14ac:dyDescent="0.25">
      <c r="A162" s="318"/>
      <c r="B162" s="318"/>
      <c r="C162" s="100" t="s">
        <v>153</v>
      </c>
      <c r="D162" s="101">
        <v>232.30295879488631</v>
      </c>
      <c r="E162" s="101">
        <v>208.970522072851</v>
      </c>
      <c r="F162" s="101">
        <v>190.98507117059631</v>
      </c>
      <c r="G162" s="101">
        <v>182.18313745749029</v>
      </c>
      <c r="H162" s="101">
        <v>168.46682064113321</v>
      </c>
      <c r="I162" s="101">
        <v>146.98088825000019</v>
      </c>
      <c r="J162" s="101">
        <v>142.6877513293152</v>
      </c>
      <c r="K162" s="101">
        <v>133.46250526799329</v>
      </c>
      <c r="L162" s="101">
        <v>116.1061270058489</v>
      </c>
    </row>
    <row r="163" spans="1:12" x14ac:dyDescent="0.25">
      <c r="A163" s="318"/>
      <c r="B163" s="318"/>
      <c r="C163" s="100" t="s">
        <v>288</v>
      </c>
      <c r="D163" s="101">
        <v>226.78718522736051</v>
      </c>
      <c r="E163" s="101">
        <v>205.8056272041172</v>
      </c>
      <c r="F163" s="101">
        <v>189.163535558315</v>
      </c>
      <c r="G163" s="101">
        <v>180.80491039983841</v>
      </c>
      <c r="H163" s="101">
        <v>167.3001726663725</v>
      </c>
      <c r="I163" s="101">
        <v>144.77715266459401</v>
      </c>
      <c r="J163" s="101">
        <v>141.30149775300569</v>
      </c>
      <c r="K163" s="101">
        <v>132.3924881530975</v>
      </c>
      <c r="L163" s="101">
        <v>115.17051038705389</v>
      </c>
    </row>
    <row r="164" spans="1:12" x14ac:dyDescent="0.25">
      <c r="A164" s="318"/>
      <c r="B164" s="318"/>
      <c r="C164" s="100" t="s">
        <v>154</v>
      </c>
      <c r="D164" s="101">
        <v>151.02520898188521</v>
      </c>
      <c r="E164" s="101">
        <v>127.4017058635346</v>
      </c>
      <c r="F164" s="101">
        <v>102.66314263288091</v>
      </c>
      <c r="G164" s="101">
        <v>100.3746954442322</v>
      </c>
      <c r="H164" s="101">
        <v>98.568819948400971</v>
      </c>
      <c r="I164" s="101">
        <v>95.352405541720344</v>
      </c>
      <c r="J164" s="101">
        <v>140.333260146198</v>
      </c>
      <c r="K164" s="101">
        <v>128.18294486780621</v>
      </c>
      <c r="L164" s="101">
        <v>119.2164148394799</v>
      </c>
    </row>
    <row r="165" spans="1:12" x14ac:dyDescent="0.25">
      <c r="A165" s="318"/>
      <c r="B165" s="318"/>
      <c r="C165" s="100" t="s">
        <v>155</v>
      </c>
      <c r="D165" s="101">
        <v>152.46316629985219</v>
      </c>
      <c r="E165" s="101">
        <v>127.90904673627701</v>
      </c>
      <c r="F165" s="101">
        <v>109.7088591630298</v>
      </c>
      <c r="G165" s="101">
        <v>99.022601832916564</v>
      </c>
      <c r="H165" s="101">
        <v>94.711748443550945</v>
      </c>
      <c r="I165" s="101">
        <v>91.180627754072049</v>
      </c>
      <c r="J165" s="101">
        <v>137.95320602014161</v>
      </c>
      <c r="K165" s="101">
        <v>126.3177878022934</v>
      </c>
      <c r="L165" s="101">
        <v>117.3756594455112</v>
      </c>
    </row>
    <row r="166" spans="1:12" x14ac:dyDescent="0.25">
      <c r="A166" s="318"/>
      <c r="B166" s="318"/>
      <c r="C166" s="100" t="s">
        <v>156</v>
      </c>
      <c r="D166" s="101">
        <v>280.72476355179577</v>
      </c>
      <c r="E166" s="101">
        <v>230.721549546002</v>
      </c>
      <c r="F166" s="101">
        <v>193.59289476494479</v>
      </c>
      <c r="G166" s="101">
        <v>182.70310923075519</v>
      </c>
      <c r="H166" s="101">
        <v>200.40712592979071</v>
      </c>
      <c r="I166" s="101">
        <v>194.42504970470529</v>
      </c>
      <c r="J166" s="101">
        <v>190.95028756126649</v>
      </c>
      <c r="K166" s="101">
        <v>192.18436711789099</v>
      </c>
      <c r="L166" s="101">
        <v>181.50456389030171</v>
      </c>
    </row>
    <row r="167" spans="1:12" x14ac:dyDescent="0.25">
      <c r="A167" s="318"/>
      <c r="B167" s="318"/>
      <c r="C167" s="100" t="s">
        <v>289</v>
      </c>
      <c r="D167" s="101">
        <v>168.50992113808269</v>
      </c>
      <c r="E167" s="101">
        <v>173.01322987159321</v>
      </c>
      <c r="F167" s="101">
        <v>167.0311595129956</v>
      </c>
      <c r="G167" s="101">
        <v>166.41974683821769</v>
      </c>
      <c r="H167" s="101">
        <v>189.0293505837906</v>
      </c>
      <c r="I167" s="101">
        <v>186.55126510623191</v>
      </c>
      <c r="J167" s="101">
        <v>185.82473100006891</v>
      </c>
      <c r="K167" s="101">
        <v>187.84431851946999</v>
      </c>
      <c r="L167" s="101">
        <v>177.5366382169104</v>
      </c>
    </row>
    <row r="168" spans="1:12" x14ac:dyDescent="0.25">
      <c r="A168" s="318"/>
      <c r="B168" s="318"/>
      <c r="C168" s="100" t="s">
        <v>157</v>
      </c>
      <c r="D168" s="101">
        <v>486.00010522304427</v>
      </c>
      <c r="E168" s="101">
        <v>330.73627938959152</v>
      </c>
      <c r="F168" s="101">
        <v>234.3631659752042</v>
      </c>
      <c r="G168" s="101">
        <v>203.7327719856959</v>
      </c>
      <c r="H168" s="101">
        <v>212.26180621588739</v>
      </c>
      <c r="I168" s="101">
        <v>200.03627248255799</v>
      </c>
      <c r="J168" s="101">
        <v>191.79236973185979</v>
      </c>
      <c r="K168" s="101">
        <v>191.04101999897031</v>
      </c>
      <c r="L168" s="101">
        <v>179.60995910885009</v>
      </c>
    </row>
    <row r="169" spans="1:12" x14ac:dyDescent="0.25">
      <c r="A169" s="319"/>
      <c r="B169" s="319"/>
      <c r="C169" s="100" t="s">
        <v>290</v>
      </c>
      <c r="D169" s="101">
        <v>152.22959773924629</v>
      </c>
      <c r="E169" s="101">
        <v>163.06414335008199</v>
      </c>
      <c r="F169" s="101">
        <v>161.6043850467168</v>
      </c>
      <c r="G169" s="101">
        <v>162.2953982438458</v>
      </c>
      <c r="H169" s="101">
        <v>185.77328590402331</v>
      </c>
      <c r="I169" s="101">
        <v>184.22550462068381</v>
      </c>
      <c r="J169" s="101">
        <v>184.35630967389929</v>
      </c>
      <c r="K169" s="101">
        <v>186.84464953883969</v>
      </c>
      <c r="L169" s="101">
        <v>176.79045672779711</v>
      </c>
    </row>
  </sheetData>
  <mergeCells count="13">
    <mergeCell ref="O1:P1"/>
    <mergeCell ref="A2:A29"/>
    <mergeCell ref="B2:B29"/>
    <mergeCell ref="A30:A57"/>
    <mergeCell ref="B30:B57"/>
    <mergeCell ref="A142:A169"/>
    <mergeCell ref="B142:B169"/>
    <mergeCell ref="A58:A85"/>
    <mergeCell ref="B58:B85"/>
    <mergeCell ref="A86:A113"/>
    <mergeCell ref="B86:B113"/>
    <mergeCell ref="A114:A141"/>
    <mergeCell ref="B114:B141"/>
  </mergeCells>
  <conditionalFormatting sqref="D2:L16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>
    <tabColor theme="5"/>
  </sheetPr>
  <dimension ref="A1:X25"/>
  <sheetViews>
    <sheetView workbookViewId="0">
      <selection activeCell="C2" sqref="C2"/>
    </sheetView>
  </sheetViews>
  <sheetFormatPr baseColWidth="10" defaultRowHeight="15" x14ac:dyDescent="0.25"/>
  <cols>
    <col min="1" max="1" width="63.5703125" bestFit="1" customWidth="1"/>
    <col min="2" max="2" width="14.5703125" bestFit="1" customWidth="1"/>
    <col min="3" max="3" width="15.42578125" bestFit="1" customWidth="1"/>
    <col min="7" max="7" width="12.42578125" bestFit="1" customWidth="1"/>
  </cols>
  <sheetData>
    <row r="1" spans="1:24" ht="18.75" x14ac:dyDescent="0.3">
      <c r="A1" s="31" t="s">
        <v>0</v>
      </c>
      <c r="B1" s="32" t="s">
        <v>135</v>
      </c>
      <c r="C1" s="32" t="s">
        <v>136</v>
      </c>
    </row>
    <row r="2" spans="1:24" x14ac:dyDescent="0.25">
      <c r="A2" s="35" t="s">
        <v>3</v>
      </c>
      <c r="B2" s="121"/>
      <c r="C2" s="121" t="s">
        <v>52</v>
      </c>
      <c r="X2" s="34" t="s">
        <v>52</v>
      </c>
    </row>
    <row r="3" spans="1:24" x14ac:dyDescent="0.25">
      <c r="A3" s="35" t="s">
        <v>16</v>
      </c>
      <c r="B3" s="121"/>
      <c r="C3" s="121" t="s">
        <v>133</v>
      </c>
      <c r="X3" s="34" t="s">
        <v>51</v>
      </c>
    </row>
    <row r="4" spans="1:24" x14ac:dyDescent="0.25">
      <c r="A4" s="35" t="s">
        <v>144</v>
      </c>
      <c r="B4" s="121"/>
      <c r="C4" s="121" t="s">
        <v>134</v>
      </c>
      <c r="X4" s="34" t="s">
        <v>47</v>
      </c>
    </row>
    <row r="5" spans="1:24" x14ac:dyDescent="0.25">
      <c r="A5" s="35" t="s">
        <v>145</v>
      </c>
      <c r="B5" s="121"/>
      <c r="C5" s="121" t="s">
        <v>134</v>
      </c>
      <c r="X5" s="34" t="s">
        <v>48</v>
      </c>
    </row>
    <row r="6" spans="1:24" x14ac:dyDescent="0.25">
      <c r="A6" s="35" t="s">
        <v>146</v>
      </c>
      <c r="B6" s="121"/>
      <c r="C6" s="121" t="s">
        <v>134</v>
      </c>
      <c r="X6" s="34" t="s">
        <v>134</v>
      </c>
    </row>
    <row r="7" spans="1:24" x14ac:dyDescent="0.25">
      <c r="A7" s="35" t="s">
        <v>147</v>
      </c>
      <c r="B7" s="121"/>
      <c r="C7" s="121" t="s">
        <v>134</v>
      </c>
      <c r="X7" s="34" t="s">
        <v>142</v>
      </c>
    </row>
    <row r="8" spans="1:24" x14ac:dyDescent="0.25">
      <c r="A8" s="35" t="s">
        <v>148</v>
      </c>
      <c r="B8" s="121"/>
      <c r="C8" s="121" t="s">
        <v>134</v>
      </c>
    </row>
    <row r="9" spans="1:24" x14ac:dyDescent="0.25">
      <c r="A9" s="57" t="s">
        <v>149</v>
      </c>
      <c r="B9" s="121"/>
      <c r="C9" s="121" t="s">
        <v>134</v>
      </c>
      <c r="D9" s="30"/>
      <c r="E9" s="30"/>
    </row>
    <row r="10" spans="1:24" x14ac:dyDescent="0.25">
      <c r="A10" s="321" t="s">
        <v>137</v>
      </c>
      <c r="B10" s="121" t="s">
        <v>55</v>
      </c>
      <c r="C10" s="121" t="s">
        <v>51</v>
      </c>
    </row>
    <row r="11" spans="1:24" x14ac:dyDescent="0.25">
      <c r="A11" s="321"/>
      <c r="B11" s="121" t="s">
        <v>138</v>
      </c>
      <c r="C11" s="121" t="s">
        <v>134</v>
      </c>
    </row>
    <row r="12" spans="1:24" x14ac:dyDescent="0.25">
      <c r="A12" s="321" t="s">
        <v>150</v>
      </c>
      <c r="B12" s="121" t="s">
        <v>55</v>
      </c>
      <c r="C12" s="121" t="s">
        <v>51</v>
      </c>
    </row>
    <row r="13" spans="1:24" x14ac:dyDescent="0.25">
      <c r="A13" s="321"/>
      <c r="B13" s="121" t="s">
        <v>139</v>
      </c>
      <c r="C13" s="121" t="s">
        <v>51</v>
      </c>
    </row>
    <row r="14" spans="1:24" x14ac:dyDescent="0.25">
      <c r="A14" s="321" t="s">
        <v>151</v>
      </c>
      <c r="B14" s="121" t="s">
        <v>55</v>
      </c>
      <c r="C14" s="121" t="s">
        <v>48</v>
      </c>
    </row>
    <row r="15" spans="1:24" x14ac:dyDescent="0.25">
      <c r="A15" s="321"/>
      <c r="B15" s="121" t="s">
        <v>139</v>
      </c>
      <c r="C15" s="121" t="s">
        <v>48</v>
      </c>
    </row>
    <row r="16" spans="1:24" x14ac:dyDescent="0.25">
      <c r="A16" s="321" t="s">
        <v>152</v>
      </c>
      <c r="B16" s="121" t="s">
        <v>55</v>
      </c>
      <c r="C16" s="121" t="s">
        <v>51</v>
      </c>
    </row>
    <row r="17" spans="1:3" x14ac:dyDescent="0.25">
      <c r="A17" s="321"/>
      <c r="B17" s="121" t="s">
        <v>140</v>
      </c>
      <c r="C17" s="121" t="s">
        <v>141</v>
      </c>
    </row>
    <row r="18" spans="1:3" x14ac:dyDescent="0.25">
      <c r="A18" s="321" t="s">
        <v>153</v>
      </c>
      <c r="B18" s="121" t="s">
        <v>55</v>
      </c>
      <c r="C18" s="121" t="s">
        <v>51</v>
      </c>
    </row>
    <row r="19" spans="1:3" x14ac:dyDescent="0.25">
      <c r="A19" s="321"/>
      <c r="B19" s="121" t="s">
        <v>140</v>
      </c>
      <c r="C19" s="121" t="s">
        <v>141</v>
      </c>
    </row>
    <row r="20" spans="1:3" x14ac:dyDescent="0.25">
      <c r="A20" s="321" t="s">
        <v>154</v>
      </c>
      <c r="B20" s="121" t="s">
        <v>138</v>
      </c>
      <c r="C20" s="121" t="s">
        <v>134</v>
      </c>
    </row>
    <row r="21" spans="1:3" x14ac:dyDescent="0.25">
      <c r="A21" s="321"/>
      <c r="B21" s="121" t="s">
        <v>140</v>
      </c>
      <c r="C21" s="121" t="s">
        <v>141</v>
      </c>
    </row>
    <row r="22" spans="1:3" x14ac:dyDescent="0.25">
      <c r="A22" s="321" t="s">
        <v>155</v>
      </c>
      <c r="B22" s="121" t="s">
        <v>138</v>
      </c>
      <c r="C22" s="121" t="s">
        <v>134</v>
      </c>
    </row>
    <row r="23" spans="1:3" x14ac:dyDescent="0.25">
      <c r="A23" s="321"/>
      <c r="B23" s="121" t="s">
        <v>140</v>
      </c>
      <c r="C23" s="121" t="s">
        <v>141</v>
      </c>
    </row>
    <row r="24" spans="1:3" x14ac:dyDescent="0.25">
      <c r="A24" s="33" t="s">
        <v>156</v>
      </c>
      <c r="B24" s="121"/>
      <c r="C24" s="122" t="s">
        <v>184</v>
      </c>
    </row>
    <row r="25" spans="1:3" x14ac:dyDescent="0.25">
      <c r="A25" s="33" t="s">
        <v>157</v>
      </c>
      <c r="B25" s="121"/>
      <c r="C25" s="122" t="s">
        <v>185</v>
      </c>
    </row>
  </sheetData>
  <sheetProtection algorithmName="SHA-512" hashValue="jLNB4CPy04TNtRrCSEhzKol8mbbrnCtNqkFTkt7JNYT2edXHTZmZVX+lPRn8gUz/615S/tKmhAUJmh80PqN+tA==" saltValue="F8cqugl6yl6GklrTxRIWJQ==" spinCount="100000" sheet="1" objects="1" scenarios="1"/>
  <mergeCells count="7">
    <mergeCell ref="A18:A19"/>
    <mergeCell ref="A20:A21"/>
    <mergeCell ref="A22:A23"/>
    <mergeCell ref="A10:A11"/>
    <mergeCell ref="A12:A13"/>
    <mergeCell ref="A14:A15"/>
    <mergeCell ref="A16:A17"/>
  </mergeCells>
  <dataValidations count="2">
    <dataValidation type="list" allowBlank="1" showInputMessage="1" showErrorMessage="1" sqref="C2 C18 C12:C16 C10" xr:uid="{00000000-0002-0000-0700-000000000000}">
      <formula1>$X$2:$X$5</formula1>
    </dataValidation>
    <dataValidation type="list" allowBlank="1" showInputMessage="1" showErrorMessage="1" sqref="C4:C9 C11 C20 C22" xr:uid="{00000000-0002-0000-0700-000001000000}">
      <formula1>$X$6:$X$7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3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activeCell="F28" sqref="F28"/>
      <selection pane="bottomLeft" activeCell="C2" sqref="C2:C11"/>
    </sheetView>
  </sheetViews>
  <sheetFormatPr baseColWidth="10" defaultColWidth="10.85546875" defaultRowHeight="15" x14ac:dyDescent="0.25"/>
  <cols>
    <col min="1" max="1" width="4.7109375" style="30" customWidth="1"/>
    <col min="2" max="2" width="20.140625" style="30" bestFit="1" customWidth="1"/>
    <col min="3" max="3" width="45.42578125" style="26" customWidth="1"/>
    <col min="4" max="4" width="12.140625" style="27" customWidth="1"/>
    <col min="5" max="12" width="12.28515625" style="54" bestFit="1" customWidth="1"/>
    <col min="13" max="13" width="13.42578125" style="54" bestFit="1" customWidth="1"/>
    <col min="14" max="14" width="15" style="30" customWidth="1"/>
    <col min="15" max="16384" width="10.85546875" style="30"/>
  </cols>
  <sheetData>
    <row r="1" spans="1:14" ht="15.75" x14ac:dyDescent="0.25">
      <c r="A1" s="40"/>
      <c r="B1" s="41" t="s">
        <v>0</v>
      </c>
      <c r="C1" s="28" t="s">
        <v>1</v>
      </c>
      <c r="D1" s="29" t="s">
        <v>2</v>
      </c>
      <c r="E1" s="42">
        <v>15</v>
      </c>
      <c r="F1" s="43">
        <v>30</v>
      </c>
      <c r="G1" s="43">
        <v>70</v>
      </c>
      <c r="H1" s="43">
        <v>125</v>
      </c>
      <c r="I1" s="43">
        <v>200</v>
      </c>
      <c r="J1" s="43">
        <v>350</v>
      </c>
      <c r="K1" s="43">
        <v>850</v>
      </c>
      <c r="L1" s="43">
        <v>1900</v>
      </c>
      <c r="M1" s="43">
        <v>4000</v>
      </c>
    </row>
    <row r="2" spans="1:14" x14ac:dyDescent="0.25">
      <c r="A2" s="306">
        <v>1</v>
      </c>
      <c r="B2" s="322" t="s">
        <v>3</v>
      </c>
      <c r="C2" s="21" t="s">
        <v>101</v>
      </c>
      <c r="D2" s="1" t="s">
        <v>4</v>
      </c>
      <c r="E2" s="102">
        <v>20</v>
      </c>
      <c r="F2" s="102">
        <v>20</v>
      </c>
      <c r="G2" s="102">
        <v>20</v>
      </c>
      <c r="H2" s="102">
        <v>20</v>
      </c>
      <c r="I2" s="102">
        <v>20</v>
      </c>
      <c r="J2" s="102">
        <v>20</v>
      </c>
      <c r="K2" s="102">
        <v>20</v>
      </c>
      <c r="L2" s="102">
        <v>20</v>
      </c>
      <c r="M2" s="102">
        <v>20</v>
      </c>
      <c r="N2" s="45"/>
    </row>
    <row r="3" spans="1:14" x14ac:dyDescent="0.25">
      <c r="A3" s="306"/>
      <c r="B3" s="322"/>
      <c r="C3" s="21" t="s">
        <v>5</v>
      </c>
      <c r="D3" s="1" t="s">
        <v>6</v>
      </c>
      <c r="E3" s="103">
        <v>218.34121214018199</v>
      </c>
      <c r="F3" s="103">
        <v>184.87398682120613</v>
      </c>
      <c r="G3" s="103">
        <v>143.96390422813076</v>
      </c>
      <c r="H3" s="103">
        <v>115.96852782183296</v>
      </c>
      <c r="I3" s="103">
        <v>107.31263157894738</v>
      </c>
      <c r="J3" s="103">
        <v>107.00631578947369</v>
      </c>
      <c r="K3" s="103">
        <v>105.98526315789475</v>
      </c>
      <c r="L3" s="103">
        <v>103.84105263157896</v>
      </c>
      <c r="M3" s="103">
        <v>99.55263157894737</v>
      </c>
      <c r="N3" s="45"/>
    </row>
    <row r="4" spans="1:14" x14ac:dyDescent="0.25">
      <c r="A4" s="306"/>
      <c r="B4" s="322"/>
      <c r="C4" s="21" t="s">
        <v>172</v>
      </c>
      <c r="D4" s="1" t="s">
        <v>19</v>
      </c>
      <c r="E4" s="104">
        <v>0</v>
      </c>
      <c r="F4" s="104">
        <v>0</v>
      </c>
      <c r="G4" s="104">
        <v>0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45"/>
    </row>
    <row r="5" spans="1:14" x14ac:dyDescent="0.25">
      <c r="A5" s="306"/>
      <c r="B5" s="322"/>
      <c r="C5" s="21" t="s">
        <v>102</v>
      </c>
      <c r="D5" s="1" t="s">
        <v>8</v>
      </c>
      <c r="E5" s="102"/>
      <c r="F5" s="102"/>
      <c r="G5" s="102"/>
      <c r="H5" s="102"/>
      <c r="I5" s="102"/>
      <c r="J5" s="102"/>
      <c r="K5" s="102"/>
      <c r="L5" s="102"/>
      <c r="M5" s="102"/>
      <c r="N5" s="45"/>
    </row>
    <row r="6" spans="1:14" x14ac:dyDescent="0.25">
      <c r="A6" s="306"/>
      <c r="B6" s="322"/>
      <c r="C6" s="21" t="s">
        <v>103</v>
      </c>
      <c r="D6" s="1" t="s">
        <v>9</v>
      </c>
      <c r="E6" s="103">
        <v>6.5502363642054595</v>
      </c>
      <c r="F6" s="103">
        <v>5.5462196046361836</v>
      </c>
      <c r="G6" s="103">
        <v>4.3189171268439228</v>
      </c>
      <c r="H6" s="103">
        <v>3.4790558346549889</v>
      </c>
      <c r="I6" s="103">
        <v>2.0378947368421052</v>
      </c>
      <c r="J6" s="103">
        <v>2.0189473684210526</v>
      </c>
      <c r="K6" s="103">
        <v>1.9557894736842103</v>
      </c>
      <c r="L6" s="103">
        <v>1.8231578947368419</v>
      </c>
      <c r="M6" s="103">
        <v>1.557894736842105</v>
      </c>
      <c r="N6" s="45"/>
    </row>
    <row r="7" spans="1:14" x14ac:dyDescent="0.25">
      <c r="A7" s="306"/>
      <c r="B7" s="322"/>
      <c r="C7" s="21" t="s">
        <v>104</v>
      </c>
      <c r="D7" s="1" t="s">
        <v>10</v>
      </c>
      <c r="E7" s="103">
        <v>0</v>
      </c>
      <c r="F7" s="103">
        <v>0</v>
      </c>
      <c r="G7" s="103">
        <v>0</v>
      </c>
      <c r="H7" s="103">
        <v>0</v>
      </c>
      <c r="I7" s="103">
        <v>0</v>
      </c>
      <c r="J7" s="103">
        <v>0</v>
      </c>
      <c r="K7" s="103">
        <v>1.6357894736842103E-3</v>
      </c>
      <c r="L7" s="103">
        <v>1.5031578947368419E-3</v>
      </c>
      <c r="M7" s="103">
        <v>1.2378947368421051E-3</v>
      </c>
      <c r="N7" s="45"/>
    </row>
    <row r="8" spans="1:14" x14ac:dyDescent="0.25">
      <c r="A8" s="306"/>
      <c r="B8" s="322"/>
      <c r="C8" s="22" t="s">
        <v>11</v>
      </c>
      <c r="D8" s="23" t="s">
        <v>10</v>
      </c>
      <c r="E8" s="103">
        <v>0</v>
      </c>
      <c r="F8" s="102"/>
      <c r="G8" s="102"/>
      <c r="H8" s="102"/>
      <c r="I8" s="102"/>
      <c r="J8" s="102"/>
      <c r="K8" s="102"/>
      <c r="L8" s="102"/>
      <c r="M8" s="102"/>
      <c r="N8" s="45"/>
    </row>
    <row r="9" spans="1:14" x14ac:dyDescent="0.25">
      <c r="A9" s="306"/>
      <c r="B9" s="322"/>
      <c r="C9" s="21" t="s">
        <v>12</v>
      </c>
      <c r="D9" s="1" t="s">
        <v>7</v>
      </c>
      <c r="E9" s="104">
        <v>0.94349999999999989</v>
      </c>
      <c r="F9" s="104">
        <v>0.94349999999999989</v>
      </c>
      <c r="G9" s="104">
        <v>0.94349999999999989</v>
      </c>
      <c r="H9" s="104">
        <v>0.94349999999999989</v>
      </c>
      <c r="I9" s="104">
        <v>0.94349999999999989</v>
      </c>
      <c r="J9" s="104">
        <v>0.94349999999999989</v>
      </c>
      <c r="K9" s="104">
        <v>0.99</v>
      </c>
      <c r="L9" s="104">
        <v>0.99</v>
      </c>
      <c r="M9" s="104">
        <v>0.99</v>
      </c>
      <c r="N9" s="45"/>
    </row>
    <row r="10" spans="1:14" x14ac:dyDescent="0.25">
      <c r="A10" s="306"/>
      <c r="B10" s="322"/>
      <c r="C10" s="21" t="s">
        <v>13</v>
      </c>
      <c r="D10" s="1" t="s">
        <v>14</v>
      </c>
      <c r="E10" s="103">
        <v>1524.6</v>
      </c>
      <c r="F10" s="103">
        <v>1749.6</v>
      </c>
      <c r="G10" s="103">
        <v>2349.6</v>
      </c>
      <c r="H10" s="103">
        <v>3174.6</v>
      </c>
      <c r="I10" s="103">
        <v>4299.6000000000004</v>
      </c>
      <c r="J10" s="103">
        <v>14213</v>
      </c>
      <c r="K10" s="103">
        <v>21713</v>
      </c>
      <c r="L10" s="103">
        <v>37463</v>
      </c>
      <c r="M10" s="103">
        <v>68963</v>
      </c>
      <c r="N10" s="45"/>
    </row>
    <row r="11" spans="1:14" x14ac:dyDescent="0.25">
      <c r="A11" s="306"/>
      <c r="B11" s="322"/>
      <c r="C11" s="21" t="s">
        <v>15</v>
      </c>
      <c r="D11" s="1" t="s">
        <v>4</v>
      </c>
      <c r="E11" s="102">
        <v>40</v>
      </c>
      <c r="F11" s="102">
        <v>40</v>
      </c>
      <c r="G11" s="102">
        <v>40</v>
      </c>
      <c r="H11" s="102">
        <v>40</v>
      </c>
      <c r="I11" s="102">
        <v>40</v>
      </c>
      <c r="J11" s="102">
        <v>40</v>
      </c>
      <c r="K11" s="102">
        <v>40</v>
      </c>
      <c r="L11" s="102">
        <v>40</v>
      </c>
      <c r="M11" s="102">
        <v>40</v>
      </c>
      <c r="N11" s="45"/>
    </row>
    <row r="12" spans="1:14" x14ac:dyDescent="0.25">
      <c r="A12" s="306">
        <v>2</v>
      </c>
      <c r="B12" s="322" t="s">
        <v>16</v>
      </c>
      <c r="C12" s="21" t="s">
        <v>101</v>
      </c>
      <c r="D12" s="1" t="s">
        <v>4</v>
      </c>
      <c r="E12" s="102">
        <v>20</v>
      </c>
      <c r="F12" s="102">
        <v>20</v>
      </c>
      <c r="G12" s="102">
        <v>20</v>
      </c>
      <c r="H12" s="102">
        <v>20</v>
      </c>
      <c r="I12" s="102">
        <v>20</v>
      </c>
      <c r="J12" s="102">
        <v>20</v>
      </c>
      <c r="K12" s="102">
        <v>20</v>
      </c>
      <c r="L12" s="102">
        <v>20</v>
      </c>
      <c r="M12" s="102">
        <v>20</v>
      </c>
      <c r="N12" s="45"/>
    </row>
    <row r="13" spans="1:14" x14ac:dyDescent="0.25">
      <c r="A13" s="306"/>
      <c r="B13" s="322"/>
      <c r="C13" s="21" t="s">
        <v>5</v>
      </c>
      <c r="D13" s="1" t="s">
        <v>6</v>
      </c>
      <c r="E13" s="103">
        <v>558.65265042413671</v>
      </c>
      <c r="F13" s="103">
        <v>352.73550340580886</v>
      </c>
      <c r="G13" s="103">
        <v>201.0695678061135</v>
      </c>
      <c r="H13" s="103">
        <v>136.8683894043277</v>
      </c>
      <c r="I13" s="103">
        <v>120.6</v>
      </c>
      <c r="J13" s="103">
        <v>120.6</v>
      </c>
      <c r="K13" s="103">
        <v>187.07496087792157</v>
      </c>
      <c r="L13" s="103">
        <v>271.30291449905741</v>
      </c>
      <c r="M13" s="103">
        <v>439.75882174132914</v>
      </c>
      <c r="N13" s="45"/>
    </row>
    <row r="14" spans="1:14" x14ac:dyDescent="0.25">
      <c r="A14" s="306"/>
      <c r="B14" s="322"/>
      <c r="C14" s="21" t="s">
        <v>172</v>
      </c>
      <c r="D14" s="1" t="s">
        <v>19</v>
      </c>
      <c r="E14" s="104">
        <v>0</v>
      </c>
      <c r="F14" s="104">
        <v>0</v>
      </c>
      <c r="G14" s="104">
        <v>0</v>
      </c>
      <c r="H14" s="104">
        <v>0</v>
      </c>
      <c r="I14" s="104">
        <v>0</v>
      </c>
      <c r="J14" s="104">
        <v>0</v>
      </c>
      <c r="K14" s="104">
        <v>0</v>
      </c>
      <c r="L14" s="104">
        <v>0</v>
      </c>
      <c r="M14" s="104">
        <v>0</v>
      </c>
      <c r="N14" s="45"/>
    </row>
    <row r="15" spans="1:14" x14ac:dyDescent="0.25">
      <c r="A15" s="306"/>
      <c r="B15" s="322"/>
      <c r="C15" s="21" t="s">
        <v>102</v>
      </c>
      <c r="D15" s="1" t="s">
        <v>8</v>
      </c>
      <c r="E15" s="102"/>
      <c r="F15" s="102"/>
      <c r="G15" s="102"/>
      <c r="H15" s="102"/>
      <c r="I15" s="102"/>
      <c r="J15" s="102"/>
      <c r="K15" s="102"/>
      <c r="L15" s="102"/>
      <c r="M15" s="102"/>
      <c r="N15" s="45"/>
    </row>
    <row r="16" spans="1:14" x14ac:dyDescent="0.25">
      <c r="A16" s="306"/>
      <c r="B16" s="322"/>
      <c r="C16" s="21" t="s">
        <v>103</v>
      </c>
      <c r="D16" s="1" t="s">
        <v>9</v>
      </c>
      <c r="E16" s="103">
        <v>33.519159025448168</v>
      </c>
      <c r="F16" s="103">
        <v>21.16413020434851</v>
      </c>
      <c r="G16" s="103">
        <v>12.0641740683668</v>
      </c>
      <c r="H16" s="103">
        <v>8.2121033642596579</v>
      </c>
      <c r="I16" s="103">
        <v>7.7476375167543381</v>
      </c>
      <c r="J16" s="103">
        <v>7.7476375167543381</v>
      </c>
      <c r="K16" s="103">
        <v>7.3651642626194009</v>
      </c>
      <c r="L16" s="103">
        <v>6.7473228520937312</v>
      </c>
      <c r="M16" s="103">
        <v>5.5116400310423916</v>
      </c>
      <c r="N16" s="45"/>
    </row>
    <row r="17" spans="1:14" x14ac:dyDescent="0.25">
      <c r="A17" s="306"/>
      <c r="B17" s="322"/>
      <c r="C17" s="21" t="s">
        <v>104</v>
      </c>
      <c r="D17" s="1" t="s">
        <v>10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1.8177407782710754E-3</v>
      </c>
      <c r="L17" s="103">
        <v>1.8177407782710754E-3</v>
      </c>
      <c r="M17" s="103">
        <v>1.8177407782710754E-3</v>
      </c>
      <c r="N17" s="45"/>
    </row>
    <row r="18" spans="1:14" x14ac:dyDescent="0.25">
      <c r="A18" s="306"/>
      <c r="B18" s="322"/>
      <c r="C18" s="22" t="s">
        <v>11</v>
      </c>
      <c r="D18" s="23" t="s">
        <v>10</v>
      </c>
      <c r="E18" s="103">
        <v>0</v>
      </c>
      <c r="F18" s="103">
        <v>0</v>
      </c>
      <c r="G18" s="103">
        <v>0</v>
      </c>
      <c r="H18" s="103">
        <v>0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45"/>
    </row>
    <row r="19" spans="1:14" x14ac:dyDescent="0.25">
      <c r="A19" s="306"/>
      <c r="B19" s="322"/>
      <c r="C19" s="21" t="s">
        <v>12</v>
      </c>
      <c r="D19" s="1" t="s">
        <v>7</v>
      </c>
      <c r="E19" s="104">
        <v>0.66</v>
      </c>
      <c r="F19" s="104">
        <v>0.66</v>
      </c>
      <c r="G19" s="104">
        <v>0.66</v>
      </c>
      <c r="H19" s="104">
        <v>0.66</v>
      </c>
      <c r="I19" s="104">
        <v>0.66</v>
      </c>
      <c r="J19" s="104">
        <v>0.66</v>
      </c>
      <c r="K19" s="104">
        <v>0.66</v>
      </c>
      <c r="L19" s="104">
        <v>0.95899999999999996</v>
      </c>
      <c r="M19" s="104">
        <v>0.95899999999999996</v>
      </c>
      <c r="N19" s="45"/>
    </row>
    <row r="20" spans="1:14" x14ac:dyDescent="0.25">
      <c r="A20" s="306"/>
      <c r="B20" s="322"/>
      <c r="C20" s="21" t="s">
        <v>13</v>
      </c>
      <c r="D20" s="1" t="s">
        <v>14</v>
      </c>
      <c r="E20" s="102"/>
      <c r="F20" s="102"/>
      <c r="G20" s="102"/>
      <c r="H20" s="102"/>
      <c r="I20" s="102"/>
      <c r="J20" s="102"/>
      <c r="K20" s="102"/>
      <c r="L20" s="102"/>
      <c r="M20" s="102"/>
      <c r="N20" s="45"/>
    </row>
    <row r="21" spans="1:14" x14ac:dyDescent="0.25">
      <c r="A21" s="306"/>
      <c r="B21" s="322"/>
      <c r="C21" s="21" t="s">
        <v>15</v>
      </c>
      <c r="D21" s="1" t="s">
        <v>4</v>
      </c>
      <c r="E21" s="102"/>
      <c r="F21" s="102"/>
      <c r="G21" s="102"/>
      <c r="H21" s="102"/>
      <c r="I21" s="102"/>
      <c r="J21" s="102"/>
      <c r="K21" s="102"/>
      <c r="L21" s="102"/>
      <c r="M21" s="102"/>
      <c r="N21" s="45"/>
    </row>
    <row r="22" spans="1:14" ht="14.45" customHeight="1" x14ac:dyDescent="0.25">
      <c r="A22" s="306">
        <v>3</v>
      </c>
      <c r="B22" s="323" t="s">
        <v>144</v>
      </c>
      <c r="C22" s="21" t="s">
        <v>101</v>
      </c>
      <c r="D22" s="1" t="s">
        <v>4</v>
      </c>
      <c r="E22" s="102">
        <v>20</v>
      </c>
      <c r="F22" s="102">
        <v>20</v>
      </c>
      <c r="G22" s="102">
        <v>20</v>
      </c>
      <c r="H22" s="102">
        <v>20</v>
      </c>
      <c r="I22" s="102">
        <v>20</v>
      </c>
      <c r="J22" s="102">
        <v>20</v>
      </c>
      <c r="K22" s="102">
        <v>20</v>
      </c>
      <c r="L22" s="102">
        <v>20</v>
      </c>
      <c r="M22" s="102">
        <v>20</v>
      </c>
      <c r="N22" s="45"/>
    </row>
    <row r="23" spans="1:14" x14ac:dyDescent="0.25">
      <c r="A23" s="306"/>
      <c r="B23" s="323"/>
      <c r="C23" s="21" t="s">
        <v>5</v>
      </c>
      <c r="D23" s="1" t="s">
        <v>6</v>
      </c>
      <c r="E23" s="103">
        <v>939.47924488610727</v>
      </c>
      <c r="F23" s="103">
        <v>670.86780042435419</v>
      </c>
      <c r="G23" s="103">
        <v>523.42631254470632</v>
      </c>
      <c r="H23" s="103">
        <v>523.42631254470632</v>
      </c>
      <c r="I23" s="103">
        <v>523.42631254470632</v>
      </c>
      <c r="J23" s="103">
        <v>523.42631254470632</v>
      </c>
      <c r="K23" s="103">
        <v>1136.3124641115969</v>
      </c>
      <c r="L23" s="103">
        <v>988.42533284709032</v>
      </c>
      <c r="M23" s="103">
        <v>868.76381718516643</v>
      </c>
      <c r="N23" s="45"/>
    </row>
    <row r="24" spans="1:14" x14ac:dyDescent="0.25">
      <c r="A24" s="306"/>
      <c r="B24" s="323"/>
      <c r="C24" s="21" t="s">
        <v>172</v>
      </c>
      <c r="D24" s="1" t="s">
        <v>19</v>
      </c>
      <c r="E24" s="104">
        <v>0.35</v>
      </c>
      <c r="F24" s="104">
        <v>0.35</v>
      </c>
      <c r="G24" s="104">
        <v>0.35</v>
      </c>
      <c r="H24" s="104">
        <v>0.35</v>
      </c>
      <c r="I24" s="104">
        <v>0.35</v>
      </c>
      <c r="J24" s="104">
        <v>0.35</v>
      </c>
      <c r="K24" s="104">
        <v>0.35</v>
      </c>
      <c r="L24" s="104">
        <v>0.35</v>
      </c>
      <c r="M24" s="104">
        <v>0.35</v>
      </c>
      <c r="N24" s="45"/>
    </row>
    <row r="25" spans="1:14" x14ac:dyDescent="0.25">
      <c r="A25" s="306"/>
      <c r="B25" s="323"/>
      <c r="C25" s="21" t="s">
        <v>102</v>
      </c>
      <c r="D25" s="1" t="s">
        <v>8</v>
      </c>
      <c r="E25" s="102"/>
      <c r="F25" s="102"/>
      <c r="G25" s="102"/>
      <c r="H25" s="102"/>
      <c r="I25" s="102"/>
      <c r="J25" s="102"/>
      <c r="K25" s="102"/>
      <c r="L25" s="102"/>
      <c r="M25" s="102"/>
      <c r="N25" s="45"/>
    </row>
    <row r="26" spans="1:14" x14ac:dyDescent="0.25">
      <c r="A26" s="306"/>
      <c r="B26" s="323"/>
      <c r="C26" s="21" t="s">
        <v>103</v>
      </c>
      <c r="D26" s="1" t="s">
        <v>9</v>
      </c>
      <c r="E26" s="103">
        <v>14.092188673291609</v>
      </c>
      <c r="F26" s="103">
        <v>10.063017006365312</v>
      </c>
      <c r="G26" s="103">
        <v>7.8513946881705952</v>
      </c>
      <c r="H26" s="103">
        <v>7.8513946881705952</v>
      </c>
      <c r="I26" s="103">
        <v>7.8513946881705952</v>
      </c>
      <c r="J26" s="103">
        <v>7.8513946881705952</v>
      </c>
      <c r="K26" s="103">
        <v>1.91</v>
      </c>
      <c r="L26" s="103">
        <v>1.91</v>
      </c>
      <c r="M26" s="103">
        <v>1.91</v>
      </c>
      <c r="N26" s="45"/>
    </row>
    <row r="27" spans="1:14" x14ac:dyDescent="0.25">
      <c r="A27" s="306"/>
      <c r="B27" s="323"/>
      <c r="C27" s="21" t="s">
        <v>104</v>
      </c>
      <c r="D27" s="1" t="s">
        <v>10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  <c r="J27" s="103">
        <v>0</v>
      </c>
      <c r="K27" s="103">
        <v>2.1700000000000001E-3</v>
      </c>
      <c r="L27" s="103">
        <v>2.1700000000000001E-3</v>
      </c>
      <c r="M27" s="103">
        <v>2.1700000000000001E-3</v>
      </c>
      <c r="N27" s="45"/>
    </row>
    <row r="28" spans="1:14" ht="18.75" x14ac:dyDescent="0.25">
      <c r="A28" s="306"/>
      <c r="B28" s="323"/>
      <c r="C28" s="22" t="s">
        <v>105</v>
      </c>
      <c r="D28" s="23" t="s">
        <v>17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45"/>
    </row>
    <row r="29" spans="1:14" x14ac:dyDescent="0.25">
      <c r="A29" s="306"/>
      <c r="B29" s="323"/>
      <c r="C29" s="22" t="s">
        <v>11</v>
      </c>
      <c r="D29" s="23" t="s">
        <v>10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45"/>
    </row>
    <row r="30" spans="1:14" x14ac:dyDescent="0.25">
      <c r="A30" s="306"/>
      <c r="B30" s="323"/>
      <c r="C30" s="21" t="s">
        <v>18</v>
      </c>
      <c r="D30" s="2" t="s">
        <v>19</v>
      </c>
      <c r="E30" s="102">
        <v>3.59</v>
      </c>
      <c r="F30" s="102">
        <v>3.59</v>
      </c>
      <c r="G30" s="102">
        <v>3.59</v>
      </c>
      <c r="H30" s="102">
        <v>3.59</v>
      </c>
      <c r="I30" s="102">
        <v>3.59</v>
      </c>
      <c r="J30" s="102">
        <v>3.59</v>
      </c>
      <c r="K30" s="102">
        <v>3.59</v>
      </c>
      <c r="L30" s="102">
        <v>3.59</v>
      </c>
      <c r="M30" s="102">
        <v>3.59</v>
      </c>
      <c r="N30" s="45"/>
    </row>
    <row r="31" spans="1:14" x14ac:dyDescent="0.25">
      <c r="A31" s="306"/>
      <c r="B31" s="323"/>
      <c r="C31" s="21" t="s">
        <v>13</v>
      </c>
      <c r="D31" s="1" t="s">
        <v>14</v>
      </c>
      <c r="E31" s="102"/>
      <c r="F31" s="102"/>
      <c r="G31" s="102"/>
      <c r="H31" s="102"/>
      <c r="I31" s="102"/>
      <c r="J31" s="102"/>
      <c r="K31" s="102"/>
      <c r="L31" s="102"/>
      <c r="M31" s="102"/>
      <c r="N31" s="45"/>
    </row>
    <row r="32" spans="1:14" x14ac:dyDescent="0.25">
      <c r="A32" s="306"/>
      <c r="B32" s="323"/>
      <c r="C32" s="21" t="s">
        <v>15</v>
      </c>
      <c r="D32" s="1" t="s">
        <v>4</v>
      </c>
      <c r="E32" s="102"/>
      <c r="F32" s="102"/>
      <c r="G32" s="102"/>
      <c r="H32" s="102"/>
      <c r="I32" s="102"/>
      <c r="J32" s="102"/>
      <c r="K32" s="102"/>
      <c r="L32" s="102"/>
      <c r="M32" s="102"/>
      <c r="N32" s="45"/>
    </row>
    <row r="33" spans="1:14" ht="14.45" customHeight="1" x14ac:dyDescent="0.25">
      <c r="A33" s="306">
        <v>4</v>
      </c>
      <c r="B33" s="323" t="s">
        <v>145</v>
      </c>
      <c r="C33" s="21" t="s">
        <v>101</v>
      </c>
      <c r="D33" s="1" t="s">
        <v>4</v>
      </c>
      <c r="E33" s="102">
        <v>20</v>
      </c>
      <c r="F33" s="102">
        <v>20</v>
      </c>
      <c r="G33" s="102">
        <v>20</v>
      </c>
      <c r="H33" s="102">
        <v>20</v>
      </c>
      <c r="I33" s="102">
        <v>20</v>
      </c>
      <c r="J33" s="102">
        <v>20</v>
      </c>
      <c r="K33" s="102">
        <v>20</v>
      </c>
      <c r="L33" s="102">
        <v>20</v>
      </c>
      <c r="M33" s="102">
        <v>20</v>
      </c>
      <c r="N33" s="45"/>
    </row>
    <row r="34" spans="1:14" x14ac:dyDescent="0.25">
      <c r="A34" s="306"/>
      <c r="B34" s="323"/>
      <c r="C34" s="21" t="s">
        <v>5</v>
      </c>
      <c r="D34" s="1" t="s">
        <v>6</v>
      </c>
      <c r="E34" s="103">
        <v>939.47924488610727</v>
      </c>
      <c r="F34" s="103">
        <v>670.86780042435419</v>
      </c>
      <c r="G34" s="103">
        <v>523.42631254470632</v>
      </c>
      <c r="H34" s="103">
        <v>523.42631254470632</v>
      </c>
      <c r="I34" s="103">
        <v>523.42631254470632</v>
      </c>
      <c r="J34" s="103">
        <v>523.42631254470632</v>
      </c>
      <c r="K34" s="103">
        <v>1136.3124641115969</v>
      </c>
      <c r="L34" s="103">
        <v>988.42533284709032</v>
      </c>
      <c r="M34" s="103">
        <v>868.76381718516643</v>
      </c>
      <c r="N34" s="45"/>
    </row>
    <row r="35" spans="1:14" x14ac:dyDescent="0.25">
      <c r="A35" s="306"/>
      <c r="B35" s="323"/>
      <c r="C35" s="21" t="s">
        <v>172</v>
      </c>
      <c r="D35" s="1" t="s">
        <v>19</v>
      </c>
      <c r="E35" s="104">
        <v>0.35</v>
      </c>
      <c r="F35" s="104">
        <v>0.35</v>
      </c>
      <c r="G35" s="104">
        <v>0.35</v>
      </c>
      <c r="H35" s="104">
        <v>0.35</v>
      </c>
      <c r="I35" s="104">
        <v>0.35</v>
      </c>
      <c r="J35" s="104">
        <v>0.35</v>
      </c>
      <c r="K35" s="104">
        <v>0.35</v>
      </c>
      <c r="L35" s="104">
        <v>0.35</v>
      </c>
      <c r="M35" s="104">
        <v>0.35</v>
      </c>
      <c r="N35" s="45"/>
    </row>
    <row r="36" spans="1:14" x14ac:dyDescent="0.25">
      <c r="A36" s="306"/>
      <c r="B36" s="323"/>
      <c r="C36" s="21" t="s">
        <v>102</v>
      </c>
      <c r="D36" s="1" t="s">
        <v>8</v>
      </c>
      <c r="E36" s="102"/>
      <c r="F36" s="102"/>
      <c r="G36" s="102"/>
      <c r="H36" s="102"/>
      <c r="I36" s="102"/>
      <c r="J36" s="102"/>
      <c r="K36" s="102"/>
      <c r="L36" s="102"/>
      <c r="M36" s="102"/>
      <c r="N36" s="45"/>
    </row>
    <row r="37" spans="1:14" x14ac:dyDescent="0.25">
      <c r="A37" s="306"/>
      <c r="B37" s="323"/>
      <c r="C37" s="21" t="s">
        <v>103</v>
      </c>
      <c r="D37" s="1" t="s">
        <v>9</v>
      </c>
      <c r="E37" s="103">
        <v>14.092188673291609</v>
      </c>
      <c r="F37" s="103">
        <v>10.063017006365312</v>
      </c>
      <c r="G37" s="103">
        <v>7.8513946881705952</v>
      </c>
      <c r="H37" s="103">
        <v>7.8513946881705952</v>
      </c>
      <c r="I37" s="103">
        <v>7.8513946881705952</v>
      </c>
      <c r="J37" s="103">
        <v>7.8513946881705952</v>
      </c>
      <c r="K37" s="103">
        <v>1.91</v>
      </c>
      <c r="L37" s="103">
        <v>1.91</v>
      </c>
      <c r="M37" s="103">
        <v>1.91</v>
      </c>
      <c r="N37" s="45"/>
    </row>
    <row r="38" spans="1:14" x14ac:dyDescent="0.25">
      <c r="A38" s="306"/>
      <c r="B38" s="323"/>
      <c r="C38" s="21" t="s">
        <v>104</v>
      </c>
      <c r="D38" s="1" t="s">
        <v>10</v>
      </c>
      <c r="E38" s="103">
        <v>0</v>
      </c>
      <c r="F38" s="103">
        <v>0</v>
      </c>
      <c r="G38" s="103">
        <v>0</v>
      </c>
      <c r="H38" s="103">
        <v>0</v>
      </c>
      <c r="I38" s="103">
        <v>0</v>
      </c>
      <c r="J38" s="103">
        <v>0</v>
      </c>
      <c r="K38" s="103">
        <v>2.1700000000000001E-3</v>
      </c>
      <c r="L38" s="103">
        <v>2.1700000000000001E-3</v>
      </c>
      <c r="M38" s="103">
        <v>2.1700000000000001E-3</v>
      </c>
      <c r="N38" s="45"/>
    </row>
    <row r="39" spans="1:14" ht="18.75" x14ac:dyDescent="0.25">
      <c r="A39" s="306"/>
      <c r="B39" s="323"/>
      <c r="C39" s="22" t="s">
        <v>105</v>
      </c>
      <c r="D39" s="23" t="s">
        <v>17</v>
      </c>
      <c r="E39" s="103">
        <v>0</v>
      </c>
      <c r="F39" s="103">
        <v>0</v>
      </c>
      <c r="G39" s="103">
        <v>0</v>
      </c>
      <c r="H39" s="103">
        <v>0</v>
      </c>
      <c r="I39" s="103">
        <v>0</v>
      </c>
      <c r="J39" s="103">
        <v>0</v>
      </c>
      <c r="K39" s="103">
        <v>0</v>
      </c>
      <c r="L39" s="103">
        <v>0</v>
      </c>
      <c r="M39" s="103">
        <v>0</v>
      </c>
      <c r="N39" s="45"/>
    </row>
    <row r="40" spans="1:14" x14ac:dyDescent="0.25">
      <c r="A40" s="306"/>
      <c r="B40" s="323"/>
      <c r="C40" s="22" t="s">
        <v>11</v>
      </c>
      <c r="D40" s="23" t="s">
        <v>10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3">
        <v>0</v>
      </c>
      <c r="L40" s="103">
        <v>0</v>
      </c>
      <c r="M40" s="103">
        <v>0</v>
      </c>
      <c r="N40" s="45"/>
    </row>
    <row r="41" spans="1:14" x14ac:dyDescent="0.25">
      <c r="A41" s="306"/>
      <c r="B41" s="323"/>
      <c r="C41" s="21" t="s">
        <v>18</v>
      </c>
      <c r="D41" s="2" t="s">
        <v>19</v>
      </c>
      <c r="E41" s="102">
        <v>3.34</v>
      </c>
      <c r="F41" s="102">
        <v>3.34</v>
      </c>
      <c r="G41" s="102">
        <v>3.34</v>
      </c>
      <c r="H41" s="102">
        <v>3.34</v>
      </c>
      <c r="I41" s="102">
        <v>3.34</v>
      </c>
      <c r="J41" s="102">
        <v>3.34</v>
      </c>
      <c r="K41" s="102">
        <v>3.34</v>
      </c>
      <c r="L41" s="102">
        <v>3.34</v>
      </c>
      <c r="M41" s="102">
        <v>3.34</v>
      </c>
      <c r="N41" s="45"/>
    </row>
    <row r="42" spans="1:14" x14ac:dyDescent="0.25">
      <c r="A42" s="306"/>
      <c r="B42" s="323"/>
      <c r="C42" s="21" t="s">
        <v>13</v>
      </c>
      <c r="D42" s="1" t="s">
        <v>14</v>
      </c>
      <c r="E42" s="102"/>
      <c r="F42" s="102"/>
      <c r="G42" s="102"/>
      <c r="H42" s="102"/>
      <c r="I42" s="102"/>
      <c r="J42" s="102"/>
      <c r="K42" s="102"/>
      <c r="L42" s="102"/>
      <c r="M42" s="102"/>
      <c r="N42" s="45"/>
    </row>
    <row r="43" spans="1:14" x14ac:dyDescent="0.25">
      <c r="A43" s="306"/>
      <c r="B43" s="323"/>
      <c r="C43" s="21" t="s">
        <v>15</v>
      </c>
      <c r="D43" s="1" t="s">
        <v>4</v>
      </c>
      <c r="E43" s="102"/>
      <c r="F43" s="102"/>
      <c r="G43" s="102"/>
      <c r="H43" s="102"/>
      <c r="I43" s="102"/>
      <c r="J43" s="102"/>
      <c r="K43" s="102"/>
      <c r="L43" s="102"/>
      <c r="M43" s="102"/>
      <c r="N43" s="45"/>
    </row>
    <row r="44" spans="1:14" ht="14.45" customHeight="1" x14ac:dyDescent="0.25">
      <c r="A44" s="306">
        <v>5</v>
      </c>
      <c r="B44" s="323" t="s">
        <v>146</v>
      </c>
      <c r="C44" s="21" t="s">
        <v>101</v>
      </c>
      <c r="D44" s="1" t="s">
        <v>4</v>
      </c>
      <c r="E44" s="102">
        <v>20</v>
      </c>
      <c r="F44" s="102">
        <v>20</v>
      </c>
      <c r="G44" s="102">
        <v>20</v>
      </c>
      <c r="H44" s="102">
        <v>20</v>
      </c>
      <c r="I44" s="102">
        <v>20</v>
      </c>
      <c r="J44" s="102">
        <v>20</v>
      </c>
      <c r="K44" s="102">
        <v>20</v>
      </c>
      <c r="L44" s="102">
        <v>20</v>
      </c>
      <c r="M44" s="102">
        <v>20</v>
      </c>
      <c r="N44" s="45"/>
    </row>
    <row r="45" spans="1:14" x14ac:dyDescent="0.25">
      <c r="A45" s="306"/>
      <c r="B45" s="323"/>
      <c r="C45" s="21" t="s">
        <v>20</v>
      </c>
      <c r="D45" s="1" t="s">
        <v>6</v>
      </c>
      <c r="E45" s="103">
        <v>939.47924488610727</v>
      </c>
      <c r="F45" s="103">
        <v>670.86780042435419</v>
      </c>
      <c r="G45" s="103">
        <v>523.42631254470632</v>
      </c>
      <c r="H45" s="103">
        <v>523.42631254470632</v>
      </c>
      <c r="I45" s="103">
        <v>523.42631254470632</v>
      </c>
      <c r="J45" s="103">
        <v>523.42631254470632</v>
      </c>
      <c r="K45" s="103">
        <v>1136.3124641115969</v>
      </c>
      <c r="L45" s="103">
        <v>988.42533284709032</v>
      </c>
      <c r="M45" s="103">
        <v>868.76381718516643</v>
      </c>
      <c r="N45" s="45"/>
    </row>
    <row r="46" spans="1:14" x14ac:dyDescent="0.25">
      <c r="A46" s="306"/>
      <c r="B46" s="323"/>
      <c r="C46" s="21" t="s">
        <v>172</v>
      </c>
      <c r="D46" s="1" t="s">
        <v>19</v>
      </c>
      <c r="E46" s="104">
        <v>0.35</v>
      </c>
      <c r="F46" s="104">
        <v>0.35</v>
      </c>
      <c r="G46" s="104">
        <v>0.35</v>
      </c>
      <c r="H46" s="104">
        <v>0.35</v>
      </c>
      <c r="I46" s="104">
        <v>0.35</v>
      </c>
      <c r="J46" s="104">
        <v>0.35</v>
      </c>
      <c r="K46" s="104">
        <v>0.35</v>
      </c>
      <c r="L46" s="104">
        <v>0.35</v>
      </c>
      <c r="M46" s="104">
        <v>0.35</v>
      </c>
      <c r="N46" s="45"/>
    </row>
    <row r="47" spans="1:14" x14ac:dyDescent="0.25">
      <c r="A47" s="306"/>
      <c r="B47" s="323"/>
      <c r="C47" s="21" t="s">
        <v>102</v>
      </c>
      <c r="D47" s="1" t="s">
        <v>8</v>
      </c>
      <c r="E47" s="102"/>
      <c r="F47" s="102"/>
      <c r="G47" s="102"/>
      <c r="H47" s="102"/>
      <c r="I47" s="102"/>
      <c r="J47" s="102"/>
      <c r="K47" s="102"/>
      <c r="L47" s="102"/>
      <c r="M47" s="102"/>
      <c r="N47" s="45"/>
    </row>
    <row r="48" spans="1:14" x14ac:dyDescent="0.25">
      <c r="A48" s="306"/>
      <c r="B48" s="323"/>
      <c r="C48" s="21" t="s">
        <v>103</v>
      </c>
      <c r="D48" s="1" t="s">
        <v>9</v>
      </c>
      <c r="E48" s="103">
        <v>14.092188673291609</v>
      </c>
      <c r="F48" s="103">
        <v>10.063017006365312</v>
      </c>
      <c r="G48" s="103">
        <v>7.8513946881705952</v>
      </c>
      <c r="H48" s="103">
        <v>7.8513946881705952</v>
      </c>
      <c r="I48" s="103">
        <v>7.8513946881705952</v>
      </c>
      <c r="J48" s="103">
        <v>7.8513946881705952</v>
      </c>
      <c r="K48" s="103">
        <v>1.91</v>
      </c>
      <c r="L48" s="103">
        <v>1.91</v>
      </c>
      <c r="M48" s="103">
        <v>1.91</v>
      </c>
      <c r="N48" s="45"/>
    </row>
    <row r="49" spans="1:14" x14ac:dyDescent="0.25">
      <c r="A49" s="306"/>
      <c r="B49" s="323"/>
      <c r="C49" s="21" t="s">
        <v>104</v>
      </c>
      <c r="D49" s="1" t="s">
        <v>10</v>
      </c>
      <c r="E49" s="103">
        <v>0</v>
      </c>
      <c r="F49" s="103">
        <v>0</v>
      </c>
      <c r="G49" s="103">
        <v>0</v>
      </c>
      <c r="H49" s="103">
        <v>0</v>
      </c>
      <c r="I49" s="103">
        <v>0</v>
      </c>
      <c r="J49" s="103">
        <v>0</v>
      </c>
      <c r="K49" s="103">
        <v>2.1700000000000001E-3</v>
      </c>
      <c r="L49" s="103">
        <v>2.1700000000000001E-3</v>
      </c>
      <c r="M49" s="103">
        <v>2.1700000000000001E-3</v>
      </c>
      <c r="N49" s="45"/>
    </row>
    <row r="50" spans="1:14" ht="18.75" x14ac:dyDescent="0.25">
      <c r="A50" s="306"/>
      <c r="B50" s="323"/>
      <c r="C50" s="22" t="s">
        <v>105</v>
      </c>
      <c r="D50" s="23" t="s">
        <v>17</v>
      </c>
      <c r="E50" s="103">
        <v>0</v>
      </c>
      <c r="F50" s="103">
        <v>0</v>
      </c>
      <c r="G50" s="103">
        <v>0</v>
      </c>
      <c r="H50" s="103">
        <v>0</v>
      </c>
      <c r="I50" s="103">
        <v>0</v>
      </c>
      <c r="J50" s="103">
        <v>0</v>
      </c>
      <c r="K50" s="103">
        <v>0</v>
      </c>
      <c r="L50" s="103">
        <v>0</v>
      </c>
      <c r="M50" s="103">
        <v>0</v>
      </c>
      <c r="N50" s="45"/>
    </row>
    <row r="51" spans="1:14" x14ac:dyDescent="0.25">
      <c r="A51" s="306"/>
      <c r="B51" s="323"/>
      <c r="C51" s="22" t="s">
        <v>11</v>
      </c>
      <c r="D51" s="23" t="s">
        <v>10</v>
      </c>
      <c r="E51" s="103">
        <v>0</v>
      </c>
      <c r="F51" s="103">
        <v>0</v>
      </c>
      <c r="G51" s="103">
        <v>0</v>
      </c>
      <c r="H51" s="103">
        <v>0</v>
      </c>
      <c r="I51" s="103">
        <v>0</v>
      </c>
      <c r="J51" s="103">
        <v>0</v>
      </c>
      <c r="K51" s="103">
        <v>0</v>
      </c>
      <c r="L51" s="103">
        <v>0</v>
      </c>
      <c r="M51" s="103">
        <v>0</v>
      </c>
      <c r="N51" s="45"/>
    </row>
    <row r="52" spans="1:14" x14ac:dyDescent="0.25">
      <c r="A52" s="306"/>
      <c r="B52" s="323"/>
      <c r="C52" s="21" t="s">
        <v>18</v>
      </c>
      <c r="D52" s="2" t="s">
        <v>19</v>
      </c>
      <c r="E52" s="102">
        <v>3.09</v>
      </c>
      <c r="F52" s="102">
        <v>3.09</v>
      </c>
      <c r="G52" s="102">
        <v>3.09</v>
      </c>
      <c r="H52" s="102">
        <v>3.09</v>
      </c>
      <c r="I52" s="102">
        <v>3.09</v>
      </c>
      <c r="J52" s="102">
        <v>3.09</v>
      </c>
      <c r="K52" s="102">
        <v>3.09</v>
      </c>
      <c r="L52" s="102">
        <v>3.09</v>
      </c>
      <c r="M52" s="102">
        <v>3.09</v>
      </c>
      <c r="N52" s="45"/>
    </row>
    <row r="53" spans="1:14" x14ac:dyDescent="0.25">
      <c r="A53" s="306"/>
      <c r="B53" s="323"/>
      <c r="C53" s="21" t="s">
        <v>13</v>
      </c>
      <c r="D53" s="2" t="s">
        <v>14</v>
      </c>
      <c r="E53" s="102"/>
      <c r="F53" s="102"/>
      <c r="G53" s="102"/>
      <c r="H53" s="102"/>
      <c r="I53" s="102"/>
      <c r="J53" s="102"/>
      <c r="K53" s="102"/>
      <c r="L53" s="102"/>
      <c r="M53" s="102"/>
      <c r="N53" s="45"/>
    </row>
    <row r="54" spans="1:14" x14ac:dyDescent="0.25">
      <c r="A54" s="306"/>
      <c r="B54" s="323"/>
      <c r="C54" s="21" t="s">
        <v>15</v>
      </c>
      <c r="D54" s="2" t="s">
        <v>4</v>
      </c>
      <c r="E54" s="102"/>
      <c r="F54" s="102"/>
      <c r="G54" s="102"/>
      <c r="H54" s="102"/>
      <c r="I54" s="102"/>
      <c r="J54" s="102"/>
      <c r="K54" s="102"/>
      <c r="L54" s="102"/>
      <c r="M54" s="102"/>
      <c r="N54" s="45"/>
    </row>
    <row r="55" spans="1:14" ht="14.45" customHeight="1" x14ac:dyDescent="0.25">
      <c r="A55" s="306">
        <v>6</v>
      </c>
      <c r="B55" s="323" t="s">
        <v>147</v>
      </c>
      <c r="C55" s="21" t="s">
        <v>101</v>
      </c>
      <c r="D55" s="1" t="s">
        <v>4</v>
      </c>
      <c r="E55" s="102">
        <v>20</v>
      </c>
      <c r="F55" s="102">
        <v>20</v>
      </c>
      <c r="G55" s="102">
        <v>20</v>
      </c>
      <c r="H55" s="102">
        <v>20</v>
      </c>
      <c r="I55" s="102">
        <v>20</v>
      </c>
      <c r="J55" s="102">
        <v>20</v>
      </c>
      <c r="K55" s="102">
        <v>20</v>
      </c>
      <c r="L55" s="102">
        <v>20</v>
      </c>
      <c r="M55" s="102">
        <v>20</v>
      </c>
      <c r="N55" s="45"/>
    </row>
    <row r="56" spans="1:14" x14ac:dyDescent="0.25">
      <c r="A56" s="306"/>
      <c r="B56" s="323"/>
      <c r="C56" s="21" t="s">
        <v>20</v>
      </c>
      <c r="D56" s="1" t="s">
        <v>6</v>
      </c>
      <c r="E56" s="103">
        <v>909.21153254208934</v>
      </c>
      <c r="F56" s="103">
        <v>627.05637164757331</v>
      </c>
      <c r="G56" s="103">
        <v>475.93332461067337</v>
      </c>
      <c r="H56" s="103">
        <v>475.93332461067337</v>
      </c>
      <c r="I56" s="103">
        <v>475.93332461067337</v>
      </c>
      <c r="J56" s="103">
        <v>475.93332461067337</v>
      </c>
      <c r="K56" s="103">
        <v>674.78400000000011</v>
      </c>
      <c r="L56" s="103">
        <v>674.78400000000011</v>
      </c>
      <c r="M56" s="103">
        <v>674.78400000000011</v>
      </c>
      <c r="N56" s="45"/>
    </row>
    <row r="57" spans="1:14" x14ac:dyDescent="0.25">
      <c r="A57" s="306"/>
      <c r="B57" s="323"/>
      <c r="C57" s="21" t="s">
        <v>172</v>
      </c>
      <c r="D57" s="1" t="s">
        <v>19</v>
      </c>
      <c r="E57" s="104">
        <v>0.35</v>
      </c>
      <c r="F57" s="104">
        <v>0.35</v>
      </c>
      <c r="G57" s="104">
        <v>0.35</v>
      </c>
      <c r="H57" s="104">
        <v>0.35</v>
      </c>
      <c r="I57" s="104">
        <v>0.35</v>
      </c>
      <c r="J57" s="104">
        <v>0.35</v>
      </c>
      <c r="K57" s="104">
        <v>0.35</v>
      </c>
      <c r="L57" s="104">
        <v>0.35</v>
      </c>
      <c r="M57" s="104">
        <v>0.35</v>
      </c>
      <c r="N57" s="45"/>
    </row>
    <row r="58" spans="1:14" x14ac:dyDescent="0.25">
      <c r="A58" s="306"/>
      <c r="B58" s="323"/>
      <c r="C58" s="21" t="s">
        <v>102</v>
      </c>
      <c r="D58" s="1" t="s">
        <v>8</v>
      </c>
      <c r="E58" s="102"/>
      <c r="F58" s="102"/>
      <c r="G58" s="102"/>
      <c r="H58" s="102"/>
      <c r="I58" s="102"/>
      <c r="J58" s="102"/>
      <c r="K58" s="102"/>
      <c r="L58" s="102"/>
      <c r="M58" s="102"/>
      <c r="N58" s="45"/>
    </row>
    <row r="59" spans="1:14" x14ac:dyDescent="0.25">
      <c r="A59" s="306"/>
      <c r="B59" s="323"/>
      <c r="C59" s="21" t="s">
        <v>103</v>
      </c>
      <c r="D59" s="1" t="s">
        <v>9</v>
      </c>
      <c r="E59" s="103">
        <v>13.638172988131339</v>
      </c>
      <c r="F59" s="103">
        <v>9.4058455747135987</v>
      </c>
      <c r="G59" s="103">
        <v>7.1389998691601004</v>
      </c>
      <c r="H59" s="103">
        <v>7.1389998691601004</v>
      </c>
      <c r="I59" s="103">
        <v>7.1389998691601004</v>
      </c>
      <c r="J59" s="103">
        <v>7.1389998691601004</v>
      </c>
      <c r="K59" s="103">
        <v>1.91</v>
      </c>
      <c r="L59" s="103">
        <v>1.91</v>
      </c>
      <c r="M59" s="103">
        <v>1.91</v>
      </c>
      <c r="N59" s="45"/>
    </row>
    <row r="60" spans="1:14" x14ac:dyDescent="0.25">
      <c r="A60" s="306"/>
      <c r="B60" s="323"/>
      <c r="C60" s="21" t="s">
        <v>104</v>
      </c>
      <c r="D60" s="1" t="s">
        <v>10</v>
      </c>
      <c r="E60" s="103">
        <v>0</v>
      </c>
      <c r="F60" s="103">
        <v>0</v>
      </c>
      <c r="G60" s="103">
        <v>0</v>
      </c>
      <c r="H60" s="103">
        <v>0</v>
      </c>
      <c r="I60" s="103">
        <v>0</v>
      </c>
      <c r="J60" s="103">
        <v>0</v>
      </c>
      <c r="K60" s="103">
        <v>2.1700000000000001E-3</v>
      </c>
      <c r="L60" s="103">
        <v>2.1700000000000001E-3</v>
      </c>
      <c r="M60" s="103">
        <v>2.1700000000000001E-3</v>
      </c>
      <c r="N60" s="45"/>
    </row>
    <row r="61" spans="1:14" ht="18.75" x14ac:dyDescent="0.25">
      <c r="A61" s="306"/>
      <c r="B61" s="323"/>
      <c r="C61" s="22" t="s">
        <v>105</v>
      </c>
      <c r="D61" s="23" t="s">
        <v>17</v>
      </c>
      <c r="E61" s="103">
        <v>0</v>
      </c>
      <c r="F61" s="103">
        <v>0</v>
      </c>
      <c r="G61" s="103">
        <v>0</v>
      </c>
      <c r="H61" s="103">
        <v>0</v>
      </c>
      <c r="I61" s="103">
        <v>0</v>
      </c>
      <c r="J61" s="103">
        <v>0</v>
      </c>
      <c r="K61" s="103">
        <v>0</v>
      </c>
      <c r="L61" s="103">
        <v>0</v>
      </c>
      <c r="M61" s="103">
        <v>0</v>
      </c>
      <c r="N61" s="45"/>
    </row>
    <row r="62" spans="1:14" x14ac:dyDescent="0.25">
      <c r="A62" s="306"/>
      <c r="B62" s="323"/>
      <c r="C62" s="22" t="s">
        <v>11</v>
      </c>
      <c r="D62" s="23" t="s">
        <v>10</v>
      </c>
      <c r="E62" s="103">
        <v>0</v>
      </c>
      <c r="F62" s="103">
        <v>0</v>
      </c>
      <c r="G62" s="103">
        <v>0</v>
      </c>
      <c r="H62" s="103">
        <v>0</v>
      </c>
      <c r="I62" s="103">
        <v>0</v>
      </c>
      <c r="J62" s="103">
        <v>0</v>
      </c>
      <c r="K62" s="103">
        <v>0</v>
      </c>
      <c r="L62" s="103">
        <v>0</v>
      </c>
      <c r="M62" s="103">
        <v>0</v>
      </c>
      <c r="N62" s="45"/>
    </row>
    <row r="63" spans="1:14" x14ac:dyDescent="0.25">
      <c r="A63" s="306"/>
      <c r="B63" s="323"/>
      <c r="C63" s="21" t="s">
        <v>18</v>
      </c>
      <c r="D63" s="2" t="s">
        <v>19</v>
      </c>
      <c r="E63" s="102">
        <v>4.22</v>
      </c>
      <c r="F63" s="102">
        <v>4.22</v>
      </c>
      <c r="G63" s="102">
        <v>4.22</v>
      </c>
      <c r="H63" s="102">
        <v>4.22</v>
      </c>
      <c r="I63" s="102">
        <v>4.22</v>
      </c>
      <c r="J63" s="102">
        <v>4.22</v>
      </c>
      <c r="K63" s="102">
        <v>4.22</v>
      </c>
      <c r="L63" s="102">
        <v>4.22</v>
      </c>
      <c r="M63" s="102">
        <v>4.22</v>
      </c>
      <c r="N63" s="45"/>
    </row>
    <row r="64" spans="1:14" x14ac:dyDescent="0.25">
      <c r="A64" s="306"/>
      <c r="B64" s="323"/>
      <c r="C64" s="21" t="s">
        <v>13</v>
      </c>
      <c r="D64" s="1" t="s">
        <v>14</v>
      </c>
      <c r="E64" s="102"/>
      <c r="F64" s="102"/>
      <c r="G64" s="102"/>
      <c r="H64" s="102"/>
      <c r="I64" s="102"/>
      <c r="J64" s="102"/>
      <c r="K64" s="102"/>
      <c r="L64" s="102"/>
      <c r="M64" s="102"/>
      <c r="N64" s="45"/>
    </row>
    <row r="65" spans="1:14" x14ac:dyDescent="0.25">
      <c r="A65" s="306"/>
      <c r="B65" s="323"/>
      <c r="C65" s="21" t="s">
        <v>15</v>
      </c>
      <c r="D65" s="1" t="s">
        <v>4</v>
      </c>
      <c r="E65" s="102"/>
      <c r="F65" s="102"/>
      <c r="G65" s="102"/>
      <c r="H65" s="102"/>
      <c r="I65" s="102"/>
      <c r="J65" s="102"/>
      <c r="K65" s="102"/>
      <c r="L65" s="102"/>
      <c r="M65" s="102"/>
      <c r="N65" s="45"/>
    </row>
    <row r="66" spans="1:14" x14ac:dyDescent="0.25">
      <c r="A66" s="306"/>
      <c r="B66" s="323"/>
      <c r="C66" s="21" t="s">
        <v>106</v>
      </c>
      <c r="D66" s="1" t="s">
        <v>6</v>
      </c>
      <c r="E66" s="103">
        <v>2419.8158607382284</v>
      </c>
      <c r="F66" s="103">
        <v>1655.7881203031177</v>
      </c>
      <c r="G66" s="103">
        <v>1041.3145241292364</v>
      </c>
      <c r="H66" s="103">
        <v>361.73551248702233</v>
      </c>
      <c r="I66" s="103">
        <v>246.65342336513888</v>
      </c>
      <c r="J66" s="103">
        <v>156.34182589557849</v>
      </c>
      <c r="K66" s="103">
        <v>75.877978739630933</v>
      </c>
      <c r="L66" s="103">
        <v>66.467719198694567</v>
      </c>
      <c r="M66" s="103">
        <v>66.467719198694567</v>
      </c>
      <c r="N66" s="45"/>
    </row>
    <row r="67" spans="1:14" x14ac:dyDescent="0.25">
      <c r="A67" s="306"/>
      <c r="B67" s="323"/>
      <c r="C67" s="21" t="s">
        <v>107</v>
      </c>
      <c r="D67" s="1" t="s">
        <v>4</v>
      </c>
      <c r="E67" s="102"/>
      <c r="F67" s="102"/>
      <c r="G67" s="102"/>
      <c r="H67" s="102"/>
      <c r="I67" s="102"/>
      <c r="J67" s="102"/>
      <c r="K67" s="102"/>
      <c r="L67" s="102"/>
      <c r="M67" s="102"/>
      <c r="N67" s="45"/>
    </row>
    <row r="68" spans="1:14" ht="14.45" customHeight="1" x14ac:dyDescent="0.25">
      <c r="A68" s="306">
        <v>7</v>
      </c>
      <c r="B68" s="323" t="s">
        <v>148</v>
      </c>
      <c r="C68" s="21" t="s">
        <v>101</v>
      </c>
      <c r="D68" s="1" t="s">
        <v>4</v>
      </c>
      <c r="E68" s="102">
        <v>20</v>
      </c>
      <c r="F68" s="102">
        <v>20</v>
      </c>
      <c r="G68" s="102">
        <v>20</v>
      </c>
      <c r="H68" s="102">
        <v>20</v>
      </c>
      <c r="I68" s="102">
        <v>20</v>
      </c>
      <c r="J68" s="102">
        <v>20</v>
      </c>
      <c r="K68" s="102">
        <v>20</v>
      </c>
      <c r="L68" s="102">
        <v>20</v>
      </c>
      <c r="M68" s="102">
        <v>20</v>
      </c>
      <c r="N68" s="45"/>
    </row>
    <row r="69" spans="1:14" x14ac:dyDescent="0.25">
      <c r="A69" s="306"/>
      <c r="B69" s="323"/>
      <c r="C69" s="21" t="s">
        <v>20</v>
      </c>
      <c r="D69" s="1" t="s">
        <v>6</v>
      </c>
      <c r="E69" s="103">
        <v>909.21153254208934</v>
      </c>
      <c r="F69" s="103">
        <v>627.05637164757331</v>
      </c>
      <c r="G69" s="103">
        <v>475.93332461067337</v>
      </c>
      <c r="H69" s="103">
        <v>475.93332461067337</v>
      </c>
      <c r="I69" s="103">
        <v>475.93332461067337</v>
      </c>
      <c r="J69" s="103">
        <v>475.93332461067337</v>
      </c>
      <c r="K69" s="103">
        <v>674.78400000000011</v>
      </c>
      <c r="L69" s="103">
        <v>674.78400000000011</v>
      </c>
      <c r="M69" s="103">
        <v>674.78400000000011</v>
      </c>
      <c r="N69" s="45"/>
    </row>
    <row r="70" spans="1:14" x14ac:dyDescent="0.25">
      <c r="A70" s="306"/>
      <c r="B70" s="323"/>
      <c r="C70" s="21" t="s">
        <v>172</v>
      </c>
      <c r="D70" s="1" t="s">
        <v>19</v>
      </c>
      <c r="E70" s="104">
        <v>0.35</v>
      </c>
      <c r="F70" s="104">
        <v>0.35</v>
      </c>
      <c r="G70" s="104">
        <v>0.35</v>
      </c>
      <c r="H70" s="104">
        <v>0.35</v>
      </c>
      <c r="I70" s="104">
        <v>0.35</v>
      </c>
      <c r="J70" s="104">
        <v>0.35</v>
      </c>
      <c r="K70" s="104">
        <v>0.35</v>
      </c>
      <c r="L70" s="104">
        <v>0.35</v>
      </c>
      <c r="M70" s="104">
        <v>0.35</v>
      </c>
      <c r="N70" s="45"/>
    </row>
    <row r="71" spans="1:14" x14ac:dyDescent="0.25">
      <c r="A71" s="306"/>
      <c r="B71" s="323"/>
      <c r="C71" s="21" t="s">
        <v>102</v>
      </c>
      <c r="D71" s="1" t="s">
        <v>8</v>
      </c>
      <c r="E71" s="102"/>
      <c r="F71" s="102"/>
      <c r="G71" s="102"/>
      <c r="H71" s="102"/>
      <c r="I71" s="102"/>
      <c r="J71" s="102"/>
      <c r="K71" s="102"/>
      <c r="L71" s="102"/>
      <c r="M71" s="102"/>
      <c r="N71" s="45"/>
    </row>
    <row r="72" spans="1:14" x14ac:dyDescent="0.25">
      <c r="A72" s="306"/>
      <c r="B72" s="323"/>
      <c r="C72" s="21" t="s">
        <v>103</v>
      </c>
      <c r="D72" s="1" t="s">
        <v>9</v>
      </c>
      <c r="E72" s="103">
        <v>13.638172988131339</v>
      </c>
      <c r="F72" s="103">
        <v>9.4058455747135987</v>
      </c>
      <c r="G72" s="103">
        <v>7.1389998691601004</v>
      </c>
      <c r="H72" s="103">
        <v>7.1389998691601004</v>
      </c>
      <c r="I72" s="103">
        <v>7.1389998691601004</v>
      </c>
      <c r="J72" s="103">
        <v>7.1389998691601004</v>
      </c>
      <c r="K72" s="103">
        <v>1.91</v>
      </c>
      <c r="L72" s="103">
        <v>1.91</v>
      </c>
      <c r="M72" s="103">
        <v>1.91</v>
      </c>
      <c r="N72" s="45"/>
    </row>
    <row r="73" spans="1:14" x14ac:dyDescent="0.25">
      <c r="A73" s="306"/>
      <c r="B73" s="323"/>
      <c r="C73" s="21" t="s">
        <v>104</v>
      </c>
      <c r="D73" s="1" t="s">
        <v>10</v>
      </c>
      <c r="E73" s="103">
        <v>0</v>
      </c>
      <c r="F73" s="103">
        <v>0</v>
      </c>
      <c r="G73" s="103">
        <v>0</v>
      </c>
      <c r="H73" s="103">
        <v>0</v>
      </c>
      <c r="I73" s="103">
        <v>0</v>
      </c>
      <c r="J73" s="103">
        <v>0</v>
      </c>
      <c r="K73" s="103">
        <v>2.1700000000000001E-3</v>
      </c>
      <c r="L73" s="103">
        <v>2.1700000000000001E-3</v>
      </c>
      <c r="M73" s="103">
        <v>2.1700000000000001E-3</v>
      </c>
      <c r="N73" s="45"/>
    </row>
    <row r="74" spans="1:14" ht="18.75" x14ac:dyDescent="0.25">
      <c r="A74" s="306"/>
      <c r="B74" s="323"/>
      <c r="C74" s="22" t="s">
        <v>105</v>
      </c>
      <c r="D74" s="23" t="s">
        <v>17</v>
      </c>
      <c r="E74" s="103">
        <v>0</v>
      </c>
      <c r="F74" s="103">
        <v>0</v>
      </c>
      <c r="G74" s="103">
        <v>0</v>
      </c>
      <c r="H74" s="103">
        <v>0</v>
      </c>
      <c r="I74" s="103">
        <v>0</v>
      </c>
      <c r="J74" s="103">
        <v>0</v>
      </c>
      <c r="K74" s="103">
        <v>0</v>
      </c>
      <c r="L74" s="103">
        <v>0</v>
      </c>
      <c r="M74" s="103">
        <v>0</v>
      </c>
      <c r="N74" s="45"/>
    </row>
    <row r="75" spans="1:14" x14ac:dyDescent="0.25">
      <c r="A75" s="306"/>
      <c r="B75" s="323"/>
      <c r="C75" s="22" t="s">
        <v>11</v>
      </c>
      <c r="D75" s="23" t="s">
        <v>10</v>
      </c>
      <c r="E75" s="103">
        <v>0</v>
      </c>
      <c r="F75" s="103">
        <v>0</v>
      </c>
      <c r="G75" s="103">
        <v>0</v>
      </c>
      <c r="H75" s="103">
        <v>0</v>
      </c>
      <c r="I75" s="103">
        <v>0</v>
      </c>
      <c r="J75" s="103">
        <v>0</v>
      </c>
      <c r="K75" s="103">
        <v>0</v>
      </c>
      <c r="L75" s="103">
        <v>0</v>
      </c>
      <c r="M75" s="103">
        <v>0</v>
      </c>
      <c r="N75" s="45"/>
    </row>
    <row r="76" spans="1:14" x14ac:dyDescent="0.25">
      <c r="A76" s="306"/>
      <c r="B76" s="323"/>
      <c r="C76" s="21" t="s">
        <v>18</v>
      </c>
      <c r="D76" s="2" t="s">
        <v>19</v>
      </c>
      <c r="E76" s="102">
        <v>3.92</v>
      </c>
      <c r="F76" s="102">
        <v>3.92</v>
      </c>
      <c r="G76" s="102">
        <v>3.92</v>
      </c>
      <c r="H76" s="102">
        <v>3.92</v>
      </c>
      <c r="I76" s="102">
        <v>3.92</v>
      </c>
      <c r="J76" s="102">
        <v>3.92</v>
      </c>
      <c r="K76" s="102">
        <v>3.92</v>
      </c>
      <c r="L76" s="102">
        <v>3.92</v>
      </c>
      <c r="M76" s="102">
        <v>3.92</v>
      </c>
      <c r="N76" s="45"/>
    </row>
    <row r="77" spans="1:14" x14ac:dyDescent="0.25">
      <c r="A77" s="306"/>
      <c r="B77" s="323"/>
      <c r="C77" s="21" t="s">
        <v>13</v>
      </c>
      <c r="D77" s="1" t="s">
        <v>14</v>
      </c>
      <c r="E77" s="102"/>
      <c r="F77" s="102"/>
      <c r="G77" s="102"/>
      <c r="H77" s="102"/>
      <c r="I77" s="102"/>
      <c r="J77" s="102"/>
      <c r="K77" s="102"/>
      <c r="L77" s="102"/>
      <c r="M77" s="102"/>
      <c r="N77" s="45"/>
    </row>
    <row r="78" spans="1:14" x14ac:dyDescent="0.25">
      <c r="A78" s="306"/>
      <c r="B78" s="323"/>
      <c r="C78" s="21" t="s">
        <v>15</v>
      </c>
      <c r="D78" s="1" t="s">
        <v>4</v>
      </c>
      <c r="E78" s="102"/>
      <c r="F78" s="102"/>
      <c r="G78" s="102"/>
      <c r="H78" s="102"/>
      <c r="I78" s="102"/>
      <c r="J78" s="102"/>
      <c r="K78" s="102"/>
      <c r="L78" s="102"/>
      <c r="M78" s="102"/>
      <c r="N78" s="45"/>
    </row>
    <row r="79" spans="1:14" x14ac:dyDescent="0.25">
      <c r="A79" s="306"/>
      <c r="B79" s="323"/>
      <c r="C79" s="21" t="s">
        <v>106</v>
      </c>
      <c r="D79" s="1" t="s">
        <v>6</v>
      </c>
      <c r="E79" s="103">
        <v>2419.8158607382284</v>
      </c>
      <c r="F79" s="103">
        <v>1655.7881203031177</v>
      </c>
      <c r="G79" s="103">
        <v>1041.3145241292364</v>
      </c>
      <c r="H79" s="103">
        <v>361.73551248702233</v>
      </c>
      <c r="I79" s="103">
        <v>246.65342336513888</v>
      </c>
      <c r="J79" s="103">
        <v>156.34182589557849</v>
      </c>
      <c r="K79" s="103">
        <v>75.877978739630933</v>
      </c>
      <c r="L79" s="103">
        <v>66.467719198694567</v>
      </c>
      <c r="M79" s="103">
        <v>66.467719198694567</v>
      </c>
      <c r="N79" s="45"/>
    </row>
    <row r="80" spans="1:14" x14ac:dyDescent="0.25">
      <c r="A80" s="306"/>
      <c r="B80" s="323"/>
      <c r="C80" s="21" t="s">
        <v>107</v>
      </c>
      <c r="D80" s="1" t="s">
        <v>4</v>
      </c>
      <c r="E80" s="102"/>
      <c r="F80" s="102"/>
      <c r="G80" s="102"/>
      <c r="H80" s="102"/>
      <c r="I80" s="102"/>
      <c r="J80" s="102"/>
      <c r="K80" s="102"/>
      <c r="L80" s="102"/>
      <c r="M80" s="102"/>
      <c r="N80" s="45"/>
    </row>
    <row r="81" spans="1:14" ht="14.45" customHeight="1" x14ac:dyDescent="0.25">
      <c r="A81" s="306">
        <v>8</v>
      </c>
      <c r="B81" s="323" t="s">
        <v>149</v>
      </c>
      <c r="C81" s="21" t="s">
        <v>101</v>
      </c>
      <c r="D81" s="1" t="s">
        <v>4</v>
      </c>
      <c r="E81" s="102">
        <v>20</v>
      </c>
      <c r="F81" s="102">
        <v>20</v>
      </c>
      <c r="G81" s="102">
        <v>20</v>
      </c>
      <c r="H81" s="102">
        <v>20</v>
      </c>
      <c r="I81" s="102">
        <v>20</v>
      </c>
      <c r="J81" s="102">
        <v>20</v>
      </c>
      <c r="K81" s="102">
        <v>20</v>
      </c>
      <c r="L81" s="102">
        <v>20</v>
      </c>
      <c r="M81" s="102">
        <v>20</v>
      </c>
      <c r="N81" s="45"/>
    </row>
    <row r="82" spans="1:14" x14ac:dyDescent="0.25">
      <c r="A82" s="306"/>
      <c r="B82" s="323"/>
      <c r="C82" s="21" t="s">
        <v>20</v>
      </c>
      <c r="D82" s="1" t="s">
        <v>6</v>
      </c>
      <c r="E82" s="103">
        <v>909.21153254208934</v>
      </c>
      <c r="F82" s="103">
        <v>627.05637164757331</v>
      </c>
      <c r="G82" s="103">
        <v>475.93332461067337</v>
      </c>
      <c r="H82" s="103">
        <v>475.93332461067337</v>
      </c>
      <c r="I82" s="103">
        <v>475.93332461067337</v>
      </c>
      <c r="J82" s="103">
        <v>475.93332461067337</v>
      </c>
      <c r="K82" s="103">
        <v>674.78400000000011</v>
      </c>
      <c r="L82" s="103">
        <v>674.78400000000011</v>
      </c>
      <c r="M82" s="103">
        <v>674.78400000000011</v>
      </c>
      <c r="N82" s="45"/>
    </row>
    <row r="83" spans="1:14" x14ac:dyDescent="0.25">
      <c r="A83" s="306"/>
      <c r="B83" s="323"/>
      <c r="C83" s="21" t="s">
        <v>172</v>
      </c>
      <c r="D83" s="1" t="s">
        <v>19</v>
      </c>
      <c r="E83" s="104">
        <v>0.35</v>
      </c>
      <c r="F83" s="104">
        <v>0.35</v>
      </c>
      <c r="G83" s="104">
        <v>0.35</v>
      </c>
      <c r="H83" s="104">
        <v>0.35</v>
      </c>
      <c r="I83" s="104">
        <v>0.35</v>
      </c>
      <c r="J83" s="104">
        <v>0.35</v>
      </c>
      <c r="K83" s="104">
        <v>0.35</v>
      </c>
      <c r="L83" s="104">
        <v>0.35</v>
      </c>
      <c r="M83" s="104">
        <v>0.35</v>
      </c>
      <c r="N83" s="45"/>
    </row>
    <row r="84" spans="1:14" x14ac:dyDescent="0.25">
      <c r="A84" s="306"/>
      <c r="B84" s="323"/>
      <c r="C84" s="21" t="s">
        <v>102</v>
      </c>
      <c r="D84" s="1" t="s">
        <v>8</v>
      </c>
      <c r="E84" s="102"/>
      <c r="F84" s="102"/>
      <c r="G84" s="102"/>
      <c r="H84" s="102"/>
      <c r="I84" s="102"/>
      <c r="J84" s="102"/>
      <c r="K84" s="102"/>
      <c r="L84" s="102"/>
      <c r="M84" s="102"/>
      <c r="N84" s="45"/>
    </row>
    <row r="85" spans="1:14" x14ac:dyDescent="0.25">
      <c r="A85" s="306"/>
      <c r="B85" s="323"/>
      <c r="C85" s="21" t="s">
        <v>103</v>
      </c>
      <c r="D85" s="1" t="s">
        <v>9</v>
      </c>
      <c r="E85" s="103">
        <v>13.638172988131339</v>
      </c>
      <c r="F85" s="103">
        <v>9.4058455747135987</v>
      </c>
      <c r="G85" s="103">
        <v>7.1389998691601004</v>
      </c>
      <c r="H85" s="103">
        <v>7.1389998691601004</v>
      </c>
      <c r="I85" s="103">
        <v>7.1389998691601004</v>
      </c>
      <c r="J85" s="103">
        <v>7.1389998691601004</v>
      </c>
      <c r="K85" s="103">
        <v>1.91</v>
      </c>
      <c r="L85" s="103">
        <v>1.91</v>
      </c>
      <c r="M85" s="103">
        <v>1.91</v>
      </c>
      <c r="N85" s="45"/>
    </row>
    <row r="86" spans="1:14" x14ac:dyDescent="0.25">
      <c r="A86" s="306"/>
      <c r="B86" s="323"/>
      <c r="C86" s="21" t="s">
        <v>104</v>
      </c>
      <c r="D86" s="1" t="s">
        <v>10</v>
      </c>
      <c r="E86" s="103">
        <v>0</v>
      </c>
      <c r="F86" s="103">
        <v>0</v>
      </c>
      <c r="G86" s="103">
        <v>0</v>
      </c>
      <c r="H86" s="103">
        <v>0</v>
      </c>
      <c r="I86" s="103">
        <v>0</v>
      </c>
      <c r="J86" s="103">
        <v>0</v>
      </c>
      <c r="K86" s="103">
        <v>2.1700000000000001E-3</v>
      </c>
      <c r="L86" s="103">
        <v>2.1700000000000001E-3</v>
      </c>
      <c r="M86" s="103">
        <v>2.1700000000000001E-3</v>
      </c>
      <c r="N86" s="45"/>
    </row>
    <row r="87" spans="1:14" ht="18.75" x14ac:dyDescent="0.25">
      <c r="A87" s="306"/>
      <c r="B87" s="323"/>
      <c r="C87" s="22" t="s">
        <v>105</v>
      </c>
      <c r="D87" s="23" t="s">
        <v>17</v>
      </c>
      <c r="E87" s="103">
        <v>0</v>
      </c>
      <c r="F87" s="103">
        <v>0</v>
      </c>
      <c r="G87" s="103">
        <v>0</v>
      </c>
      <c r="H87" s="103">
        <v>0</v>
      </c>
      <c r="I87" s="103">
        <v>0</v>
      </c>
      <c r="J87" s="103">
        <v>0</v>
      </c>
      <c r="K87" s="103">
        <v>0</v>
      </c>
      <c r="L87" s="103">
        <v>0</v>
      </c>
      <c r="M87" s="103">
        <v>0</v>
      </c>
      <c r="N87" s="45"/>
    </row>
    <row r="88" spans="1:14" x14ac:dyDescent="0.25">
      <c r="A88" s="306"/>
      <c r="B88" s="323"/>
      <c r="C88" s="22" t="s">
        <v>11</v>
      </c>
      <c r="D88" s="23" t="s">
        <v>10</v>
      </c>
      <c r="E88" s="103">
        <v>0</v>
      </c>
      <c r="F88" s="103">
        <v>0</v>
      </c>
      <c r="G88" s="103">
        <v>0</v>
      </c>
      <c r="H88" s="103">
        <v>0</v>
      </c>
      <c r="I88" s="103">
        <v>0</v>
      </c>
      <c r="J88" s="103">
        <v>0</v>
      </c>
      <c r="K88" s="103">
        <v>0</v>
      </c>
      <c r="L88" s="103">
        <v>0</v>
      </c>
      <c r="M88" s="103">
        <v>0</v>
      </c>
      <c r="N88" s="45"/>
    </row>
    <row r="89" spans="1:14" x14ac:dyDescent="0.25">
      <c r="A89" s="306"/>
      <c r="B89" s="323"/>
      <c r="C89" s="21" t="s">
        <v>18</v>
      </c>
      <c r="D89" s="2" t="s">
        <v>19</v>
      </c>
      <c r="E89" s="102">
        <v>3.62</v>
      </c>
      <c r="F89" s="102">
        <v>3.62</v>
      </c>
      <c r="G89" s="102">
        <v>3.62</v>
      </c>
      <c r="H89" s="102">
        <v>3.62</v>
      </c>
      <c r="I89" s="102">
        <v>3.62</v>
      </c>
      <c r="J89" s="102">
        <v>3.62</v>
      </c>
      <c r="K89" s="102">
        <v>3.62</v>
      </c>
      <c r="L89" s="102">
        <v>3.62</v>
      </c>
      <c r="M89" s="102">
        <v>3.62</v>
      </c>
      <c r="N89" s="45"/>
    </row>
    <row r="90" spans="1:14" x14ac:dyDescent="0.25">
      <c r="A90" s="306"/>
      <c r="B90" s="323"/>
      <c r="C90" s="21" t="s">
        <v>13</v>
      </c>
      <c r="D90" s="2" t="s">
        <v>14</v>
      </c>
      <c r="E90" s="102"/>
      <c r="F90" s="102"/>
      <c r="G90" s="102"/>
      <c r="H90" s="102"/>
      <c r="I90" s="102"/>
      <c r="J90" s="102"/>
      <c r="K90" s="102"/>
      <c r="L90" s="102"/>
      <c r="M90" s="102"/>
      <c r="N90" s="45"/>
    </row>
    <row r="91" spans="1:14" x14ac:dyDescent="0.25">
      <c r="A91" s="306"/>
      <c r="B91" s="323"/>
      <c r="C91" s="21" t="s">
        <v>15</v>
      </c>
      <c r="D91" s="1" t="s">
        <v>4</v>
      </c>
      <c r="E91" s="102"/>
      <c r="F91" s="102"/>
      <c r="G91" s="102"/>
      <c r="H91" s="102"/>
      <c r="I91" s="102"/>
      <c r="J91" s="102"/>
      <c r="K91" s="102"/>
      <c r="L91" s="102"/>
      <c r="M91" s="102"/>
      <c r="N91" s="45"/>
    </row>
    <row r="92" spans="1:14" x14ac:dyDescent="0.25">
      <c r="A92" s="306"/>
      <c r="B92" s="323"/>
      <c r="C92" s="21" t="s">
        <v>106</v>
      </c>
      <c r="D92" s="1" t="s">
        <v>6</v>
      </c>
      <c r="E92" s="103">
        <v>2419.8158607382284</v>
      </c>
      <c r="F92" s="103">
        <v>1655.7881203031177</v>
      </c>
      <c r="G92" s="103">
        <v>1041.3145241292364</v>
      </c>
      <c r="H92" s="103">
        <v>361.73551248702233</v>
      </c>
      <c r="I92" s="103">
        <v>246.65342336513888</v>
      </c>
      <c r="J92" s="103">
        <v>156.34182589557849</v>
      </c>
      <c r="K92" s="103">
        <v>75.877978739630933</v>
      </c>
      <c r="L92" s="103">
        <v>66.467719198694567</v>
      </c>
      <c r="M92" s="103">
        <v>66.467719198694567</v>
      </c>
      <c r="N92" s="45"/>
    </row>
    <row r="93" spans="1:14" x14ac:dyDescent="0.25">
      <c r="A93" s="306"/>
      <c r="B93" s="323"/>
      <c r="C93" s="21" t="s">
        <v>107</v>
      </c>
      <c r="D93" s="1" t="s">
        <v>4</v>
      </c>
      <c r="E93" s="102"/>
      <c r="F93" s="102"/>
      <c r="G93" s="102"/>
      <c r="H93" s="102"/>
      <c r="I93" s="102"/>
      <c r="J93" s="102"/>
      <c r="K93" s="102"/>
      <c r="L93" s="102"/>
      <c r="M93" s="102"/>
      <c r="N93" s="45"/>
    </row>
    <row r="94" spans="1:14" ht="15" customHeight="1" x14ac:dyDescent="0.25">
      <c r="A94" s="306">
        <v>9</v>
      </c>
      <c r="B94" s="323" t="s">
        <v>108</v>
      </c>
      <c r="C94" s="21" t="s">
        <v>109</v>
      </c>
      <c r="D94" s="1" t="s">
        <v>19</v>
      </c>
      <c r="E94" s="102">
        <v>1</v>
      </c>
      <c r="F94" s="102">
        <v>1</v>
      </c>
      <c r="G94" s="102">
        <v>1</v>
      </c>
      <c r="H94" s="102">
        <v>1</v>
      </c>
      <c r="I94" s="102">
        <v>1</v>
      </c>
      <c r="J94" s="102">
        <v>1</v>
      </c>
      <c r="K94" s="102">
        <v>1</v>
      </c>
      <c r="L94" s="102">
        <v>1</v>
      </c>
      <c r="M94" s="102">
        <v>1</v>
      </c>
      <c r="N94" s="45"/>
    </row>
    <row r="95" spans="1:14" x14ac:dyDescent="0.25">
      <c r="A95" s="306"/>
      <c r="B95" s="323"/>
      <c r="C95" s="21" t="s">
        <v>21</v>
      </c>
      <c r="D95" s="1" t="s">
        <v>19</v>
      </c>
      <c r="E95" s="102">
        <v>0.35</v>
      </c>
      <c r="F95" s="102">
        <v>0.35</v>
      </c>
      <c r="G95" s="102">
        <v>0.35</v>
      </c>
      <c r="H95" s="102">
        <v>0.35</v>
      </c>
      <c r="I95" s="102">
        <v>0.35</v>
      </c>
      <c r="J95" s="102">
        <v>0.35</v>
      </c>
      <c r="K95" s="102">
        <v>0.35</v>
      </c>
      <c r="L95" s="102">
        <v>0.35</v>
      </c>
      <c r="M95" s="102">
        <v>0.35</v>
      </c>
      <c r="N95" s="45"/>
    </row>
    <row r="96" spans="1:14" x14ac:dyDescent="0.25">
      <c r="A96" s="306"/>
      <c r="B96" s="323"/>
      <c r="C96" s="21" t="s">
        <v>22</v>
      </c>
      <c r="D96" s="1" t="s">
        <v>4</v>
      </c>
      <c r="E96" s="102">
        <v>20</v>
      </c>
      <c r="F96" s="102">
        <v>20</v>
      </c>
      <c r="G96" s="102">
        <v>20</v>
      </c>
      <c r="H96" s="102">
        <v>20</v>
      </c>
      <c r="I96" s="102">
        <v>20</v>
      </c>
      <c r="J96" s="102">
        <v>20</v>
      </c>
      <c r="K96" s="102">
        <v>20</v>
      </c>
      <c r="L96" s="102">
        <v>20</v>
      </c>
      <c r="M96" s="102">
        <v>20</v>
      </c>
      <c r="N96" s="45"/>
    </row>
    <row r="97" spans="1:14" x14ac:dyDescent="0.25">
      <c r="A97" s="306"/>
      <c r="B97" s="323"/>
      <c r="C97" s="21" t="s">
        <v>23</v>
      </c>
      <c r="D97" s="1" t="s">
        <v>6</v>
      </c>
      <c r="E97" s="103">
        <v>218.34121214018199</v>
      </c>
      <c r="F97" s="103">
        <v>184.87398682120613</v>
      </c>
      <c r="G97" s="103">
        <v>143.96390422813076</v>
      </c>
      <c r="H97" s="103">
        <v>115.96852782183296</v>
      </c>
      <c r="I97" s="103">
        <v>107.31263157894738</v>
      </c>
      <c r="J97" s="103">
        <v>107.00631578947369</v>
      </c>
      <c r="K97" s="103">
        <v>105.98526315789475</v>
      </c>
      <c r="L97" s="103">
        <v>103.84105263157896</v>
      </c>
      <c r="M97" s="103">
        <v>99.55263157894737</v>
      </c>
      <c r="N97" s="45"/>
    </row>
    <row r="98" spans="1:14" x14ac:dyDescent="0.25">
      <c r="A98" s="306"/>
      <c r="B98" s="323"/>
      <c r="C98" s="21" t="s">
        <v>173</v>
      </c>
      <c r="D98" s="1" t="s">
        <v>19</v>
      </c>
      <c r="E98" s="104">
        <v>0.2</v>
      </c>
      <c r="F98" s="104">
        <v>0.2</v>
      </c>
      <c r="G98" s="104">
        <v>0.2</v>
      </c>
      <c r="H98" s="104">
        <v>0.2</v>
      </c>
      <c r="I98" s="104">
        <v>0.2</v>
      </c>
      <c r="J98" s="104">
        <v>0.2</v>
      </c>
      <c r="K98" s="104">
        <v>0.2</v>
      </c>
      <c r="L98" s="104">
        <v>0.2</v>
      </c>
      <c r="M98" s="104">
        <v>0.2</v>
      </c>
      <c r="N98" s="45"/>
    </row>
    <row r="99" spans="1:14" x14ac:dyDescent="0.25">
      <c r="A99" s="306"/>
      <c r="B99" s="323"/>
      <c r="C99" s="21" t="s">
        <v>110</v>
      </c>
      <c r="D99" s="1" t="s">
        <v>8</v>
      </c>
      <c r="E99" s="102"/>
      <c r="F99" s="102"/>
      <c r="G99" s="102"/>
      <c r="H99" s="102"/>
      <c r="I99" s="102"/>
      <c r="J99" s="102"/>
      <c r="K99" s="102"/>
      <c r="L99" s="102"/>
      <c r="M99" s="102"/>
      <c r="N99" s="45"/>
    </row>
    <row r="100" spans="1:14" x14ac:dyDescent="0.25">
      <c r="A100" s="306"/>
      <c r="B100" s="323"/>
      <c r="C100" s="21" t="s">
        <v>111</v>
      </c>
      <c r="D100" s="1" t="s">
        <v>9</v>
      </c>
      <c r="E100" s="103">
        <v>6.5502363642054595</v>
      </c>
      <c r="F100" s="103">
        <v>5.5462196046361836</v>
      </c>
      <c r="G100" s="103">
        <v>4.3189171268439228</v>
      </c>
      <c r="H100" s="103">
        <v>3.4790558346549889</v>
      </c>
      <c r="I100" s="103">
        <v>2.0378947368421052</v>
      </c>
      <c r="J100" s="103">
        <v>2.0189473684210526</v>
      </c>
      <c r="K100" s="103">
        <v>1.9557894736842103</v>
      </c>
      <c r="L100" s="103">
        <v>1.8231578947368419</v>
      </c>
      <c r="M100" s="103">
        <v>1.557894736842105</v>
      </c>
      <c r="N100" s="45"/>
    </row>
    <row r="101" spans="1:14" x14ac:dyDescent="0.25">
      <c r="A101" s="306"/>
      <c r="B101" s="323"/>
      <c r="C101" s="21" t="s">
        <v>35</v>
      </c>
      <c r="D101" s="1" t="s">
        <v>10</v>
      </c>
      <c r="E101" s="103">
        <v>0</v>
      </c>
      <c r="F101" s="103">
        <v>0</v>
      </c>
      <c r="G101" s="103">
        <v>0</v>
      </c>
      <c r="H101" s="103">
        <v>0</v>
      </c>
      <c r="I101" s="103">
        <v>0</v>
      </c>
      <c r="J101" s="103">
        <v>0</v>
      </c>
      <c r="K101" s="103">
        <v>1.6357894736842103E-3</v>
      </c>
      <c r="L101" s="103">
        <v>1.5031578947368419E-3</v>
      </c>
      <c r="M101" s="103">
        <v>1.2378947368421051E-3</v>
      </c>
      <c r="N101" s="45"/>
    </row>
    <row r="102" spans="1:14" x14ac:dyDescent="0.25">
      <c r="A102" s="306"/>
      <c r="B102" s="323"/>
      <c r="C102" s="22" t="s">
        <v>24</v>
      </c>
      <c r="D102" s="23" t="s">
        <v>10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45"/>
    </row>
    <row r="103" spans="1:14" x14ac:dyDescent="0.25">
      <c r="A103" s="306"/>
      <c r="B103" s="323"/>
      <c r="C103" s="21" t="s">
        <v>25</v>
      </c>
      <c r="D103" s="1" t="s">
        <v>7</v>
      </c>
      <c r="E103" s="104">
        <v>0.94349999999999989</v>
      </c>
      <c r="F103" s="104">
        <v>0.94349999999999989</v>
      </c>
      <c r="G103" s="104">
        <v>0.94349999999999989</v>
      </c>
      <c r="H103" s="104">
        <v>0.94349999999999989</v>
      </c>
      <c r="I103" s="104">
        <v>0.94349999999999989</v>
      </c>
      <c r="J103" s="104">
        <v>0.94349999999999989</v>
      </c>
      <c r="K103" s="104">
        <v>0.99</v>
      </c>
      <c r="L103" s="104">
        <v>0.99</v>
      </c>
      <c r="M103" s="104">
        <v>0.99</v>
      </c>
      <c r="N103" s="45"/>
    </row>
    <row r="104" spans="1:14" x14ac:dyDescent="0.25">
      <c r="A104" s="306"/>
      <c r="B104" s="323"/>
      <c r="C104" s="21" t="s">
        <v>26</v>
      </c>
      <c r="D104" s="1" t="s">
        <v>14</v>
      </c>
      <c r="E104" s="103">
        <v>1524.6</v>
      </c>
      <c r="F104" s="103">
        <v>1749.6</v>
      </c>
      <c r="G104" s="103">
        <v>2349.6</v>
      </c>
      <c r="H104" s="103">
        <v>3174.6</v>
      </c>
      <c r="I104" s="103">
        <v>4299.6000000000004</v>
      </c>
      <c r="J104" s="103">
        <v>14213</v>
      </c>
      <c r="K104" s="103">
        <v>21713</v>
      </c>
      <c r="L104" s="103">
        <v>37463</v>
      </c>
      <c r="M104" s="103">
        <v>68963</v>
      </c>
      <c r="N104" s="45"/>
    </row>
    <row r="105" spans="1:14" x14ac:dyDescent="0.25">
      <c r="A105" s="306"/>
      <c r="B105" s="323"/>
      <c r="C105" s="21" t="s">
        <v>27</v>
      </c>
      <c r="D105" s="1" t="s">
        <v>4</v>
      </c>
      <c r="E105" s="102">
        <v>40</v>
      </c>
      <c r="F105" s="102">
        <v>40</v>
      </c>
      <c r="G105" s="102">
        <v>40</v>
      </c>
      <c r="H105" s="102">
        <v>40</v>
      </c>
      <c r="I105" s="102">
        <v>40</v>
      </c>
      <c r="J105" s="102">
        <v>40</v>
      </c>
      <c r="K105" s="102">
        <v>40</v>
      </c>
      <c r="L105" s="102">
        <v>40</v>
      </c>
      <c r="M105" s="102">
        <v>40</v>
      </c>
      <c r="N105" s="45"/>
    </row>
    <row r="106" spans="1:14" x14ac:dyDescent="0.25">
      <c r="A106" s="306"/>
      <c r="B106" s="323"/>
      <c r="C106" s="21" t="s">
        <v>112</v>
      </c>
      <c r="D106" s="1" t="s">
        <v>19</v>
      </c>
      <c r="E106" s="102">
        <v>0.5</v>
      </c>
      <c r="F106" s="102">
        <v>0.5</v>
      </c>
      <c r="G106" s="102">
        <v>0.5</v>
      </c>
      <c r="H106" s="102">
        <v>0.5</v>
      </c>
      <c r="I106" s="102">
        <v>0.5</v>
      </c>
      <c r="J106" s="102">
        <v>0.5</v>
      </c>
      <c r="K106" s="102">
        <v>0.5</v>
      </c>
      <c r="L106" s="102">
        <v>0.5</v>
      </c>
      <c r="M106" s="102">
        <v>0.5</v>
      </c>
      <c r="N106" s="45"/>
    </row>
    <row r="107" spans="1:14" x14ac:dyDescent="0.25">
      <c r="A107" s="306"/>
      <c r="B107" s="323"/>
      <c r="C107" s="21" t="s">
        <v>28</v>
      </c>
      <c r="D107" s="1" t="s">
        <v>19</v>
      </c>
      <c r="E107" s="102">
        <v>1.3</v>
      </c>
      <c r="F107" s="102">
        <v>1.3</v>
      </c>
      <c r="G107" s="102">
        <v>1.3</v>
      </c>
      <c r="H107" s="102">
        <v>1.3</v>
      </c>
      <c r="I107" s="102">
        <v>1.3</v>
      </c>
      <c r="J107" s="102">
        <v>1.3</v>
      </c>
      <c r="K107" s="102">
        <v>1.3</v>
      </c>
      <c r="L107" s="102">
        <v>1.3</v>
      </c>
      <c r="M107" s="102">
        <v>1.3</v>
      </c>
      <c r="N107" s="45"/>
    </row>
    <row r="108" spans="1:14" x14ac:dyDescent="0.25">
      <c r="A108" s="306"/>
      <c r="B108" s="323"/>
      <c r="C108" s="21" t="s">
        <v>29</v>
      </c>
      <c r="D108" s="1" t="s">
        <v>4</v>
      </c>
      <c r="E108" s="102">
        <v>20</v>
      </c>
      <c r="F108" s="102">
        <v>20</v>
      </c>
      <c r="G108" s="102">
        <v>20</v>
      </c>
      <c r="H108" s="102">
        <v>20</v>
      </c>
      <c r="I108" s="102">
        <v>20</v>
      </c>
      <c r="J108" s="102">
        <v>20</v>
      </c>
      <c r="K108" s="102">
        <v>20</v>
      </c>
      <c r="L108" s="102">
        <v>20</v>
      </c>
      <c r="M108" s="102">
        <v>20</v>
      </c>
      <c r="N108" s="45"/>
    </row>
    <row r="109" spans="1:14" x14ac:dyDescent="0.25">
      <c r="A109" s="306"/>
      <c r="B109" s="323"/>
      <c r="C109" s="21" t="s">
        <v>30</v>
      </c>
      <c r="D109" s="1" t="s">
        <v>6</v>
      </c>
      <c r="E109" s="103">
        <v>1315.6411009940743</v>
      </c>
      <c r="F109" s="103">
        <v>939.47924488610727</v>
      </c>
      <c r="G109" s="103">
        <v>622.46079352449192</v>
      </c>
      <c r="H109" s="103">
        <v>523.42631254470632</v>
      </c>
      <c r="I109" s="103">
        <v>523.42631254470632</v>
      </c>
      <c r="J109" s="103">
        <v>523.42631254470632</v>
      </c>
      <c r="K109" s="103">
        <v>1281.3816732362875</v>
      </c>
      <c r="L109" s="103">
        <v>1114.6142868924398</v>
      </c>
      <c r="M109" s="103">
        <v>979.67598602574503</v>
      </c>
      <c r="N109" s="45"/>
    </row>
    <row r="110" spans="1:14" x14ac:dyDescent="0.25">
      <c r="A110" s="306"/>
      <c r="B110" s="323"/>
      <c r="C110" s="21" t="s">
        <v>174</v>
      </c>
      <c r="D110" s="1" t="s">
        <v>19</v>
      </c>
      <c r="E110" s="104">
        <v>0.35</v>
      </c>
      <c r="F110" s="104">
        <v>0.35</v>
      </c>
      <c r="G110" s="104">
        <v>0.35</v>
      </c>
      <c r="H110" s="104">
        <v>0.35</v>
      </c>
      <c r="I110" s="104">
        <v>0.35</v>
      </c>
      <c r="J110" s="104">
        <v>0.35</v>
      </c>
      <c r="K110" s="104">
        <v>0.35</v>
      </c>
      <c r="L110" s="104">
        <v>0.35</v>
      </c>
      <c r="M110" s="104">
        <v>0.35</v>
      </c>
      <c r="N110" s="45"/>
    </row>
    <row r="111" spans="1:14" x14ac:dyDescent="0.25">
      <c r="A111" s="306"/>
      <c r="B111" s="323"/>
      <c r="C111" s="21" t="s">
        <v>113</v>
      </c>
      <c r="D111" s="1" t="s">
        <v>8</v>
      </c>
      <c r="E111" s="102"/>
      <c r="F111" s="102"/>
      <c r="G111" s="102"/>
      <c r="H111" s="102"/>
      <c r="I111" s="102"/>
      <c r="J111" s="102"/>
      <c r="K111" s="102"/>
      <c r="L111" s="102"/>
      <c r="M111" s="102"/>
      <c r="N111" s="45"/>
    </row>
    <row r="112" spans="1:14" x14ac:dyDescent="0.25">
      <c r="A112" s="306"/>
      <c r="B112" s="323"/>
      <c r="C112" s="21" t="s">
        <v>114</v>
      </c>
      <c r="D112" s="1" t="s">
        <v>9</v>
      </c>
      <c r="E112" s="102"/>
      <c r="F112" s="102"/>
      <c r="G112" s="102"/>
      <c r="H112" s="102"/>
      <c r="I112" s="102"/>
      <c r="J112" s="102"/>
      <c r="K112" s="102"/>
      <c r="L112" s="102"/>
      <c r="M112" s="102"/>
      <c r="N112" s="45"/>
    </row>
    <row r="113" spans="1:15" x14ac:dyDescent="0.25">
      <c r="A113" s="306"/>
      <c r="B113" s="323"/>
      <c r="C113" s="21" t="s">
        <v>115</v>
      </c>
      <c r="D113" s="1" t="s">
        <v>10</v>
      </c>
      <c r="E113" s="103">
        <v>0</v>
      </c>
      <c r="F113" s="103">
        <v>0</v>
      </c>
      <c r="G113" s="103">
        <v>0</v>
      </c>
      <c r="H113" s="103">
        <v>0</v>
      </c>
      <c r="I113" s="103">
        <v>0</v>
      </c>
      <c r="J113" s="103">
        <v>0</v>
      </c>
      <c r="K113" s="103">
        <v>0</v>
      </c>
      <c r="L113" s="103">
        <v>2.1700000000000001E-3</v>
      </c>
      <c r="M113" s="103">
        <v>2.1700000000000001E-3</v>
      </c>
      <c r="N113" s="48"/>
      <c r="O113" s="49"/>
    </row>
    <row r="114" spans="1:15" ht="18.75" x14ac:dyDescent="0.25">
      <c r="A114" s="306"/>
      <c r="B114" s="323"/>
      <c r="C114" s="22" t="s">
        <v>116</v>
      </c>
      <c r="D114" s="23" t="s">
        <v>17</v>
      </c>
      <c r="E114" s="103">
        <v>0</v>
      </c>
      <c r="F114" s="103">
        <v>0</v>
      </c>
      <c r="G114" s="103">
        <v>0</v>
      </c>
      <c r="H114" s="103">
        <v>0</v>
      </c>
      <c r="I114" s="103">
        <v>0</v>
      </c>
      <c r="J114" s="103">
        <v>0</v>
      </c>
      <c r="K114" s="103">
        <v>0</v>
      </c>
      <c r="L114" s="103">
        <v>0</v>
      </c>
      <c r="M114" s="103">
        <v>0</v>
      </c>
      <c r="N114" s="45"/>
    </row>
    <row r="115" spans="1:15" x14ac:dyDescent="0.25">
      <c r="A115" s="306"/>
      <c r="B115" s="323"/>
      <c r="C115" s="22" t="s">
        <v>31</v>
      </c>
      <c r="D115" s="23" t="s">
        <v>10</v>
      </c>
      <c r="E115" s="103">
        <v>0</v>
      </c>
      <c r="F115" s="103">
        <v>0</v>
      </c>
      <c r="G115" s="103">
        <v>0</v>
      </c>
      <c r="H115" s="103">
        <v>0</v>
      </c>
      <c r="I115" s="103">
        <v>0</v>
      </c>
      <c r="J115" s="103">
        <v>0</v>
      </c>
      <c r="K115" s="103">
        <v>0</v>
      </c>
      <c r="L115" s="103">
        <v>0</v>
      </c>
      <c r="M115" s="103">
        <v>0</v>
      </c>
      <c r="N115" s="45"/>
    </row>
    <row r="116" spans="1:15" x14ac:dyDescent="0.25">
      <c r="A116" s="306"/>
      <c r="B116" s="323"/>
      <c r="C116" s="21" t="s">
        <v>32</v>
      </c>
      <c r="D116" s="2" t="s">
        <v>19</v>
      </c>
      <c r="E116" s="102">
        <v>3.09</v>
      </c>
      <c r="F116" s="102">
        <v>3.09</v>
      </c>
      <c r="G116" s="102">
        <v>3.09</v>
      </c>
      <c r="H116" s="102">
        <v>3.09</v>
      </c>
      <c r="I116" s="102">
        <v>3.09</v>
      </c>
      <c r="J116" s="102">
        <v>3.09</v>
      </c>
      <c r="K116" s="102">
        <v>3.09</v>
      </c>
      <c r="L116" s="102">
        <v>3.09</v>
      </c>
      <c r="M116" s="102">
        <v>3.09</v>
      </c>
      <c r="N116" s="45"/>
    </row>
    <row r="117" spans="1:15" x14ac:dyDescent="0.25">
      <c r="A117" s="306"/>
      <c r="B117" s="323"/>
      <c r="C117" s="21" t="s">
        <v>33</v>
      </c>
      <c r="D117" s="2" t="s">
        <v>14</v>
      </c>
      <c r="E117" s="102"/>
      <c r="F117" s="102"/>
      <c r="G117" s="102"/>
      <c r="H117" s="102"/>
      <c r="I117" s="102"/>
      <c r="J117" s="102"/>
      <c r="K117" s="102"/>
      <c r="L117" s="102"/>
      <c r="M117" s="102"/>
      <c r="N117" s="45"/>
    </row>
    <row r="118" spans="1:15" x14ac:dyDescent="0.25">
      <c r="A118" s="306"/>
      <c r="B118" s="323"/>
      <c r="C118" s="21" t="s">
        <v>34</v>
      </c>
      <c r="D118" s="2" t="s">
        <v>4</v>
      </c>
      <c r="E118" s="102"/>
      <c r="F118" s="102"/>
      <c r="G118" s="102"/>
      <c r="H118" s="102"/>
      <c r="I118" s="102"/>
      <c r="J118" s="102"/>
      <c r="K118" s="102"/>
      <c r="L118" s="102"/>
      <c r="M118" s="102"/>
      <c r="N118" s="45"/>
    </row>
    <row r="119" spans="1:15" ht="15" customHeight="1" x14ac:dyDescent="0.25">
      <c r="A119" s="306">
        <v>10</v>
      </c>
      <c r="B119" s="323" t="s">
        <v>175</v>
      </c>
      <c r="C119" s="21" t="s">
        <v>109</v>
      </c>
      <c r="D119" s="1" t="s">
        <v>19</v>
      </c>
      <c r="E119" s="102">
        <v>1</v>
      </c>
      <c r="F119" s="102">
        <v>1</v>
      </c>
      <c r="G119" s="102">
        <v>1</v>
      </c>
      <c r="H119" s="102">
        <v>1</v>
      </c>
      <c r="I119" s="102">
        <v>1</v>
      </c>
      <c r="J119" s="102">
        <v>1</v>
      </c>
      <c r="K119" s="102">
        <v>1</v>
      </c>
      <c r="L119" s="102">
        <v>1</v>
      </c>
      <c r="M119" s="102">
        <v>1</v>
      </c>
      <c r="N119" s="45"/>
    </row>
    <row r="120" spans="1:15" x14ac:dyDescent="0.25">
      <c r="A120" s="306"/>
      <c r="B120" s="323"/>
      <c r="C120" s="21" t="s">
        <v>21</v>
      </c>
      <c r="D120" s="1" t="s">
        <v>19</v>
      </c>
      <c r="E120" s="102">
        <v>0.35</v>
      </c>
      <c r="F120" s="102">
        <v>0.35</v>
      </c>
      <c r="G120" s="102">
        <v>0.35</v>
      </c>
      <c r="H120" s="102">
        <v>0.35</v>
      </c>
      <c r="I120" s="102">
        <v>0.35</v>
      </c>
      <c r="J120" s="102">
        <v>0.35</v>
      </c>
      <c r="K120" s="102">
        <v>0.35</v>
      </c>
      <c r="L120" s="102">
        <v>0.35</v>
      </c>
      <c r="M120" s="102">
        <v>0.35</v>
      </c>
      <c r="N120" s="45"/>
    </row>
    <row r="121" spans="1:15" x14ac:dyDescent="0.25">
      <c r="A121" s="306"/>
      <c r="B121" s="323"/>
      <c r="C121" s="21" t="s">
        <v>22</v>
      </c>
      <c r="D121" s="1" t="s">
        <v>4</v>
      </c>
      <c r="E121" s="102">
        <v>20</v>
      </c>
      <c r="F121" s="102">
        <v>20</v>
      </c>
      <c r="G121" s="102">
        <v>20</v>
      </c>
      <c r="H121" s="102">
        <v>20</v>
      </c>
      <c r="I121" s="102">
        <v>20</v>
      </c>
      <c r="J121" s="102">
        <v>20</v>
      </c>
      <c r="K121" s="102">
        <v>20</v>
      </c>
      <c r="L121" s="102">
        <v>20</v>
      </c>
      <c r="M121" s="102">
        <v>20</v>
      </c>
      <c r="N121" s="45"/>
    </row>
    <row r="122" spans="1:15" x14ac:dyDescent="0.25">
      <c r="A122" s="306"/>
      <c r="B122" s="323"/>
      <c r="C122" s="21" t="s">
        <v>23</v>
      </c>
      <c r="D122" s="1" t="s">
        <v>6</v>
      </c>
      <c r="E122" s="103">
        <v>218.34121214018199</v>
      </c>
      <c r="F122" s="103">
        <v>184.87398682120613</v>
      </c>
      <c r="G122" s="103">
        <v>143.96390422813076</v>
      </c>
      <c r="H122" s="103">
        <v>115.96852782183296</v>
      </c>
      <c r="I122" s="103">
        <v>107.31263157894738</v>
      </c>
      <c r="J122" s="103">
        <v>107.00631578947369</v>
      </c>
      <c r="K122" s="103">
        <v>105.98526315789475</v>
      </c>
      <c r="L122" s="103">
        <v>103.84105263157896</v>
      </c>
      <c r="M122" s="103">
        <v>99.55263157894737</v>
      </c>
      <c r="N122" s="45"/>
    </row>
    <row r="123" spans="1:15" x14ac:dyDescent="0.25">
      <c r="A123" s="306"/>
      <c r="B123" s="323"/>
      <c r="C123" s="21" t="s">
        <v>173</v>
      </c>
      <c r="D123" s="1" t="s">
        <v>19</v>
      </c>
      <c r="E123" s="104">
        <v>0</v>
      </c>
      <c r="F123" s="104">
        <v>0</v>
      </c>
      <c r="G123" s="104">
        <v>0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45"/>
    </row>
    <row r="124" spans="1:15" x14ac:dyDescent="0.25">
      <c r="A124" s="306"/>
      <c r="B124" s="323"/>
      <c r="C124" s="21" t="s">
        <v>110</v>
      </c>
      <c r="D124" s="1" t="s">
        <v>8</v>
      </c>
      <c r="E124" s="102"/>
      <c r="F124" s="102"/>
      <c r="G124" s="102"/>
      <c r="H124" s="102"/>
      <c r="I124" s="102"/>
      <c r="J124" s="102"/>
      <c r="K124" s="102"/>
      <c r="L124" s="102"/>
      <c r="M124" s="102"/>
      <c r="N124" s="45"/>
    </row>
    <row r="125" spans="1:15" x14ac:dyDescent="0.25">
      <c r="A125" s="306"/>
      <c r="B125" s="323"/>
      <c r="C125" s="21" t="s">
        <v>111</v>
      </c>
      <c r="D125" s="1" t="s">
        <v>9</v>
      </c>
      <c r="E125" s="103">
        <v>6.5502363642054595</v>
      </c>
      <c r="F125" s="103">
        <v>5.5462196046361836</v>
      </c>
      <c r="G125" s="103">
        <v>4.3189171268439228</v>
      </c>
      <c r="H125" s="103">
        <v>3.4790558346549889</v>
      </c>
      <c r="I125" s="103">
        <v>2.0378947368421052</v>
      </c>
      <c r="J125" s="103">
        <v>2.0189473684210526</v>
      </c>
      <c r="K125" s="103">
        <v>1.9557894736842103</v>
      </c>
      <c r="L125" s="103">
        <v>1.8231578947368419</v>
      </c>
      <c r="M125" s="103">
        <v>1.557894736842105</v>
      </c>
      <c r="N125" s="45"/>
    </row>
    <row r="126" spans="1:15" x14ac:dyDescent="0.25">
      <c r="A126" s="306"/>
      <c r="B126" s="323"/>
      <c r="C126" s="21" t="s">
        <v>35</v>
      </c>
      <c r="D126" s="1" t="s">
        <v>10</v>
      </c>
      <c r="E126" s="103">
        <v>0</v>
      </c>
      <c r="F126" s="103">
        <v>0</v>
      </c>
      <c r="G126" s="103">
        <v>0</v>
      </c>
      <c r="H126" s="103">
        <v>0</v>
      </c>
      <c r="I126" s="103">
        <v>0</v>
      </c>
      <c r="J126" s="103">
        <v>0</v>
      </c>
      <c r="K126" s="103">
        <v>1.6357894736842103E-3</v>
      </c>
      <c r="L126" s="103">
        <v>1.5031578947368419E-3</v>
      </c>
      <c r="M126" s="103">
        <v>1.2378947368421051E-3</v>
      </c>
      <c r="N126" s="45"/>
    </row>
    <row r="127" spans="1:15" x14ac:dyDescent="0.25">
      <c r="A127" s="306"/>
      <c r="B127" s="323"/>
      <c r="C127" s="22" t="s">
        <v>24</v>
      </c>
      <c r="D127" s="23" t="s">
        <v>10</v>
      </c>
      <c r="E127" s="103">
        <v>0</v>
      </c>
      <c r="F127" s="103">
        <v>0</v>
      </c>
      <c r="G127" s="103">
        <v>0</v>
      </c>
      <c r="H127" s="103">
        <v>0</v>
      </c>
      <c r="I127" s="103">
        <v>0</v>
      </c>
      <c r="J127" s="103">
        <v>0</v>
      </c>
      <c r="K127" s="103">
        <v>0</v>
      </c>
      <c r="L127" s="103">
        <v>0</v>
      </c>
      <c r="M127" s="103">
        <v>0</v>
      </c>
      <c r="N127" s="45"/>
    </row>
    <row r="128" spans="1:15" x14ac:dyDescent="0.25">
      <c r="A128" s="306"/>
      <c r="B128" s="323"/>
      <c r="C128" s="21" t="s">
        <v>25</v>
      </c>
      <c r="D128" s="1" t="s">
        <v>7</v>
      </c>
      <c r="E128" s="104">
        <v>0.94349999999999989</v>
      </c>
      <c r="F128" s="104">
        <v>0.94349999999999989</v>
      </c>
      <c r="G128" s="104">
        <v>0.94349999999999989</v>
      </c>
      <c r="H128" s="104">
        <v>0.94349999999999989</v>
      </c>
      <c r="I128" s="104">
        <v>0.94349999999999989</v>
      </c>
      <c r="J128" s="104">
        <v>0.94349999999999989</v>
      </c>
      <c r="K128" s="104">
        <v>0.99</v>
      </c>
      <c r="L128" s="104">
        <v>0.99</v>
      </c>
      <c r="M128" s="104">
        <v>0.99</v>
      </c>
      <c r="N128" s="45"/>
    </row>
    <row r="129" spans="1:14" x14ac:dyDescent="0.25">
      <c r="A129" s="306"/>
      <c r="B129" s="323"/>
      <c r="C129" s="21" t="s">
        <v>26</v>
      </c>
      <c r="D129" s="1" t="s">
        <v>14</v>
      </c>
      <c r="E129" s="103">
        <v>1524.6</v>
      </c>
      <c r="F129" s="103">
        <v>1749.6</v>
      </c>
      <c r="G129" s="103">
        <v>2349.6</v>
      </c>
      <c r="H129" s="103">
        <v>3174.6</v>
      </c>
      <c r="I129" s="103">
        <v>4299.6000000000004</v>
      </c>
      <c r="J129" s="103">
        <v>14213</v>
      </c>
      <c r="K129" s="103">
        <v>21713</v>
      </c>
      <c r="L129" s="103">
        <v>37463</v>
      </c>
      <c r="M129" s="103">
        <v>68963</v>
      </c>
      <c r="N129" s="45"/>
    </row>
    <row r="130" spans="1:14" x14ac:dyDescent="0.25">
      <c r="A130" s="306"/>
      <c r="B130" s="323"/>
      <c r="C130" s="21" t="s">
        <v>27</v>
      </c>
      <c r="D130" s="1" t="s">
        <v>4</v>
      </c>
      <c r="E130" s="102">
        <v>40</v>
      </c>
      <c r="F130" s="102">
        <v>40</v>
      </c>
      <c r="G130" s="102">
        <v>40</v>
      </c>
      <c r="H130" s="102">
        <v>40</v>
      </c>
      <c r="I130" s="102">
        <v>40</v>
      </c>
      <c r="J130" s="102">
        <v>40</v>
      </c>
      <c r="K130" s="102">
        <v>40</v>
      </c>
      <c r="L130" s="102">
        <v>40</v>
      </c>
      <c r="M130" s="102">
        <v>40</v>
      </c>
      <c r="N130" s="45"/>
    </row>
    <row r="131" spans="1:14" x14ac:dyDescent="0.25">
      <c r="A131" s="306"/>
      <c r="B131" s="323"/>
      <c r="C131" s="21" t="s">
        <v>117</v>
      </c>
      <c r="D131" s="1" t="s">
        <v>19</v>
      </c>
      <c r="E131" s="102">
        <v>0.35</v>
      </c>
      <c r="F131" s="102">
        <v>0.35</v>
      </c>
      <c r="G131" s="102">
        <v>0.35</v>
      </c>
      <c r="H131" s="102">
        <v>0.35</v>
      </c>
      <c r="I131" s="102">
        <v>0.35</v>
      </c>
      <c r="J131" s="102">
        <v>0.35</v>
      </c>
      <c r="K131" s="102">
        <v>0.35</v>
      </c>
      <c r="L131" s="102">
        <v>0.35</v>
      </c>
      <c r="M131" s="102">
        <v>0.35</v>
      </c>
      <c r="N131" s="45"/>
    </row>
    <row r="132" spans="1:14" x14ac:dyDescent="0.25">
      <c r="A132" s="306"/>
      <c r="B132" s="323"/>
      <c r="C132" s="21" t="s">
        <v>36</v>
      </c>
      <c r="D132" s="1" t="s">
        <v>19</v>
      </c>
      <c r="E132" s="102">
        <v>1.8571428571428572</v>
      </c>
      <c r="F132" s="102">
        <v>1.8571428571428572</v>
      </c>
      <c r="G132" s="102">
        <v>1.8571428571428572</v>
      </c>
      <c r="H132" s="102">
        <v>1.8571428571428572</v>
      </c>
      <c r="I132" s="102">
        <v>1.8571428571428572</v>
      </c>
      <c r="J132" s="102">
        <v>1.8571428571428572</v>
      </c>
      <c r="K132" s="102">
        <v>1.8571428571428572</v>
      </c>
      <c r="L132" s="102">
        <v>1.8571428571428572</v>
      </c>
      <c r="M132" s="102">
        <v>1.8571428571428572</v>
      </c>
      <c r="N132" s="45"/>
    </row>
    <row r="133" spans="1:14" x14ac:dyDescent="0.25">
      <c r="A133" s="306"/>
      <c r="B133" s="323"/>
      <c r="C133" s="21" t="s">
        <v>37</v>
      </c>
      <c r="D133" s="1" t="s">
        <v>4</v>
      </c>
      <c r="E133" s="102">
        <v>20</v>
      </c>
      <c r="F133" s="102">
        <v>20</v>
      </c>
      <c r="G133" s="102">
        <v>20</v>
      </c>
      <c r="H133" s="102">
        <v>20</v>
      </c>
      <c r="I133" s="102">
        <v>20</v>
      </c>
      <c r="J133" s="102">
        <v>20</v>
      </c>
      <c r="K133" s="102">
        <v>20</v>
      </c>
      <c r="L133" s="102">
        <v>20</v>
      </c>
      <c r="M133" s="102">
        <v>20</v>
      </c>
      <c r="N133" s="45"/>
    </row>
    <row r="134" spans="1:14" x14ac:dyDescent="0.25">
      <c r="A134" s="306"/>
      <c r="B134" s="323"/>
      <c r="C134" s="21" t="s">
        <v>38</v>
      </c>
      <c r="D134" s="1" t="s">
        <v>6</v>
      </c>
      <c r="E134" s="103">
        <v>6439.2406849033259</v>
      </c>
      <c r="F134" s="103">
        <v>4332.7824241831977</v>
      </c>
      <c r="G134" s="103">
        <v>2669.5160351066907</v>
      </c>
      <c r="H134" s="103">
        <v>2110.1894367812192</v>
      </c>
      <c r="I134" s="103">
        <v>1784.2871082104245</v>
      </c>
      <c r="J134" s="103">
        <v>1409.7428212977536</v>
      </c>
      <c r="K134" s="103">
        <v>1109.4282603302854</v>
      </c>
      <c r="L134" s="103">
        <v>892.85832488167068</v>
      </c>
      <c r="M134" s="103">
        <v>730.28644907126954</v>
      </c>
      <c r="N134" s="45"/>
    </row>
    <row r="135" spans="1:14" x14ac:dyDescent="0.25">
      <c r="A135" s="306"/>
      <c r="B135" s="323"/>
      <c r="C135" s="21" t="s">
        <v>176</v>
      </c>
      <c r="D135" s="1" t="s">
        <v>19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45"/>
    </row>
    <row r="136" spans="1:14" x14ac:dyDescent="0.25">
      <c r="A136" s="306"/>
      <c r="B136" s="323"/>
      <c r="C136" s="21" t="s">
        <v>118</v>
      </c>
      <c r="D136" s="1" t="s">
        <v>8</v>
      </c>
      <c r="E136" s="102"/>
      <c r="F136" s="102"/>
      <c r="G136" s="102"/>
      <c r="H136" s="102"/>
      <c r="I136" s="102"/>
      <c r="J136" s="102"/>
      <c r="K136" s="102"/>
      <c r="L136" s="102"/>
      <c r="M136" s="102"/>
      <c r="N136" s="45"/>
    </row>
    <row r="137" spans="1:14" x14ac:dyDescent="0.25">
      <c r="A137" s="306"/>
      <c r="B137" s="323"/>
      <c r="C137" s="21" t="s">
        <v>119</v>
      </c>
      <c r="D137" s="1" t="s">
        <v>9</v>
      </c>
      <c r="E137" s="102"/>
      <c r="F137" s="102"/>
      <c r="G137" s="102"/>
      <c r="H137" s="102"/>
      <c r="I137" s="102"/>
      <c r="J137" s="102"/>
      <c r="K137" s="102"/>
      <c r="L137" s="102"/>
      <c r="M137" s="102"/>
      <c r="N137" s="45"/>
    </row>
    <row r="138" spans="1:14" x14ac:dyDescent="0.25">
      <c r="A138" s="306"/>
      <c r="B138" s="323"/>
      <c r="C138" s="21" t="s">
        <v>39</v>
      </c>
      <c r="D138" s="1" t="s">
        <v>10</v>
      </c>
      <c r="E138" s="103">
        <v>5.4632155805897732E-2</v>
      </c>
      <c r="F138" s="103">
        <v>6.9225169277652349E-2</v>
      </c>
      <c r="G138" s="103">
        <v>5.5072970988733948E-2</v>
      </c>
      <c r="H138" s="103">
        <v>4.6604222305577481E-2</v>
      </c>
      <c r="I138" s="103">
        <v>4.0289223212275231E-2</v>
      </c>
      <c r="J138" s="103">
        <v>2.4583755873341454E-2</v>
      </c>
      <c r="K138" s="103">
        <v>1.9104989606490121E-2</v>
      </c>
      <c r="L138" s="103">
        <v>1.5182594783541725E-2</v>
      </c>
      <c r="M138" s="103">
        <v>1.3307545040231683E-2</v>
      </c>
      <c r="N138" s="45"/>
    </row>
    <row r="139" spans="1:14" x14ac:dyDescent="0.25">
      <c r="A139" s="306"/>
      <c r="B139" s="323"/>
      <c r="C139" s="22" t="s">
        <v>40</v>
      </c>
      <c r="D139" s="23" t="s">
        <v>10</v>
      </c>
      <c r="E139" s="103">
        <v>0</v>
      </c>
      <c r="F139" s="103">
        <v>0</v>
      </c>
      <c r="G139" s="103">
        <v>0</v>
      </c>
      <c r="H139" s="103">
        <v>0</v>
      </c>
      <c r="I139" s="103">
        <v>0</v>
      </c>
      <c r="J139" s="103">
        <v>0</v>
      </c>
      <c r="K139" s="103">
        <v>0</v>
      </c>
      <c r="L139" s="103">
        <v>0</v>
      </c>
      <c r="M139" s="103">
        <v>0</v>
      </c>
      <c r="N139" s="45"/>
    </row>
    <row r="140" spans="1:14" x14ac:dyDescent="0.25">
      <c r="A140" s="306"/>
      <c r="B140" s="323"/>
      <c r="C140" s="21" t="s">
        <v>41</v>
      </c>
      <c r="D140" s="1" t="s">
        <v>14</v>
      </c>
      <c r="E140" s="102"/>
      <c r="F140" s="102"/>
      <c r="G140" s="102"/>
      <c r="H140" s="102"/>
      <c r="I140" s="102"/>
      <c r="J140" s="102"/>
      <c r="K140" s="102"/>
      <c r="L140" s="102"/>
      <c r="M140" s="102"/>
      <c r="N140" s="45"/>
    </row>
    <row r="141" spans="1:14" x14ac:dyDescent="0.25">
      <c r="A141" s="306"/>
      <c r="B141" s="323"/>
      <c r="C141" s="21" t="s">
        <v>42</v>
      </c>
      <c r="D141" s="1" t="s">
        <v>4</v>
      </c>
      <c r="E141" s="102"/>
      <c r="F141" s="102"/>
      <c r="G141" s="102"/>
      <c r="H141" s="102"/>
      <c r="I141" s="102"/>
      <c r="J141" s="102"/>
      <c r="K141" s="102"/>
      <c r="L141" s="102"/>
      <c r="M141" s="102"/>
      <c r="N141" s="45"/>
    </row>
    <row r="142" spans="1:14" x14ac:dyDescent="0.25">
      <c r="A142" s="306"/>
      <c r="B142" s="323"/>
      <c r="C142" s="21" t="s">
        <v>43</v>
      </c>
      <c r="D142" s="1" t="s">
        <v>7</v>
      </c>
      <c r="E142" s="105">
        <v>0.25</v>
      </c>
      <c r="F142" s="105">
        <v>0.25</v>
      </c>
      <c r="G142" s="105">
        <v>0.25</v>
      </c>
      <c r="H142" s="105">
        <v>0.25</v>
      </c>
      <c r="I142" s="105">
        <v>0.25</v>
      </c>
      <c r="J142" s="105">
        <v>0.25</v>
      </c>
      <c r="K142" s="105">
        <v>0.25</v>
      </c>
      <c r="L142" s="105">
        <v>0.25</v>
      </c>
      <c r="M142" s="105">
        <v>0.25</v>
      </c>
      <c r="N142" s="45"/>
    </row>
    <row r="143" spans="1:14" x14ac:dyDescent="0.25">
      <c r="A143" s="306"/>
      <c r="B143" s="323"/>
      <c r="C143" s="24" t="s">
        <v>44</v>
      </c>
      <c r="D143" s="1" t="s">
        <v>7</v>
      </c>
      <c r="E143" s="104">
        <v>0.66625430833964439</v>
      </c>
      <c r="F143" s="104">
        <v>0.66367464936796561</v>
      </c>
      <c r="G143" s="104">
        <v>0.65679555877682227</v>
      </c>
      <c r="H143" s="104">
        <v>0.64733680921400016</v>
      </c>
      <c r="I143" s="104">
        <v>0.63443851435560639</v>
      </c>
      <c r="J143" s="104">
        <v>0.4680070358050421</v>
      </c>
      <c r="K143" s="104">
        <v>0.46713859851464173</v>
      </c>
      <c r="L143" s="104">
        <v>0.46531488020480088</v>
      </c>
      <c r="M143" s="104">
        <v>0.47</v>
      </c>
      <c r="N143" s="45"/>
    </row>
    <row r="144" spans="1:14" x14ac:dyDescent="0.25">
      <c r="A144" s="306"/>
      <c r="B144" s="323"/>
      <c r="C144" s="24" t="s">
        <v>45</v>
      </c>
      <c r="D144" s="1" t="s">
        <v>7</v>
      </c>
      <c r="E144" s="104">
        <v>0.25092243745356524</v>
      </c>
      <c r="F144" s="104">
        <v>0.25657675134016689</v>
      </c>
      <c r="G144" s="104">
        <v>0.27165492170443795</v>
      </c>
      <c r="H144" s="104">
        <v>0.29238740595531065</v>
      </c>
      <c r="I144" s="104">
        <v>0.32065897538831889</v>
      </c>
      <c r="J144" s="104">
        <v>0.41290384467151914</v>
      </c>
      <c r="K144" s="104">
        <v>0.41363974384019625</v>
      </c>
      <c r="L144" s="104">
        <v>0.41518513209441815</v>
      </c>
      <c r="M144" s="104">
        <v>0.41599999999999998</v>
      </c>
      <c r="N144" s="45"/>
    </row>
    <row r="145" spans="1:14" x14ac:dyDescent="0.25">
      <c r="A145" s="306"/>
      <c r="B145" s="323"/>
      <c r="C145" s="25" t="s">
        <v>120</v>
      </c>
      <c r="D145" s="23" t="s">
        <v>10</v>
      </c>
      <c r="E145" s="103">
        <v>0.16</v>
      </c>
      <c r="F145" s="103">
        <v>0.16</v>
      </c>
      <c r="G145" s="103">
        <v>0.16</v>
      </c>
      <c r="H145" s="103">
        <v>0.16</v>
      </c>
      <c r="I145" s="103">
        <v>0.06</v>
      </c>
      <c r="J145" s="103">
        <v>0.05</v>
      </c>
      <c r="K145" s="103">
        <v>4.3999999999999997E-2</v>
      </c>
      <c r="L145" s="103">
        <v>4.3999999999999997E-2</v>
      </c>
      <c r="M145" s="103">
        <v>4.3999999999999997E-2</v>
      </c>
      <c r="N145" s="45"/>
    </row>
    <row r="146" spans="1:14" x14ac:dyDescent="0.25">
      <c r="A146" s="306"/>
      <c r="B146" s="323"/>
      <c r="C146" s="25" t="s">
        <v>121</v>
      </c>
      <c r="D146" s="23" t="s">
        <v>122</v>
      </c>
      <c r="E146" s="103">
        <v>0.08</v>
      </c>
      <c r="F146" s="103">
        <v>0.08</v>
      </c>
      <c r="G146" s="103">
        <v>0.08</v>
      </c>
      <c r="H146" s="103">
        <v>0.08</v>
      </c>
      <c r="I146" s="103">
        <v>0.03</v>
      </c>
      <c r="J146" s="103">
        <v>0</v>
      </c>
      <c r="K146" s="103">
        <v>0</v>
      </c>
      <c r="L146" s="103">
        <v>0</v>
      </c>
      <c r="M146" s="103">
        <v>0</v>
      </c>
      <c r="N146" s="45"/>
    </row>
    <row r="147" spans="1:14" x14ac:dyDescent="0.25">
      <c r="A147" s="306"/>
      <c r="B147" s="323"/>
      <c r="C147" s="25" t="s">
        <v>123</v>
      </c>
      <c r="D147" s="23" t="s">
        <v>124</v>
      </c>
      <c r="E147" s="102">
        <v>5.4999999999999997E-3</v>
      </c>
      <c r="F147" s="102">
        <v>5.4999999999999997E-3</v>
      </c>
      <c r="G147" s="102">
        <v>5.4999999999999997E-3</v>
      </c>
      <c r="H147" s="102">
        <v>5.4999999999999997E-3</v>
      </c>
      <c r="I147" s="102">
        <v>5.4999999999999997E-3</v>
      </c>
      <c r="J147" s="102">
        <v>5.4999999999999997E-3</v>
      </c>
      <c r="K147" s="102">
        <v>5.4999999999999997E-3</v>
      </c>
      <c r="L147" s="102">
        <v>5.4999999999999997E-3</v>
      </c>
      <c r="M147" s="102">
        <v>5.4999999999999997E-3</v>
      </c>
      <c r="N147" s="45"/>
    </row>
    <row r="148" spans="1:14" ht="15" customHeight="1" x14ac:dyDescent="0.25">
      <c r="A148" s="306">
        <v>11</v>
      </c>
      <c r="B148" s="323" t="s">
        <v>177</v>
      </c>
      <c r="C148" s="21" t="s">
        <v>109</v>
      </c>
      <c r="D148" s="1" t="s">
        <v>19</v>
      </c>
      <c r="E148" s="102">
        <v>1</v>
      </c>
      <c r="F148" s="102">
        <v>1</v>
      </c>
      <c r="G148" s="102">
        <v>1</v>
      </c>
      <c r="H148" s="102">
        <v>1</v>
      </c>
      <c r="I148" s="102">
        <v>1</v>
      </c>
      <c r="J148" s="102">
        <v>1</v>
      </c>
      <c r="K148" s="102">
        <v>1</v>
      </c>
      <c r="L148" s="102">
        <v>1</v>
      </c>
      <c r="M148" s="102">
        <v>1</v>
      </c>
      <c r="N148" s="45"/>
    </row>
    <row r="149" spans="1:14" x14ac:dyDescent="0.25">
      <c r="A149" s="306"/>
      <c r="B149" s="323"/>
      <c r="C149" s="21" t="s">
        <v>21</v>
      </c>
      <c r="D149" s="1" t="s">
        <v>19</v>
      </c>
      <c r="E149" s="102">
        <v>0.35</v>
      </c>
      <c r="F149" s="102">
        <v>0.35</v>
      </c>
      <c r="G149" s="102">
        <v>0.35</v>
      </c>
      <c r="H149" s="102">
        <v>0.35</v>
      </c>
      <c r="I149" s="102">
        <v>0.35</v>
      </c>
      <c r="J149" s="102">
        <v>0.35</v>
      </c>
      <c r="K149" s="102">
        <v>0.35</v>
      </c>
      <c r="L149" s="102">
        <v>0.35</v>
      </c>
      <c r="M149" s="102">
        <v>0.35</v>
      </c>
      <c r="N149" s="45"/>
    </row>
    <row r="150" spans="1:14" x14ac:dyDescent="0.25">
      <c r="A150" s="306"/>
      <c r="B150" s="323"/>
      <c r="C150" s="21" t="s">
        <v>22</v>
      </c>
      <c r="D150" s="1" t="s">
        <v>4</v>
      </c>
      <c r="E150" s="102">
        <v>20</v>
      </c>
      <c r="F150" s="102">
        <v>20</v>
      </c>
      <c r="G150" s="102">
        <v>20</v>
      </c>
      <c r="H150" s="102">
        <v>20</v>
      </c>
      <c r="I150" s="102">
        <v>20</v>
      </c>
      <c r="J150" s="102">
        <v>20</v>
      </c>
      <c r="K150" s="102">
        <v>20</v>
      </c>
      <c r="L150" s="102">
        <v>20</v>
      </c>
      <c r="M150" s="102">
        <v>20</v>
      </c>
      <c r="N150" s="45"/>
    </row>
    <row r="151" spans="1:14" x14ac:dyDescent="0.25">
      <c r="A151" s="306"/>
      <c r="B151" s="323"/>
      <c r="C151" s="21" t="s">
        <v>23</v>
      </c>
      <c r="D151" s="1" t="s">
        <v>6</v>
      </c>
      <c r="E151" s="103">
        <v>218.34121214018199</v>
      </c>
      <c r="F151" s="103">
        <v>184.87398682120613</v>
      </c>
      <c r="G151" s="103">
        <v>143.96390422813076</v>
      </c>
      <c r="H151" s="103">
        <v>115.96852782183296</v>
      </c>
      <c r="I151" s="103">
        <v>107.31263157894738</v>
      </c>
      <c r="J151" s="103">
        <v>107.00631578947369</v>
      </c>
      <c r="K151" s="103">
        <v>105.98526315789475</v>
      </c>
      <c r="L151" s="103">
        <v>103.84105263157896</v>
      </c>
      <c r="M151" s="103">
        <v>99.55263157894737</v>
      </c>
      <c r="N151" s="45"/>
    </row>
    <row r="152" spans="1:14" x14ac:dyDescent="0.25">
      <c r="A152" s="306"/>
      <c r="B152" s="323"/>
      <c r="C152" s="21" t="s">
        <v>173</v>
      </c>
      <c r="D152" s="1" t="s">
        <v>19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45"/>
    </row>
    <row r="153" spans="1:14" x14ac:dyDescent="0.25">
      <c r="A153" s="306"/>
      <c r="B153" s="323"/>
      <c r="C153" s="21" t="s">
        <v>110</v>
      </c>
      <c r="D153" s="1" t="s">
        <v>8</v>
      </c>
      <c r="E153" s="102"/>
      <c r="F153" s="102"/>
      <c r="G153" s="102"/>
      <c r="H153" s="102"/>
      <c r="I153" s="102"/>
      <c r="J153" s="102"/>
      <c r="K153" s="102"/>
      <c r="L153" s="102"/>
      <c r="M153" s="102"/>
      <c r="N153" s="45"/>
    </row>
    <row r="154" spans="1:14" x14ac:dyDescent="0.25">
      <c r="A154" s="306"/>
      <c r="B154" s="323"/>
      <c r="C154" s="21" t="s">
        <v>111</v>
      </c>
      <c r="D154" s="1" t="s">
        <v>9</v>
      </c>
      <c r="E154" s="103">
        <v>6.5502363642054595</v>
      </c>
      <c r="F154" s="103">
        <v>5.5462196046361836</v>
      </c>
      <c r="G154" s="103">
        <v>4.3189171268439228</v>
      </c>
      <c r="H154" s="103">
        <v>3.4790558346549889</v>
      </c>
      <c r="I154" s="103">
        <v>2.0378947368421052</v>
      </c>
      <c r="J154" s="103">
        <v>2.0189473684210526</v>
      </c>
      <c r="K154" s="103">
        <v>1.9557894736842103</v>
      </c>
      <c r="L154" s="103">
        <v>1.8231578947368419</v>
      </c>
      <c r="M154" s="103">
        <v>1.557894736842105</v>
      </c>
      <c r="N154" s="45"/>
    </row>
    <row r="155" spans="1:14" x14ac:dyDescent="0.25">
      <c r="A155" s="306"/>
      <c r="B155" s="323"/>
      <c r="C155" s="21" t="s">
        <v>35</v>
      </c>
      <c r="D155" s="1" t="s">
        <v>10</v>
      </c>
      <c r="E155" s="103">
        <v>0</v>
      </c>
      <c r="F155" s="103">
        <v>0</v>
      </c>
      <c r="G155" s="103">
        <v>0</v>
      </c>
      <c r="H155" s="103">
        <v>0</v>
      </c>
      <c r="I155" s="103">
        <v>0</v>
      </c>
      <c r="J155" s="103">
        <v>0</v>
      </c>
      <c r="K155" s="103">
        <v>1.6357894736842103E-3</v>
      </c>
      <c r="L155" s="103">
        <v>1.5031578947368419E-3</v>
      </c>
      <c r="M155" s="103">
        <v>1.2378947368421051E-3</v>
      </c>
      <c r="N155" s="45"/>
    </row>
    <row r="156" spans="1:14" x14ac:dyDescent="0.25">
      <c r="A156" s="306"/>
      <c r="B156" s="323"/>
      <c r="C156" s="22" t="s">
        <v>24</v>
      </c>
      <c r="D156" s="23" t="s">
        <v>10</v>
      </c>
      <c r="E156" s="103">
        <v>0</v>
      </c>
      <c r="F156" s="103">
        <v>0</v>
      </c>
      <c r="G156" s="103">
        <v>0</v>
      </c>
      <c r="H156" s="103">
        <v>0</v>
      </c>
      <c r="I156" s="103">
        <v>0</v>
      </c>
      <c r="J156" s="103">
        <v>0</v>
      </c>
      <c r="K156" s="103">
        <v>0</v>
      </c>
      <c r="L156" s="103">
        <v>0</v>
      </c>
      <c r="M156" s="103">
        <v>0</v>
      </c>
      <c r="N156" s="45"/>
    </row>
    <row r="157" spans="1:14" x14ac:dyDescent="0.25">
      <c r="A157" s="306"/>
      <c r="B157" s="323"/>
      <c r="C157" s="21" t="s">
        <v>25</v>
      </c>
      <c r="D157" s="1" t="s">
        <v>7</v>
      </c>
      <c r="E157" s="102">
        <v>0.94349999999999989</v>
      </c>
      <c r="F157" s="102">
        <v>0.94349999999999989</v>
      </c>
      <c r="G157" s="102">
        <v>0.94349999999999989</v>
      </c>
      <c r="H157" s="102">
        <v>0.94349999999999989</v>
      </c>
      <c r="I157" s="102">
        <v>0.94349999999999989</v>
      </c>
      <c r="J157" s="102">
        <v>0.94349999999999989</v>
      </c>
      <c r="K157" s="102">
        <v>0.99</v>
      </c>
      <c r="L157" s="102">
        <v>0.99</v>
      </c>
      <c r="M157" s="102">
        <v>0.99</v>
      </c>
      <c r="N157" s="45"/>
    </row>
    <row r="158" spans="1:14" x14ac:dyDescent="0.25">
      <c r="A158" s="306"/>
      <c r="B158" s="323"/>
      <c r="C158" s="21" t="s">
        <v>26</v>
      </c>
      <c r="D158" s="1" t="s">
        <v>14</v>
      </c>
      <c r="E158" s="103">
        <v>1524.6</v>
      </c>
      <c r="F158" s="103">
        <v>1749.6</v>
      </c>
      <c r="G158" s="103">
        <v>2349.6</v>
      </c>
      <c r="H158" s="103">
        <v>3174.6</v>
      </c>
      <c r="I158" s="103">
        <v>4299.6000000000004</v>
      </c>
      <c r="J158" s="103">
        <v>14213</v>
      </c>
      <c r="K158" s="103">
        <v>21713</v>
      </c>
      <c r="L158" s="103">
        <v>37463</v>
      </c>
      <c r="M158" s="103">
        <v>68963</v>
      </c>
      <c r="N158" s="45"/>
    </row>
    <row r="159" spans="1:14" x14ac:dyDescent="0.25">
      <c r="A159" s="306"/>
      <c r="B159" s="323"/>
      <c r="C159" s="21" t="s">
        <v>27</v>
      </c>
      <c r="D159" s="1" t="s">
        <v>4</v>
      </c>
      <c r="E159" s="102">
        <v>40</v>
      </c>
      <c r="F159" s="102">
        <v>40</v>
      </c>
      <c r="G159" s="102">
        <v>40</v>
      </c>
      <c r="H159" s="102">
        <v>40</v>
      </c>
      <c r="I159" s="102">
        <v>40</v>
      </c>
      <c r="J159" s="102">
        <v>40</v>
      </c>
      <c r="K159" s="102">
        <v>40</v>
      </c>
      <c r="L159" s="102">
        <v>40</v>
      </c>
      <c r="M159" s="102">
        <v>40</v>
      </c>
      <c r="N159" s="45"/>
    </row>
    <row r="160" spans="1:14" x14ac:dyDescent="0.25">
      <c r="A160" s="306"/>
      <c r="B160" s="323"/>
      <c r="C160" s="21" t="s">
        <v>117</v>
      </c>
      <c r="D160" s="1" t="s">
        <v>19</v>
      </c>
      <c r="E160" s="102">
        <v>0.35</v>
      </c>
      <c r="F160" s="102">
        <v>0.35</v>
      </c>
      <c r="G160" s="102">
        <v>0.35</v>
      </c>
      <c r="H160" s="102">
        <v>0.35</v>
      </c>
      <c r="I160" s="102">
        <v>0.35</v>
      </c>
      <c r="J160" s="102">
        <v>0.35</v>
      </c>
      <c r="K160" s="102">
        <v>0.35</v>
      </c>
      <c r="L160" s="102">
        <v>0.35</v>
      </c>
      <c r="M160" s="102">
        <v>0.35</v>
      </c>
      <c r="N160" s="45"/>
    </row>
    <row r="161" spans="1:14" x14ac:dyDescent="0.25">
      <c r="A161" s="306"/>
      <c r="B161" s="323"/>
      <c r="C161" s="21" t="s">
        <v>36</v>
      </c>
      <c r="D161" s="1" t="s">
        <v>19</v>
      </c>
      <c r="E161" s="102">
        <v>1.8571428571428572</v>
      </c>
      <c r="F161" s="102">
        <v>1.8571428571428572</v>
      </c>
      <c r="G161" s="102">
        <v>1.8571428571428572</v>
      </c>
      <c r="H161" s="102">
        <v>1.8571428571428572</v>
      </c>
      <c r="I161" s="102">
        <v>1.8571428571428572</v>
      </c>
      <c r="J161" s="102">
        <v>1.8571428571428572</v>
      </c>
      <c r="K161" s="102">
        <v>1.8571428571428572</v>
      </c>
      <c r="L161" s="102">
        <v>1.8571428571428572</v>
      </c>
      <c r="M161" s="102">
        <v>1.8571428571428572</v>
      </c>
      <c r="N161" s="45"/>
    </row>
    <row r="162" spans="1:14" x14ac:dyDescent="0.25">
      <c r="A162" s="306"/>
      <c r="B162" s="323"/>
      <c r="C162" s="21" t="s">
        <v>37</v>
      </c>
      <c r="D162" s="1" t="s">
        <v>4</v>
      </c>
      <c r="E162" s="102">
        <v>20</v>
      </c>
      <c r="F162" s="102">
        <v>20</v>
      </c>
      <c r="G162" s="102">
        <v>20</v>
      </c>
      <c r="H162" s="102">
        <v>20</v>
      </c>
      <c r="I162" s="102">
        <v>20</v>
      </c>
      <c r="J162" s="102">
        <v>20</v>
      </c>
      <c r="K162" s="102">
        <v>20</v>
      </c>
      <c r="L162" s="102">
        <v>20</v>
      </c>
      <c r="M162" s="102">
        <v>20</v>
      </c>
      <c r="N162" s="45"/>
    </row>
    <row r="163" spans="1:14" x14ac:dyDescent="0.25">
      <c r="A163" s="306"/>
      <c r="B163" s="323"/>
      <c r="C163" s="21" t="s">
        <v>38</v>
      </c>
      <c r="D163" s="1" t="s">
        <v>6</v>
      </c>
      <c r="E163" s="103">
        <v>6439.2406849033259</v>
      </c>
      <c r="F163" s="103">
        <v>4332.7824241831977</v>
      </c>
      <c r="G163" s="103">
        <v>2669.5160351066907</v>
      </c>
      <c r="H163" s="103">
        <v>2110.1894367812192</v>
      </c>
      <c r="I163" s="103">
        <v>1784.2871082104245</v>
      </c>
      <c r="J163" s="103">
        <v>1409.7428212977536</v>
      </c>
      <c r="K163" s="103">
        <v>1109.4282603302854</v>
      </c>
      <c r="L163" s="103">
        <v>892.85832488167068</v>
      </c>
      <c r="M163" s="103">
        <v>730.28644907126954</v>
      </c>
      <c r="N163" s="45"/>
    </row>
    <row r="164" spans="1:14" x14ac:dyDescent="0.25">
      <c r="A164" s="306"/>
      <c r="B164" s="323"/>
      <c r="C164" s="21" t="s">
        <v>176</v>
      </c>
      <c r="D164" s="1" t="s">
        <v>19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45"/>
    </row>
    <row r="165" spans="1:14" x14ac:dyDescent="0.25">
      <c r="A165" s="306"/>
      <c r="B165" s="323"/>
      <c r="C165" s="21" t="s">
        <v>118</v>
      </c>
      <c r="D165" s="1" t="s">
        <v>8</v>
      </c>
      <c r="E165" s="102"/>
      <c r="F165" s="102"/>
      <c r="G165" s="102"/>
      <c r="H165" s="102"/>
      <c r="I165" s="102"/>
      <c r="J165" s="102"/>
      <c r="K165" s="102"/>
      <c r="L165" s="102"/>
      <c r="M165" s="102"/>
      <c r="N165" s="45"/>
    </row>
    <row r="166" spans="1:14" x14ac:dyDescent="0.25">
      <c r="A166" s="306"/>
      <c r="B166" s="323"/>
      <c r="C166" s="21" t="s">
        <v>119</v>
      </c>
      <c r="D166" s="1" t="s">
        <v>9</v>
      </c>
      <c r="E166" s="102"/>
      <c r="F166" s="102"/>
      <c r="G166" s="102"/>
      <c r="H166" s="102"/>
      <c r="I166" s="102"/>
      <c r="J166" s="102"/>
      <c r="K166" s="102"/>
      <c r="L166" s="102"/>
      <c r="M166" s="102"/>
      <c r="N166" s="45"/>
    </row>
    <row r="167" spans="1:14" x14ac:dyDescent="0.25">
      <c r="A167" s="306"/>
      <c r="B167" s="323"/>
      <c r="C167" s="21" t="s">
        <v>39</v>
      </c>
      <c r="D167" s="1" t="s">
        <v>10</v>
      </c>
      <c r="E167" s="103">
        <v>5.4632155805897732E-2</v>
      </c>
      <c r="F167" s="103">
        <v>6.9225169277652349E-2</v>
      </c>
      <c r="G167" s="103">
        <v>5.5072970988733948E-2</v>
      </c>
      <c r="H167" s="103">
        <v>4.6604222305577481E-2</v>
      </c>
      <c r="I167" s="103">
        <v>4.0289223212275231E-2</v>
      </c>
      <c r="J167" s="103">
        <v>2.4583755873341454E-2</v>
      </c>
      <c r="K167" s="103">
        <v>1.9104989606490121E-2</v>
      </c>
      <c r="L167" s="103">
        <v>1.5182594783541725E-2</v>
      </c>
      <c r="M167" s="103">
        <v>1.3307545040231683E-2</v>
      </c>
      <c r="N167" s="45"/>
    </row>
    <row r="168" spans="1:14" x14ac:dyDescent="0.25">
      <c r="A168" s="306"/>
      <c r="B168" s="323"/>
      <c r="C168" s="22" t="s">
        <v>40</v>
      </c>
      <c r="D168" s="23" t="s">
        <v>10</v>
      </c>
      <c r="E168" s="103">
        <v>0</v>
      </c>
      <c r="F168" s="103">
        <v>0</v>
      </c>
      <c r="G168" s="103">
        <v>0</v>
      </c>
      <c r="H168" s="103">
        <v>0</v>
      </c>
      <c r="I168" s="103">
        <v>0</v>
      </c>
      <c r="J168" s="103">
        <v>0</v>
      </c>
      <c r="K168" s="103">
        <v>0</v>
      </c>
      <c r="L168" s="103">
        <v>0</v>
      </c>
      <c r="M168" s="103">
        <v>0</v>
      </c>
      <c r="N168" s="45"/>
    </row>
    <row r="169" spans="1:14" x14ac:dyDescent="0.25">
      <c r="A169" s="306"/>
      <c r="B169" s="323"/>
      <c r="C169" s="21" t="s">
        <v>41</v>
      </c>
      <c r="D169" s="1" t="s">
        <v>14</v>
      </c>
      <c r="E169" s="102"/>
      <c r="F169" s="102"/>
      <c r="G169" s="102"/>
      <c r="H169" s="102"/>
      <c r="I169" s="102"/>
      <c r="J169" s="102"/>
      <c r="K169" s="102"/>
      <c r="L169" s="102"/>
      <c r="M169" s="102"/>
      <c r="N169" s="45"/>
    </row>
    <row r="170" spans="1:14" x14ac:dyDescent="0.25">
      <c r="A170" s="306"/>
      <c r="B170" s="323"/>
      <c r="C170" s="21" t="s">
        <v>42</v>
      </c>
      <c r="D170" s="1" t="s">
        <v>4</v>
      </c>
      <c r="E170" s="102"/>
      <c r="F170" s="102"/>
      <c r="G170" s="102"/>
      <c r="H170" s="102"/>
      <c r="I170" s="102"/>
      <c r="J170" s="102"/>
      <c r="K170" s="102"/>
      <c r="L170" s="102"/>
      <c r="M170" s="102"/>
      <c r="N170" s="45"/>
    </row>
    <row r="171" spans="1:14" x14ac:dyDescent="0.25">
      <c r="A171" s="306"/>
      <c r="B171" s="323"/>
      <c r="C171" s="21" t="s">
        <v>43</v>
      </c>
      <c r="D171" s="1" t="s">
        <v>7</v>
      </c>
      <c r="E171" s="105">
        <v>0.5</v>
      </c>
      <c r="F171" s="105">
        <v>0.5</v>
      </c>
      <c r="G171" s="105">
        <v>0.5</v>
      </c>
      <c r="H171" s="105">
        <v>0.5</v>
      </c>
      <c r="I171" s="105">
        <v>0.5</v>
      </c>
      <c r="J171" s="105">
        <v>0.5</v>
      </c>
      <c r="K171" s="105">
        <v>0.5</v>
      </c>
      <c r="L171" s="105">
        <v>0.5</v>
      </c>
      <c r="M171" s="105">
        <v>0.5</v>
      </c>
      <c r="N171" s="45"/>
    </row>
    <row r="172" spans="1:14" ht="14.45" customHeight="1" x14ac:dyDescent="0.25">
      <c r="A172" s="306"/>
      <c r="B172" s="323"/>
      <c r="C172" s="24" t="s">
        <v>44</v>
      </c>
      <c r="D172" s="1" t="s">
        <v>7</v>
      </c>
      <c r="E172" s="104">
        <v>0.66625430833964439</v>
      </c>
      <c r="F172" s="104">
        <v>0.66367464936796561</v>
      </c>
      <c r="G172" s="104">
        <v>0.65679555877682227</v>
      </c>
      <c r="H172" s="104">
        <v>0.64733680921400016</v>
      </c>
      <c r="I172" s="104">
        <v>0.63443851435560639</v>
      </c>
      <c r="J172" s="104">
        <v>0.4680070358050421</v>
      </c>
      <c r="K172" s="104">
        <v>0.46713859851464173</v>
      </c>
      <c r="L172" s="104">
        <v>0.46531488020480088</v>
      </c>
      <c r="M172" s="104">
        <v>0.47</v>
      </c>
      <c r="N172" s="45"/>
    </row>
    <row r="173" spans="1:14" ht="14.45" customHeight="1" x14ac:dyDescent="0.25">
      <c r="A173" s="306"/>
      <c r="B173" s="323"/>
      <c r="C173" s="24" t="s">
        <v>45</v>
      </c>
      <c r="D173" s="1" t="s">
        <v>7</v>
      </c>
      <c r="E173" s="104">
        <v>0.25092243745356524</v>
      </c>
      <c r="F173" s="104">
        <v>0.25657675134016689</v>
      </c>
      <c r="G173" s="104">
        <v>0.27165492170443795</v>
      </c>
      <c r="H173" s="104">
        <v>0.29238740595531065</v>
      </c>
      <c r="I173" s="104">
        <v>0.32065897538831889</v>
      </c>
      <c r="J173" s="104">
        <v>0.41290384467151914</v>
      </c>
      <c r="K173" s="104">
        <v>0.41363974384019625</v>
      </c>
      <c r="L173" s="104">
        <v>0.41518513209441815</v>
      </c>
      <c r="M173" s="104">
        <v>0.41599999999999998</v>
      </c>
      <c r="N173" s="45"/>
    </row>
    <row r="174" spans="1:14" ht="14.45" customHeight="1" x14ac:dyDescent="0.25">
      <c r="A174" s="306"/>
      <c r="B174" s="323"/>
      <c r="C174" s="25" t="s">
        <v>120</v>
      </c>
      <c r="D174" s="23" t="s">
        <v>10</v>
      </c>
      <c r="E174" s="103">
        <v>0.16</v>
      </c>
      <c r="F174" s="103">
        <v>0.16</v>
      </c>
      <c r="G174" s="103">
        <v>0.16</v>
      </c>
      <c r="H174" s="103">
        <v>0.16</v>
      </c>
      <c r="I174" s="103">
        <v>0.06</v>
      </c>
      <c r="J174" s="103">
        <v>0.05</v>
      </c>
      <c r="K174" s="103">
        <v>4.3999999999999997E-2</v>
      </c>
      <c r="L174" s="103">
        <v>4.3999999999999997E-2</v>
      </c>
      <c r="M174" s="103">
        <v>4.3999999999999997E-2</v>
      </c>
      <c r="N174" s="45"/>
    </row>
    <row r="175" spans="1:14" ht="14.45" customHeight="1" x14ac:dyDescent="0.25">
      <c r="A175" s="306"/>
      <c r="B175" s="323"/>
      <c r="C175" s="25" t="s">
        <v>121</v>
      </c>
      <c r="D175" s="23" t="s">
        <v>122</v>
      </c>
      <c r="E175" s="103">
        <v>0.08</v>
      </c>
      <c r="F175" s="103">
        <v>0.08</v>
      </c>
      <c r="G175" s="103">
        <v>0.08</v>
      </c>
      <c r="H175" s="103">
        <v>0.08</v>
      </c>
      <c r="I175" s="103">
        <v>0.03</v>
      </c>
      <c r="J175" s="103">
        <v>0</v>
      </c>
      <c r="K175" s="103">
        <v>0</v>
      </c>
      <c r="L175" s="103">
        <v>0</v>
      </c>
      <c r="M175" s="103">
        <v>0</v>
      </c>
      <c r="N175" s="45"/>
    </row>
    <row r="176" spans="1:14" ht="14.45" customHeight="1" x14ac:dyDescent="0.25">
      <c r="A176" s="306"/>
      <c r="B176" s="323"/>
      <c r="C176" s="25" t="s">
        <v>123</v>
      </c>
      <c r="D176" s="23" t="s">
        <v>124</v>
      </c>
      <c r="E176" s="102">
        <v>5.4999999999999997E-3</v>
      </c>
      <c r="F176" s="102">
        <v>5.4999999999999997E-3</v>
      </c>
      <c r="G176" s="102">
        <v>5.4999999999999997E-3</v>
      </c>
      <c r="H176" s="102">
        <v>5.4999999999999997E-3</v>
      </c>
      <c r="I176" s="102">
        <v>5.4999999999999997E-3</v>
      </c>
      <c r="J176" s="102">
        <v>5.4999999999999997E-3</v>
      </c>
      <c r="K176" s="102">
        <v>5.4999999999999997E-3</v>
      </c>
      <c r="L176" s="102">
        <v>5.4999999999999997E-3</v>
      </c>
      <c r="M176" s="102">
        <v>5.4999999999999997E-3</v>
      </c>
      <c r="N176" s="45"/>
    </row>
    <row r="177" spans="1:14" ht="14.45" customHeight="1" x14ac:dyDescent="0.25">
      <c r="A177" s="306">
        <v>12</v>
      </c>
      <c r="B177" s="323" t="s">
        <v>178</v>
      </c>
      <c r="C177" s="21" t="s">
        <v>109</v>
      </c>
      <c r="D177" s="1" t="s">
        <v>19</v>
      </c>
      <c r="E177" s="106">
        <v>1</v>
      </c>
      <c r="F177" s="106">
        <v>1</v>
      </c>
      <c r="G177" s="106">
        <v>1</v>
      </c>
      <c r="H177" s="106">
        <v>1</v>
      </c>
      <c r="I177" s="106">
        <v>1</v>
      </c>
      <c r="J177" s="106">
        <v>1</v>
      </c>
      <c r="K177" s="106">
        <v>1</v>
      </c>
      <c r="L177" s="106">
        <v>1</v>
      </c>
      <c r="M177" s="106">
        <v>1</v>
      </c>
      <c r="N177" s="45"/>
    </row>
    <row r="178" spans="1:14" x14ac:dyDescent="0.25">
      <c r="A178" s="306"/>
      <c r="B178" s="323"/>
      <c r="C178" s="21" t="s">
        <v>21</v>
      </c>
      <c r="D178" s="1" t="s">
        <v>19</v>
      </c>
      <c r="E178" s="102">
        <v>0.8</v>
      </c>
      <c r="F178" s="102">
        <v>0.8</v>
      </c>
      <c r="G178" s="102">
        <v>0.8</v>
      </c>
      <c r="H178" s="102">
        <v>0.8</v>
      </c>
      <c r="I178" s="102">
        <v>0.8</v>
      </c>
      <c r="J178" s="102">
        <v>0.8</v>
      </c>
      <c r="K178" s="102">
        <v>0.8</v>
      </c>
      <c r="L178" s="102">
        <v>0.8</v>
      </c>
      <c r="M178" s="102">
        <v>0.8</v>
      </c>
      <c r="N178" s="45"/>
    </row>
    <row r="179" spans="1:14" x14ac:dyDescent="0.25">
      <c r="A179" s="306"/>
      <c r="B179" s="323"/>
      <c r="C179" s="21" t="s">
        <v>22</v>
      </c>
      <c r="D179" s="1" t="s">
        <v>4</v>
      </c>
      <c r="E179" s="102">
        <v>20</v>
      </c>
      <c r="F179" s="102">
        <v>20</v>
      </c>
      <c r="G179" s="102">
        <v>20</v>
      </c>
      <c r="H179" s="102">
        <v>20</v>
      </c>
      <c r="I179" s="102">
        <v>20</v>
      </c>
      <c r="J179" s="102">
        <v>20</v>
      </c>
      <c r="K179" s="102">
        <v>20</v>
      </c>
      <c r="L179" s="102">
        <v>20</v>
      </c>
      <c r="M179" s="102">
        <v>20</v>
      </c>
      <c r="N179" s="45"/>
    </row>
    <row r="180" spans="1:14" x14ac:dyDescent="0.25">
      <c r="A180" s="306"/>
      <c r="B180" s="323"/>
      <c r="C180" s="21" t="s">
        <v>23</v>
      </c>
      <c r="D180" s="1" t="s">
        <v>6</v>
      </c>
      <c r="E180" s="103">
        <v>218.34121214018199</v>
      </c>
      <c r="F180" s="103">
        <v>184.87398682120613</v>
      </c>
      <c r="G180" s="103">
        <v>143.96390422813076</v>
      </c>
      <c r="H180" s="103">
        <v>115.96852782183296</v>
      </c>
      <c r="I180" s="103">
        <v>107.31263157894738</v>
      </c>
      <c r="J180" s="103">
        <v>107.00631578947369</v>
      </c>
      <c r="K180" s="103">
        <v>105.98526315789475</v>
      </c>
      <c r="L180" s="103">
        <v>103.84105263157896</v>
      </c>
      <c r="M180" s="103">
        <v>99.55263157894737</v>
      </c>
      <c r="N180" s="45"/>
    </row>
    <row r="181" spans="1:14" ht="14.45" customHeight="1" x14ac:dyDescent="0.25">
      <c r="A181" s="306"/>
      <c r="B181" s="323"/>
      <c r="C181" s="21" t="s">
        <v>173</v>
      </c>
      <c r="D181" s="1" t="s">
        <v>19</v>
      </c>
      <c r="E181" s="104">
        <v>0.2</v>
      </c>
      <c r="F181" s="104">
        <v>0.2</v>
      </c>
      <c r="G181" s="104">
        <v>0.2</v>
      </c>
      <c r="H181" s="104">
        <v>0.2</v>
      </c>
      <c r="I181" s="104">
        <v>0.2</v>
      </c>
      <c r="J181" s="104">
        <v>0.2</v>
      </c>
      <c r="K181" s="104">
        <v>0.2</v>
      </c>
      <c r="L181" s="104">
        <v>0.2</v>
      </c>
      <c r="M181" s="104">
        <v>0.2</v>
      </c>
      <c r="N181" s="45"/>
    </row>
    <row r="182" spans="1:14" x14ac:dyDescent="0.25">
      <c r="A182" s="306"/>
      <c r="B182" s="323"/>
      <c r="C182" s="21" t="s">
        <v>110</v>
      </c>
      <c r="D182" s="1" t="s">
        <v>8</v>
      </c>
      <c r="E182" s="102"/>
      <c r="F182" s="102"/>
      <c r="G182" s="102"/>
      <c r="H182" s="102"/>
      <c r="I182" s="102"/>
      <c r="J182" s="102"/>
      <c r="K182" s="102"/>
      <c r="L182" s="102"/>
      <c r="M182" s="102"/>
      <c r="N182" s="45"/>
    </row>
    <row r="183" spans="1:14" x14ac:dyDescent="0.25">
      <c r="A183" s="306"/>
      <c r="B183" s="323"/>
      <c r="C183" s="21" t="s">
        <v>111</v>
      </c>
      <c r="D183" s="1" t="s">
        <v>9</v>
      </c>
      <c r="E183" s="103">
        <v>6.5502363642054595</v>
      </c>
      <c r="F183" s="103">
        <v>5.5462196046361836</v>
      </c>
      <c r="G183" s="103">
        <v>4.3189171268439228</v>
      </c>
      <c r="H183" s="103">
        <v>3.4790558346549889</v>
      </c>
      <c r="I183" s="103">
        <v>2.0378947368421052</v>
      </c>
      <c r="J183" s="103">
        <v>2.0189473684210526</v>
      </c>
      <c r="K183" s="103">
        <v>1.9557894736842103</v>
      </c>
      <c r="L183" s="103">
        <v>1.8231578947368419</v>
      </c>
      <c r="M183" s="103">
        <v>1.557894736842105</v>
      </c>
      <c r="N183" s="45"/>
    </row>
    <row r="184" spans="1:14" x14ac:dyDescent="0.25">
      <c r="A184" s="306"/>
      <c r="B184" s="323"/>
      <c r="C184" s="21" t="s">
        <v>35</v>
      </c>
      <c r="D184" s="1" t="s">
        <v>10</v>
      </c>
      <c r="E184" s="103">
        <v>0</v>
      </c>
      <c r="F184" s="103">
        <v>0</v>
      </c>
      <c r="G184" s="103">
        <v>0</v>
      </c>
      <c r="H184" s="103">
        <v>0</v>
      </c>
      <c r="I184" s="103">
        <v>0</v>
      </c>
      <c r="J184" s="103">
        <v>0</v>
      </c>
      <c r="K184" s="103">
        <v>1.6357894736842103E-3</v>
      </c>
      <c r="L184" s="103">
        <v>1.5031578947368419E-3</v>
      </c>
      <c r="M184" s="103">
        <v>1.2378947368421051E-3</v>
      </c>
      <c r="N184" s="45"/>
    </row>
    <row r="185" spans="1:14" x14ac:dyDescent="0.25">
      <c r="A185" s="306"/>
      <c r="B185" s="323"/>
      <c r="C185" s="22" t="s">
        <v>24</v>
      </c>
      <c r="D185" s="23" t="s">
        <v>10</v>
      </c>
      <c r="E185" s="103">
        <v>0</v>
      </c>
      <c r="F185" s="103">
        <v>0</v>
      </c>
      <c r="G185" s="103">
        <v>0</v>
      </c>
      <c r="H185" s="103">
        <v>0</v>
      </c>
      <c r="I185" s="103">
        <v>0</v>
      </c>
      <c r="J185" s="103">
        <v>0</v>
      </c>
      <c r="K185" s="103">
        <v>0</v>
      </c>
      <c r="L185" s="103">
        <v>0</v>
      </c>
      <c r="M185" s="103">
        <v>0</v>
      </c>
      <c r="N185" s="45"/>
    </row>
    <row r="186" spans="1:14" x14ac:dyDescent="0.25">
      <c r="A186" s="306"/>
      <c r="B186" s="323"/>
      <c r="C186" s="21" t="s">
        <v>25</v>
      </c>
      <c r="D186" s="1" t="s">
        <v>7</v>
      </c>
      <c r="E186" s="102">
        <v>0.94349999999999989</v>
      </c>
      <c r="F186" s="102">
        <v>0.94349999999999989</v>
      </c>
      <c r="G186" s="102">
        <v>0.94349999999999989</v>
      </c>
      <c r="H186" s="102">
        <v>0.94349999999999989</v>
      </c>
      <c r="I186" s="102">
        <v>0.94349999999999989</v>
      </c>
      <c r="J186" s="102">
        <v>0.94349999999999989</v>
      </c>
      <c r="K186" s="102">
        <v>0.99</v>
      </c>
      <c r="L186" s="102">
        <v>0.99</v>
      </c>
      <c r="M186" s="102">
        <v>0.99</v>
      </c>
      <c r="N186" s="45"/>
    </row>
    <row r="187" spans="1:14" x14ac:dyDescent="0.25">
      <c r="A187" s="306"/>
      <c r="B187" s="323"/>
      <c r="C187" s="21" t="s">
        <v>26</v>
      </c>
      <c r="D187" s="1" t="s">
        <v>14</v>
      </c>
      <c r="E187" s="103">
        <v>1524.6</v>
      </c>
      <c r="F187" s="103">
        <v>1749.6</v>
      </c>
      <c r="G187" s="103">
        <v>2349.6</v>
      </c>
      <c r="H187" s="103">
        <v>3174.6</v>
      </c>
      <c r="I187" s="103">
        <v>4299.6000000000004</v>
      </c>
      <c r="J187" s="103">
        <v>14213</v>
      </c>
      <c r="K187" s="103">
        <v>21713</v>
      </c>
      <c r="L187" s="103">
        <v>37463</v>
      </c>
      <c r="M187" s="103">
        <v>68963</v>
      </c>
      <c r="N187" s="45"/>
    </row>
    <row r="188" spans="1:14" x14ac:dyDescent="0.25">
      <c r="A188" s="306"/>
      <c r="B188" s="323"/>
      <c r="C188" s="21" t="s">
        <v>27</v>
      </c>
      <c r="D188" s="1" t="s">
        <v>4</v>
      </c>
      <c r="E188" s="102">
        <v>40</v>
      </c>
      <c r="F188" s="102">
        <v>40</v>
      </c>
      <c r="G188" s="102">
        <v>40</v>
      </c>
      <c r="H188" s="102">
        <v>40</v>
      </c>
      <c r="I188" s="102">
        <v>40</v>
      </c>
      <c r="J188" s="102">
        <v>40</v>
      </c>
      <c r="K188" s="102">
        <v>40</v>
      </c>
      <c r="L188" s="102">
        <v>40</v>
      </c>
      <c r="M188" s="102">
        <v>40</v>
      </c>
      <c r="N188" s="45"/>
    </row>
    <row r="189" spans="1:14" x14ac:dyDescent="0.25">
      <c r="A189" s="306"/>
      <c r="B189" s="323"/>
      <c r="C189" s="21" t="s">
        <v>125</v>
      </c>
      <c r="D189" s="1" t="s">
        <v>19</v>
      </c>
      <c r="E189" s="106">
        <v>0.3125</v>
      </c>
      <c r="F189" s="106">
        <v>0.3125</v>
      </c>
      <c r="G189" s="106">
        <v>0.3125</v>
      </c>
      <c r="H189" s="106">
        <v>0.3125</v>
      </c>
      <c r="I189" s="106">
        <v>0.3125</v>
      </c>
      <c r="J189" s="106">
        <v>0.3125</v>
      </c>
      <c r="K189" s="106">
        <v>0.3125</v>
      </c>
      <c r="L189" s="106">
        <v>0.3125</v>
      </c>
      <c r="M189" s="106">
        <v>0.3125</v>
      </c>
      <c r="N189" s="45"/>
    </row>
    <row r="190" spans="1:14" x14ac:dyDescent="0.25">
      <c r="A190" s="306"/>
      <c r="B190" s="323"/>
      <c r="C190" s="21" t="s">
        <v>126</v>
      </c>
      <c r="D190" s="1" t="s">
        <v>19</v>
      </c>
      <c r="E190" s="102">
        <v>0.64</v>
      </c>
      <c r="F190" s="102">
        <v>0.64</v>
      </c>
      <c r="G190" s="102">
        <v>0.64</v>
      </c>
      <c r="H190" s="102">
        <v>0.64</v>
      </c>
      <c r="I190" s="102">
        <v>0.64</v>
      </c>
      <c r="J190" s="102">
        <v>0.64</v>
      </c>
      <c r="K190" s="102">
        <v>0.64</v>
      </c>
      <c r="L190" s="102">
        <v>0.64</v>
      </c>
      <c r="M190" s="102">
        <v>0.64</v>
      </c>
      <c r="N190" s="45"/>
    </row>
    <row r="191" spans="1:14" ht="14.45" customHeight="1" x14ac:dyDescent="0.25">
      <c r="A191" s="306"/>
      <c r="B191" s="323"/>
      <c r="C191" s="24" t="s">
        <v>127</v>
      </c>
      <c r="D191" s="1" t="s">
        <v>4</v>
      </c>
      <c r="E191" s="102">
        <v>20</v>
      </c>
      <c r="F191" s="102">
        <v>20</v>
      </c>
      <c r="G191" s="102">
        <v>20</v>
      </c>
      <c r="H191" s="102">
        <v>20</v>
      </c>
      <c r="I191" s="102">
        <v>20</v>
      </c>
      <c r="J191" s="102">
        <v>20</v>
      </c>
      <c r="K191" s="102">
        <v>20</v>
      </c>
      <c r="L191" s="102">
        <v>20</v>
      </c>
      <c r="M191" s="102">
        <v>20</v>
      </c>
      <c r="N191" s="45"/>
    </row>
    <row r="192" spans="1:14" ht="14.45" customHeight="1" x14ac:dyDescent="0.25">
      <c r="A192" s="306"/>
      <c r="B192" s="323"/>
      <c r="C192" s="24" t="s">
        <v>128</v>
      </c>
      <c r="D192" s="1" t="s">
        <v>6</v>
      </c>
      <c r="E192" s="107">
        <v>969.96443035977279</v>
      </c>
      <c r="F192" s="103">
        <v>955.88615085209335</v>
      </c>
      <c r="G192" s="103">
        <v>918.34407216494844</v>
      </c>
      <c r="H192" s="103">
        <v>866.72371397012409</v>
      </c>
      <c r="I192" s="103">
        <v>796.33231643172724</v>
      </c>
      <c r="J192" s="103">
        <v>655.54952135493363</v>
      </c>
      <c r="K192" s="103">
        <v>563.57142857142856</v>
      </c>
      <c r="L192" s="103">
        <v>563.57142857142856</v>
      </c>
      <c r="M192" s="103">
        <v>563.57142857142856</v>
      </c>
      <c r="N192" s="45"/>
    </row>
    <row r="193" spans="1:14" ht="14.45" customHeight="1" x14ac:dyDescent="0.25">
      <c r="A193" s="306"/>
      <c r="B193" s="323"/>
      <c r="C193" s="21" t="s">
        <v>179</v>
      </c>
      <c r="D193" s="1" t="s">
        <v>19</v>
      </c>
      <c r="E193" s="104">
        <v>0</v>
      </c>
      <c r="F193" s="104">
        <v>0.35</v>
      </c>
      <c r="G193" s="104">
        <v>0.35</v>
      </c>
      <c r="H193" s="104">
        <v>0.35</v>
      </c>
      <c r="I193" s="104">
        <v>0.35</v>
      </c>
      <c r="J193" s="104">
        <v>0.35</v>
      </c>
      <c r="K193" s="104">
        <v>0.35</v>
      </c>
      <c r="L193" s="104">
        <v>0.35</v>
      </c>
      <c r="M193" s="104">
        <v>0.35</v>
      </c>
      <c r="N193" s="45"/>
    </row>
    <row r="194" spans="1:14" x14ac:dyDescent="0.25">
      <c r="A194" s="306"/>
      <c r="B194" s="323"/>
      <c r="C194" s="21" t="s">
        <v>129</v>
      </c>
      <c r="D194" s="1" t="s">
        <v>8</v>
      </c>
      <c r="E194" s="103">
        <v>59.884830633284238</v>
      </c>
      <c r="F194" s="103">
        <v>77.502650957290129</v>
      </c>
      <c r="G194" s="103">
        <v>124.48350515463918</v>
      </c>
      <c r="H194" s="103">
        <v>189.0821796759941</v>
      </c>
      <c r="I194" s="103">
        <v>277.17128129602355</v>
      </c>
      <c r="J194" s="103">
        <v>453.34948453608251</v>
      </c>
      <c r="K194" s="103">
        <v>629.52768777614153</v>
      </c>
      <c r="L194" s="103">
        <v>629.52768777614153</v>
      </c>
      <c r="M194" s="103">
        <v>629.52768777614153</v>
      </c>
      <c r="N194" s="45"/>
    </row>
    <row r="195" spans="1:14" x14ac:dyDescent="0.25">
      <c r="A195" s="306"/>
      <c r="B195" s="323"/>
      <c r="C195" s="21" t="s">
        <v>130</v>
      </c>
      <c r="D195" s="1" t="s">
        <v>9</v>
      </c>
      <c r="E195" s="102"/>
      <c r="F195" s="102"/>
      <c r="G195" s="102"/>
      <c r="H195" s="102"/>
      <c r="I195" s="102"/>
      <c r="J195" s="102"/>
      <c r="K195" s="102"/>
      <c r="L195" s="102"/>
      <c r="M195" s="102"/>
    </row>
    <row r="196" spans="1:14" x14ac:dyDescent="0.25">
      <c r="A196" s="306"/>
      <c r="B196" s="323"/>
      <c r="C196" s="21" t="s">
        <v>131</v>
      </c>
      <c r="D196" s="1" t="s">
        <v>10</v>
      </c>
      <c r="E196" s="102"/>
      <c r="F196" s="102"/>
      <c r="G196" s="102"/>
      <c r="H196" s="102"/>
      <c r="I196" s="102"/>
      <c r="J196" s="102"/>
      <c r="K196" s="102"/>
      <c r="L196" s="102"/>
      <c r="M196" s="102"/>
    </row>
    <row r="197" spans="1:14" ht="18.75" x14ac:dyDescent="0.25">
      <c r="A197" s="306"/>
      <c r="B197" s="323"/>
      <c r="C197" s="53" t="s">
        <v>132</v>
      </c>
      <c r="D197" s="23" t="s">
        <v>17</v>
      </c>
      <c r="E197" s="102"/>
      <c r="F197" s="102"/>
      <c r="G197" s="102"/>
      <c r="H197" s="102"/>
      <c r="I197" s="102"/>
      <c r="J197" s="102"/>
      <c r="K197" s="102"/>
      <c r="L197" s="102"/>
      <c r="M197" s="102"/>
    </row>
    <row r="198" spans="1:14" ht="14.45" customHeight="1" x14ac:dyDescent="0.25">
      <c r="A198" s="306">
        <v>13</v>
      </c>
      <c r="B198" s="323" t="s">
        <v>180</v>
      </c>
      <c r="C198" s="21" t="s">
        <v>109</v>
      </c>
      <c r="D198" s="1" t="s">
        <v>19</v>
      </c>
      <c r="E198" s="102">
        <v>1</v>
      </c>
      <c r="F198" s="102">
        <v>1</v>
      </c>
      <c r="G198" s="102">
        <v>1</v>
      </c>
      <c r="H198" s="102">
        <v>1</v>
      </c>
      <c r="I198" s="102">
        <v>1</v>
      </c>
      <c r="J198" s="102">
        <v>1</v>
      </c>
      <c r="K198" s="102">
        <v>1</v>
      </c>
      <c r="L198" s="102">
        <v>1</v>
      </c>
      <c r="M198" s="102">
        <v>1</v>
      </c>
    </row>
    <row r="199" spans="1:14" x14ac:dyDescent="0.25">
      <c r="A199" s="306"/>
      <c r="B199" s="323"/>
      <c r="C199" s="21" t="s">
        <v>21</v>
      </c>
      <c r="D199" s="1" t="s">
        <v>19</v>
      </c>
      <c r="E199" s="102">
        <v>0.65</v>
      </c>
      <c r="F199" s="102">
        <v>0.65</v>
      </c>
      <c r="G199" s="102">
        <v>0.65</v>
      </c>
      <c r="H199" s="102">
        <v>0.65</v>
      </c>
      <c r="I199" s="102">
        <v>0.65</v>
      </c>
      <c r="J199" s="102">
        <v>0.65</v>
      </c>
      <c r="K199" s="102">
        <v>0.65</v>
      </c>
      <c r="L199" s="102">
        <v>0.65</v>
      </c>
      <c r="M199" s="102">
        <v>0.65</v>
      </c>
    </row>
    <row r="200" spans="1:14" x14ac:dyDescent="0.25">
      <c r="A200" s="306"/>
      <c r="B200" s="323"/>
      <c r="C200" s="21" t="s">
        <v>22</v>
      </c>
      <c r="D200" s="1" t="s">
        <v>4</v>
      </c>
      <c r="E200" s="102">
        <v>20</v>
      </c>
      <c r="F200" s="102">
        <v>20</v>
      </c>
      <c r="G200" s="102">
        <v>20</v>
      </c>
      <c r="H200" s="102">
        <v>20</v>
      </c>
      <c r="I200" s="102">
        <v>20</v>
      </c>
      <c r="J200" s="102">
        <v>20</v>
      </c>
      <c r="K200" s="102">
        <v>20</v>
      </c>
      <c r="L200" s="102">
        <v>20</v>
      </c>
      <c r="M200" s="102">
        <v>20</v>
      </c>
    </row>
    <row r="201" spans="1:14" x14ac:dyDescent="0.25">
      <c r="A201" s="306"/>
      <c r="B201" s="323"/>
      <c r="C201" s="21" t="s">
        <v>23</v>
      </c>
      <c r="D201" s="1" t="s">
        <v>6</v>
      </c>
      <c r="E201" s="103">
        <v>218.34121214018199</v>
      </c>
      <c r="F201" s="103">
        <v>184.87398682120613</v>
      </c>
      <c r="G201" s="103">
        <v>143.96390422813076</v>
      </c>
      <c r="H201" s="103">
        <v>115.96852782183296</v>
      </c>
      <c r="I201" s="103">
        <v>107.31263157894738</v>
      </c>
      <c r="J201" s="103">
        <v>107.00631578947369</v>
      </c>
      <c r="K201" s="103">
        <v>105.98526315789475</v>
      </c>
      <c r="L201" s="103">
        <v>103.84105263157896</v>
      </c>
      <c r="M201" s="103">
        <v>99.55263157894737</v>
      </c>
    </row>
    <row r="202" spans="1:14" x14ac:dyDescent="0.25">
      <c r="A202" s="306"/>
      <c r="B202" s="323"/>
      <c r="C202" s="21" t="s">
        <v>173</v>
      </c>
      <c r="D202" s="1" t="s">
        <v>19</v>
      </c>
      <c r="E202" s="104">
        <v>0.2</v>
      </c>
      <c r="F202" s="104">
        <v>0.2</v>
      </c>
      <c r="G202" s="104">
        <v>0.2</v>
      </c>
      <c r="H202" s="104">
        <v>0.2</v>
      </c>
      <c r="I202" s="104">
        <v>0.2</v>
      </c>
      <c r="J202" s="104">
        <v>0.2</v>
      </c>
      <c r="K202" s="104">
        <v>0.2</v>
      </c>
      <c r="L202" s="104">
        <v>0.2</v>
      </c>
      <c r="M202" s="104">
        <v>0.2</v>
      </c>
    </row>
    <row r="203" spans="1:14" x14ac:dyDescent="0.25">
      <c r="A203" s="306"/>
      <c r="B203" s="323"/>
      <c r="C203" s="21" t="s">
        <v>110</v>
      </c>
      <c r="D203" s="1" t="s">
        <v>8</v>
      </c>
      <c r="E203" s="102"/>
      <c r="F203" s="102"/>
      <c r="G203" s="102"/>
      <c r="H203" s="102"/>
      <c r="I203" s="102"/>
      <c r="J203" s="102"/>
      <c r="K203" s="102"/>
      <c r="L203" s="102"/>
      <c r="M203" s="102"/>
    </row>
    <row r="204" spans="1:14" x14ac:dyDescent="0.25">
      <c r="A204" s="306"/>
      <c r="B204" s="323"/>
      <c r="C204" s="21" t="s">
        <v>111</v>
      </c>
      <c r="D204" s="1" t="s">
        <v>9</v>
      </c>
      <c r="E204" s="103">
        <v>6.5502363642054595</v>
      </c>
      <c r="F204" s="103">
        <v>5.5462196046361836</v>
      </c>
      <c r="G204" s="103">
        <v>4.3189171268439228</v>
      </c>
      <c r="H204" s="103">
        <v>3.4790558346549889</v>
      </c>
      <c r="I204" s="103">
        <v>2.0378947368421052</v>
      </c>
      <c r="J204" s="103">
        <v>2.0189473684210526</v>
      </c>
      <c r="K204" s="103">
        <v>1.9557894736842103</v>
      </c>
      <c r="L204" s="103">
        <v>1.8231578947368419</v>
      </c>
      <c r="M204" s="103">
        <v>1.557894736842105</v>
      </c>
    </row>
    <row r="205" spans="1:14" x14ac:dyDescent="0.25">
      <c r="A205" s="306"/>
      <c r="B205" s="323"/>
      <c r="C205" s="21" t="s">
        <v>35</v>
      </c>
      <c r="D205" s="1" t="s">
        <v>10</v>
      </c>
      <c r="E205" s="103">
        <v>0</v>
      </c>
      <c r="F205" s="103">
        <v>0</v>
      </c>
      <c r="G205" s="103">
        <v>0</v>
      </c>
      <c r="H205" s="103">
        <v>0</v>
      </c>
      <c r="I205" s="103">
        <v>0</v>
      </c>
      <c r="J205" s="103">
        <v>0</v>
      </c>
      <c r="K205" s="103">
        <v>1.6357894736842103E-3</v>
      </c>
      <c r="L205" s="103">
        <v>1.5031578947368419E-3</v>
      </c>
      <c r="M205" s="103">
        <v>1.2378947368421051E-3</v>
      </c>
    </row>
    <row r="206" spans="1:14" x14ac:dyDescent="0.25">
      <c r="A206" s="306"/>
      <c r="B206" s="323"/>
      <c r="C206" s="22" t="s">
        <v>24</v>
      </c>
      <c r="D206" s="23" t="s">
        <v>10</v>
      </c>
      <c r="E206" s="103">
        <v>0</v>
      </c>
      <c r="F206" s="103">
        <v>0</v>
      </c>
      <c r="G206" s="103">
        <v>0</v>
      </c>
      <c r="H206" s="103">
        <v>0</v>
      </c>
      <c r="I206" s="103">
        <v>0</v>
      </c>
      <c r="J206" s="103">
        <v>0</v>
      </c>
      <c r="K206" s="103">
        <v>0</v>
      </c>
      <c r="L206" s="103">
        <v>0</v>
      </c>
      <c r="M206" s="103">
        <v>0</v>
      </c>
    </row>
    <row r="207" spans="1:14" x14ac:dyDescent="0.25">
      <c r="A207" s="306"/>
      <c r="B207" s="323"/>
      <c r="C207" s="21" t="s">
        <v>25</v>
      </c>
      <c r="D207" s="1" t="s">
        <v>7</v>
      </c>
      <c r="E207" s="102">
        <v>0.94349999999999989</v>
      </c>
      <c r="F207" s="102">
        <v>0.94349999999999989</v>
      </c>
      <c r="G207" s="102">
        <v>0.94349999999999989</v>
      </c>
      <c r="H207" s="102">
        <v>0.94349999999999989</v>
      </c>
      <c r="I207" s="102">
        <v>0.94349999999999989</v>
      </c>
      <c r="J207" s="102">
        <v>0.94349999999999989</v>
      </c>
      <c r="K207" s="102">
        <v>0.99</v>
      </c>
      <c r="L207" s="102">
        <v>0.99</v>
      </c>
      <c r="M207" s="102">
        <v>0.99</v>
      </c>
    </row>
    <row r="208" spans="1:14" x14ac:dyDescent="0.25">
      <c r="A208" s="306"/>
      <c r="B208" s="323"/>
      <c r="C208" s="21" t="s">
        <v>26</v>
      </c>
      <c r="D208" s="1" t="s">
        <v>14</v>
      </c>
      <c r="E208" s="103">
        <v>1524.6</v>
      </c>
      <c r="F208" s="103">
        <v>1749.6</v>
      </c>
      <c r="G208" s="103">
        <v>2349.6</v>
      </c>
      <c r="H208" s="103">
        <v>3174.6</v>
      </c>
      <c r="I208" s="103">
        <v>4299.6000000000004</v>
      </c>
      <c r="J208" s="103">
        <v>14213</v>
      </c>
      <c r="K208" s="103">
        <v>21713</v>
      </c>
      <c r="L208" s="103">
        <v>37463</v>
      </c>
      <c r="M208" s="103">
        <v>68963</v>
      </c>
    </row>
    <row r="209" spans="1:13" x14ac:dyDescent="0.25">
      <c r="A209" s="306"/>
      <c r="B209" s="323"/>
      <c r="C209" s="21" t="s">
        <v>27</v>
      </c>
      <c r="D209" s="1" t="s">
        <v>4</v>
      </c>
      <c r="E209" s="102">
        <v>40</v>
      </c>
      <c r="F209" s="102">
        <v>40</v>
      </c>
      <c r="G209" s="102">
        <v>40</v>
      </c>
      <c r="H209" s="102">
        <v>40</v>
      </c>
      <c r="I209" s="102">
        <v>40</v>
      </c>
      <c r="J209" s="102">
        <v>40</v>
      </c>
      <c r="K209" s="102">
        <v>40</v>
      </c>
      <c r="L209" s="102">
        <v>40</v>
      </c>
      <c r="M209" s="102">
        <v>40</v>
      </c>
    </row>
    <row r="210" spans="1:13" x14ac:dyDescent="0.25">
      <c r="A210" s="306"/>
      <c r="B210" s="323"/>
      <c r="C210" s="21" t="s">
        <v>125</v>
      </c>
      <c r="D210" s="1" t="s">
        <v>19</v>
      </c>
      <c r="E210" s="106">
        <v>0.546875</v>
      </c>
      <c r="F210" s="106">
        <v>0.546875</v>
      </c>
      <c r="G210" s="106">
        <v>0.54687499999999989</v>
      </c>
      <c r="H210" s="106">
        <v>0.546875</v>
      </c>
      <c r="I210" s="106">
        <v>0.546875</v>
      </c>
      <c r="J210" s="106">
        <v>0.546875</v>
      </c>
      <c r="K210" s="106">
        <v>0.546875</v>
      </c>
      <c r="L210" s="106">
        <v>0.546875</v>
      </c>
      <c r="M210" s="106">
        <v>0.546875</v>
      </c>
    </row>
    <row r="211" spans="1:13" x14ac:dyDescent="0.25">
      <c r="A211" s="306"/>
      <c r="B211" s="323"/>
      <c r="C211" s="21" t="s">
        <v>126</v>
      </c>
      <c r="D211" s="1" t="s">
        <v>19</v>
      </c>
      <c r="E211" s="102">
        <v>0.64</v>
      </c>
      <c r="F211" s="102">
        <v>0.64</v>
      </c>
      <c r="G211" s="102">
        <v>0.64</v>
      </c>
      <c r="H211" s="102">
        <v>0.64</v>
      </c>
      <c r="I211" s="102">
        <v>0.64</v>
      </c>
      <c r="J211" s="102">
        <v>0.64</v>
      </c>
      <c r="K211" s="102">
        <v>0.64</v>
      </c>
      <c r="L211" s="102">
        <v>0.64</v>
      </c>
      <c r="M211" s="102">
        <v>0.64</v>
      </c>
    </row>
    <row r="212" spans="1:13" x14ac:dyDescent="0.25">
      <c r="A212" s="306"/>
      <c r="B212" s="323"/>
      <c r="C212" s="24" t="s">
        <v>127</v>
      </c>
      <c r="D212" s="1" t="s">
        <v>4</v>
      </c>
      <c r="E212" s="102">
        <v>20</v>
      </c>
      <c r="F212" s="102">
        <v>20</v>
      </c>
      <c r="G212" s="102">
        <v>20</v>
      </c>
      <c r="H212" s="102">
        <v>20</v>
      </c>
      <c r="I212" s="102">
        <v>20</v>
      </c>
      <c r="J212" s="102">
        <v>20</v>
      </c>
      <c r="K212" s="102">
        <v>20</v>
      </c>
      <c r="L212" s="102">
        <v>20</v>
      </c>
      <c r="M212" s="102">
        <v>20</v>
      </c>
    </row>
    <row r="213" spans="1:13" x14ac:dyDescent="0.25">
      <c r="A213" s="306"/>
      <c r="B213" s="323"/>
      <c r="C213" s="24" t="s">
        <v>128</v>
      </c>
      <c r="D213" s="1" t="s">
        <v>6</v>
      </c>
      <c r="E213" s="107">
        <v>959.40572072901318</v>
      </c>
      <c r="F213" s="103">
        <v>934.76873159057436</v>
      </c>
      <c r="G213" s="103">
        <v>869.07009388807069</v>
      </c>
      <c r="H213" s="103">
        <v>778.73446704712808</v>
      </c>
      <c r="I213" s="103">
        <v>655.54952135493363</v>
      </c>
      <c r="J213" s="103">
        <v>563.57142857142856</v>
      </c>
      <c r="K213" s="103">
        <v>563.57142857142856</v>
      </c>
      <c r="L213" s="103">
        <v>563.57142857142856</v>
      </c>
      <c r="M213" s="103">
        <v>563.57142857142856</v>
      </c>
    </row>
    <row r="214" spans="1:13" x14ac:dyDescent="0.25">
      <c r="A214" s="306"/>
      <c r="B214" s="323"/>
      <c r="C214" s="21" t="s">
        <v>179</v>
      </c>
      <c r="D214" s="1" t="s">
        <v>19</v>
      </c>
      <c r="E214" s="104">
        <v>0.35</v>
      </c>
      <c r="F214" s="104">
        <v>0.35</v>
      </c>
      <c r="G214" s="104">
        <v>0.35</v>
      </c>
      <c r="H214" s="104">
        <v>0.35</v>
      </c>
      <c r="I214" s="104">
        <v>0.35</v>
      </c>
      <c r="J214" s="104">
        <v>0.35</v>
      </c>
      <c r="K214" s="104">
        <v>0.35</v>
      </c>
      <c r="L214" s="104">
        <v>0.35</v>
      </c>
      <c r="M214" s="104">
        <v>0.35</v>
      </c>
    </row>
    <row r="215" spans="1:13" x14ac:dyDescent="0.25">
      <c r="A215" s="306"/>
      <c r="B215" s="323"/>
      <c r="C215" s="21" t="s">
        <v>129</v>
      </c>
      <c r="D215" s="1" t="s">
        <v>8</v>
      </c>
      <c r="E215" s="103">
        <v>59.884830633284238</v>
      </c>
      <c r="F215" s="103">
        <v>77.502650957290129</v>
      </c>
      <c r="G215" s="103">
        <v>124.48350515463918</v>
      </c>
      <c r="H215" s="103">
        <v>189.0821796759941</v>
      </c>
      <c r="I215" s="103">
        <v>277.17128129602355</v>
      </c>
      <c r="J215" s="103">
        <v>453.34948453608251</v>
      </c>
      <c r="K215" s="103">
        <v>629.52768777614153</v>
      </c>
      <c r="L215" s="103">
        <v>629.52768777614153</v>
      </c>
      <c r="M215" s="103">
        <v>629.52768777614153</v>
      </c>
    </row>
    <row r="216" spans="1:13" x14ac:dyDescent="0.25">
      <c r="A216" s="306"/>
      <c r="B216" s="323"/>
      <c r="C216" s="21" t="s">
        <v>130</v>
      </c>
      <c r="D216" s="1" t="s">
        <v>9</v>
      </c>
      <c r="E216" s="102"/>
      <c r="F216" s="102"/>
      <c r="G216" s="102"/>
      <c r="H216" s="102"/>
      <c r="I216" s="102"/>
      <c r="J216" s="102"/>
      <c r="K216" s="102"/>
      <c r="L216" s="102"/>
      <c r="M216" s="102"/>
    </row>
    <row r="217" spans="1:13" x14ac:dyDescent="0.25">
      <c r="A217" s="306"/>
      <c r="B217" s="323"/>
      <c r="C217" s="21" t="s">
        <v>131</v>
      </c>
      <c r="D217" s="1" t="s">
        <v>10</v>
      </c>
      <c r="E217" s="102"/>
      <c r="F217" s="102"/>
      <c r="G217" s="102"/>
      <c r="H217" s="102"/>
      <c r="I217" s="102"/>
      <c r="J217" s="102"/>
      <c r="K217" s="102"/>
      <c r="L217" s="102"/>
      <c r="M217" s="102"/>
    </row>
    <row r="218" spans="1:13" ht="18.75" x14ac:dyDescent="0.25">
      <c r="A218" s="306"/>
      <c r="B218" s="323"/>
      <c r="C218" s="53" t="s">
        <v>132</v>
      </c>
      <c r="D218" s="23" t="s">
        <v>17</v>
      </c>
      <c r="E218" s="102"/>
      <c r="F218" s="102"/>
      <c r="G218" s="102"/>
      <c r="H218" s="102"/>
      <c r="I218" s="102"/>
      <c r="J218" s="102"/>
      <c r="K218" s="102"/>
      <c r="L218" s="102"/>
      <c r="M218" s="102"/>
    </row>
    <row r="219" spans="1:13" x14ac:dyDescent="0.25">
      <c r="A219" s="324">
        <v>14</v>
      </c>
      <c r="B219" s="327" t="s">
        <v>181</v>
      </c>
      <c r="C219" s="21" t="s">
        <v>112</v>
      </c>
      <c r="D219" s="1" t="s">
        <v>19</v>
      </c>
      <c r="E219" s="106">
        <v>1</v>
      </c>
      <c r="F219" s="106">
        <v>1</v>
      </c>
      <c r="G219" s="106">
        <v>1</v>
      </c>
      <c r="H219" s="106">
        <v>1</v>
      </c>
      <c r="I219" s="106">
        <v>1</v>
      </c>
      <c r="J219" s="106">
        <v>1</v>
      </c>
      <c r="K219" s="106">
        <v>1</v>
      </c>
      <c r="L219" s="106">
        <v>1</v>
      </c>
      <c r="M219" s="106">
        <v>1</v>
      </c>
    </row>
    <row r="220" spans="1:13" x14ac:dyDescent="0.25">
      <c r="A220" s="325"/>
      <c r="B220" s="328"/>
      <c r="C220" s="21" t="s">
        <v>28</v>
      </c>
      <c r="D220" s="1" t="s">
        <v>19</v>
      </c>
      <c r="E220" s="102">
        <v>0.8</v>
      </c>
      <c r="F220" s="102">
        <v>0.8</v>
      </c>
      <c r="G220" s="102">
        <v>0.8</v>
      </c>
      <c r="H220" s="102">
        <v>0.8</v>
      </c>
      <c r="I220" s="102">
        <v>0.8</v>
      </c>
      <c r="J220" s="102">
        <v>0.8</v>
      </c>
      <c r="K220" s="102">
        <v>0.8</v>
      </c>
      <c r="L220" s="102">
        <v>0.8</v>
      </c>
      <c r="M220" s="102">
        <v>0.8</v>
      </c>
    </row>
    <row r="221" spans="1:13" x14ac:dyDescent="0.25">
      <c r="A221" s="325"/>
      <c r="B221" s="328"/>
      <c r="C221" s="21" t="s">
        <v>29</v>
      </c>
      <c r="D221" s="1" t="s">
        <v>4</v>
      </c>
      <c r="E221" s="102">
        <v>20</v>
      </c>
      <c r="F221" s="102">
        <v>20</v>
      </c>
      <c r="G221" s="102">
        <v>20</v>
      </c>
      <c r="H221" s="102">
        <v>20</v>
      </c>
      <c r="I221" s="102">
        <v>20</v>
      </c>
      <c r="J221" s="102">
        <v>20</v>
      </c>
      <c r="K221" s="102">
        <v>20</v>
      </c>
      <c r="L221" s="102">
        <v>20</v>
      </c>
      <c r="M221" s="102">
        <v>20</v>
      </c>
    </row>
    <row r="222" spans="1:13" x14ac:dyDescent="0.25">
      <c r="A222" s="325"/>
      <c r="B222" s="328"/>
      <c r="C222" s="21" t="s">
        <v>30</v>
      </c>
      <c r="D222" s="1" t="s">
        <v>6</v>
      </c>
      <c r="E222" s="103">
        <v>939.47924488610727</v>
      </c>
      <c r="F222" s="103">
        <v>670.86780042435419</v>
      </c>
      <c r="G222" s="103">
        <v>523.42631254470632</v>
      </c>
      <c r="H222" s="103">
        <v>523.42631254470632</v>
      </c>
      <c r="I222" s="103">
        <v>523.42631254470632</v>
      </c>
      <c r="J222" s="103">
        <v>523.42631254470632</v>
      </c>
      <c r="K222" s="103">
        <v>1136.3124641115969</v>
      </c>
      <c r="L222" s="103">
        <v>988.42533284709032</v>
      </c>
      <c r="M222" s="103">
        <v>868.76381718516643</v>
      </c>
    </row>
    <row r="223" spans="1:13" x14ac:dyDescent="0.25">
      <c r="A223" s="325"/>
      <c r="B223" s="328"/>
      <c r="C223" s="21" t="s">
        <v>174</v>
      </c>
      <c r="D223" s="1" t="s">
        <v>19</v>
      </c>
      <c r="E223" s="104">
        <v>0.35</v>
      </c>
      <c r="F223" s="104">
        <v>0.35</v>
      </c>
      <c r="G223" s="104">
        <v>0.35</v>
      </c>
      <c r="H223" s="104">
        <v>0.35</v>
      </c>
      <c r="I223" s="104">
        <v>0.35</v>
      </c>
      <c r="J223" s="104">
        <v>0.35</v>
      </c>
      <c r="K223" s="104">
        <v>0.35</v>
      </c>
      <c r="L223" s="104">
        <v>0.35</v>
      </c>
      <c r="M223" s="104">
        <v>0.35</v>
      </c>
    </row>
    <row r="224" spans="1:13" x14ac:dyDescent="0.25">
      <c r="A224" s="325"/>
      <c r="B224" s="328"/>
      <c r="C224" s="21" t="s">
        <v>113</v>
      </c>
      <c r="D224" s="1" t="s">
        <v>8</v>
      </c>
      <c r="E224" s="102"/>
      <c r="F224" s="102"/>
      <c r="G224" s="102"/>
      <c r="H224" s="102"/>
      <c r="I224" s="102"/>
      <c r="J224" s="102"/>
      <c r="K224" s="102"/>
      <c r="L224" s="102"/>
      <c r="M224" s="102"/>
    </row>
    <row r="225" spans="1:13" x14ac:dyDescent="0.25">
      <c r="A225" s="325"/>
      <c r="B225" s="328"/>
      <c r="C225" s="21" t="s">
        <v>114</v>
      </c>
      <c r="D225" s="1" t="s">
        <v>9</v>
      </c>
      <c r="E225" s="102"/>
      <c r="F225" s="102"/>
      <c r="G225" s="102"/>
      <c r="H225" s="102"/>
      <c r="I225" s="102"/>
      <c r="J225" s="102"/>
      <c r="K225" s="102"/>
      <c r="L225" s="102"/>
      <c r="M225" s="102"/>
    </row>
    <row r="226" spans="1:13" x14ac:dyDescent="0.25">
      <c r="A226" s="325"/>
      <c r="B226" s="328"/>
      <c r="C226" s="21" t="s">
        <v>115</v>
      </c>
      <c r="D226" s="1" t="s">
        <v>10</v>
      </c>
      <c r="E226" s="103">
        <v>0</v>
      </c>
      <c r="F226" s="103">
        <v>0</v>
      </c>
      <c r="G226" s="103">
        <v>0</v>
      </c>
      <c r="H226" s="103">
        <v>0</v>
      </c>
      <c r="I226" s="103">
        <v>0</v>
      </c>
      <c r="J226" s="103">
        <v>0</v>
      </c>
      <c r="K226" s="103">
        <v>2.1700000000000001E-3</v>
      </c>
      <c r="L226" s="103">
        <v>2.1700000000000001E-3</v>
      </c>
      <c r="M226" s="103">
        <v>2.1700000000000001E-3</v>
      </c>
    </row>
    <row r="227" spans="1:13" ht="18.75" x14ac:dyDescent="0.25">
      <c r="A227" s="325"/>
      <c r="B227" s="328"/>
      <c r="C227" s="22" t="s">
        <v>116</v>
      </c>
      <c r="D227" s="23" t="s">
        <v>17</v>
      </c>
      <c r="E227" s="103">
        <v>0</v>
      </c>
      <c r="F227" s="103">
        <v>0</v>
      </c>
      <c r="G227" s="103">
        <v>0</v>
      </c>
      <c r="H227" s="103">
        <v>0</v>
      </c>
      <c r="I227" s="103">
        <v>0</v>
      </c>
      <c r="J227" s="103">
        <v>0</v>
      </c>
      <c r="K227" s="103">
        <v>0</v>
      </c>
      <c r="L227" s="103">
        <v>0</v>
      </c>
      <c r="M227" s="103">
        <v>0</v>
      </c>
    </row>
    <row r="228" spans="1:13" x14ac:dyDescent="0.25">
      <c r="A228" s="325"/>
      <c r="B228" s="328"/>
      <c r="C228" s="22" t="s">
        <v>31</v>
      </c>
      <c r="D228" s="23" t="s">
        <v>10</v>
      </c>
      <c r="E228" s="103">
        <v>0</v>
      </c>
      <c r="F228" s="103">
        <v>0</v>
      </c>
      <c r="G228" s="103">
        <v>0</v>
      </c>
      <c r="H228" s="103">
        <v>0</v>
      </c>
      <c r="I228" s="103">
        <v>0</v>
      </c>
      <c r="J228" s="103">
        <v>0</v>
      </c>
      <c r="K228" s="103">
        <v>0</v>
      </c>
      <c r="L228" s="103">
        <v>0</v>
      </c>
      <c r="M228" s="103">
        <v>0</v>
      </c>
    </row>
    <row r="229" spans="1:13" x14ac:dyDescent="0.25">
      <c r="A229" s="325"/>
      <c r="B229" s="328"/>
      <c r="C229" s="21" t="s">
        <v>32</v>
      </c>
      <c r="D229" s="2" t="s">
        <v>19</v>
      </c>
      <c r="E229" s="102">
        <v>3.09</v>
      </c>
      <c r="F229" s="102">
        <v>3.09</v>
      </c>
      <c r="G229" s="102">
        <v>3.09</v>
      </c>
      <c r="H229" s="102">
        <v>3.09</v>
      </c>
      <c r="I229" s="102">
        <v>3.09</v>
      </c>
      <c r="J229" s="102">
        <v>3.09</v>
      </c>
      <c r="K229" s="102">
        <v>3.09</v>
      </c>
      <c r="L229" s="102">
        <v>3.09</v>
      </c>
      <c r="M229" s="102">
        <v>3.09</v>
      </c>
    </row>
    <row r="230" spans="1:13" x14ac:dyDescent="0.25">
      <c r="A230" s="325"/>
      <c r="B230" s="328"/>
      <c r="C230" s="21" t="s">
        <v>33</v>
      </c>
      <c r="D230" s="2" t="s">
        <v>14</v>
      </c>
      <c r="E230" s="102"/>
      <c r="F230" s="102"/>
      <c r="G230" s="102"/>
      <c r="H230" s="102"/>
      <c r="I230" s="102"/>
      <c r="J230" s="102"/>
      <c r="K230" s="102"/>
      <c r="L230" s="102"/>
      <c r="M230" s="102"/>
    </row>
    <row r="231" spans="1:13" x14ac:dyDescent="0.25">
      <c r="A231" s="325"/>
      <c r="B231" s="328"/>
      <c r="C231" s="21" t="s">
        <v>34</v>
      </c>
      <c r="D231" s="2" t="s">
        <v>4</v>
      </c>
      <c r="E231" s="102"/>
      <c r="F231" s="102"/>
      <c r="G231" s="102"/>
      <c r="H231" s="102"/>
      <c r="I231" s="102"/>
      <c r="J231" s="102"/>
      <c r="K231" s="102"/>
      <c r="L231" s="102"/>
      <c r="M231" s="102"/>
    </row>
    <row r="232" spans="1:13" x14ac:dyDescent="0.25">
      <c r="A232" s="325"/>
      <c r="B232" s="328"/>
      <c r="C232" s="21" t="s">
        <v>125</v>
      </c>
      <c r="D232" s="1" t="s">
        <v>19</v>
      </c>
      <c r="E232" s="106">
        <v>0.3125</v>
      </c>
      <c r="F232" s="106">
        <v>0.3125</v>
      </c>
      <c r="G232" s="106">
        <v>0.3125</v>
      </c>
      <c r="H232" s="106">
        <v>0.3125</v>
      </c>
      <c r="I232" s="106">
        <v>0.3125</v>
      </c>
      <c r="J232" s="106">
        <v>0.3125</v>
      </c>
      <c r="K232" s="106">
        <v>0.3125</v>
      </c>
      <c r="L232" s="106">
        <v>0.3125</v>
      </c>
      <c r="M232" s="106">
        <v>0.3125</v>
      </c>
    </row>
    <row r="233" spans="1:13" x14ac:dyDescent="0.25">
      <c r="A233" s="325"/>
      <c r="B233" s="328"/>
      <c r="C233" s="21" t="s">
        <v>126</v>
      </c>
      <c r="D233" s="1" t="s">
        <v>19</v>
      </c>
      <c r="E233" s="102">
        <v>0.64</v>
      </c>
      <c r="F233" s="102">
        <v>0.64</v>
      </c>
      <c r="G233" s="102">
        <v>0.64</v>
      </c>
      <c r="H233" s="102">
        <v>0.64</v>
      </c>
      <c r="I233" s="102">
        <v>0.64</v>
      </c>
      <c r="J233" s="102">
        <v>0.64</v>
      </c>
      <c r="K233" s="102">
        <v>0.64</v>
      </c>
      <c r="L233" s="102">
        <v>0.64</v>
      </c>
      <c r="M233" s="102">
        <v>0.64</v>
      </c>
    </row>
    <row r="234" spans="1:13" x14ac:dyDescent="0.25">
      <c r="A234" s="325"/>
      <c r="B234" s="328"/>
      <c r="C234" s="24" t="s">
        <v>127</v>
      </c>
      <c r="D234" s="1" t="s">
        <v>4</v>
      </c>
      <c r="E234" s="102">
        <v>20</v>
      </c>
      <c r="F234" s="102">
        <v>20</v>
      </c>
      <c r="G234" s="102">
        <v>20</v>
      </c>
      <c r="H234" s="102">
        <v>20</v>
      </c>
      <c r="I234" s="102">
        <v>20</v>
      </c>
      <c r="J234" s="102">
        <v>20</v>
      </c>
      <c r="K234" s="102">
        <v>20</v>
      </c>
      <c r="L234" s="102">
        <v>20</v>
      </c>
      <c r="M234" s="102">
        <v>20</v>
      </c>
    </row>
    <row r="235" spans="1:13" x14ac:dyDescent="0.25">
      <c r="A235" s="325"/>
      <c r="B235" s="328"/>
      <c r="C235" s="24" t="s">
        <v>128</v>
      </c>
      <c r="D235" s="1" t="s">
        <v>6</v>
      </c>
      <c r="E235" s="107">
        <v>969.96443035977279</v>
      </c>
      <c r="F235" s="107">
        <v>955.88615085209335</v>
      </c>
      <c r="G235" s="107">
        <v>918.34407216494844</v>
      </c>
      <c r="H235" s="107">
        <v>866.72371397012409</v>
      </c>
      <c r="I235" s="107">
        <v>796.33231643172724</v>
      </c>
      <c r="J235" s="107">
        <v>655.54952135493363</v>
      </c>
      <c r="K235" s="107">
        <v>563.57142857142856</v>
      </c>
      <c r="L235" s="107">
        <v>563.57142857142856</v>
      </c>
      <c r="M235" s="107">
        <v>563.57142857142856</v>
      </c>
    </row>
    <row r="236" spans="1:13" x14ac:dyDescent="0.25">
      <c r="A236" s="325"/>
      <c r="B236" s="328"/>
      <c r="C236" s="24" t="s">
        <v>179</v>
      </c>
      <c r="D236" s="1" t="s">
        <v>19</v>
      </c>
      <c r="E236" s="104">
        <v>0.35</v>
      </c>
      <c r="F236" s="104">
        <v>0.35</v>
      </c>
      <c r="G236" s="104">
        <v>0.35</v>
      </c>
      <c r="H236" s="104">
        <v>0.35</v>
      </c>
      <c r="I236" s="104">
        <v>0.35</v>
      </c>
      <c r="J236" s="104">
        <v>0.35</v>
      </c>
      <c r="K236" s="104">
        <v>0.35</v>
      </c>
      <c r="L236" s="104">
        <v>0.35</v>
      </c>
      <c r="M236" s="104">
        <v>0.35</v>
      </c>
    </row>
    <row r="237" spans="1:13" x14ac:dyDescent="0.25">
      <c r="A237" s="325"/>
      <c r="B237" s="328"/>
      <c r="C237" s="21" t="s">
        <v>129</v>
      </c>
      <c r="D237" s="1" t="s">
        <v>8</v>
      </c>
      <c r="E237" s="103">
        <v>59.884830633284238</v>
      </c>
      <c r="F237" s="103">
        <v>77.502650957290129</v>
      </c>
      <c r="G237" s="103">
        <v>124.48350515463918</v>
      </c>
      <c r="H237" s="103">
        <v>189.0821796759941</v>
      </c>
      <c r="I237" s="103">
        <v>277.17128129602355</v>
      </c>
      <c r="J237" s="103">
        <v>453.34948453608251</v>
      </c>
      <c r="K237" s="103">
        <v>629.52768777614153</v>
      </c>
      <c r="L237" s="103">
        <v>629.52768777614153</v>
      </c>
      <c r="M237" s="103">
        <v>629.52768777614153</v>
      </c>
    </row>
    <row r="238" spans="1:13" x14ac:dyDescent="0.25">
      <c r="A238" s="325"/>
      <c r="B238" s="328"/>
      <c r="C238" s="21" t="s">
        <v>130</v>
      </c>
      <c r="D238" s="1" t="s">
        <v>9</v>
      </c>
      <c r="E238" s="102"/>
      <c r="F238" s="102"/>
      <c r="G238" s="102"/>
      <c r="H238" s="102"/>
      <c r="I238" s="102"/>
      <c r="J238" s="102"/>
      <c r="K238" s="102"/>
      <c r="L238" s="102"/>
      <c r="M238" s="102"/>
    </row>
    <row r="239" spans="1:13" x14ac:dyDescent="0.25">
      <c r="A239" s="325"/>
      <c r="B239" s="328"/>
      <c r="C239" s="21" t="s">
        <v>131</v>
      </c>
      <c r="D239" s="1" t="s">
        <v>10</v>
      </c>
      <c r="E239" s="102"/>
      <c r="F239" s="102"/>
      <c r="G239" s="102"/>
      <c r="H239" s="102"/>
      <c r="I239" s="102"/>
      <c r="J239" s="102"/>
      <c r="K239" s="102"/>
      <c r="L239" s="102"/>
      <c r="M239" s="102"/>
    </row>
    <row r="240" spans="1:13" ht="18.75" x14ac:dyDescent="0.25">
      <c r="A240" s="326"/>
      <c r="B240" s="329"/>
      <c r="C240" s="53" t="s">
        <v>132</v>
      </c>
      <c r="D240" s="23" t="s">
        <v>17</v>
      </c>
      <c r="E240" s="102"/>
      <c r="F240" s="102"/>
      <c r="G240" s="102"/>
      <c r="H240" s="102"/>
      <c r="I240" s="102"/>
      <c r="J240" s="102"/>
      <c r="K240" s="102"/>
      <c r="L240" s="102"/>
      <c r="M240" s="102"/>
    </row>
    <row r="241" spans="1:13" x14ac:dyDescent="0.25">
      <c r="A241" s="324">
        <v>15</v>
      </c>
      <c r="B241" s="327" t="s">
        <v>182</v>
      </c>
      <c r="C241" s="21" t="s">
        <v>112</v>
      </c>
      <c r="D241" s="1" t="s">
        <v>19</v>
      </c>
      <c r="E241" s="106">
        <v>1</v>
      </c>
      <c r="F241" s="106">
        <v>1</v>
      </c>
      <c r="G241" s="106">
        <v>1</v>
      </c>
      <c r="H241" s="106">
        <v>1</v>
      </c>
      <c r="I241" s="106">
        <v>1</v>
      </c>
      <c r="J241" s="106">
        <v>1</v>
      </c>
      <c r="K241" s="106">
        <v>1</v>
      </c>
      <c r="L241" s="106">
        <v>1</v>
      </c>
      <c r="M241" s="106">
        <v>1</v>
      </c>
    </row>
    <row r="242" spans="1:13" x14ac:dyDescent="0.25">
      <c r="A242" s="325"/>
      <c r="B242" s="328"/>
      <c r="C242" s="21" t="s">
        <v>28</v>
      </c>
      <c r="D242" s="1" t="s">
        <v>19</v>
      </c>
      <c r="E242" s="102">
        <v>0.65</v>
      </c>
      <c r="F242" s="102">
        <v>0.65</v>
      </c>
      <c r="G242" s="102">
        <v>0.65</v>
      </c>
      <c r="H242" s="102">
        <v>0.65</v>
      </c>
      <c r="I242" s="102">
        <v>0.65</v>
      </c>
      <c r="J242" s="102">
        <v>0.65</v>
      </c>
      <c r="K242" s="102">
        <v>0.65</v>
      </c>
      <c r="L242" s="102">
        <v>0.65</v>
      </c>
      <c r="M242" s="102">
        <v>0.65</v>
      </c>
    </row>
    <row r="243" spans="1:13" x14ac:dyDescent="0.25">
      <c r="A243" s="325"/>
      <c r="B243" s="328"/>
      <c r="C243" s="21" t="s">
        <v>29</v>
      </c>
      <c r="D243" s="1" t="s">
        <v>4</v>
      </c>
      <c r="E243" s="102">
        <v>20</v>
      </c>
      <c r="F243" s="102">
        <v>20</v>
      </c>
      <c r="G243" s="102">
        <v>20</v>
      </c>
      <c r="H243" s="102">
        <v>20</v>
      </c>
      <c r="I243" s="102">
        <v>20</v>
      </c>
      <c r="J243" s="102">
        <v>20</v>
      </c>
      <c r="K243" s="102">
        <v>20</v>
      </c>
      <c r="L243" s="102">
        <v>20</v>
      </c>
      <c r="M243" s="102">
        <v>20</v>
      </c>
    </row>
    <row r="244" spans="1:13" x14ac:dyDescent="0.25">
      <c r="A244" s="325"/>
      <c r="B244" s="328"/>
      <c r="C244" s="21" t="s">
        <v>30</v>
      </c>
      <c r="D244" s="1" t="s">
        <v>6</v>
      </c>
      <c r="E244" s="103">
        <v>939.47924488610727</v>
      </c>
      <c r="F244" s="103">
        <v>670.86780042435419</v>
      </c>
      <c r="G244" s="103">
        <v>523.42631254470632</v>
      </c>
      <c r="H244" s="103">
        <v>523.42631254470632</v>
      </c>
      <c r="I244" s="103">
        <v>523.42631254470632</v>
      </c>
      <c r="J244" s="103">
        <v>523.42631254470632</v>
      </c>
      <c r="K244" s="103">
        <v>1136.3124641115969</v>
      </c>
      <c r="L244" s="103">
        <v>988.42533284709032</v>
      </c>
      <c r="M244" s="103">
        <v>868.76381718516643</v>
      </c>
    </row>
    <row r="245" spans="1:13" x14ac:dyDescent="0.25">
      <c r="A245" s="325"/>
      <c r="B245" s="328"/>
      <c r="C245" s="21" t="s">
        <v>174</v>
      </c>
      <c r="D245" s="1" t="s">
        <v>19</v>
      </c>
      <c r="E245" s="104">
        <v>0.35</v>
      </c>
      <c r="F245" s="104">
        <v>0.35</v>
      </c>
      <c r="G245" s="104">
        <v>0.35</v>
      </c>
      <c r="H245" s="104">
        <v>0.35</v>
      </c>
      <c r="I245" s="104">
        <v>0.35</v>
      </c>
      <c r="J245" s="104">
        <v>0.35</v>
      </c>
      <c r="K245" s="104">
        <v>0.35</v>
      </c>
      <c r="L245" s="104">
        <v>0.35</v>
      </c>
      <c r="M245" s="104">
        <v>0.35</v>
      </c>
    </row>
    <row r="246" spans="1:13" x14ac:dyDescent="0.25">
      <c r="A246" s="325"/>
      <c r="B246" s="328"/>
      <c r="C246" s="21" t="s">
        <v>113</v>
      </c>
      <c r="D246" s="1" t="s">
        <v>8</v>
      </c>
      <c r="E246" s="102"/>
      <c r="F246" s="102"/>
      <c r="G246" s="102"/>
      <c r="H246" s="102"/>
      <c r="I246" s="102"/>
      <c r="J246" s="102"/>
      <c r="K246" s="102"/>
      <c r="L246" s="102"/>
      <c r="M246" s="102"/>
    </row>
    <row r="247" spans="1:13" x14ac:dyDescent="0.25">
      <c r="A247" s="325"/>
      <c r="B247" s="328"/>
      <c r="C247" s="21" t="s">
        <v>114</v>
      </c>
      <c r="D247" s="1" t="s">
        <v>9</v>
      </c>
      <c r="E247" s="102"/>
      <c r="F247" s="102"/>
      <c r="G247" s="102"/>
      <c r="H247" s="102"/>
      <c r="I247" s="102"/>
      <c r="J247" s="102"/>
      <c r="K247" s="102"/>
      <c r="L247" s="102"/>
      <c r="M247" s="102"/>
    </row>
    <row r="248" spans="1:13" x14ac:dyDescent="0.25">
      <c r="A248" s="325"/>
      <c r="B248" s="328"/>
      <c r="C248" s="21" t="s">
        <v>115</v>
      </c>
      <c r="D248" s="1" t="s">
        <v>10</v>
      </c>
      <c r="E248" s="103">
        <v>0</v>
      </c>
      <c r="F248" s="103">
        <v>0</v>
      </c>
      <c r="G248" s="103">
        <v>0</v>
      </c>
      <c r="H248" s="103">
        <v>0</v>
      </c>
      <c r="I248" s="103">
        <v>0</v>
      </c>
      <c r="J248" s="103">
        <v>0</v>
      </c>
      <c r="K248" s="103">
        <v>2.1700000000000001E-3</v>
      </c>
      <c r="L248" s="103">
        <v>2.1700000000000001E-3</v>
      </c>
      <c r="M248" s="103">
        <v>2.1700000000000001E-3</v>
      </c>
    </row>
    <row r="249" spans="1:13" ht="18.75" x14ac:dyDescent="0.25">
      <c r="A249" s="325"/>
      <c r="B249" s="328"/>
      <c r="C249" s="22" t="s">
        <v>116</v>
      </c>
      <c r="D249" s="23" t="s">
        <v>17</v>
      </c>
      <c r="E249" s="103">
        <v>0</v>
      </c>
      <c r="F249" s="103">
        <v>0</v>
      </c>
      <c r="G249" s="103">
        <v>0</v>
      </c>
      <c r="H249" s="103">
        <v>0</v>
      </c>
      <c r="I249" s="103">
        <v>0</v>
      </c>
      <c r="J249" s="103">
        <v>0</v>
      </c>
      <c r="K249" s="103">
        <v>0</v>
      </c>
      <c r="L249" s="103">
        <v>0</v>
      </c>
      <c r="M249" s="103">
        <v>0</v>
      </c>
    </row>
    <row r="250" spans="1:13" x14ac:dyDescent="0.25">
      <c r="A250" s="325"/>
      <c r="B250" s="328"/>
      <c r="C250" s="22" t="s">
        <v>31</v>
      </c>
      <c r="D250" s="23" t="s">
        <v>10</v>
      </c>
      <c r="E250" s="103">
        <v>0</v>
      </c>
      <c r="F250" s="103">
        <v>0</v>
      </c>
      <c r="G250" s="103">
        <v>0</v>
      </c>
      <c r="H250" s="103">
        <v>0</v>
      </c>
      <c r="I250" s="103">
        <v>0</v>
      </c>
      <c r="J250" s="103">
        <v>0</v>
      </c>
      <c r="K250" s="103">
        <v>0</v>
      </c>
      <c r="L250" s="103">
        <v>0</v>
      </c>
      <c r="M250" s="103">
        <v>0</v>
      </c>
    </row>
    <row r="251" spans="1:13" x14ac:dyDescent="0.25">
      <c r="A251" s="325"/>
      <c r="B251" s="328"/>
      <c r="C251" s="21" t="s">
        <v>32</v>
      </c>
      <c r="D251" s="2" t="s">
        <v>19</v>
      </c>
      <c r="E251" s="102">
        <v>3.09</v>
      </c>
      <c r="F251" s="102">
        <v>3.09</v>
      </c>
      <c r="G251" s="102">
        <v>3.09</v>
      </c>
      <c r="H251" s="102">
        <v>3.09</v>
      </c>
      <c r="I251" s="102">
        <v>3.09</v>
      </c>
      <c r="J251" s="102">
        <v>3.09</v>
      </c>
      <c r="K251" s="102">
        <v>3.09</v>
      </c>
      <c r="L251" s="102">
        <v>3.09</v>
      </c>
      <c r="M251" s="102">
        <v>3.09</v>
      </c>
    </row>
    <row r="252" spans="1:13" x14ac:dyDescent="0.25">
      <c r="A252" s="325"/>
      <c r="B252" s="328"/>
      <c r="C252" s="21" t="s">
        <v>33</v>
      </c>
      <c r="D252" s="2" t="s">
        <v>14</v>
      </c>
      <c r="E252" s="102"/>
      <c r="F252" s="102"/>
      <c r="G252" s="102"/>
      <c r="H252" s="102"/>
      <c r="I252" s="102"/>
      <c r="J252" s="102"/>
      <c r="K252" s="102"/>
      <c r="L252" s="102"/>
      <c r="M252" s="102"/>
    </row>
    <row r="253" spans="1:13" x14ac:dyDescent="0.25">
      <c r="A253" s="325"/>
      <c r="B253" s="328"/>
      <c r="C253" s="21" t="s">
        <v>34</v>
      </c>
      <c r="D253" s="2" t="s">
        <v>4</v>
      </c>
      <c r="E253" s="102"/>
      <c r="F253" s="102"/>
      <c r="G253" s="102"/>
      <c r="H253" s="102"/>
      <c r="I253" s="102"/>
      <c r="J253" s="102"/>
      <c r="K253" s="102"/>
      <c r="L253" s="102"/>
      <c r="M253" s="102"/>
    </row>
    <row r="254" spans="1:13" x14ac:dyDescent="0.25">
      <c r="A254" s="325"/>
      <c r="B254" s="328"/>
      <c r="C254" s="21" t="s">
        <v>125</v>
      </c>
      <c r="D254" s="1" t="s">
        <v>19</v>
      </c>
      <c r="E254" s="106">
        <v>0.546875</v>
      </c>
      <c r="F254" s="106">
        <v>0.546875</v>
      </c>
      <c r="G254" s="106">
        <v>0.54687499999999989</v>
      </c>
      <c r="H254" s="106">
        <v>0.546875</v>
      </c>
      <c r="I254" s="106">
        <v>0.546875</v>
      </c>
      <c r="J254" s="106">
        <v>0.546875</v>
      </c>
      <c r="K254" s="106">
        <v>0.546875</v>
      </c>
      <c r="L254" s="106">
        <v>0.546875</v>
      </c>
      <c r="M254" s="106">
        <v>0.546875</v>
      </c>
    </row>
    <row r="255" spans="1:13" x14ac:dyDescent="0.25">
      <c r="A255" s="325"/>
      <c r="B255" s="328"/>
      <c r="C255" s="21" t="s">
        <v>126</v>
      </c>
      <c r="D255" s="1" t="s">
        <v>19</v>
      </c>
      <c r="E255" s="102">
        <v>0.64</v>
      </c>
      <c r="F255" s="102">
        <v>0.64</v>
      </c>
      <c r="G255" s="102">
        <v>0.64</v>
      </c>
      <c r="H255" s="102">
        <v>0.64</v>
      </c>
      <c r="I255" s="102">
        <v>0.64</v>
      </c>
      <c r="J255" s="102">
        <v>0.64</v>
      </c>
      <c r="K255" s="102">
        <v>0.64</v>
      </c>
      <c r="L255" s="102">
        <v>0.64</v>
      </c>
      <c r="M255" s="102">
        <v>0.64</v>
      </c>
    </row>
    <row r="256" spans="1:13" x14ac:dyDescent="0.25">
      <c r="A256" s="325"/>
      <c r="B256" s="328"/>
      <c r="C256" s="24" t="s">
        <v>127</v>
      </c>
      <c r="D256" s="1" t="s">
        <v>4</v>
      </c>
      <c r="E256" s="102">
        <v>20</v>
      </c>
      <c r="F256" s="102">
        <v>20</v>
      </c>
      <c r="G256" s="102">
        <v>20</v>
      </c>
      <c r="H256" s="102">
        <v>20</v>
      </c>
      <c r="I256" s="102">
        <v>20</v>
      </c>
      <c r="J256" s="102">
        <v>20</v>
      </c>
      <c r="K256" s="102">
        <v>20</v>
      </c>
      <c r="L256" s="102">
        <v>20</v>
      </c>
      <c r="M256" s="102">
        <v>20</v>
      </c>
    </row>
    <row r="257" spans="1:13" x14ac:dyDescent="0.25">
      <c r="A257" s="325"/>
      <c r="B257" s="328"/>
      <c r="C257" s="24" t="s">
        <v>128</v>
      </c>
      <c r="D257" s="1" t="s">
        <v>6</v>
      </c>
      <c r="E257" s="107">
        <v>959.40572072901318</v>
      </c>
      <c r="F257" s="107">
        <v>934.76873159057436</v>
      </c>
      <c r="G257" s="107">
        <v>869.07009388807069</v>
      </c>
      <c r="H257" s="107">
        <v>778.73446704712808</v>
      </c>
      <c r="I257" s="107">
        <v>655.54952135493363</v>
      </c>
      <c r="J257" s="107">
        <v>563.57142857142856</v>
      </c>
      <c r="K257" s="107">
        <v>563.57142857142856</v>
      </c>
      <c r="L257" s="107">
        <v>563.57142857142856</v>
      </c>
      <c r="M257" s="107">
        <v>563.57142857142856</v>
      </c>
    </row>
    <row r="258" spans="1:13" x14ac:dyDescent="0.25">
      <c r="A258" s="325"/>
      <c r="B258" s="328"/>
      <c r="C258" s="24" t="s">
        <v>179</v>
      </c>
      <c r="D258" s="1" t="s">
        <v>19</v>
      </c>
      <c r="E258" s="104">
        <v>0.35</v>
      </c>
      <c r="F258" s="104">
        <v>0.35</v>
      </c>
      <c r="G258" s="104">
        <v>0.35</v>
      </c>
      <c r="H258" s="104">
        <v>0.35</v>
      </c>
      <c r="I258" s="104">
        <v>0.35</v>
      </c>
      <c r="J258" s="104">
        <v>0.35</v>
      </c>
      <c r="K258" s="104">
        <v>0.35</v>
      </c>
      <c r="L258" s="104">
        <v>0.35</v>
      </c>
      <c r="M258" s="104">
        <v>0.35</v>
      </c>
    </row>
    <row r="259" spans="1:13" x14ac:dyDescent="0.25">
      <c r="A259" s="325"/>
      <c r="B259" s="328"/>
      <c r="C259" s="21" t="s">
        <v>129</v>
      </c>
      <c r="D259" s="1" t="s">
        <v>8</v>
      </c>
      <c r="E259" s="103">
        <v>59.884830633284238</v>
      </c>
      <c r="F259" s="103">
        <v>77.502650957290129</v>
      </c>
      <c r="G259" s="103">
        <v>124.48350515463918</v>
      </c>
      <c r="H259" s="103">
        <v>189.0821796759941</v>
      </c>
      <c r="I259" s="103">
        <v>277.17128129602355</v>
      </c>
      <c r="J259" s="103">
        <v>453.34948453608251</v>
      </c>
      <c r="K259" s="103">
        <v>629.52768777614153</v>
      </c>
      <c r="L259" s="103">
        <v>629.52768777614153</v>
      </c>
      <c r="M259" s="103">
        <v>629.52768777614153</v>
      </c>
    </row>
    <row r="260" spans="1:13" x14ac:dyDescent="0.25">
      <c r="A260" s="325"/>
      <c r="B260" s="328"/>
      <c r="C260" s="21" t="s">
        <v>130</v>
      </c>
      <c r="D260" s="1" t="s">
        <v>9</v>
      </c>
      <c r="E260" s="102"/>
      <c r="F260" s="102"/>
      <c r="G260" s="102"/>
      <c r="H260" s="102"/>
      <c r="I260" s="102"/>
      <c r="J260" s="102"/>
      <c r="K260" s="102"/>
      <c r="L260" s="102"/>
      <c r="M260" s="102"/>
    </row>
    <row r="261" spans="1:13" x14ac:dyDescent="0.25">
      <c r="A261" s="325"/>
      <c r="B261" s="328"/>
      <c r="C261" s="21" t="s">
        <v>131</v>
      </c>
      <c r="D261" s="1" t="s">
        <v>10</v>
      </c>
      <c r="E261" s="102"/>
      <c r="F261" s="102"/>
      <c r="G261" s="102"/>
      <c r="H261" s="102"/>
      <c r="I261" s="102"/>
      <c r="J261" s="102"/>
      <c r="K261" s="102"/>
      <c r="L261" s="102"/>
      <c r="M261" s="102"/>
    </row>
    <row r="262" spans="1:13" ht="18.75" x14ac:dyDescent="0.25">
      <c r="A262" s="326"/>
      <c r="B262" s="329"/>
      <c r="C262" s="53" t="s">
        <v>132</v>
      </c>
      <c r="D262" s="23" t="s">
        <v>17</v>
      </c>
      <c r="E262" s="102"/>
      <c r="F262" s="102"/>
      <c r="G262" s="102"/>
      <c r="H262" s="102"/>
      <c r="I262" s="102"/>
      <c r="J262" s="102"/>
      <c r="K262" s="102"/>
      <c r="L262" s="102"/>
      <c r="M262" s="102"/>
    </row>
    <row r="263" spans="1:13" x14ac:dyDescent="0.25">
      <c r="A263" s="306">
        <v>16</v>
      </c>
      <c r="B263" s="323" t="s">
        <v>156</v>
      </c>
      <c r="C263" s="21" t="s">
        <v>101</v>
      </c>
      <c r="D263" s="1" t="s">
        <v>4</v>
      </c>
      <c r="E263" s="102">
        <v>40</v>
      </c>
      <c r="F263" s="102">
        <v>40</v>
      </c>
      <c r="G263" s="102">
        <v>40</v>
      </c>
      <c r="H263" s="102">
        <v>40</v>
      </c>
      <c r="I263" s="102">
        <v>40</v>
      </c>
      <c r="J263" s="102">
        <v>40</v>
      </c>
      <c r="K263" s="102">
        <v>40</v>
      </c>
      <c r="L263" s="102">
        <v>40</v>
      </c>
      <c r="M263" s="102">
        <v>40</v>
      </c>
    </row>
    <row r="264" spans="1:13" x14ac:dyDescent="0.25">
      <c r="A264" s="306"/>
      <c r="B264" s="323"/>
      <c r="C264" s="21" t="s">
        <v>5</v>
      </c>
      <c r="D264" s="1" t="s">
        <v>6</v>
      </c>
      <c r="E264" s="103">
        <v>300</v>
      </c>
      <c r="F264" s="103">
        <v>183.33333333333334</v>
      </c>
      <c r="G264" s="103">
        <v>100</v>
      </c>
      <c r="H264" s="103">
        <v>76</v>
      </c>
      <c r="I264" s="103">
        <v>60</v>
      </c>
      <c r="J264" s="103">
        <v>42.857142857142854</v>
      </c>
      <c r="K264" s="103">
        <v>27.058823529411764</v>
      </c>
      <c r="L264" s="103">
        <v>18.421052631578949</v>
      </c>
      <c r="M264" s="103">
        <v>13.75</v>
      </c>
    </row>
    <row r="265" spans="1:13" x14ac:dyDescent="0.25">
      <c r="A265" s="306"/>
      <c r="B265" s="323"/>
      <c r="C265" s="21" t="s">
        <v>172</v>
      </c>
      <c r="D265" s="1" t="s">
        <v>19</v>
      </c>
      <c r="E265" s="104">
        <v>0.35</v>
      </c>
      <c r="F265" s="104">
        <v>0.35</v>
      </c>
      <c r="G265" s="104">
        <v>0.35</v>
      </c>
      <c r="H265" s="104">
        <v>0.35</v>
      </c>
      <c r="I265" s="104">
        <v>0.35</v>
      </c>
      <c r="J265" s="104">
        <v>0.35</v>
      </c>
      <c r="K265" s="104">
        <v>0.35</v>
      </c>
      <c r="L265" s="104">
        <v>0.35</v>
      </c>
      <c r="M265" s="104">
        <v>0.35</v>
      </c>
    </row>
    <row r="266" spans="1:13" x14ac:dyDescent="0.25">
      <c r="A266" s="306"/>
      <c r="B266" s="323"/>
      <c r="C266" s="21" t="s">
        <v>102</v>
      </c>
      <c r="D266" s="1" t="s">
        <v>8</v>
      </c>
      <c r="E266" s="103">
        <v>0</v>
      </c>
      <c r="F266" s="103">
        <v>0</v>
      </c>
      <c r="G266" s="103">
        <v>0</v>
      </c>
      <c r="H266" s="103">
        <v>0</v>
      </c>
      <c r="I266" s="103">
        <v>0</v>
      </c>
      <c r="J266" s="103">
        <v>0</v>
      </c>
      <c r="K266" s="103">
        <v>0</v>
      </c>
      <c r="L266" s="103">
        <v>0</v>
      </c>
      <c r="M266" s="103">
        <v>0</v>
      </c>
    </row>
    <row r="267" spans="1:13" x14ac:dyDescent="0.25">
      <c r="A267" s="306"/>
      <c r="B267" s="323"/>
      <c r="C267" s="21" t="s">
        <v>103</v>
      </c>
      <c r="D267" s="1" t="s">
        <v>9</v>
      </c>
      <c r="E267" s="102"/>
      <c r="F267" s="102"/>
      <c r="G267" s="102"/>
      <c r="H267" s="102"/>
      <c r="I267" s="102"/>
      <c r="J267" s="102"/>
      <c r="K267" s="102"/>
      <c r="L267" s="102"/>
      <c r="M267" s="102"/>
    </row>
    <row r="268" spans="1:13" x14ac:dyDescent="0.25">
      <c r="A268" s="306"/>
      <c r="B268" s="323"/>
      <c r="C268" s="21" t="s">
        <v>104</v>
      </c>
      <c r="D268" s="1" t="s">
        <v>10</v>
      </c>
      <c r="E268" s="102"/>
      <c r="F268" s="102"/>
      <c r="G268" s="102"/>
      <c r="H268" s="102"/>
      <c r="I268" s="102"/>
      <c r="J268" s="102"/>
      <c r="K268" s="102"/>
      <c r="L268" s="102"/>
      <c r="M268" s="102"/>
    </row>
    <row r="269" spans="1:13" x14ac:dyDescent="0.25">
      <c r="A269" s="306"/>
      <c r="B269" s="323"/>
      <c r="C269" s="22" t="s">
        <v>11</v>
      </c>
      <c r="D269" s="23" t="s">
        <v>10</v>
      </c>
      <c r="E269" s="102"/>
      <c r="F269" s="102"/>
      <c r="G269" s="102"/>
      <c r="H269" s="102"/>
      <c r="I269" s="102"/>
      <c r="J269" s="102"/>
      <c r="K269" s="102"/>
      <c r="L269" s="102"/>
      <c r="M269" s="102"/>
    </row>
    <row r="270" spans="1:13" x14ac:dyDescent="0.25">
      <c r="A270" s="306"/>
      <c r="B270" s="323"/>
      <c r="C270" s="21" t="s">
        <v>12</v>
      </c>
      <c r="D270" s="1" t="s">
        <v>7</v>
      </c>
      <c r="E270" s="104">
        <v>1</v>
      </c>
      <c r="F270" s="104">
        <v>1</v>
      </c>
      <c r="G270" s="104">
        <v>1</v>
      </c>
      <c r="H270" s="104">
        <v>1</v>
      </c>
      <c r="I270" s="104">
        <v>1</v>
      </c>
      <c r="J270" s="104">
        <v>1</v>
      </c>
      <c r="K270" s="104">
        <v>1</v>
      </c>
      <c r="L270" s="104">
        <v>1</v>
      </c>
      <c r="M270" s="104">
        <v>1</v>
      </c>
    </row>
    <row r="271" spans="1:13" x14ac:dyDescent="0.25">
      <c r="A271" s="306"/>
      <c r="B271" s="323"/>
      <c r="C271" s="21" t="s">
        <v>13</v>
      </c>
      <c r="D271" s="1" t="s">
        <v>14</v>
      </c>
      <c r="E271" s="103">
        <v>20161.05</v>
      </c>
      <c r="F271" s="103">
        <v>20736.3</v>
      </c>
      <c r="G271" s="103">
        <v>22270.3</v>
      </c>
      <c r="H271" s="103">
        <v>24379.55</v>
      </c>
      <c r="I271" s="103">
        <v>27255.8</v>
      </c>
      <c r="J271" s="103">
        <v>33008.300000000003</v>
      </c>
      <c r="K271" s="103">
        <v>52183.3</v>
      </c>
      <c r="L271" s="103">
        <v>98768.8</v>
      </c>
      <c r="M271" s="103">
        <v>190105.68460000001</v>
      </c>
    </row>
    <row r="272" spans="1:13" x14ac:dyDescent="0.25">
      <c r="A272" s="306"/>
      <c r="B272" s="323"/>
      <c r="C272" s="21" t="s">
        <v>15</v>
      </c>
      <c r="D272" s="1" t="s">
        <v>4</v>
      </c>
      <c r="E272" s="102">
        <v>40</v>
      </c>
      <c r="F272" s="102">
        <v>40</v>
      </c>
      <c r="G272" s="102">
        <v>40</v>
      </c>
      <c r="H272" s="102">
        <v>40</v>
      </c>
      <c r="I272" s="102">
        <v>40</v>
      </c>
      <c r="J272" s="102">
        <v>40</v>
      </c>
      <c r="K272" s="102">
        <v>40</v>
      </c>
      <c r="L272" s="102">
        <v>40</v>
      </c>
      <c r="M272" s="102">
        <v>40</v>
      </c>
    </row>
    <row r="273" spans="1:13" x14ac:dyDescent="0.25">
      <c r="A273" s="306">
        <v>17</v>
      </c>
      <c r="B273" s="323" t="s">
        <v>157</v>
      </c>
      <c r="C273" s="21" t="s">
        <v>101</v>
      </c>
      <c r="D273" s="1" t="s">
        <v>4</v>
      </c>
      <c r="E273" s="102">
        <v>40</v>
      </c>
      <c r="F273" s="102">
        <v>40</v>
      </c>
      <c r="G273" s="102">
        <v>40</v>
      </c>
      <c r="H273" s="102">
        <v>40</v>
      </c>
      <c r="I273" s="102">
        <v>40</v>
      </c>
      <c r="J273" s="102">
        <v>40</v>
      </c>
      <c r="K273" s="102">
        <v>40</v>
      </c>
      <c r="L273" s="102">
        <v>40</v>
      </c>
      <c r="M273" s="102">
        <v>40</v>
      </c>
    </row>
    <row r="274" spans="1:13" x14ac:dyDescent="0.25">
      <c r="A274" s="306"/>
      <c r="B274" s="323"/>
      <c r="C274" s="21" t="s">
        <v>5</v>
      </c>
      <c r="D274" s="1" t="s">
        <v>6</v>
      </c>
      <c r="E274" s="102"/>
      <c r="F274" s="102"/>
      <c r="G274" s="102"/>
      <c r="H274" s="102"/>
      <c r="I274" s="102"/>
      <c r="J274" s="102"/>
      <c r="K274" s="102"/>
      <c r="L274" s="102"/>
      <c r="M274" s="102"/>
    </row>
    <row r="275" spans="1:13" x14ac:dyDescent="0.25">
      <c r="A275" s="306"/>
      <c r="B275" s="323"/>
      <c r="C275" s="21" t="s">
        <v>172</v>
      </c>
      <c r="D275" s="1" t="s">
        <v>19</v>
      </c>
      <c r="E275" s="104">
        <v>0.35</v>
      </c>
      <c r="F275" s="104">
        <v>0.35</v>
      </c>
      <c r="G275" s="104">
        <v>0.35</v>
      </c>
      <c r="H275" s="104">
        <v>0.35</v>
      </c>
      <c r="I275" s="104">
        <v>0.35</v>
      </c>
      <c r="J275" s="104">
        <v>0.35</v>
      </c>
      <c r="K275" s="104">
        <v>0.35</v>
      </c>
      <c r="L275" s="104">
        <v>0.35</v>
      </c>
      <c r="M275" s="104">
        <v>0.35</v>
      </c>
    </row>
    <row r="276" spans="1:13" x14ac:dyDescent="0.25">
      <c r="A276" s="306"/>
      <c r="B276" s="323"/>
      <c r="C276" s="21" t="s">
        <v>102</v>
      </c>
      <c r="D276" s="1" t="s">
        <v>8</v>
      </c>
      <c r="E276" s="103">
        <v>0</v>
      </c>
      <c r="F276" s="103">
        <v>0</v>
      </c>
      <c r="G276" s="103">
        <v>0</v>
      </c>
      <c r="H276" s="103">
        <v>0</v>
      </c>
      <c r="I276" s="103">
        <v>0</v>
      </c>
      <c r="J276" s="103">
        <v>0</v>
      </c>
      <c r="K276" s="103">
        <v>0</v>
      </c>
      <c r="L276" s="103">
        <v>0</v>
      </c>
      <c r="M276" s="103">
        <v>0</v>
      </c>
    </row>
    <row r="277" spans="1:13" x14ac:dyDescent="0.25">
      <c r="A277" s="306"/>
      <c r="B277" s="323"/>
      <c r="C277" s="21" t="s">
        <v>103</v>
      </c>
      <c r="D277" s="1" t="s">
        <v>9</v>
      </c>
      <c r="E277" s="102"/>
      <c r="F277" s="102"/>
      <c r="G277" s="102"/>
      <c r="H277" s="102"/>
      <c r="I277" s="102"/>
      <c r="J277" s="102"/>
      <c r="K277" s="102"/>
      <c r="L277" s="102"/>
      <c r="M277" s="102"/>
    </row>
    <row r="278" spans="1:13" x14ac:dyDescent="0.25">
      <c r="A278" s="306"/>
      <c r="B278" s="323"/>
      <c r="C278" s="21" t="s">
        <v>104</v>
      </c>
      <c r="D278" s="1" t="s">
        <v>10</v>
      </c>
      <c r="E278" s="102"/>
      <c r="F278" s="102"/>
      <c r="G278" s="102"/>
      <c r="H278" s="102"/>
      <c r="I278" s="102"/>
      <c r="J278" s="102"/>
      <c r="K278" s="102"/>
      <c r="L278" s="102"/>
      <c r="M278" s="102"/>
    </row>
    <row r="279" spans="1:13" x14ac:dyDescent="0.25">
      <c r="A279" s="306"/>
      <c r="B279" s="323"/>
      <c r="C279" s="22" t="s">
        <v>11</v>
      </c>
      <c r="D279" s="23" t="s">
        <v>10</v>
      </c>
      <c r="E279" s="102"/>
      <c r="F279" s="102"/>
      <c r="G279" s="102"/>
      <c r="H279" s="102"/>
      <c r="I279" s="102"/>
      <c r="J279" s="102"/>
      <c r="K279" s="102"/>
      <c r="L279" s="102"/>
      <c r="M279" s="102"/>
    </row>
    <row r="280" spans="1:13" x14ac:dyDescent="0.25">
      <c r="A280" s="306"/>
      <c r="B280" s="323"/>
      <c r="C280" s="21" t="s">
        <v>12</v>
      </c>
      <c r="D280" s="1" t="s">
        <v>7</v>
      </c>
      <c r="E280" s="104">
        <v>1</v>
      </c>
      <c r="F280" s="104">
        <v>1</v>
      </c>
      <c r="G280" s="104">
        <v>1</v>
      </c>
      <c r="H280" s="104">
        <v>1</v>
      </c>
      <c r="I280" s="104">
        <v>1</v>
      </c>
      <c r="J280" s="104">
        <v>1</v>
      </c>
      <c r="K280" s="104">
        <v>1</v>
      </c>
      <c r="L280" s="104">
        <v>1</v>
      </c>
      <c r="M280" s="104">
        <v>1</v>
      </c>
    </row>
    <row r="281" spans="1:13" x14ac:dyDescent="0.25">
      <c r="A281" s="306"/>
      <c r="B281" s="323"/>
      <c r="C281" s="21" t="s">
        <v>13</v>
      </c>
      <c r="D281" s="1" t="s">
        <v>14</v>
      </c>
      <c r="E281" s="103">
        <v>59966.789999999994</v>
      </c>
      <c r="F281" s="103">
        <v>60249.539999999994</v>
      </c>
      <c r="G281" s="103">
        <v>61003.539999999994</v>
      </c>
      <c r="H281" s="103">
        <v>62040.289999999994</v>
      </c>
      <c r="I281" s="103">
        <v>63454.039999999994</v>
      </c>
      <c r="J281" s="103">
        <v>66281.539999999994</v>
      </c>
      <c r="K281" s="103">
        <v>75706.539999999994</v>
      </c>
      <c r="L281" s="103">
        <v>95499.04</v>
      </c>
      <c r="M281" s="103">
        <v>135084.03999999998</v>
      </c>
    </row>
    <row r="282" spans="1:13" x14ac:dyDescent="0.25">
      <c r="A282" s="306"/>
      <c r="B282" s="323"/>
      <c r="C282" s="21" t="s">
        <v>15</v>
      </c>
      <c r="D282" s="1" t="s">
        <v>4</v>
      </c>
      <c r="E282" s="103">
        <v>40</v>
      </c>
      <c r="F282" s="103">
        <v>40</v>
      </c>
      <c r="G282" s="103">
        <v>40</v>
      </c>
      <c r="H282" s="103">
        <v>40</v>
      </c>
      <c r="I282" s="103">
        <v>40</v>
      </c>
      <c r="J282" s="103">
        <v>40</v>
      </c>
      <c r="K282" s="103">
        <v>40</v>
      </c>
      <c r="L282" s="103">
        <v>40</v>
      </c>
      <c r="M282" s="103">
        <v>40</v>
      </c>
    </row>
  </sheetData>
  <sheetProtection algorithmName="SHA-512" hashValue="Jj+Wiy9mvzi2TvrnLvHCTf8HeFZt9o2xks3Ji0xyBJTXaACzkDZ4A7ITuJOjcbtivw/cZ1D706SGl61ATQLTBw==" saltValue="H8I0DEVCBRD+qgzII8h+sQ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4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activeCell="F28" sqref="F28"/>
      <selection pane="bottomLeft" activeCell="C1" sqref="C1"/>
    </sheetView>
  </sheetViews>
  <sheetFormatPr baseColWidth="10" defaultColWidth="10.85546875" defaultRowHeight="15" x14ac:dyDescent="0.25"/>
  <cols>
    <col min="1" max="1" width="4.7109375" style="30" customWidth="1"/>
    <col min="2" max="2" width="20.140625" style="30" bestFit="1" customWidth="1"/>
    <col min="3" max="3" width="45.42578125" style="26" customWidth="1"/>
    <col min="4" max="4" width="12.140625" style="27" customWidth="1"/>
    <col min="5" max="12" width="12.28515625" style="54" bestFit="1" customWidth="1"/>
    <col min="13" max="13" width="13.42578125" style="54" bestFit="1" customWidth="1"/>
    <col min="14" max="14" width="15" style="30" customWidth="1"/>
    <col min="15" max="16384" width="10.85546875" style="30"/>
  </cols>
  <sheetData>
    <row r="1" spans="1:14" ht="15.75" x14ac:dyDescent="0.25">
      <c r="A1" s="40"/>
      <c r="B1" s="41" t="s">
        <v>0</v>
      </c>
      <c r="C1" s="28" t="s">
        <v>1</v>
      </c>
      <c r="D1" s="29" t="s">
        <v>2</v>
      </c>
      <c r="E1" s="108">
        <v>15</v>
      </c>
      <c r="F1" s="109">
        <v>30</v>
      </c>
      <c r="G1" s="109">
        <v>70</v>
      </c>
      <c r="H1" s="109">
        <v>125</v>
      </c>
      <c r="I1" s="109">
        <v>200</v>
      </c>
      <c r="J1" s="109">
        <v>350</v>
      </c>
      <c r="K1" s="109">
        <v>850</v>
      </c>
      <c r="L1" s="109">
        <v>1900</v>
      </c>
      <c r="M1" s="109">
        <v>4000</v>
      </c>
    </row>
    <row r="2" spans="1:14" x14ac:dyDescent="0.25">
      <c r="A2" s="306">
        <v>1</v>
      </c>
      <c r="B2" s="322" t="s">
        <v>3</v>
      </c>
      <c r="C2" s="21" t="s">
        <v>101</v>
      </c>
      <c r="D2" s="1" t="s">
        <v>4</v>
      </c>
      <c r="E2" s="102">
        <v>20</v>
      </c>
      <c r="F2" s="102">
        <v>20</v>
      </c>
      <c r="G2" s="102">
        <v>20</v>
      </c>
      <c r="H2" s="102">
        <v>20</v>
      </c>
      <c r="I2" s="102">
        <v>20</v>
      </c>
      <c r="J2" s="102">
        <v>20</v>
      </c>
      <c r="K2" s="102">
        <v>20</v>
      </c>
      <c r="L2" s="102">
        <v>20</v>
      </c>
      <c r="M2" s="102">
        <v>20</v>
      </c>
      <c r="N2" s="45"/>
    </row>
    <row r="3" spans="1:14" x14ac:dyDescent="0.25">
      <c r="A3" s="306"/>
      <c r="B3" s="322"/>
      <c r="C3" s="21" t="s">
        <v>5</v>
      </c>
      <c r="D3" s="1" t="s">
        <v>6</v>
      </c>
      <c r="E3" s="103">
        <v>212.90273464055423</v>
      </c>
      <c r="F3" s="103">
        <v>180.29847756137553</v>
      </c>
      <c r="G3" s="103">
        <v>140.44328080448224</v>
      </c>
      <c r="H3" s="103">
        <v>113.16977842477434</v>
      </c>
      <c r="I3" s="103">
        <v>107.31263157894738</v>
      </c>
      <c r="J3" s="103">
        <v>107.00631578947369</v>
      </c>
      <c r="K3" s="103">
        <v>105.98526315789475</v>
      </c>
      <c r="L3" s="103">
        <v>103.84105263157896</v>
      </c>
      <c r="M3" s="103">
        <v>99.55263157894737</v>
      </c>
      <c r="N3" s="45"/>
    </row>
    <row r="4" spans="1:14" x14ac:dyDescent="0.25">
      <c r="A4" s="306"/>
      <c r="B4" s="322"/>
      <c r="C4" s="21" t="s">
        <v>172</v>
      </c>
      <c r="D4" s="1" t="s">
        <v>19</v>
      </c>
      <c r="E4" s="104">
        <v>0</v>
      </c>
      <c r="F4" s="104">
        <v>0</v>
      </c>
      <c r="G4" s="104">
        <v>0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45"/>
    </row>
    <row r="5" spans="1:14" x14ac:dyDescent="0.25">
      <c r="A5" s="306"/>
      <c r="B5" s="322"/>
      <c r="C5" s="21" t="s">
        <v>102</v>
      </c>
      <c r="D5" s="1" t="s">
        <v>8</v>
      </c>
      <c r="E5" s="102"/>
      <c r="F5" s="102"/>
      <c r="G5" s="102"/>
      <c r="H5" s="102"/>
      <c r="I5" s="102"/>
      <c r="J5" s="102"/>
      <c r="K5" s="102"/>
      <c r="L5" s="102"/>
      <c r="M5" s="102"/>
      <c r="N5" s="45"/>
    </row>
    <row r="6" spans="1:14" x14ac:dyDescent="0.25">
      <c r="A6" s="306"/>
      <c r="B6" s="322"/>
      <c r="C6" s="21" t="s">
        <v>103</v>
      </c>
      <c r="D6" s="1" t="s">
        <v>9</v>
      </c>
      <c r="E6" s="103">
        <v>6.3870820392166268</v>
      </c>
      <c r="F6" s="103">
        <v>5.4089543268412656</v>
      </c>
      <c r="G6" s="103">
        <v>4.2132984241344671</v>
      </c>
      <c r="H6" s="103">
        <v>3.3950933527432299</v>
      </c>
      <c r="I6" s="103">
        <v>2.0378947368421052</v>
      </c>
      <c r="J6" s="103">
        <v>2.0189473684210526</v>
      </c>
      <c r="K6" s="103">
        <v>1.9557894736842103</v>
      </c>
      <c r="L6" s="103">
        <v>1.8231578947368419</v>
      </c>
      <c r="M6" s="103">
        <v>1.557894736842105</v>
      </c>
      <c r="N6" s="45"/>
    </row>
    <row r="7" spans="1:14" x14ac:dyDescent="0.25">
      <c r="A7" s="306"/>
      <c r="B7" s="322"/>
      <c r="C7" s="21" t="s">
        <v>104</v>
      </c>
      <c r="D7" s="1" t="s">
        <v>10</v>
      </c>
      <c r="E7" s="103">
        <v>0</v>
      </c>
      <c r="F7" s="103">
        <v>0</v>
      </c>
      <c r="G7" s="103">
        <v>0</v>
      </c>
      <c r="H7" s="103">
        <v>0</v>
      </c>
      <c r="I7" s="103">
        <v>0</v>
      </c>
      <c r="J7" s="103">
        <v>0</v>
      </c>
      <c r="K7" s="103">
        <v>1.6357894736842103E-3</v>
      </c>
      <c r="L7" s="103">
        <v>1.5031578947368419E-3</v>
      </c>
      <c r="M7" s="103">
        <v>1.2378947368421051E-3</v>
      </c>
      <c r="N7" s="45"/>
    </row>
    <row r="8" spans="1:14" x14ac:dyDescent="0.25">
      <c r="A8" s="306"/>
      <c r="B8" s="322"/>
      <c r="C8" s="22" t="s">
        <v>11</v>
      </c>
      <c r="D8" s="23" t="s">
        <v>10</v>
      </c>
      <c r="E8" s="103">
        <v>0</v>
      </c>
      <c r="F8" s="102"/>
      <c r="G8" s="102"/>
      <c r="H8" s="102"/>
      <c r="I8" s="102"/>
      <c r="J8" s="102"/>
      <c r="K8" s="102"/>
      <c r="L8" s="102"/>
      <c r="M8" s="102"/>
      <c r="N8" s="45"/>
    </row>
    <row r="9" spans="1:14" x14ac:dyDescent="0.25">
      <c r="A9" s="306"/>
      <c r="B9" s="322"/>
      <c r="C9" s="21" t="s">
        <v>12</v>
      </c>
      <c r="D9" s="1" t="s">
        <v>7</v>
      </c>
      <c r="E9" s="104">
        <v>0.96599999999999986</v>
      </c>
      <c r="F9" s="104">
        <v>0.96599999999999986</v>
      </c>
      <c r="G9" s="104">
        <v>0.96599999999999986</v>
      </c>
      <c r="H9" s="104">
        <v>0.96599999999999986</v>
      </c>
      <c r="I9" s="104">
        <v>0.96599999999999986</v>
      </c>
      <c r="J9" s="104">
        <v>0.96599999999999986</v>
      </c>
      <c r="K9" s="104">
        <v>0.99</v>
      </c>
      <c r="L9" s="104">
        <v>0.99</v>
      </c>
      <c r="M9" s="104">
        <v>0.99</v>
      </c>
      <c r="N9" s="45"/>
    </row>
    <row r="10" spans="1:14" x14ac:dyDescent="0.25">
      <c r="A10" s="306"/>
      <c r="B10" s="322"/>
      <c r="C10" s="21" t="s">
        <v>13</v>
      </c>
      <c r="D10" s="1" t="s">
        <v>14</v>
      </c>
      <c r="E10" s="103">
        <v>1524.6</v>
      </c>
      <c r="F10" s="103">
        <v>1749.6</v>
      </c>
      <c r="G10" s="103">
        <v>2349.6</v>
      </c>
      <c r="H10" s="103">
        <v>3174.6</v>
      </c>
      <c r="I10" s="103">
        <v>4299.6000000000004</v>
      </c>
      <c r="J10" s="103">
        <v>14213</v>
      </c>
      <c r="K10" s="103">
        <v>21713</v>
      </c>
      <c r="L10" s="103">
        <v>37463</v>
      </c>
      <c r="M10" s="103">
        <v>68963</v>
      </c>
      <c r="N10" s="45"/>
    </row>
    <row r="11" spans="1:14" x14ac:dyDescent="0.25">
      <c r="A11" s="306"/>
      <c r="B11" s="322"/>
      <c r="C11" s="21" t="s">
        <v>15</v>
      </c>
      <c r="D11" s="1" t="s">
        <v>4</v>
      </c>
      <c r="E11" s="102">
        <v>40</v>
      </c>
      <c r="F11" s="102">
        <v>40</v>
      </c>
      <c r="G11" s="102">
        <v>40</v>
      </c>
      <c r="H11" s="102">
        <v>40</v>
      </c>
      <c r="I11" s="102">
        <v>40</v>
      </c>
      <c r="J11" s="102">
        <v>40</v>
      </c>
      <c r="K11" s="102">
        <v>40</v>
      </c>
      <c r="L11" s="102">
        <v>40</v>
      </c>
      <c r="M11" s="102">
        <v>40</v>
      </c>
      <c r="N11" s="45"/>
    </row>
    <row r="12" spans="1:14" x14ac:dyDescent="0.25">
      <c r="A12" s="306">
        <v>2</v>
      </c>
      <c r="B12" s="322" t="s">
        <v>16</v>
      </c>
      <c r="C12" s="21" t="s">
        <v>101</v>
      </c>
      <c r="D12" s="1" t="s">
        <v>4</v>
      </c>
      <c r="E12" s="102">
        <v>20</v>
      </c>
      <c r="F12" s="102">
        <v>20</v>
      </c>
      <c r="G12" s="102">
        <v>20</v>
      </c>
      <c r="H12" s="102">
        <v>20</v>
      </c>
      <c r="I12" s="102">
        <v>20</v>
      </c>
      <c r="J12" s="102">
        <v>20</v>
      </c>
      <c r="K12" s="102">
        <v>20</v>
      </c>
      <c r="L12" s="102">
        <v>20</v>
      </c>
      <c r="M12" s="102">
        <v>20</v>
      </c>
      <c r="N12" s="45"/>
    </row>
    <row r="13" spans="1:14" x14ac:dyDescent="0.25">
      <c r="A13" s="306"/>
      <c r="B13" s="322"/>
      <c r="C13" s="21" t="s">
        <v>5</v>
      </c>
      <c r="D13" s="1" t="s">
        <v>6</v>
      </c>
      <c r="E13" s="103">
        <v>546.16621384855091</v>
      </c>
      <c r="F13" s="103">
        <v>344.85151773440816</v>
      </c>
      <c r="G13" s="103">
        <v>196.57546506841882</v>
      </c>
      <c r="H13" s="103">
        <v>133.8092461921685</v>
      </c>
      <c r="I13" s="103">
        <v>116.6</v>
      </c>
      <c r="J13" s="103">
        <v>116.6</v>
      </c>
      <c r="K13" s="103">
        <v>183.58935144726829</v>
      </c>
      <c r="L13" s="103">
        <v>266.9570997947219</v>
      </c>
      <c r="M13" s="103">
        <v>433.69259648962918</v>
      </c>
      <c r="N13" s="45"/>
    </row>
    <row r="14" spans="1:14" x14ac:dyDescent="0.25">
      <c r="A14" s="306"/>
      <c r="B14" s="322"/>
      <c r="C14" s="21" t="s">
        <v>172</v>
      </c>
      <c r="D14" s="1" t="s">
        <v>19</v>
      </c>
      <c r="E14" s="104">
        <v>0</v>
      </c>
      <c r="F14" s="104">
        <v>0</v>
      </c>
      <c r="G14" s="104">
        <v>0</v>
      </c>
      <c r="H14" s="104">
        <v>0</v>
      </c>
      <c r="I14" s="104">
        <v>0</v>
      </c>
      <c r="J14" s="104">
        <v>0</v>
      </c>
      <c r="K14" s="104">
        <v>0</v>
      </c>
      <c r="L14" s="104">
        <v>0</v>
      </c>
      <c r="M14" s="104">
        <v>0</v>
      </c>
      <c r="N14" s="45"/>
    </row>
    <row r="15" spans="1:14" x14ac:dyDescent="0.25">
      <c r="A15" s="306"/>
      <c r="B15" s="322"/>
      <c r="C15" s="21" t="s">
        <v>102</v>
      </c>
      <c r="D15" s="1" t="s">
        <v>8</v>
      </c>
      <c r="E15" s="102"/>
      <c r="F15" s="102"/>
      <c r="G15" s="102"/>
      <c r="H15" s="102"/>
      <c r="I15" s="102"/>
      <c r="J15" s="102"/>
      <c r="K15" s="102"/>
      <c r="L15" s="102"/>
      <c r="M15" s="102"/>
      <c r="N15" s="45"/>
    </row>
    <row r="16" spans="1:14" x14ac:dyDescent="0.25">
      <c r="A16" s="306"/>
      <c r="B16" s="322"/>
      <c r="C16" s="21" t="s">
        <v>103</v>
      </c>
      <c r="D16" s="1" t="s">
        <v>9</v>
      </c>
      <c r="E16" s="103">
        <v>32.769972830913019</v>
      </c>
      <c r="F16" s="103">
        <v>20.691091064064466</v>
      </c>
      <c r="G16" s="103">
        <v>11.79452790410512</v>
      </c>
      <c r="H16" s="103">
        <v>8.0285547715301089</v>
      </c>
      <c r="I16" s="103">
        <v>7.5737355939785713</v>
      </c>
      <c r="J16" s="103">
        <v>7.5737355939785713</v>
      </c>
      <c r="K16" s="103">
        <v>7.1924080591053237</v>
      </c>
      <c r="L16" s="103">
        <v>6.5764174258485379</v>
      </c>
      <c r="M16" s="103">
        <v>5.3444361593349683</v>
      </c>
      <c r="N16" s="45"/>
    </row>
    <row r="17" spans="1:14" x14ac:dyDescent="0.25">
      <c r="A17" s="306"/>
      <c r="B17" s="322"/>
      <c r="C17" s="21" t="s">
        <v>104</v>
      </c>
      <c r="D17" s="1" t="s">
        <v>10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2.1041043506444756E-3</v>
      </c>
      <c r="L17" s="103">
        <v>2.1041043506444756E-3</v>
      </c>
      <c r="M17" s="103">
        <v>2.1041043506444756E-3</v>
      </c>
      <c r="N17" s="45"/>
    </row>
    <row r="18" spans="1:14" x14ac:dyDescent="0.25">
      <c r="A18" s="306"/>
      <c r="B18" s="322"/>
      <c r="C18" s="22" t="s">
        <v>11</v>
      </c>
      <c r="D18" s="23" t="s">
        <v>10</v>
      </c>
      <c r="E18" s="103">
        <v>0</v>
      </c>
      <c r="F18" s="103">
        <v>0</v>
      </c>
      <c r="G18" s="103">
        <v>0</v>
      </c>
      <c r="H18" s="103">
        <v>0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45"/>
    </row>
    <row r="19" spans="1:14" x14ac:dyDescent="0.25">
      <c r="A19" s="306"/>
      <c r="B19" s="322"/>
      <c r="C19" s="21" t="s">
        <v>12</v>
      </c>
      <c r="D19" s="1" t="s">
        <v>7</v>
      </c>
      <c r="E19" s="104">
        <v>0.76000000000000023</v>
      </c>
      <c r="F19" s="104">
        <v>0.76000000000000023</v>
      </c>
      <c r="G19" s="104">
        <v>0.76000000000000023</v>
      </c>
      <c r="H19" s="104">
        <v>0.76000000000000023</v>
      </c>
      <c r="I19" s="104">
        <v>0.76000000000000023</v>
      </c>
      <c r="J19" s="104">
        <v>0.76000000000000023</v>
      </c>
      <c r="K19" s="104">
        <v>0.76000000000000023</v>
      </c>
      <c r="L19" s="104">
        <v>0.95733333333333326</v>
      </c>
      <c r="M19" s="104">
        <v>0.95733333333333326</v>
      </c>
      <c r="N19" s="45"/>
    </row>
    <row r="20" spans="1:14" x14ac:dyDescent="0.25">
      <c r="A20" s="306"/>
      <c r="B20" s="322"/>
      <c r="C20" s="21" t="s">
        <v>13</v>
      </c>
      <c r="D20" s="1" t="s">
        <v>14</v>
      </c>
      <c r="E20" s="102"/>
      <c r="F20" s="102"/>
      <c r="G20" s="102"/>
      <c r="H20" s="102"/>
      <c r="I20" s="102"/>
      <c r="J20" s="102"/>
      <c r="K20" s="102"/>
      <c r="L20" s="102"/>
      <c r="M20" s="102"/>
      <c r="N20" s="45"/>
    </row>
    <row r="21" spans="1:14" x14ac:dyDescent="0.25">
      <c r="A21" s="306"/>
      <c r="B21" s="322"/>
      <c r="C21" s="21" t="s">
        <v>15</v>
      </c>
      <c r="D21" s="1" t="s">
        <v>4</v>
      </c>
      <c r="E21" s="102"/>
      <c r="F21" s="102"/>
      <c r="G21" s="102"/>
      <c r="H21" s="102"/>
      <c r="I21" s="102"/>
      <c r="J21" s="102"/>
      <c r="K21" s="102"/>
      <c r="L21" s="102"/>
      <c r="M21" s="102"/>
      <c r="N21" s="45"/>
    </row>
    <row r="22" spans="1:14" ht="14.45" customHeight="1" x14ac:dyDescent="0.25">
      <c r="A22" s="306">
        <v>3</v>
      </c>
      <c r="B22" s="323" t="s">
        <v>144</v>
      </c>
      <c r="C22" s="21" t="s">
        <v>101</v>
      </c>
      <c r="D22" s="1" t="s">
        <v>4</v>
      </c>
      <c r="E22" s="102">
        <v>20</v>
      </c>
      <c r="F22" s="102">
        <v>20</v>
      </c>
      <c r="G22" s="102">
        <v>20</v>
      </c>
      <c r="H22" s="102">
        <v>20</v>
      </c>
      <c r="I22" s="102">
        <v>20</v>
      </c>
      <c r="J22" s="102">
        <v>20</v>
      </c>
      <c r="K22" s="102">
        <v>20</v>
      </c>
      <c r="L22" s="102">
        <v>20</v>
      </c>
      <c r="M22" s="102">
        <v>20</v>
      </c>
      <c r="N22" s="45"/>
    </row>
    <row r="23" spans="1:14" x14ac:dyDescent="0.25">
      <c r="A23" s="306"/>
      <c r="B23" s="323"/>
      <c r="C23" s="21" t="s">
        <v>5</v>
      </c>
      <c r="D23" s="1" t="s">
        <v>6</v>
      </c>
      <c r="E23" s="103">
        <v>865.6981523557846</v>
      </c>
      <c r="F23" s="103">
        <v>618.18184751144668</v>
      </c>
      <c r="G23" s="103">
        <v>482.31953407260886</v>
      </c>
      <c r="H23" s="103">
        <v>482.31953407260886</v>
      </c>
      <c r="I23" s="103">
        <v>482.31953407260886</v>
      </c>
      <c r="J23" s="103">
        <v>482.31953407260886</v>
      </c>
      <c r="K23" s="103">
        <v>1136.3124641115969</v>
      </c>
      <c r="L23" s="103">
        <v>988.42533284709032</v>
      </c>
      <c r="M23" s="103">
        <v>868.76381718516643</v>
      </c>
      <c r="N23" s="45"/>
    </row>
    <row r="24" spans="1:14" x14ac:dyDescent="0.25">
      <c r="A24" s="306"/>
      <c r="B24" s="323"/>
      <c r="C24" s="21" t="s">
        <v>172</v>
      </c>
      <c r="D24" s="1" t="s">
        <v>19</v>
      </c>
      <c r="E24" s="104">
        <v>0.35</v>
      </c>
      <c r="F24" s="104">
        <v>0.35</v>
      </c>
      <c r="G24" s="104">
        <v>0.35</v>
      </c>
      <c r="H24" s="104">
        <v>0.35</v>
      </c>
      <c r="I24" s="104">
        <v>0.35</v>
      </c>
      <c r="J24" s="104">
        <v>0.35</v>
      </c>
      <c r="K24" s="104">
        <v>0.35</v>
      </c>
      <c r="L24" s="104">
        <v>0.35</v>
      </c>
      <c r="M24" s="104">
        <v>0.35</v>
      </c>
      <c r="N24" s="45"/>
    </row>
    <row r="25" spans="1:14" x14ac:dyDescent="0.25">
      <c r="A25" s="306"/>
      <c r="B25" s="323"/>
      <c r="C25" s="21" t="s">
        <v>102</v>
      </c>
      <c r="D25" s="1" t="s">
        <v>8</v>
      </c>
      <c r="E25" s="102"/>
      <c r="F25" s="102"/>
      <c r="G25" s="102"/>
      <c r="H25" s="102"/>
      <c r="I25" s="102"/>
      <c r="J25" s="102"/>
      <c r="K25" s="102"/>
      <c r="L25" s="102"/>
      <c r="M25" s="102"/>
      <c r="N25" s="45"/>
    </row>
    <row r="26" spans="1:14" x14ac:dyDescent="0.25">
      <c r="A26" s="306"/>
      <c r="B26" s="323"/>
      <c r="C26" s="21" t="s">
        <v>103</v>
      </c>
      <c r="D26" s="1" t="s">
        <v>9</v>
      </c>
      <c r="E26" s="103">
        <v>12.985472285336769</v>
      </c>
      <c r="F26" s="103">
        <v>9.2727277126716992</v>
      </c>
      <c r="G26" s="103">
        <v>7.234793011089133</v>
      </c>
      <c r="H26" s="103">
        <v>7.234793011089133</v>
      </c>
      <c r="I26" s="103">
        <v>7.234793011089133</v>
      </c>
      <c r="J26" s="103">
        <v>7.234793011089133</v>
      </c>
      <c r="K26" s="103">
        <v>1.76</v>
      </c>
      <c r="L26" s="103">
        <v>1.76</v>
      </c>
      <c r="M26" s="103">
        <v>1.76</v>
      </c>
      <c r="N26" s="45"/>
    </row>
    <row r="27" spans="1:14" x14ac:dyDescent="0.25">
      <c r="A27" s="306"/>
      <c r="B27" s="323"/>
      <c r="C27" s="21" t="s">
        <v>104</v>
      </c>
      <c r="D27" s="1" t="s">
        <v>10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  <c r="J27" s="103">
        <v>0</v>
      </c>
      <c r="K27" s="103">
        <v>2.1199999999999999E-3</v>
      </c>
      <c r="L27" s="103">
        <v>2.1199999999999999E-3</v>
      </c>
      <c r="M27" s="103">
        <v>2.1199999999999999E-3</v>
      </c>
      <c r="N27" s="45"/>
    </row>
    <row r="28" spans="1:14" ht="18.75" x14ac:dyDescent="0.25">
      <c r="A28" s="306"/>
      <c r="B28" s="323"/>
      <c r="C28" s="22" t="s">
        <v>105</v>
      </c>
      <c r="D28" s="23" t="s">
        <v>17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45"/>
    </row>
    <row r="29" spans="1:14" x14ac:dyDescent="0.25">
      <c r="A29" s="306"/>
      <c r="B29" s="323"/>
      <c r="C29" s="22" t="s">
        <v>11</v>
      </c>
      <c r="D29" s="23" t="s">
        <v>10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45"/>
    </row>
    <row r="30" spans="1:14" x14ac:dyDescent="0.25">
      <c r="A30" s="306"/>
      <c r="B30" s="323"/>
      <c r="C30" s="21" t="s">
        <v>18</v>
      </c>
      <c r="D30" s="2" t="s">
        <v>19</v>
      </c>
      <c r="E30" s="102">
        <v>3.7399999999999998</v>
      </c>
      <c r="F30" s="102">
        <v>3.7399999999999998</v>
      </c>
      <c r="G30" s="102">
        <v>3.7399999999999998</v>
      </c>
      <c r="H30" s="102">
        <v>3.7399999999999998</v>
      </c>
      <c r="I30" s="102">
        <v>3.7399999999999998</v>
      </c>
      <c r="J30" s="102">
        <v>3.7399999999999998</v>
      </c>
      <c r="K30" s="102">
        <v>3.7399999999999998</v>
      </c>
      <c r="L30" s="102">
        <v>3.7399999999999998</v>
      </c>
      <c r="M30" s="102">
        <v>3.7399999999999998</v>
      </c>
      <c r="N30" s="45"/>
    </row>
    <row r="31" spans="1:14" x14ac:dyDescent="0.25">
      <c r="A31" s="306"/>
      <c r="B31" s="323"/>
      <c r="C31" s="21" t="s">
        <v>13</v>
      </c>
      <c r="D31" s="1" t="s">
        <v>14</v>
      </c>
      <c r="E31" s="102"/>
      <c r="F31" s="102"/>
      <c r="G31" s="102"/>
      <c r="H31" s="102"/>
      <c r="I31" s="102"/>
      <c r="J31" s="102"/>
      <c r="K31" s="102"/>
      <c r="L31" s="102"/>
      <c r="M31" s="102"/>
      <c r="N31" s="45"/>
    </row>
    <row r="32" spans="1:14" x14ac:dyDescent="0.25">
      <c r="A32" s="306"/>
      <c r="B32" s="323"/>
      <c r="C32" s="21" t="s">
        <v>15</v>
      </c>
      <c r="D32" s="1" t="s">
        <v>4</v>
      </c>
      <c r="E32" s="102"/>
      <c r="F32" s="102"/>
      <c r="G32" s="102"/>
      <c r="H32" s="102"/>
      <c r="I32" s="102"/>
      <c r="J32" s="102"/>
      <c r="K32" s="102"/>
      <c r="L32" s="102"/>
      <c r="M32" s="102"/>
      <c r="N32" s="45"/>
    </row>
    <row r="33" spans="1:14" ht="14.45" customHeight="1" x14ac:dyDescent="0.25">
      <c r="A33" s="306">
        <v>4</v>
      </c>
      <c r="B33" s="323" t="s">
        <v>145</v>
      </c>
      <c r="C33" s="21" t="s">
        <v>101</v>
      </c>
      <c r="D33" s="1" t="s">
        <v>4</v>
      </c>
      <c r="E33" s="102">
        <v>20</v>
      </c>
      <c r="F33" s="102">
        <v>20</v>
      </c>
      <c r="G33" s="102">
        <v>20</v>
      </c>
      <c r="H33" s="102">
        <v>20</v>
      </c>
      <c r="I33" s="102">
        <v>20</v>
      </c>
      <c r="J33" s="102">
        <v>20</v>
      </c>
      <c r="K33" s="102">
        <v>20</v>
      </c>
      <c r="L33" s="102">
        <v>20</v>
      </c>
      <c r="M33" s="102">
        <v>20</v>
      </c>
      <c r="N33" s="45"/>
    </row>
    <row r="34" spans="1:14" x14ac:dyDescent="0.25">
      <c r="A34" s="306"/>
      <c r="B34" s="323"/>
      <c r="C34" s="21" t="s">
        <v>5</v>
      </c>
      <c r="D34" s="1" t="s">
        <v>6</v>
      </c>
      <c r="E34" s="103">
        <v>865.6981523557846</v>
      </c>
      <c r="F34" s="103">
        <v>618.18184751144668</v>
      </c>
      <c r="G34" s="103">
        <v>482.31953407260886</v>
      </c>
      <c r="H34" s="103">
        <v>482.31953407260886</v>
      </c>
      <c r="I34" s="103">
        <v>482.31953407260886</v>
      </c>
      <c r="J34" s="103">
        <v>482.31953407260886</v>
      </c>
      <c r="K34" s="103">
        <v>1136.3124641115969</v>
      </c>
      <c r="L34" s="103">
        <v>988.42533284709032</v>
      </c>
      <c r="M34" s="103">
        <v>868.76381718516643</v>
      </c>
      <c r="N34" s="45"/>
    </row>
    <row r="35" spans="1:14" x14ac:dyDescent="0.25">
      <c r="A35" s="306"/>
      <c r="B35" s="323"/>
      <c r="C35" s="21" t="s">
        <v>172</v>
      </c>
      <c r="D35" s="1" t="s">
        <v>19</v>
      </c>
      <c r="E35" s="104">
        <v>0.35</v>
      </c>
      <c r="F35" s="104">
        <v>0.35</v>
      </c>
      <c r="G35" s="104">
        <v>0.35</v>
      </c>
      <c r="H35" s="104">
        <v>0.35</v>
      </c>
      <c r="I35" s="104">
        <v>0.35</v>
      </c>
      <c r="J35" s="104">
        <v>0.35</v>
      </c>
      <c r="K35" s="104">
        <v>0.35</v>
      </c>
      <c r="L35" s="104">
        <v>0.35</v>
      </c>
      <c r="M35" s="104">
        <v>0.35</v>
      </c>
      <c r="N35" s="45"/>
    </row>
    <row r="36" spans="1:14" x14ac:dyDescent="0.25">
      <c r="A36" s="306"/>
      <c r="B36" s="323"/>
      <c r="C36" s="21" t="s">
        <v>102</v>
      </c>
      <c r="D36" s="1" t="s">
        <v>8</v>
      </c>
      <c r="E36" s="102"/>
      <c r="F36" s="102"/>
      <c r="G36" s="102"/>
      <c r="H36" s="102"/>
      <c r="I36" s="102"/>
      <c r="J36" s="102"/>
      <c r="K36" s="102"/>
      <c r="L36" s="102"/>
      <c r="M36" s="102"/>
      <c r="N36" s="45"/>
    </row>
    <row r="37" spans="1:14" x14ac:dyDescent="0.25">
      <c r="A37" s="306"/>
      <c r="B37" s="323"/>
      <c r="C37" s="21" t="s">
        <v>103</v>
      </c>
      <c r="D37" s="1" t="s">
        <v>9</v>
      </c>
      <c r="E37" s="103">
        <v>12.985472285336769</v>
      </c>
      <c r="F37" s="103">
        <v>9.2727277126716992</v>
      </c>
      <c r="G37" s="103">
        <v>7.234793011089133</v>
      </c>
      <c r="H37" s="103">
        <v>7.234793011089133</v>
      </c>
      <c r="I37" s="103">
        <v>7.234793011089133</v>
      </c>
      <c r="J37" s="103">
        <v>7.234793011089133</v>
      </c>
      <c r="K37" s="103">
        <v>1.76</v>
      </c>
      <c r="L37" s="103">
        <v>1.76</v>
      </c>
      <c r="M37" s="103">
        <v>1.76</v>
      </c>
      <c r="N37" s="45"/>
    </row>
    <row r="38" spans="1:14" x14ac:dyDescent="0.25">
      <c r="A38" s="306"/>
      <c r="B38" s="323"/>
      <c r="C38" s="21" t="s">
        <v>104</v>
      </c>
      <c r="D38" s="1" t="s">
        <v>10</v>
      </c>
      <c r="E38" s="103">
        <v>0</v>
      </c>
      <c r="F38" s="103">
        <v>0</v>
      </c>
      <c r="G38" s="103">
        <v>0</v>
      </c>
      <c r="H38" s="103">
        <v>0</v>
      </c>
      <c r="I38" s="103">
        <v>0</v>
      </c>
      <c r="J38" s="103">
        <v>0</v>
      </c>
      <c r="K38" s="103">
        <v>2.1199999999999999E-3</v>
      </c>
      <c r="L38" s="103">
        <v>2.1199999999999999E-3</v>
      </c>
      <c r="M38" s="103">
        <v>2.1199999999999999E-3</v>
      </c>
      <c r="N38" s="45"/>
    </row>
    <row r="39" spans="1:14" ht="18.75" x14ac:dyDescent="0.25">
      <c r="A39" s="306"/>
      <c r="B39" s="323"/>
      <c r="C39" s="22" t="s">
        <v>105</v>
      </c>
      <c r="D39" s="23" t="s">
        <v>17</v>
      </c>
      <c r="E39" s="103">
        <v>0</v>
      </c>
      <c r="F39" s="103">
        <v>0</v>
      </c>
      <c r="G39" s="103">
        <v>0</v>
      </c>
      <c r="H39" s="103">
        <v>0</v>
      </c>
      <c r="I39" s="103">
        <v>0</v>
      </c>
      <c r="J39" s="103">
        <v>0</v>
      </c>
      <c r="K39" s="103">
        <v>0</v>
      </c>
      <c r="L39" s="103">
        <v>0</v>
      </c>
      <c r="M39" s="103">
        <v>0</v>
      </c>
      <c r="N39" s="45"/>
    </row>
    <row r="40" spans="1:14" x14ac:dyDescent="0.25">
      <c r="A40" s="306"/>
      <c r="B40" s="323"/>
      <c r="C40" s="22" t="s">
        <v>11</v>
      </c>
      <c r="D40" s="23" t="s">
        <v>10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3">
        <v>0</v>
      </c>
      <c r="L40" s="103">
        <v>0</v>
      </c>
      <c r="M40" s="103">
        <v>0</v>
      </c>
      <c r="N40" s="45"/>
    </row>
    <row r="41" spans="1:14" x14ac:dyDescent="0.25">
      <c r="A41" s="306"/>
      <c r="B41" s="323"/>
      <c r="C41" s="21" t="s">
        <v>18</v>
      </c>
      <c r="D41" s="2" t="s">
        <v>19</v>
      </c>
      <c r="E41" s="102">
        <v>3.4899999999999998</v>
      </c>
      <c r="F41" s="102">
        <v>3.4899999999999998</v>
      </c>
      <c r="G41" s="102">
        <v>3.4899999999999998</v>
      </c>
      <c r="H41" s="102">
        <v>3.4899999999999998</v>
      </c>
      <c r="I41" s="102">
        <v>3.4899999999999998</v>
      </c>
      <c r="J41" s="102">
        <v>3.4899999999999998</v>
      </c>
      <c r="K41" s="102">
        <v>3.4899999999999998</v>
      </c>
      <c r="L41" s="102">
        <v>3.4899999999999998</v>
      </c>
      <c r="M41" s="102">
        <v>3.4899999999999998</v>
      </c>
      <c r="N41" s="45"/>
    </row>
    <row r="42" spans="1:14" x14ac:dyDescent="0.25">
      <c r="A42" s="306"/>
      <c r="B42" s="323"/>
      <c r="C42" s="21" t="s">
        <v>13</v>
      </c>
      <c r="D42" s="1" t="s">
        <v>14</v>
      </c>
      <c r="E42" s="102"/>
      <c r="F42" s="102"/>
      <c r="G42" s="102"/>
      <c r="H42" s="102"/>
      <c r="I42" s="102"/>
      <c r="J42" s="102"/>
      <c r="K42" s="102"/>
      <c r="L42" s="102"/>
      <c r="M42" s="102"/>
      <c r="N42" s="45"/>
    </row>
    <row r="43" spans="1:14" x14ac:dyDescent="0.25">
      <c r="A43" s="306"/>
      <c r="B43" s="323"/>
      <c r="C43" s="21" t="s">
        <v>15</v>
      </c>
      <c r="D43" s="1" t="s">
        <v>4</v>
      </c>
      <c r="E43" s="102"/>
      <c r="F43" s="102"/>
      <c r="G43" s="102"/>
      <c r="H43" s="102"/>
      <c r="I43" s="102"/>
      <c r="J43" s="102"/>
      <c r="K43" s="102"/>
      <c r="L43" s="102"/>
      <c r="M43" s="102"/>
      <c r="N43" s="45"/>
    </row>
    <row r="44" spans="1:14" ht="14.45" customHeight="1" x14ac:dyDescent="0.25">
      <c r="A44" s="306">
        <v>5</v>
      </c>
      <c r="B44" s="323" t="s">
        <v>146</v>
      </c>
      <c r="C44" s="21" t="s">
        <v>101</v>
      </c>
      <c r="D44" s="1" t="s">
        <v>4</v>
      </c>
      <c r="E44" s="102">
        <v>20</v>
      </c>
      <c r="F44" s="102">
        <v>20</v>
      </c>
      <c r="G44" s="102">
        <v>20</v>
      </c>
      <c r="H44" s="102">
        <v>20</v>
      </c>
      <c r="I44" s="102">
        <v>20</v>
      </c>
      <c r="J44" s="102">
        <v>20</v>
      </c>
      <c r="K44" s="102">
        <v>20</v>
      </c>
      <c r="L44" s="102">
        <v>20</v>
      </c>
      <c r="M44" s="102">
        <v>20</v>
      </c>
      <c r="N44" s="45"/>
    </row>
    <row r="45" spans="1:14" x14ac:dyDescent="0.25">
      <c r="A45" s="306"/>
      <c r="B45" s="323"/>
      <c r="C45" s="21" t="s">
        <v>20</v>
      </c>
      <c r="D45" s="1" t="s">
        <v>6</v>
      </c>
      <c r="E45" s="103">
        <v>865.6981523557846</v>
      </c>
      <c r="F45" s="103">
        <v>618.18184751144668</v>
      </c>
      <c r="G45" s="103">
        <v>482.31953407260886</v>
      </c>
      <c r="H45" s="103">
        <v>482.31953407260886</v>
      </c>
      <c r="I45" s="103">
        <v>482.31953407260886</v>
      </c>
      <c r="J45" s="103">
        <v>482.31953407260886</v>
      </c>
      <c r="K45" s="103">
        <v>1136.3124641115969</v>
      </c>
      <c r="L45" s="103">
        <v>988.42533284709032</v>
      </c>
      <c r="M45" s="103">
        <v>868.76381718516643</v>
      </c>
      <c r="N45" s="45"/>
    </row>
    <row r="46" spans="1:14" x14ac:dyDescent="0.25">
      <c r="A46" s="306"/>
      <c r="B46" s="323"/>
      <c r="C46" s="21" t="s">
        <v>172</v>
      </c>
      <c r="D46" s="1" t="s">
        <v>19</v>
      </c>
      <c r="E46" s="104">
        <v>0.35</v>
      </c>
      <c r="F46" s="104">
        <v>0.35</v>
      </c>
      <c r="G46" s="104">
        <v>0.35</v>
      </c>
      <c r="H46" s="104">
        <v>0.35</v>
      </c>
      <c r="I46" s="104">
        <v>0.35</v>
      </c>
      <c r="J46" s="104">
        <v>0.35</v>
      </c>
      <c r="K46" s="104">
        <v>0.35</v>
      </c>
      <c r="L46" s="104">
        <v>0.35</v>
      </c>
      <c r="M46" s="104">
        <v>0.35</v>
      </c>
      <c r="N46" s="45"/>
    </row>
    <row r="47" spans="1:14" x14ac:dyDescent="0.25">
      <c r="A47" s="306"/>
      <c r="B47" s="323"/>
      <c r="C47" s="21" t="s">
        <v>102</v>
      </c>
      <c r="D47" s="1" t="s">
        <v>8</v>
      </c>
      <c r="E47" s="102"/>
      <c r="F47" s="102"/>
      <c r="G47" s="102"/>
      <c r="H47" s="102"/>
      <c r="I47" s="102"/>
      <c r="J47" s="102"/>
      <c r="K47" s="102"/>
      <c r="L47" s="102"/>
      <c r="M47" s="102"/>
      <c r="N47" s="45"/>
    </row>
    <row r="48" spans="1:14" x14ac:dyDescent="0.25">
      <c r="A48" s="306"/>
      <c r="B48" s="323"/>
      <c r="C48" s="21" t="s">
        <v>103</v>
      </c>
      <c r="D48" s="1" t="s">
        <v>9</v>
      </c>
      <c r="E48" s="103">
        <v>12.985472285336769</v>
      </c>
      <c r="F48" s="103">
        <v>9.2727277126716992</v>
      </c>
      <c r="G48" s="103">
        <v>7.234793011089133</v>
      </c>
      <c r="H48" s="103">
        <v>7.234793011089133</v>
      </c>
      <c r="I48" s="103">
        <v>7.234793011089133</v>
      </c>
      <c r="J48" s="103">
        <v>7.234793011089133</v>
      </c>
      <c r="K48" s="103">
        <v>1.76</v>
      </c>
      <c r="L48" s="103">
        <v>1.76</v>
      </c>
      <c r="M48" s="103">
        <v>1.76</v>
      </c>
      <c r="N48" s="45"/>
    </row>
    <row r="49" spans="1:14" x14ac:dyDescent="0.25">
      <c r="A49" s="306"/>
      <c r="B49" s="323"/>
      <c r="C49" s="21" t="s">
        <v>104</v>
      </c>
      <c r="D49" s="1" t="s">
        <v>10</v>
      </c>
      <c r="E49" s="103">
        <v>0</v>
      </c>
      <c r="F49" s="103">
        <v>0</v>
      </c>
      <c r="G49" s="103">
        <v>0</v>
      </c>
      <c r="H49" s="103">
        <v>0</v>
      </c>
      <c r="I49" s="103">
        <v>0</v>
      </c>
      <c r="J49" s="103">
        <v>0</v>
      </c>
      <c r="K49" s="103">
        <v>2.1199999999999999E-3</v>
      </c>
      <c r="L49" s="103">
        <v>2.1199999999999999E-3</v>
      </c>
      <c r="M49" s="103">
        <v>2.1199999999999999E-3</v>
      </c>
      <c r="N49" s="45"/>
    </row>
    <row r="50" spans="1:14" ht="18.75" x14ac:dyDescent="0.25">
      <c r="A50" s="306"/>
      <c r="B50" s="323"/>
      <c r="C50" s="22" t="s">
        <v>105</v>
      </c>
      <c r="D50" s="23" t="s">
        <v>17</v>
      </c>
      <c r="E50" s="103">
        <v>0</v>
      </c>
      <c r="F50" s="103">
        <v>0</v>
      </c>
      <c r="G50" s="103">
        <v>0</v>
      </c>
      <c r="H50" s="103">
        <v>0</v>
      </c>
      <c r="I50" s="103">
        <v>0</v>
      </c>
      <c r="J50" s="103">
        <v>0</v>
      </c>
      <c r="K50" s="103">
        <v>0</v>
      </c>
      <c r="L50" s="103">
        <v>0</v>
      </c>
      <c r="M50" s="103">
        <v>0</v>
      </c>
      <c r="N50" s="45"/>
    </row>
    <row r="51" spans="1:14" x14ac:dyDescent="0.25">
      <c r="A51" s="306"/>
      <c r="B51" s="323"/>
      <c r="C51" s="22" t="s">
        <v>11</v>
      </c>
      <c r="D51" s="23" t="s">
        <v>10</v>
      </c>
      <c r="E51" s="103">
        <v>0</v>
      </c>
      <c r="F51" s="103">
        <v>0</v>
      </c>
      <c r="G51" s="103">
        <v>0</v>
      </c>
      <c r="H51" s="103">
        <v>0</v>
      </c>
      <c r="I51" s="103">
        <v>0</v>
      </c>
      <c r="J51" s="103">
        <v>0</v>
      </c>
      <c r="K51" s="103">
        <v>0</v>
      </c>
      <c r="L51" s="103">
        <v>0</v>
      </c>
      <c r="M51" s="103">
        <v>0</v>
      </c>
      <c r="N51" s="45"/>
    </row>
    <row r="52" spans="1:14" x14ac:dyDescent="0.25">
      <c r="A52" s="306"/>
      <c r="B52" s="323"/>
      <c r="C52" s="21" t="s">
        <v>18</v>
      </c>
      <c r="D52" s="2" t="s">
        <v>19</v>
      </c>
      <c r="E52" s="102">
        <v>3.2399999999999998</v>
      </c>
      <c r="F52" s="102">
        <v>3.2399999999999998</v>
      </c>
      <c r="G52" s="102">
        <v>3.2399999999999998</v>
      </c>
      <c r="H52" s="102">
        <v>3.2399999999999998</v>
      </c>
      <c r="I52" s="102">
        <v>3.2399999999999998</v>
      </c>
      <c r="J52" s="102">
        <v>3.2399999999999998</v>
      </c>
      <c r="K52" s="102">
        <v>3.2399999999999998</v>
      </c>
      <c r="L52" s="102">
        <v>3.2399999999999998</v>
      </c>
      <c r="M52" s="102">
        <v>3.2399999999999998</v>
      </c>
      <c r="N52" s="45"/>
    </row>
    <row r="53" spans="1:14" x14ac:dyDescent="0.25">
      <c r="A53" s="306"/>
      <c r="B53" s="323"/>
      <c r="C53" s="21" t="s">
        <v>13</v>
      </c>
      <c r="D53" s="2" t="s">
        <v>14</v>
      </c>
      <c r="E53" s="102"/>
      <c r="F53" s="102"/>
      <c r="G53" s="102"/>
      <c r="H53" s="102"/>
      <c r="I53" s="102"/>
      <c r="J53" s="102"/>
      <c r="K53" s="102"/>
      <c r="L53" s="102"/>
      <c r="M53" s="102"/>
      <c r="N53" s="45"/>
    </row>
    <row r="54" spans="1:14" x14ac:dyDescent="0.25">
      <c r="A54" s="306"/>
      <c r="B54" s="323"/>
      <c r="C54" s="21" t="s">
        <v>15</v>
      </c>
      <c r="D54" s="2" t="s">
        <v>4</v>
      </c>
      <c r="E54" s="102"/>
      <c r="F54" s="102"/>
      <c r="G54" s="102"/>
      <c r="H54" s="102"/>
      <c r="I54" s="102"/>
      <c r="J54" s="102"/>
      <c r="K54" s="102"/>
      <c r="L54" s="102"/>
      <c r="M54" s="102"/>
      <c r="N54" s="45"/>
    </row>
    <row r="55" spans="1:14" ht="14.45" customHeight="1" x14ac:dyDescent="0.25">
      <c r="A55" s="306">
        <v>6</v>
      </c>
      <c r="B55" s="323" t="s">
        <v>147</v>
      </c>
      <c r="C55" s="21" t="s">
        <v>101</v>
      </c>
      <c r="D55" s="1" t="s">
        <v>4</v>
      </c>
      <c r="E55" s="102">
        <v>20</v>
      </c>
      <c r="F55" s="102">
        <v>20</v>
      </c>
      <c r="G55" s="102">
        <v>20</v>
      </c>
      <c r="H55" s="102">
        <v>20</v>
      </c>
      <c r="I55" s="102">
        <v>20</v>
      </c>
      <c r="J55" s="102">
        <v>20</v>
      </c>
      <c r="K55" s="102">
        <v>20</v>
      </c>
      <c r="L55" s="102">
        <v>20</v>
      </c>
      <c r="M55" s="102">
        <v>20</v>
      </c>
      <c r="N55" s="45"/>
    </row>
    <row r="56" spans="1:14" x14ac:dyDescent="0.25">
      <c r="A56" s="306"/>
      <c r="B56" s="323"/>
      <c r="C56" s="21" t="s">
        <v>20</v>
      </c>
      <c r="D56" s="1" t="s">
        <v>6</v>
      </c>
      <c r="E56" s="103">
        <v>876.88417547131348</v>
      </c>
      <c r="F56" s="103">
        <v>610.32909690692122</v>
      </c>
      <c r="G56" s="103">
        <v>466.55672962478747</v>
      </c>
      <c r="H56" s="103">
        <v>466.55672962478747</v>
      </c>
      <c r="I56" s="103">
        <v>466.55672962478747</v>
      </c>
      <c r="J56" s="103">
        <v>466.55672962478747</v>
      </c>
      <c r="K56" s="103">
        <v>637.82399999999996</v>
      </c>
      <c r="L56" s="103">
        <v>637.82399999999996</v>
      </c>
      <c r="M56" s="103">
        <v>637.82399999999996</v>
      </c>
      <c r="N56" s="45"/>
    </row>
    <row r="57" spans="1:14" x14ac:dyDescent="0.25">
      <c r="A57" s="306"/>
      <c r="B57" s="323"/>
      <c r="C57" s="21" t="s">
        <v>172</v>
      </c>
      <c r="D57" s="1" t="s">
        <v>19</v>
      </c>
      <c r="E57" s="104">
        <v>0.35</v>
      </c>
      <c r="F57" s="104">
        <v>0.35</v>
      </c>
      <c r="G57" s="104">
        <v>0.35</v>
      </c>
      <c r="H57" s="104">
        <v>0.35</v>
      </c>
      <c r="I57" s="104">
        <v>0.35</v>
      </c>
      <c r="J57" s="104">
        <v>0.35</v>
      </c>
      <c r="K57" s="104">
        <v>0.35</v>
      </c>
      <c r="L57" s="104">
        <v>0.35</v>
      </c>
      <c r="M57" s="104">
        <v>0.35</v>
      </c>
      <c r="N57" s="45"/>
    </row>
    <row r="58" spans="1:14" x14ac:dyDescent="0.25">
      <c r="A58" s="306"/>
      <c r="B58" s="323"/>
      <c r="C58" s="21" t="s">
        <v>102</v>
      </c>
      <c r="D58" s="1" t="s">
        <v>8</v>
      </c>
      <c r="E58" s="102"/>
      <c r="F58" s="102"/>
      <c r="G58" s="102"/>
      <c r="H58" s="102"/>
      <c r="I58" s="102"/>
      <c r="J58" s="102"/>
      <c r="K58" s="102"/>
      <c r="L58" s="102"/>
      <c r="M58" s="102"/>
      <c r="N58" s="45"/>
    </row>
    <row r="59" spans="1:14" x14ac:dyDescent="0.25">
      <c r="A59" s="306"/>
      <c r="B59" s="323"/>
      <c r="C59" s="21" t="s">
        <v>103</v>
      </c>
      <c r="D59" s="1" t="s">
        <v>9</v>
      </c>
      <c r="E59" s="103">
        <v>13.153262632069701</v>
      </c>
      <c r="F59" s="103">
        <v>9.1549364536038187</v>
      </c>
      <c r="G59" s="103">
        <v>6.9983509443718122</v>
      </c>
      <c r="H59" s="103">
        <v>6.9983509443718122</v>
      </c>
      <c r="I59" s="103">
        <v>6.9983509443718122</v>
      </c>
      <c r="J59" s="103">
        <v>6.9983509443718122</v>
      </c>
      <c r="K59" s="103">
        <v>1.76</v>
      </c>
      <c r="L59" s="103">
        <v>1.76</v>
      </c>
      <c r="M59" s="103">
        <v>1.76</v>
      </c>
      <c r="N59" s="45"/>
    </row>
    <row r="60" spans="1:14" x14ac:dyDescent="0.25">
      <c r="A60" s="306"/>
      <c r="B60" s="323"/>
      <c r="C60" s="21" t="s">
        <v>104</v>
      </c>
      <c r="D60" s="1" t="s">
        <v>10</v>
      </c>
      <c r="E60" s="103">
        <v>0</v>
      </c>
      <c r="F60" s="103">
        <v>0</v>
      </c>
      <c r="G60" s="103">
        <v>0</v>
      </c>
      <c r="H60" s="103">
        <v>0</v>
      </c>
      <c r="I60" s="103">
        <v>0</v>
      </c>
      <c r="J60" s="103">
        <v>0</v>
      </c>
      <c r="K60" s="103">
        <v>2.1199999999999999E-3</v>
      </c>
      <c r="L60" s="103">
        <v>2.1199999999999999E-3</v>
      </c>
      <c r="M60" s="103">
        <v>2.1199999999999999E-3</v>
      </c>
      <c r="N60" s="45"/>
    </row>
    <row r="61" spans="1:14" ht="18.75" x14ac:dyDescent="0.25">
      <c r="A61" s="306"/>
      <c r="B61" s="323"/>
      <c r="C61" s="22" t="s">
        <v>105</v>
      </c>
      <c r="D61" s="23" t="s">
        <v>17</v>
      </c>
      <c r="E61" s="103">
        <v>0</v>
      </c>
      <c r="F61" s="103">
        <v>0</v>
      </c>
      <c r="G61" s="103">
        <v>0</v>
      </c>
      <c r="H61" s="103">
        <v>0</v>
      </c>
      <c r="I61" s="103">
        <v>0</v>
      </c>
      <c r="J61" s="103">
        <v>0</v>
      </c>
      <c r="K61" s="103">
        <v>0</v>
      </c>
      <c r="L61" s="103">
        <v>0</v>
      </c>
      <c r="M61" s="103">
        <v>0</v>
      </c>
      <c r="N61" s="45"/>
    </row>
    <row r="62" spans="1:14" x14ac:dyDescent="0.25">
      <c r="A62" s="306"/>
      <c r="B62" s="323"/>
      <c r="C62" s="22" t="s">
        <v>11</v>
      </c>
      <c r="D62" s="23" t="s">
        <v>10</v>
      </c>
      <c r="E62" s="103">
        <v>0</v>
      </c>
      <c r="F62" s="103">
        <v>0</v>
      </c>
      <c r="G62" s="103">
        <v>0</v>
      </c>
      <c r="H62" s="103">
        <v>0</v>
      </c>
      <c r="I62" s="103">
        <v>0</v>
      </c>
      <c r="J62" s="103">
        <v>0</v>
      </c>
      <c r="K62" s="103">
        <v>0</v>
      </c>
      <c r="L62" s="103">
        <v>0</v>
      </c>
      <c r="M62" s="103">
        <v>0</v>
      </c>
      <c r="N62" s="45"/>
    </row>
    <row r="63" spans="1:14" x14ac:dyDescent="0.25">
      <c r="A63" s="306"/>
      <c r="B63" s="323"/>
      <c r="C63" s="21" t="s">
        <v>18</v>
      </c>
      <c r="D63" s="2" t="s">
        <v>19</v>
      </c>
      <c r="E63" s="102">
        <v>4.42</v>
      </c>
      <c r="F63" s="102">
        <v>4.42</v>
      </c>
      <c r="G63" s="102">
        <v>4.42</v>
      </c>
      <c r="H63" s="102">
        <v>4.42</v>
      </c>
      <c r="I63" s="102">
        <v>4.42</v>
      </c>
      <c r="J63" s="102">
        <v>4.42</v>
      </c>
      <c r="K63" s="102">
        <v>4.42</v>
      </c>
      <c r="L63" s="102">
        <v>4.42</v>
      </c>
      <c r="M63" s="102">
        <v>4.42</v>
      </c>
      <c r="N63" s="45"/>
    </row>
    <row r="64" spans="1:14" x14ac:dyDescent="0.25">
      <c r="A64" s="306"/>
      <c r="B64" s="323"/>
      <c r="C64" s="21" t="s">
        <v>13</v>
      </c>
      <c r="D64" s="1" t="s">
        <v>14</v>
      </c>
      <c r="E64" s="102"/>
      <c r="F64" s="102"/>
      <c r="G64" s="102"/>
      <c r="H64" s="102"/>
      <c r="I64" s="102"/>
      <c r="J64" s="102"/>
      <c r="K64" s="102"/>
      <c r="L64" s="102"/>
      <c r="M64" s="102"/>
      <c r="N64" s="45"/>
    </row>
    <row r="65" spans="1:14" x14ac:dyDescent="0.25">
      <c r="A65" s="306"/>
      <c r="B65" s="323"/>
      <c r="C65" s="21" t="s">
        <v>15</v>
      </c>
      <c r="D65" s="1" t="s">
        <v>4</v>
      </c>
      <c r="E65" s="102"/>
      <c r="F65" s="102"/>
      <c r="G65" s="102"/>
      <c r="H65" s="102"/>
      <c r="I65" s="102"/>
      <c r="J65" s="102"/>
      <c r="K65" s="102"/>
      <c r="L65" s="102"/>
      <c r="M65" s="102"/>
      <c r="N65" s="45"/>
    </row>
    <row r="66" spans="1:14" x14ac:dyDescent="0.25">
      <c r="A66" s="306"/>
      <c r="B66" s="323"/>
      <c r="C66" s="21" t="s">
        <v>106</v>
      </c>
      <c r="D66" s="1" t="s">
        <v>6</v>
      </c>
      <c r="E66" s="103">
        <v>2542.5468857578812</v>
      </c>
      <c r="F66" s="103">
        <v>1739.7683009926391</v>
      </c>
      <c r="G66" s="103">
        <v>1094.1291208875389</v>
      </c>
      <c r="H66" s="103">
        <v>380.08243340521</v>
      </c>
      <c r="I66" s="103">
        <v>259.16347752478634</v>
      </c>
      <c r="J66" s="103">
        <v>164.27135179750144</v>
      </c>
      <c r="K66" s="103">
        <v>79.72644599626463</v>
      </c>
      <c r="L66" s="103">
        <v>69.838906006886361</v>
      </c>
      <c r="M66" s="103">
        <v>69.838906006886361</v>
      </c>
      <c r="N66" s="45"/>
    </row>
    <row r="67" spans="1:14" x14ac:dyDescent="0.25">
      <c r="A67" s="306"/>
      <c r="B67" s="323"/>
      <c r="C67" s="21" t="s">
        <v>107</v>
      </c>
      <c r="D67" s="1" t="s">
        <v>4</v>
      </c>
      <c r="E67" s="102"/>
      <c r="F67" s="102"/>
      <c r="G67" s="102"/>
      <c r="H67" s="102"/>
      <c r="I67" s="102"/>
      <c r="J67" s="102"/>
      <c r="K67" s="102"/>
      <c r="L67" s="102"/>
      <c r="M67" s="102"/>
      <c r="N67" s="45"/>
    </row>
    <row r="68" spans="1:14" ht="14.45" customHeight="1" x14ac:dyDescent="0.25">
      <c r="A68" s="306">
        <v>7</v>
      </c>
      <c r="B68" s="323" t="s">
        <v>148</v>
      </c>
      <c r="C68" s="21" t="s">
        <v>101</v>
      </c>
      <c r="D68" s="1" t="s">
        <v>4</v>
      </c>
      <c r="E68" s="102">
        <v>20</v>
      </c>
      <c r="F68" s="102">
        <v>20</v>
      </c>
      <c r="G68" s="102">
        <v>20</v>
      </c>
      <c r="H68" s="102">
        <v>20</v>
      </c>
      <c r="I68" s="102">
        <v>20</v>
      </c>
      <c r="J68" s="102">
        <v>20</v>
      </c>
      <c r="K68" s="102">
        <v>20</v>
      </c>
      <c r="L68" s="102">
        <v>20</v>
      </c>
      <c r="M68" s="102">
        <v>20</v>
      </c>
      <c r="N68" s="45"/>
    </row>
    <row r="69" spans="1:14" x14ac:dyDescent="0.25">
      <c r="A69" s="306"/>
      <c r="B69" s="323"/>
      <c r="C69" s="21" t="s">
        <v>20</v>
      </c>
      <c r="D69" s="1" t="s">
        <v>6</v>
      </c>
      <c r="E69" s="103">
        <v>876.88417547131348</v>
      </c>
      <c r="F69" s="103">
        <v>610.32909690692122</v>
      </c>
      <c r="G69" s="103">
        <v>466.55672962478747</v>
      </c>
      <c r="H69" s="103">
        <v>466.55672962478747</v>
      </c>
      <c r="I69" s="103">
        <v>466.55672962478747</v>
      </c>
      <c r="J69" s="103">
        <v>466.55672962478747</v>
      </c>
      <c r="K69" s="103">
        <v>637.82399999999996</v>
      </c>
      <c r="L69" s="103">
        <v>637.82399999999996</v>
      </c>
      <c r="M69" s="103">
        <v>637.82399999999996</v>
      </c>
      <c r="N69" s="45"/>
    </row>
    <row r="70" spans="1:14" x14ac:dyDescent="0.25">
      <c r="A70" s="306"/>
      <c r="B70" s="323"/>
      <c r="C70" s="21" t="s">
        <v>172</v>
      </c>
      <c r="D70" s="1" t="s">
        <v>19</v>
      </c>
      <c r="E70" s="104">
        <v>0.35</v>
      </c>
      <c r="F70" s="104">
        <v>0.35</v>
      </c>
      <c r="G70" s="104">
        <v>0.35</v>
      </c>
      <c r="H70" s="104">
        <v>0.35</v>
      </c>
      <c r="I70" s="104">
        <v>0.35</v>
      </c>
      <c r="J70" s="104">
        <v>0.35</v>
      </c>
      <c r="K70" s="104">
        <v>0.35</v>
      </c>
      <c r="L70" s="104">
        <v>0.35</v>
      </c>
      <c r="M70" s="104">
        <v>0.35</v>
      </c>
      <c r="N70" s="45"/>
    </row>
    <row r="71" spans="1:14" x14ac:dyDescent="0.25">
      <c r="A71" s="306"/>
      <c r="B71" s="323"/>
      <c r="C71" s="21" t="s">
        <v>102</v>
      </c>
      <c r="D71" s="1" t="s">
        <v>8</v>
      </c>
      <c r="E71" s="102"/>
      <c r="F71" s="102"/>
      <c r="G71" s="102"/>
      <c r="H71" s="102"/>
      <c r="I71" s="102"/>
      <c r="J71" s="102"/>
      <c r="K71" s="102"/>
      <c r="L71" s="102"/>
      <c r="M71" s="102"/>
      <c r="N71" s="45"/>
    </row>
    <row r="72" spans="1:14" x14ac:dyDescent="0.25">
      <c r="A72" s="306"/>
      <c r="B72" s="323"/>
      <c r="C72" s="21" t="s">
        <v>103</v>
      </c>
      <c r="D72" s="1" t="s">
        <v>9</v>
      </c>
      <c r="E72" s="103">
        <v>13.153262632069701</v>
      </c>
      <c r="F72" s="103">
        <v>9.1549364536038187</v>
      </c>
      <c r="G72" s="103">
        <v>6.9983509443718122</v>
      </c>
      <c r="H72" s="103">
        <v>6.9983509443718122</v>
      </c>
      <c r="I72" s="103">
        <v>6.9983509443718122</v>
      </c>
      <c r="J72" s="103">
        <v>6.9983509443718122</v>
      </c>
      <c r="K72" s="103">
        <v>1.76</v>
      </c>
      <c r="L72" s="103">
        <v>1.76</v>
      </c>
      <c r="M72" s="103">
        <v>1.76</v>
      </c>
      <c r="N72" s="45"/>
    </row>
    <row r="73" spans="1:14" x14ac:dyDescent="0.25">
      <c r="A73" s="306"/>
      <c r="B73" s="323"/>
      <c r="C73" s="21" t="s">
        <v>104</v>
      </c>
      <c r="D73" s="1" t="s">
        <v>10</v>
      </c>
      <c r="E73" s="103">
        <v>0</v>
      </c>
      <c r="F73" s="103">
        <v>0</v>
      </c>
      <c r="G73" s="103">
        <v>0</v>
      </c>
      <c r="H73" s="103">
        <v>0</v>
      </c>
      <c r="I73" s="103">
        <v>0</v>
      </c>
      <c r="J73" s="103">
        <v>0</v>
      </c>
      <c r="K73" s="103">
        <v>2.1199999999999999E-3</v>
      </c>
      <c r="L73" s="103">
        <v>2.1199999999999999E-3</v>
      </c>
      <c r="M73" s="103">
        <v>2.1199999999999999E-3</v>
      </c>
      <c r="N73" s="45"/>
    </row>
    <row r="74" spans="1:14" ht="18.75" x14ac:dyDescent="0.25">
      <c r="A74" s="306"/>
      <c r="B74" s="323"/>
      <c r="C74" s="22" t="s">
        <v>105</v>
      </c>
      <c r="D74" s="23" t="s">
        <v>17</v>
      </c>
      <c r="E74" s="103">
        <v>0</v>
      </c>
      <c r="F74" s="103">
        <v>0</v>
      </c>
      <c r="G74" s="103">
        <v>0</v>
      </c>
      <c r="H74" s="103">
        <v>0</v>
      </c>
      <c r="I74" s="103">
        <v>0</v>
      </c>
      <c r="J74" s="103">
        <v>0</v>
      </c>
      <c r="K74" s="103">
        <v>0</v>
      </c>
      <c r="L74" s="103">
        <v>0</v>
      </c>
      <c r="M74" s="103">
        <v>0</v>
      </c>
      <c r="N74" s="45"/>
    </row>
    <row r="75" spans="1:14" x14ac:dyDescent="0.25">
      <c r="A75" s="306"/>
      <c r="B75" s="323"/>
      <c r="C75" s="22" t="s">
        <v>11</v>
      </c>
      <c r="D75" s="23" t="s">
        <v>10</v>
      </c>
      <c r="E75" s="103">
        <v>0</v>
      </c>
      <c r="F75" s="103">
        <v>0</v>
      </c>
      <c r="G75" s="103">
        <v>0</v>
      </c>
      <c r="H75" s="103">
        <v>0</v>
      </c>
      <c r="I75" s="103">
        <v>0</v>
      </c>
      <c r="J75" s="103">
        <v>0</v>
      </c>
      <c r="K75" s="103">
        <v>0</v>
      </c>
      <c r="L75" s="103">
        <v>0</v>
      </c>
      <c r="M75" s="103">
        <v>0</v>
      </c>
      <c r="N75" s="45"/>
    </row>
    <row r="76" spans="1:14" x14ac:dyDescent="0.25">
      <c r="A76" s="306"/>
      <c r="B76" s="323"/>
      <c r="C76" s="21" t="s">
        <v>18</v>
      </c>
      <c r="D76" s="2" t="s">
        <v>19</v>
      </c>
      <c r="E76" s="102">
        <v>4.12</v>
      </c>
      <c r="F76" s="102">
        <v>4.12</v>
      </c>
      <c r="G76" s="102">
        <v>4.12</v>
      </c>
      <c r="H76" s="102">
        <v>4.12</v>
      </c>
      <c r="I76" s="102">
        <v>4.12</v>
      </c>
      <c r="J76" s="102">
        <v>4.12</v>
      </c>
      <c r="K76" s="102">
        <v>4.12</v>
      </c>
      <c r="L76" s="102">
        <v>4.12</v>
      </c>
      <c r="M76" s="102">
        <v>4.12</v>
      </c>
      <c r="N76" s="45"/>
    </row>
    <row r="77" spans="1:14" x14ac:dyDescent="0.25">
      <c r="A77" s="306"/>
      <c r="B77" s="323"/>
      <c r="C77" s="21" t="s">
        <v>13</v>
      </c>
      <c r="D77" s="1" t="s">
        <v>14</v>
      </c>
      <c r="E77" s="102"/>
      <c r="F77" s="102"/>
      <c r="G77" s="102"/>
      <c r="H77" s="102"/>
      <c r="I77" s="102"/>
      <c r="J77" s="102"/>
      <c r="K77" s="102"/>
      <c r="L77" s="102"/>
      <c r="M77" s="102"/>
      <c r="N77" s="45"/>
    </row>
    <row r="78" spans="1:14" x14ac:dyDescent="0.25">
      <c r="A78" s="306"/>
      <c r="B78" s="323"/>
      <c r="C78" s="21" t="s">
        <v>15</v>
      </c>
      <c r="D78" s="1" t="s">
        <v>4</v>
      </c>
      <c r="E78" s="102"/>
      <c r="F78" s="102"/>
      <c r="G78" s="102"/>
      <c r="H78" s="102"/>
      <c r="I78" s="102"/>
      <c r="J78" s="102"/>
      <c r="K78" s="102"/>
      <c r="L78" s="102"/>
      <c r="M78" s="102"/>
      <c r="N78" s="45"/>
    </row>
    <row r="79" spans="1:14" x14ac:dyDescent="0.25">
      <c r="A79" s="306"/>
      <c r="B79" s="323"/>
      <c r="C79" s="21" t="s">
        <v>106</v>
      </c>
      <c r="D79" s="1" t="s">
        <v>6</v>
      </c>
      <c r="E79" s="103">
        <v>2542.5468857578812</v>
      </c>
      <c r="F79" s="103">
        <v>1739.7683009926391</v>
      </c>
      <c r="G79" s="103">
        <v>1094.1291208875389</v>
      </c>
      <c r="H79" s="103">
        <v>380.08243340521</v>
      </c>
      <c r="I79" s="103">
        <v>259.16347752478634</v>
      </c>
      <c r="J79" s="103">
        <v>164.27135179750144</v>
      </c>
      <c r="K79" s="103">
        <v>79.72644599626463</v>
      </c>
      <c r="L79" s="103">
        <v>69.838906006886361</v>
      </c>
      <c r="M79" s="103">
        <v>69.838906006886361</v>
      </c>
      <c r="N79" s="45"/>
    </row>
    <row r="80" spans="1:14" x14ac:dyDescent="0.25">
      <c r="A80" s="306"/>
      <c r="B80" s="323"/>
      <c r="C80" s="21" t="s">
        <v>107</v>
      </c>
      <c r="D80" s="1" t="s">
        <v>4</v>
      </c>
      <c r="E80" s="102"/>
      <c r="F80" s="102"/>
      <c r="G80" s="102"/>
      <c r="H80" s="102"/>
      <c r="I80" s="102"/>
      <c r="J80" s="102"/>
      <c r="K80" s="102"/>
      <c r="L80" s="102"/>
      <c r="M80" s="102"/>
      <c r="N80" s="45"/>
    </row>
    <row r="81" spans="1:14" ht="14.45" customHeight="1" x14ac:dyDescent="0.25">
      <c r="A81" s="306">
        <v>8</v>
      </c>
      <c r="B81" s="323" t="s">
        <v>149</v>
      </c>
      <c r="C81" s="21" t="s">
        <v>101</v>
      </c>
      <c r="D81" s="1" t="s">
        <v>4</v>
      </c>
      <c r="E81" s="102">
        <v>20</v>
      </c>
      <c r="F81" s="102">
        <v>20</v>
      </c>
      <c r="G81" s="102">
        <v>20</v>
      </c>
      <c r="H81" s="102">
        <v>20</v>
      </c>
      <c r="I81" s="102">
        <v>20</v>
      </c>
      <c r="J81" s="102">
        <v>20</v>
      </c>
      <c r="K81" s="102">
        <v>20</v>
      </c>
      <c r="L81" s="102">
        <v>20</v>
      </c>
      <c r="M81" s="102">
        <v>20</v>
      </c>
      <c r="N81" s="45"/>
    </row>
    <row r="82" spans="1:14" x14ac:dyDescent="0.25">
      <c r="A82" s="306"/>
      <c r="B82" s="323"/>
      <c r="C82" s="21" t="s">
        <v>20</v>
      </c>
      <c r="D82" s="1" t="s">
        <v>6</v>
      </c>
      <c r="E82" s="103">
        <v>876.88417547131348</v>
      </c>
      <c r="F82" s="103">
        <v>610.32909690692122</v>
      </c>
      <c r="G82" s="103">
        <v>466.55672962478747</v>
      </c>
      <c r="H82" s="103">
        <v>466.55672962478747</v>
      </c>
      <c r="I82" s="103">
        <v>466.55672962478747</v>
      </c>
      <c r="J82" s="103">
        <v>466.55672962478747</v>
      </c>
      <c r="K82" s="103">
        <v>637.82399999999996</v>
      </c>
      <c r="L82" s="103">
        <v>637.82399999999996</v>
      </c>
      <c r="M82" s="103">
        <v>637.82399999999996</v>
      </c>
      <c r="N82" s="45"/>
    </row>
    <row r="83" spans="1:14" x14ac:dyDescent="0.25">
      <c r="A83" s="306"/>
      <c r="B83" s="323"/>
      <c r="C83" s="21" t="s">
        <v>172</v>
      </c>
      <c r="D83" s="1" t="s">
        <v>19</v>
      </c>
      <c r="E83" s="104">
        <v>0.35</v>
      </c>
      <c r="F83" s="104">
        <v>0.35</v>
      </c>
      <c r="G83" s="104">
        <v>0.35</v>
      </c>
      <c r="H83" s="104">
        <v>0.35</v>
      </c>
      <c r="I83" s="104">
        <v>0.35</v>
      </c>
      <c r="J83" s="104">
        <v>0.35</v>
      </c>
      <c r="K83" s="104">
        <v>0.35</v>
      </c>
      <c r="L83" s="104">
        <v>0.35</v>
      </c>
      <c r="M83" s="104">
        <v>0.35</v>
      </c>
      <c r="N83" s="45"/>
    </row>
    <row r="84" spans="1:14" x14ac:dyDescent="0.25">
      <c r="A84" s="306"/>
      <c r="B84" s="323"/>
      <c r="C84" s="21" t="s">
        <v>102</v>
      </c>
      <c r="D84" s="1" t="s">
        <v>8</v>
      </c>
      <c r="E84" s="102"/>
      <c r="F84" s="102"/>
      <c r="G84" s="102"/>
      <c r="H84" s="102"/>
      <c r="I84" s="102"/>
      <c r="J84" s="102"/>
      <c r="K84" s="102"/>
      <c r="L84" s="102"/>
      <c r="M84" s="102"/>
      <c r="N84" s="45"/>
    </row>
    <row r="85" spans="1:14" x14ac:dyDescent="0.25">
      <c r="A85" s="306"/>
      <c r="B85" s="323"/>
      <c r="C85" s="21" t="s">
        <v>103</v>
      </c>
      <c r="D85" s="1" t="s">
        <v>9</v>
      </c>
      <c r="E85" s="103">
        <v>13.153262632069701</v>
      </c>
      <c r="F85" s="103">
        <v>9.1549364536038187</v>
      </c>
      <c r="G85" s="103">
        <v>6.9983509443718122</v>
      </c>
      <c r="H85" s="103">
        <v>6.9983509443718122</v>
      </c>
      <c r="I85" s="103">
        <v>6.9983509443718122</v>
      </c>
      <c r="J85" s="103">
        <v>6.9983509443718122</v>
      </c>
      <c r="K85" s="103">
        <v>1.76</v>
      </c>
      <c r="L85" s="103">
        <v>1.76</v>
      </c>
      <c r="M85" s="103">
        <v>1.76</v>
      </c>
      <c r="N85" s="45"/>
    </row>
    <row r="86" spans="1:14" x14ac:dyDescent="0.25">
      <c r="A86" s="306"/>
      <c r="B86" s="323"/>
      <c r="C86" s="21" t="s">
        <v>104</v>
      </c>
      <c r="D86" s="1" t="s">
        <v>10</v>
      </c>
      <c r="E86" s="103">
        <v>0</v>
      </c>
      <c r="F86" s="103">
        <v>0</v>
      </c>
      <c r="G86" s="103">
        <v>0</v>
      </c>
      <c r="H86" s="103">
        <v>0</v>
      </c>
      <c r="I86" s="103">
        <v>0</v>
      </c>
      <c r="J86" s="103">
        <v>0</v>
      </c>
      <c r="K86" s="103">
        <v>2.1199999999999999E-3</v>
      </c>
      <c r="L86" s="103">
        <v>2.1199999999999999E-3</v>
      </c>
      <c r="M86" s="103">
        <v>2.1199999999999999E-3</v>
      </c>
      <c r="N86" s="45"/>
    </row>
    <row r="87" spans="1:14" ht="18.75" x14ac:dyDescent="0.25">
      <c r="A87" s="306"/>
      <c r="B87" s="323"/>
      <c r="C87" s="22" t="s">
        <v>105</v>
      </c>
      <c r="D87" s="23" t="s">
        <v>17</v>
      </c>
      <c r="E87" s="103">
        <v>0</v>
      </c>
      <c r="F87" s="103">
        <v>0</v>
      </c>
      <c r="G87" s="103">
        <v>0</v>
      </c>
      <c r="H87" s="103">
        <v>0</v>
      </c>
      <c r="I87" s="103">
        <v>0</v>
      </c>
      <c r="J87" s="103">
        <v>0</v>
      </c>
      <c r="K87" s="103">
        <v>0</v>
      </c>
      <c r="L87" s="103">
        <v>0</v>
      </c>
      <c r="M87" s="103">
        <v>0</v>
      </c>
      <c r="N87" s="45"/>
    </row>
    <row r="88" spans="1:14" x14ac:dyDescent="0.25">
      <c r="A88" s="306"/>
      <c r="B88" s="323"/>
      <c r="C88" s="22" t="s">
        <v>11</v>
      </c>
      <c r="D88" s="23" t="s">
        <v>10</v>
      </c>
      <c r="E88" s="103">
        <v>0</v>
      </c>
      <c r="F88" s="103">
        <v>0</v>
      </c>
      <c r="G88" s="103">
        <v>0</v>
      </c>
      <c r="H88" s="103">
        <v>0</v>
      </c>
      <c r="I88" s="103">
        <v>0</v>
      </c>
      <c r="J88" s="103">
        <v>0</v>
      </c>
      <c r="K88" s="103">
        <v>0</v>
      </c>
      <c r="L88" s="103">
        <v>0</v>
      </c>
      <c r="M88" s="103">
        <v>0</v>
      </c>
      <c r="N88" s="45"/>
    </row>
    <row r="89" spans="1:14" x14ac:dyDescent="0.25">
      <c r="A89" s="306"/>
      <c r="B89" s="323"/>
      <c r="C89" s="21" t="s">
        <v>18</v>
      </c>
      <c r="D89" s="2" t="s">
        <v>19</v>
      </c>
      <c r="E89" s="102">
        <v>3.82</v>
      </c>
      <c r="F89" s="102">
        <v>3.82</v>
      </c>
      <c r="G89" s="102">
        <v>3.82</v>
      </c>
      <c r="H89" s="102">
        <v>3.82</v>
      </c>
      <c r="I89" s="102">
        <v>3.82</v>
      </c>
      <c r="J89" s="102">
        <v>3.82</v>
      </c>
      <c r="K89" s="102">
        <v>3.82</v>
      </c>
      <c r="L89" s="102">
        <v>3.82</v>
      </c>
      <c r="M89" s="102">
        <v>3.82</v>
      </c>
      <c r="N89" s="45"/>
    </row>
    <row r="90" spans="1:14" x14ac:dyDescent="0.25">
      <c r="A90" s="306"/>
      <c r="B90" s="323"/>
      <c r="C90" s="21" t="s">
        <v>13</v>
      </c>
      <c r="D90" s="2" t="s">
        <v>14</v>
      </c>
      <c r="E90" s="102"/>
      <c r="F90" s="102"/>
      <c r="G90" s="102"/>
      <c r="H90" s="102"/>
      <c r="I90" s="102"/>
      <c r="J90" s="102"/>
      <c r="K90" s="102"/>
      <c r="L90" s="102"/>
      <c r="M90" s="102"/>
      <c r="N90" s="45"/>
    </row>
    <row r="91" spans="1:14" x14ac:dyDescent="0.25">
      <c r="A91" s="306"/>
      <c r="B91" s="323"/>
      <c r="C91" s="21" t="s">
        <v>15</v>
      </c>
      <c r="D91" s="1" t="s">
        <v>4</v>
      </c>
      <c r="E91" s="102"/>
      <c r="F91" s="102"/>
      <c r="G91" s="102"/>
      <c r="H91" s="102"/>
      <c r="I91" s="102"/>
      <c r="J91" s="102"/>
      <c r="K91" s="102"/>
      <c r="L91" s="102"/>
      <c r="M91" s="102"/>
      <c r="N91" s="45"/>
    </row>
    <row r="92" spans="1:14" x14ac:dyDescent="0.25">
      <c r="A92" s="306"/>
      <c r="B92" s="323"/>
      <c r="C92" s="21" t="s">
        <v>106</v>
      </c>
      <c r="D92" s="1" t="s">
        <v>6</v>
      </c>
      <c r="E92" s="103">
        <v>2542.5468857578812</v>
      </c>
      <c r="F92" s="103">
        <v>1739.7683009926391</v>
      </c>
      <c r="G92" s="103">
        <v>1094.1291208875389</v>
      </c>
      <c r="H92" s="103">
        <v>380.08243340521</v>
      </c>
      <c r="I92" s="103">
        <v>259.16347752478634</v>
      </c>
      <c r="J92" s="103">
        <v>164.27135179750144</v>
      </c>
      <c r="K92" s="103">
        <v>79.72644599626463</v>
      </c>
      <c r="L92" s="103">
        <v>69.838906006886361</v>
      </c>
      <c r="M92" s="103">
        <v>69.838906006886361</v>
      </c>
      <c r="N92" s="45"/>
    </row>
    <row r="93" spans="1:14" x14ac:dyDescent="0.25">
      <c r="A93" s="306"/>
      <c r="B93" s="323"/>
      <c r="C93" s="21" t="s">
        <v>107</v>
      </c>
      <c r="D93" s="1" t="s">
        <v>4</v>
      </c>
      <c r="E93" s="102"/>
      <c r="F93" s="102"/>
      <c r="G93" s="102"/>
      <c r="H93" s="102"/>
      <c r="I93" s="102"/>
      <c r="J93" s="102"/>
      <c r="K93" s="102"/>
      <c r="L93" s="102"/>
      <c r="M93" s="102"/>
      <c r="N93" s="45"/>
    </row>
    <row r="94" spans="1:14" ht="15" customHeight="1" x14ac:dyDescent="0.25">
      <c r="A94" s="306">
        <v>9</v>
      </c>
      <c r="B94" s="323" t="s">
        <v>108</v>
      </c>
      <c r="C94" s="21" t="s">
        <v>109</v>
      </c>
      <c r="D94" s="1" t="s">
        <v>19</v>
      </c>
      <c r="E94" s="102">
        <v>1</v>
      </c>
      <c r="F94" s="102">
        <v>1</v>
      </c>
      <c r="G94" s="102">
        <v>1</v>
      </c>
      <c r="H94" s="102">
        <v>1</v>
      </c>
      <c r="I94" s="102">
        <v>1</v>
      </c>
      <c r="J94" s="102">
        <v>1</v>
      </c>
      <c r="K94" s="102">
        <v>1</v>
      </c>
      <c r="L94" s="102">
        <v>1</v>
      </c>
      <c r="M94" s="102">
        <v>1</v>
      </c>
      <c r="N94" s="45"/>
    </row>
    <row r="95" spans="1:14" x14ac:dyDescent="0.25">
      <c r="A95" s="306"/>
      <c r="B95" s="323"/>
      <c r="C95" s="21" t="s">
        <v>21</v>
      </c>
      <c r="D95" s="1" t="s">
        <v>19</v>
      </c>
      <c r="E95" s="102">
        <v>0.35</v>
      </c>
      <c r="F95" s="102">
        <v>0.35</v>
      </c>
      <c r="G95" s="102">
        <v>0.35</v>
      </c>
      <c r="H95" s="102">
        <v>0.35</v>
      </c>
      <c r="I95" s="102">
        <v>0.35</v>
      </c>
      <c r="J95" s="102">
        <v>0.35</v>
      </c>
      <c r="K95" s="102">
        <v>0.35</v>
      </c>
      <c r="L95" s="102">
        <v>0.35</v>
      </c>
      <c r="M95" s="102">
        <v>0.35</v>
      </c>
      <c r="N95" s="45"/>
    </row>
    <row r="96" spans="1:14" x14ac:dyDescent="0.25">
      <c r="A96" s="306"/>
      <c r="B96" s="323"/>
      <c r="C96" s="21" t="s">
        <v>22</v>
      </c>
      <c r="D96" s="1" t="s">
        <v>4</v>
      </c>
      <c r="E96" s="102">
        <v>20</v>
      </c>
      <c r="F96" s="102">
        <v>20</v>
      </c>
      <c r="G96" s="102">
        <v>20</v>
      </c>
      <c r="H96" s="102">
        <v>20</v>
      </c>
      <c r="I96" s="102">
        <v>20</v>
      </c>
      <c r="J96" s="102">
        <v>20</v>
      </c>
      <c r="K96" s="102">
        <v>20</v>
      </c>
      <c r="L96" s="102">
        <v>20</v>
      </c>
      <c r="M96" s="102">
        <v>20</v>
      </c>
      <c r="N96" s="45"/>
    </row>
    <row r="97" spans="1:14" x14ac:dyDescent="0.25">
      <c r="A97" s="306"/>
      <c r="B97" s="323"/>
      <c r="C97" s="21" t="s">
        <v>23</v>
      </c>
      <c r="D97" s="1" t="s">
        <v>6</v>
      </c>
      <c r="E97" s="103">
        <v>212.90273464055423</v>
      </c>
      <c r="F97" s="103">
        <v>180.29847756137553</v>
      </c>
      <c r="G97" s="103">
        <v>140.44328080448224</v>
      </c>
      <c r="H97" s="103">
        <v>113.16977842477434</v>
      </c>
      <c r="I97" s="103">
        <v>107.31263157894738</v>
      </c>
      <c r="J97" s="103">
        <v>107.00631578947369</v>
      </c>
      <c r="K97" s="103">
        <v>105.98526315789475</v>
      </c>
      <c r="L97" s="103">
        <v>103.84105263157896</v>
      </c>
      <c r="M97" s="103">
        <v>99.55263157894737</v>
      </c>
      <c r="N97" s="45"/>
    </row>
    <row r="98" spans="1:14" x14ac:dyDescent="0.25">
      <c r="A98" s="306"/>
      <c r="B98" s="323"/>
      <c r="C98" s="21" t="s">
        <v>173</v>
      </c>
      <c r="D98" s="1" t="s">
        <v>19</v>
      </c>
      <c r="E98" s="104">
        <v>0.2</v>
      </c>
      <c r="F98" s="104">
        <v>0.2</v>
      </c>
      <c r="G98" s="104">
        <v>0.2</v>
      </c>
      <c r="H98" s="104">
        <v>0.2</v>
      </c>
      <c r="I98" s="104">
        <v>0.2</v>
      </c>
      <c r="J98" s="104">
        <v>0.2</v>
      </c>
      <c r="K98" s="104">
        <v>0.2</v>
      </c>
      <c r="L98" s="104">
        <v>0.2</v>
      </c>
      <c r="M98" s="104">
        <v>0.2</v>
      </c>
      <c r="N98" s="45"/>
    </row>
    <row r="99" spans="1:14" x14ac:dyDescent="0.25">
      <c r="A99" s="306"/>
      <c r="B99" s="323"/>
      <c r="C99" s="21" t="s">
        <v>110</v>
      </c>
      <c r="D99" s="1" t="s">
        <v>8</v>
      </c>
      <c r="E99" s="102"/>
      <c r="F99" s="102"/>
      <c r="G99" s="102"/>
      <c r="H99" s="102"/>
      <c r="I99" s="102"/>
      <c r="J99" s="102"/>
      <c r="K99" s="102"/>
      <c r="L99" s="102"/>
      <c r="M99" s="102"/>
      <c r="N99" s="45"/>
    </row>
    <row r="100" spans="1:14" x14ac:dyDescent="0.25">
      <c r="A100" s="306"/>
      <c r="B100" s="323"/>
      <c r="C100" s="21" t="s">
        <v>111</v>
      </c>
      <c r="D100" s="1" t="s">
        <v>9</v>
      </c>
      <c r="E100" s="103">
        <v>6.3870820392166268</v>
      </c>
      <c r="F100" s="103">
        <v>5.4089543268412656</v>
      </c>
      <c r="G100" s="103">
        <v>4.2132984241344671</v>
      </c>
      <c r="H100" s="103">
        <v>3.3950933527432299</v>
      </c>
      <c r="I100" s="103">
        <v>2.0378947368421052</v>
      </c>
      <c r="J100" s="103">
        <v>2.0189473684210526</v>
      </c>
      <c r="K100" s="103">
        <v>1.9557894736842103</v>
      </c>
      <c r="L100" s="103">
        <v>1.8231578947368419</v>
      </c>
      <c r="M100" s="103">
        <v>1.557894736842105</v>
      </c>
      <c r="N100" s="45"/>
    </row>
    <row r="101" spans="1:14" x14ac:dyDescent="0.25">
      <c r="A101" s="306"/>
      <c r="B101" s="323"/>
      <c r="C101" s="21" t="s">
        <v>35</v>
      </c>
      <c r="D101" s="1" t="s">
        <v>10</v>
      </c>
      <c r="E101" s="103">
        <v>0</v>
      </c>
      <c r="F101" s="103">
        <v>0</v>
      </c>
      <c r="G101" s="103">
        <v>0</v>
      </c>
      <c r="H101" s="103">
        <v>0</v>
      </c>
      <c r="I101" s="103">
        <v>0</v>
      </c>
      <c r="J101" s="103">
        <v>0</v>
      </c>
      <c r="K101" s="103">
        <v>1.6357894736842103E-3</v>
      </c>
      <c r="L101" s="103">
        <v>1.5031578947368419E-3</v>
      </c>
      <c r="M101" s="103">
        <v>1.2378947368421051E-3</v>
      </c>
      <c r="N101" s="45"/>
    </row>
    <row r="102" spans="1:14" x14ac:dyDescent="0.25">
      <c r="A102" s="306"/>
      <c r="B102" s="323"/>
      <c r="C102" s="22" t="s">
        <v>24</v>
      </c>
      <c r="D102" s="23" t="s">
        <v>10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45"/>
    </row>
    <row r="103" spans="1:14" x14ac:dyDescent="0.25">
      <c r="A103" s="306"/>
      <c r="B103" s="323"/>
      <c r="C103" s="21" t="s">
        <v>25</v>
      </c>
      <c r="D103" s="1" t="s">
        <v>7</v>
      </c>
      <c r="E103" s="104">
        <v>0.96599999999999986</v>
      </c>
      <c r="F103" s="104">
        <v>0.96599999999999986</v>
      </c>
      <c r="G103" s="104">
        <v>0.96599999999999986</v>
      </c>
      <c r="H103" s="104">
        <v>0.96599999999999986</v>
      </c>
      <c r="I103" s="104">
        <v>0.96599999999999986</v>
      </c>
      <c r="J103" s="104">
        <v>0.96599999999999986</v>
      </c>
      <c r="K103" s="104">
        <v>0.99</v>
      </c>
      <c r="L103" s="104">
        <v>0.99</v>
      </c>
      <c r="M103" s="104">
        <v>0.99</v>
      </c>
      <c r="N103" s="45"/>
    </row>
    <row r="104" spans="1:14" x14ac:dyDescent="0.25">
      <c r="A104" s="306"/>
      <c r="B104" s="323"/>
      <c r="C104" s="21" t="s">
        <v>26</v>
      </c>
      <c r="D104" s="1" t="s">
        <v>14</v>
      </c>
      <c r="E104" s="103">
        <v>1524.6</v>
      </c>
      <c r="F104" s="103">
        <v>1749.6</v>
      </c>
      <c r="G104" s="103">
        <v>2349.6</v>
      </c>
      <c r="H104" s="103">
        <v>3174.6</v>
      </c>
      <c r="I104" s="103">
        <v>4299.6000000000004</v>
      </c>
      <c r="J104" s="103">
        <v>14213</v>
      </c>
      <c r="K104" s="103">
        <v>21713</v>
      </c>
      <c r="L104" s="103">
        <v>37463</v>
      </c>
      <c r="M104" s="103">
        <v>68963</v>
      </c>
      <c r="N104" s="45"/>
    </row>
    <row r="105" spans="1:14" x14ac:dyDescent="0.25">
      <c r="A105" s="306"/>
      <c r="B105" s="323"/>
      <c r="C105" s="21" t="s">
        <v>27</v>
      </c>
      <c r="D105" s="1" t="s">
        <v>4</v>
      </c>
      <c r="E105" s="102">
        <v>40</v>
      </c>
      <c r="F105" s="102">
        <v>40</v>
      </c>
      <c r="G105" s="102">
        <v>40</v>
      </c>
      <c r="H105" s="102">
        <v>40</v>
      </c>
      <c r="I105" s="102">
        <v>40</v>
      </c>
      <c r="J105" s="102">
        <v>40</v>
      </c>
      <c r="K105" s="102">
        <v>40</v>
      </c>
      <c r="L105" s="102">
        <v>40</v>
      </c>
      <c r="M105" s="102">
        <v>40</v>
      </c>
      <c r="N105" s="45"/>
    </row>
    <row r="106" spans="1:14" x14ac:dyDescent="0.25">
      <c r="A106" s="306"/>
      <c r="B106" s="323"/>
      <c r="C106" s="21" t="s">
        <v>112</v>
      </c>
      <c r="D106" s="1" t="s">
        <v>19</v>
      </c>
      <c r="E106" s="102">
        <v>0.5</v>
      </c>
      <c r="F106" s="102">
        <v>0.5</v>
      </c>
      <c r="G106" s="102">
        <v>0.5</v>
      </c>
      <c r="H106" s="102">
        <v>0.5</v>
      </c>
      <c r="I106" s="102">
        <v>0.5</v>
      </c>
      <c r="J106" s="102">
        <v>0.5</v>
      </c>
      <c r="K106" s="102">
        <v>0.5</v>
      </c>
      <c r="L106" s="102">
        <v>0.5</v>
      </c>
      <c r="M106" s="102">
        <v>0.5</v>
      </c>
      <c r="N106" s="45"/>
    </row>
    <row r="107" spans="1:14" x14ac:dyDescent="0.25">
      <c r="A107" s="306"/>
      <c r="B107" s="323"/>
      <c r="C107" s="21" t="s">
        <v>28</v>
      </c>
      <c r="D107" s="1" t="s">
        <v>19</v>
      </c>
      <c r="E107" s="102">
        <v>1.3</v>
      </c>
      <c r="F107" s="102">
        <v>1.3</v>
      </c>
      <c r="G107" s="102">
        <v>1.3</v>
      </c>
      <c r="H107" s="102">
        <v>1.3</v>
      </c>
      <c r="I107" s="102">
        <v>1.3</v>
      </c>
      <c r="J107" s="102">
        <v>1.3</v>
      </c>
      <c r="K107" s="102">
        <v>1.3</v>
      </c>
      <c r="L107" s="102">
        <v>1.3</v>
      </c>
      <c r="M107" s="102">
        <v>1.3</v>
      </c>
      <c r="N107" s="45"/>
    </row>
    <row r="108" spans="1:14" x14ac:dyDescent="0.25">
      <c r="A108" s="306"/>
      <c r="B108" s="323"/>
      <c r="C108" s="21" t="s">
        <v>29</v>
      </c>
      <c r="D108" s="1" t="s">
        <v>4</v>
      </c>
      <c r="E108" s="102">
        <v>20</v>
      </c>
      <c r="F108" s="102">
        <v>20</v>
      </c>
      <c r="G108" s="102">
        <v>20</v>
      </c>
      <c r="H108" s="102">
        <v>20</v>
      </c>
      <c r="I108" s="102">
        <v>20</v>
      </c>
      <c r="J108" s="102">
        <v>20</v>
      </c>
      <c r="K108" s="102">
        <v>20</v>
      </c>
      <c r="L108" s="102">
        <v>20</v>
      </c>
      <c r="M108" s="102">
        <v>20</v>
      </c>
      <c r="N108" s="45"/>
    </row>
    <row r="109" spans="1:14" x14ac:dyDescent="0.25">
      <c r="A109" s="306"/>
      <c r="B109" s="323"/>
      <c r="C109" s="21" t="s">
        <v>30</v>
      </c>
      <c r="D109" s="1" t="s">
        <v>6</v>
      </c>
      <c r="E109" s="103">
        <v>1212.3185014395658</v>
      </c>
      <c r="F109" s="103">
        <v>865.6981523557846</v>
      </c>
      <c r="G109" s="103">
        <v>573.57643801209713</v>
      </c>
      <c r="H109" s="103">
        <v>482.31953407260886</v>
      </c>
      <c r="I109" s="103">
        <v>482.31953407260886</v>
      </c>
      <c r="J109" s="103">
        <v>482.31953407260886</v>
      </c>
      <c r="K109" s="103">
        <v>1281.3816732362875</v>
      </c>
      <c r="L109" s="103">
        <v>1114.6142868924398</v>
      </c>
      <c r="M109" s="103">
        <v>979.67598602574503</v>
      </c>
      <c r="N109" s="45"/>
    </row>
    <row r="110" spans="1:14" x14ac:dyDescent="0.25">
      <c r="A110" s="306"/>
      <c r="B110" s="323"/>
      <c r="C110" s="21" t="s">
        <v>174</v>
      </c>
      <c r="D110" s="1" t="s">
        <v>19</v>
      </c>
      <c r="E110" s="104">
        <v>0.35</v>
      </c>
      <c r="F110" s="104">
        <v>0.35</v>
      </c>
      <c r="G110" s="104">
        <v>0.35</v>
      </c>
      <c r="H110" s="104">
        <v>0.35</v>
      </c>
      <c r="I110" s="104">
        <v>0.35</v>
      </c>
      <c r="J110" s="104">
        <v>0.35</v>
      </c>
      <c r="K110" s="104">
        <v>0.35</v>
      </c>
      <c r="L110" s="104">
        <v>0.35</v>
      </c>
      <c r="M110" s="104">
        <v>0.35</v>
      </c>
      <c r="N110" s="45"/>
    </row>
    <row r="111" spans="1:14" x14ac:dyDescent="0.25">
      <c r="A111" s="306"/>
      <c r="B111" s="323"/>
      <c r="C111" s="21" t="s">
        <v>113</v>
      </c>
      <c r="D111" s="1" t="s">
        <v>8</v>
      </c>
      <c r="E111" s="102"/>
      <c r="F111" s="102"/>
      <c r="G111" s="102"/>
      <c r="H111" s="102"/>
      <c r="I111" s="102"/>
      <c r="J111" s="102"/>
      <c r="K111" s="102"/>
      <c r="L111" s="102"/>
      <c r="M111" s="102"/>
      <c r="N111" s="45"/>
    </row>
    <row r="112" spans="1:14" x14ac:dyDescent="0.25">
      <c r="A112" s="306"/>
      <c r="B112" s="323"/>
      <c r="C112" s="21" t="s">
        <v>114</v>
      </c>
      <c r="D112" s="1" t="s">
        <v>9</v>
      </c>
      <c r="E112" s="102"/>
      <c r="F112" s="102"/>
      <c r="G112" s="102"/>
      <c r="H112" s="102"/>
      <c r="I112" s="102"/>
      <c r="J112" s="102"/>
      <c r="K112" s="102"/>
      <c r="L112" s="102"/>
      <c r="M112" s="102"/>
      <c r="N112" s="45"/>
    </row>
    <row r="113" spans="1:15" x14ac:dyDescent="0.25">
      <c r="A113" s="306"/>
      <c r="B113" s="323"/>
      <c r="C113" s="21" t="s">
        <v>115</v>
      </c>
      <c r="D113" s="1" t="s">
        <v>10</v>
      </c>
      <c r="E113" s="103">
        <v>0</v>
      </c>
      <c r="F113" s="103">
        <v>0</v>
      </c>
      <c r="G113" s="103">
        <v>0</v>
      </c>
      <c r="H113" s="103">
        <v>0</v>
      </c>
      <c r="I113" s="103">
        <v>0</v>
      </c>
      <c r="J113" s="103">
        <v>0</v>
      </c>
      <c r="K113" s="103">
        <v>0</v>
      </c>
      <c r="L113" s="103">
        <v>2.1199999999999999E-3</v>
      </c>
      <c r="M113" s="103">
        <v>2.1199999999999999E-3</v>
      </c>
      <c r="N113" s="48"/>
      <c r="O113" s="49"/>
    </row>
    <row r="114" spans="1:15" ht="18.75" x14ac:dyDescent="0.25">
      <c r="A114" s="306"/>
      <c r="B114" s="323"/>
      <c r="C114" s="22" t="s">
        <v>116</v>
      </c>
      <c r="D114" s="23" t="s">
        <v>17</v>
      </c>
      <c r="E114" s="103">
        <v>0</v>
      </c>
      <c r="F114" s="103">
        <v>0</v>
      </c>
      <c r="G114" s="103">
        <v>0</v>
      </c>
      <c r="H114" s="103">
        <v>0</v>
      </c>
      <c r="I114" s="103">
        <v>0</v>
      </c>
      <c r="J114" s="103">
        <v>0</v>
      </c>
      <c r="K114" s="103">
        <v>0</v>
      </c>
      <c r="L114" s="103">
        <v>0</v>
      </c>
      <c r="M114" s="103">
        <v>0</v>
      </c>
      <c r="N114" s="45"/>
    </row>
    <row r="115" spans="1:15" x14ac:dyDescent="0.25">
      <c r="A115" s="306"/>
      <c r="B115" s="323"/>
      <c r="C115" s="22" t="s">
        <v>31</v>
      </c>
      <c r="D115" s="23" t="s">
        <v>10</v>
      </c>
      <c r="E115" s="103">
        <v>0</v>
      </c>
      <c r="F115" s="103">
        <v>0</v>
      </c>
      <c r="G115" s="103">
        <v>0</v>
      </c>
      <c r="H115" s="103">
        <v>0</v>
      </c>
      <c r="I115" s="103">
        <v>0</v>
      </c>
      <c r="J115" s="103">
        <v>0</v>
      </c>
      <c r="K115" s="103">
        <v>0</v>
      </c>
      <c r="L115" s="103">
        <v>0</v>
      </c>
      <c r="M115" s="103">
        <v>0</v>
      </c>
      <c r="N115" s="45"/>
    </row>
    <row r="116" spans="1:15" x14ac:dyDescent="0.25">
      <c r="A116" s="306"/>
      <c r="B116" s="323"/>
      <c r="C116" s="21" t="s">
        <v>32</v>
      </c>
      <c r="D116" s="2" t="s">
        <v>19</v>
      </c>
      <c r="E116" s="102">
        <v>3.2399999999999998</v>
      </c>
      <c r="F116" s="102">
        <v>3.2399999999999998</v>
      </c>
      <c r="G116" s="102">
        <v>3.2399999999999998</v>
      </c>
      <c r="H116" s="102">
        <v>3.2399999999999998</v>
      </c>
      <c r="I116" s="102">
        <v>3.2399999999999998</v>
      </c>
      <c r="J116" s="102">
        <v>3.2399999999999998</v>
      </c>
      <c r="K116" s="102">
        <v>3.2399999999999998</v>
      </c>
      <c r="L116" s="102">
        <v>3.2399999999999998</v>
      </c>
      <c r="M116" s="102">
        <v>3.2399999999999998</v>
      </c>
      <c r="N116" s="45"/>
    </row>
    <row r="117" spans="1:15" x14ac:dyDescent="0.25">
      <c r="A117" s="306"/>
      <c r="B117" s="323"/>
      <c r="C117" s="21" t="s">
        <v>33</v>
      </c>
      <c r="D117" s="2" t="s">
        <v>14</v>
      </c>
      <c r="E117" s="102"/>
      <c r="F117" s="102"/>
      <c r="G117" s="102"/>
      <c r="H117" s="102"/>
      <c r="I117" s="102"/>
      <c r="J117" s="102"/>
      <c r="K117" s="102"/>
      <c r="L117" s="102"/>
      <c r="M117" s="102"/>
      <c r="N117" s="45"/>
    </row>
    <row r="118" spans="1:15" x14ac:dyDescent="0.25">
      <c r="A118" s="306"/>
      <c r="B118" s="323"/>
      <c r="C118" s="21" t="s">
        <v>34</v>
      </c>
      <c r="D118" s="2" t="s">
        <v>4</v>
      </c>
      <c r="E118" s="102"/>
      <c r="F118" s="102"/>
      <c r="G118" s="102"/>
      <c r="H118" s="102"/>
      <c r="I118" s="102"/>
      <c r="J118" s="102"/>
      <c r="K118" s="102"/>
      <c r="L118" s="102"/>
      <c r="M118" s="102"/>
      <c r="N118" s="45"/>
    </row>
    <row r="119" spans="1:15" ht="15" customHeight="1" x14ac:dyDescent="0.25">
      <c r="A119" s="306">
        <v>10</v>
      </c>
      <c r="B119" s="323" t="s">
        <v>175</v>
      </c>
      <c r="C119" s="21" t="s">
        <v>109</v>
      </c>
      <c r="D119" s="1" t="s">
        <v>19</v>
      </c>
      <c r="E119" s="102">
        <v>1</v>
      </c>
      <c r="F119" s="102">
        <v>1</v>
      </c>
      <c r="G119" s="102">
        <v>1</v>
      </c>
      <c r="H119" s="102">
        <v>1</v>
      </c>
      <c r="I119" s="102">
        <v>1</v>
      </c>
      <c r="J119" s="102">
        <v>1</v>
      </c>
      <c r="K119" s="102">
        <v>1</v>
      </c>
      <c r="L119" s="102">
        <v>1</v>
      </c>
      <c r="M119" s="102">
        <v>1</v>
      </c>
      <c r="N119" s="45"/>
    </row>
    <row r="120" spans="1:15" x14ac:dyDescent="0.25">
      <c r="A120" s="306"/>
      <c r="B120" s="323"/>
      <c r="C120" s="21" t="s">
        <v>21</v>
      </c>
      <c r="D120" s="1" t="s">
        <v>19</v>
      </c>
      <c r="E120" s="102">
        <v>0.35</v>
      </c>
      <c r="F120" s="102">
        <v>0.35</v>
      </c>
      <c r="G120" s="102">
        <v>0.35</v>
      </c>
      <c r="H120" s="102">
        <v>0.35</v>
      </c>
      <c r="I120" s="102">
        <v>0.35</v>
      </c>
      <c r="J120" s="102">
        <v>0.35</v>
      </c>
      <c r="K120" s="102">
        <v>0.35</v>
      </c>
      <c r="L120" s="102">
        <v>0.35</v>
      </c>
      <c r="M120" s="102">
        <v>0.35</v>
      </c>
      <c r="N120" s="45"/>
    </row>
    <row r="121" spans="1:15" x14ac:dyDescent="0.25">
      <c r="A121" s="306"/>
      <c r="B121" s="323"/>
      <c r="C121" s="21" t="s">
        <v>22</v>
      </c>
      <c r="D121" s="1" t="s">
        <v>4</v>
      </c>
      <c r="E121" s="102">
        <v>20</v>
      </c>
      <c r="F121" s="102">
        <v>20</v>
      </c>
      <c r="G121" s="102">
        <v>20</v>
      </c>
      <c r="H121" s="102">
        <v>20</v>
      </c>
      <c r="I121" s="102">
        <v>20</v>
      </c>
      <c r="J121" s="102">
        <v>20</v>
      </c>
      <c r="K121" s="102">
        <v>20</v>
      </c>
      <c r="L121" s="102">
        <v>20</v>
      </c>
      <c r="M121" s="102">
        <v>20</v>
      </c>
      <c r="N121" s="45"/>
    </row>
    <row r="122" spans="1:15" x14ac:dyDescent="0.25">
      <c r="A122" s="306"/>
      <c r="B122" s="323"/>
      <c r="C122" s="21" t="s">
        <v>23</v>
      </c>
      <c r="D122" s="1" t="s">
        <v>6</v>
      </c>
      <c r="E122" s="103">
        <v>212.90273464055423</v>
      </c>
      <c r="F122" s="103">
        <v>180.29847756137553</v>
      </c>
      <c r="G122" s="103">
        <v>140.44328080448224</v>
      </c>
      <c r="H122" s="103">
        <v>113.16977842477434</v>
      </c>
      <c r="I122" s="103">
        <v>107.31263157894738</v>
      </c>
      <c r="J122" s="103">
        <v>107.00631578947369</v>
      </c>
      <c r="K122" s="103">
        <v>105.98526315789475</v>
      </c>
      <c r="L122" s="103">
        <v>103.84105263157896</v>
      </c>
      <c r="M122" s="103">
        <v>99.55263157894737</v>
      </c>
      <c r="N122" s="45"/>
    </row>
    <row r="123" spans="1:15" x14ac:dyDescent="0.25">
      <c r="A123" s="306"/>
      <c r="B123" s="323"/>
      <c r="C123" s="21" t="s">
        <v>173</v>
      </c>
      <c r="D123" s="1" t="s">
        <v>19</v>
      </c>
      <c r="E123" s="104">
        <v>0</v>
      </c>
      <c r="F123" s="104">
        <v>0</v>
      </c>
      <c r="G123" s="104">
        <v>0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45"/>
    </row>
    <row r="124" spans="1:15" x14ac:dyDescent="0.25">
      <c r="A124" s="306"/>
      <c r="B124" s="323"/>
      <c r="C124" s="21" t="s">
        <v>110</v>
      </c>
      <c r="D124" s="1" t="s">
        <v>8</v>
      </c>
      <c r="E124" s="102"/>
      <c r="F124" s="102"/>
      <c r="G124" s="102"/>
      <c r="H124" s="102"/>
      <c r="I124" s="102"/>
      <c r="J124" s="102"/>
      <c r="K124" s="102"/>
      <c r="L124" s="102"/>
      <c r="M124" s="102"/>
      <c r="N124" s="45"/>
    </row>
    <row r="125" spans="1:15" x14ac:dyDescent="0.25">
      <c r="A125" s="306"/>
      <c r="B125" s="323"/>
      <c r="C125" s="21" t="s">
        <v>111</v>
      </c>
      <c r="D125" s="1" t="s">
        <v>9</v>
      </c>
      <c r="E125" s="103">
        <v>6.3870820392166268</v>
      </c>
      <c r="F125" s="103">
        <v>5.4089543268412656</v>
      </c>
      <c r="G125" s="103">
        <v>4.2132984241344671</v>
      </c>
      <c r="H125" s="103">
        <v>3.3950933527432299</v>
      </c>
      <c r="I125" s="103">
        <v>2.0378947368421052</v>
      </c>
      <c r="J125" s="103">
        <v>2.0189473684210526</v>
      </c>
      <c r="K125" s="103">
        <v>1.9557894736842103</v>
      </c>
      <c r="L125" s="103">
        <v>1.8231578947368419</v>
      </c>
      <c r="M125" s="103">
        <v>1.557894736842105</v>
      </c>
      <c r="N125" s="45"/>
    </row>
    <row r="126" spans="1:15" x14ac:dyDescent="0.25">
      <c r="A126" s="306"/>
      <c r="B126" s="323"/>
      <c r="C126" s="21" t="s">
        <v>35</v>
      </c>
      <c r="D126" s="1" t="s">
        <v>10</v>
      </c>
      <c r="E126" s="103">
        <v>0</v>
      </c>
      <c r="F126" s="103">
        <v>0</v>
      </c>
      <c r="G126" s="103">
        <v>0</v>
      </c>
      <c r="H126" s="103">
        <v>0</v>
      </c>
      <c r="I126" s="103">
        <v>0</v>
      </c>
      <c r="J126" s="103">
        <v>0</v>
      </c>
      <c r="K126" s="103">
        <v>1.6357894736842103E-3</v>
      </c>
      <c r="L126" s="103">
        <v>1.5031578947368419E-3</v>
      </c>
      <c r="M126" s="103">
        <v>1.2378947368421051E-3</v>
      </c>
      <c r="N126" s="45"/>
    </row>
    <row r="127" spans="1:15" x14ac:dyDescent="0.25">
      <c r="A127" s="306"/>
      <c r="B127" s="323"/>
      <c r="C127" s="22" t="s">
        <v>24</v>
      </c>
      <c r="D127" s="23" t="s">
        <v>10</v>
      </c>
      <c r="E127" s="103">
        <v>0</v>
      </c>
      <c r="F127" s="103">
        <v>0</v>
      </c>
      <c r="G127" s="103">
        <v>0</v>
      </c>
      <c r="H127" s="103">
        <v>0</v>
      </c>
      <c r="I127" s="103">
        <v>0</v>
      </c>
      <c r="J127" s="103">
        <v>0</v>
      </c>
      <c r="K127" s="103">
        <v>0</v>
      </c>
      <c r="L127" s="103">
        <v>0</v>
      </c>
      <c r="M127" s="103">
        <v>0</v>
      </c>
      <c r="N127" s="45"/>
    </row>
    <row r="128" spans="1:15" x14ac:dyDescent="0.25">
      <c r="A128" s="306"/>
      <c r="B128" s="323"/>
      <c r="C128" s="21" t="s">
        <v>25</v>
      </c>
      <c r="D128" s="1" t="s">
        <v>7</v>
      </c>
      <c r="E128" s="104">
        <v>0.96599999999999986</v>
      </c>
      <c r="F128" s="104">
        <v>0.96599999999999986</v>
      </c>
      <c r="G128" s="104">
        <v>0.96599999999999986</v>
      </c>
      <c r="H128" s="104">
        <v>0.96599999999999986</v>
      </c>
      <c r="I128" s="104">
        <v>0.96599999999999986</v>
      </c>
      <c r="J128" s="104">
        <v>0.96599999999999986</v>
      </c>
      <c r="K128" s="104">
        <v>0.99</v>
      </c>
      <c r="L128" s="104">
        <v>0.99</v>
      </c>
      <c r="M128" s="104">
        <v>0.99</v>
      </c>
      <c r="N128" s="45"/>
    </row>
    <row r="129" spans="1:14" x14ac:dyDescent="0.25">
      <c r="A129" s="306"/>
      <c r="B129" s="323"/>
      <c r="C129" s="21" t="s">
        <v>26</v>
      </c>
      <c r="D129" s="1" t="s">
        <v>14</v>
      </c>
      <c r="E129" s="103">
        <v>1524.6</v>
      </c>
      <c r="F129" s="103">
        <v>1749.6</v>
      </c>
      <c r="G129" s="103">
        <v>2349.6</v>
      </c>
      <c r="H129" s="103">
        <v>3174.6</v>
      </c>
      <c r="I129" s="103">
        <v>4299.6000000000004</v>
      </c>
      <c r="J129" s="103">
        <v>14213</v>
      </c>
      <c r="K129" s="103">
        <v>21713</v>
      </c>
      <c r="L129" s="103">
        <v>37463</v>
      </c>
      <c r="M129" s="103">
        <v>68963</v>
      </c>
      <c r="N129" s="45"/>
    </row>
    <row r="130" spans="1:14" x14ac:dyDescent="0.25">
      <c r="A130" s="306"/>
      <c r="B130" s="323"/>
      <c r="C130" s="21" t="s">
        <v>27</v>
      </c>
      <c r="D130" s="1" t="s">
        <v>4</v>
      </c>
      <c r="E130" s="102">
        <v>40</v>
      </c>
      <c r="F130" s="102">
        <v>40</v>
      </c>
      <c r="G130" s="102">
        <v>40</v>
      </c>
      <c r="H130" s="102">
        <v>40</v>
      </c>
      <c r="I130" s="102">
        <v>40</v>
      </c>
      <c r="J130" s="102">
        <v>40</v>
      </c>
      <c r="K130" s="102">
        <v>40</v>
      </c>
      <c r="L130" s="102">
        <v>40</v>
      </c>
      <c r="M130" s="102">
        <v>40</v>
      </c>
      <c r="N130" s="45"/>
    </row>
    <row r="131" spans="1:14" x14ac:dyDescent="0.25">
      <c r="A131" s="306"/>
      <c r="B131" s="323"/>
      <c r="C131" s="21" t="s">
        <v>117</v>
      </c>
      <c r="D131" s="1" t="s">
        <v>19</v>
      </c>
      <c r="E131" s="102">
        <v>0.35</v>
      </c>
      <c r="F131" s="102">
        <v>0.35</v>
      </c>
      <c r="G131" s="102">
        <v>0.35</v>
      </c>
      <c r="H131" s="102">
        <v>0.35</v>
      </c>
      <c r="I131" s="102">
        <v>0.35</v>
      </c>
      <c r="J131" s="102">
        <v>0.35</v>
      </c>
      <c r="K131" s="102">
        <v>0.35</v>
      </c>
      <c r="L131" s="102">
        <v>0.35</v>
      </c>
      <c r="M131" s="102">
        <v>0.35</v>
      </c>
      <c r="N131" s="45"/>
    </row>
    <row r="132" spans="1:14" x14ac:dyDescent="0.25">
      <c r="A132" s="306"/>
      <c r="B132" s="323"/>
      <c r="C132" s="21" t="s">
        <v>36</v>
      </c>
      <c r="D132" s="1" t="s">
        <v>19</v>
      </c>
      <c r="E132" s="102">
        <v>1.8571428571428572</v>
      </c>
      <c r="F132" s="102">
        <v>1.8571428571428572</v>
      </c>
      <c r="G132" s="102">
        <v>1.8571428571428572</v>
      </c>
      <c r="H132" s="102">
        <v>1.8571428571428572</v>
      </c>
      <c r="I132" s="102">
        <v>1.8571428571428572</v>
      </c>
      <c r="J132" s="102">
        <v>1.8571428571428572</v>
      </c>
      <c r="K132" s="102">
        <v>1.8571428571428572</v>
      </c>
      <c r="L132" s="102">
        <v>1.8571428571428572</v>
      </c>
      <c r="M132" s="102">
        <v>1.8571428571428572</v>
      </c>
      <c r="N132" s="45"/>
    </row>
    <row r="133" spans="1:14" x14ac:dyDescent="0.25">
      <c r="A133" s="306"/>
      <c r="B133" s="323"/>
      <c r="C133" s="21" t="s">
        <v>37</v>
      </c>
      <c r="D133" s="1" t="s">
        <v>4</v>
      </c>
      <c r="E133" s="102">
        <v>20</v>
      </c>
      <c r="F133" s="102">
        <v>20</v>
      </c>
      <c r="G133" s="102">
        <v>20</v>
      </c>
      <c r="H133" s="102">
        <v>20</v>
      </c>
      <c r="I133" s="102">
        <v>20</v>
      </c>
      <c r="J133" s="102">
        <v>20</v>
      </c>
      <c r="K133" s="102">
        <v>20</v>
      </c>
      <c r="L133" s="102">
        <v>20</v>
      </c>
      <c r="M133" s="102">
        <v>20</v>
      </c>
      <c r="N133" s="45"/>
    </row>
    <row r="134" spans="1:14" x14ac:dyDescent="0.25">
      <c r="A134" s="306"/>
      <c r="B134" s="323"/>
      <c r="C134" s="21" t="s">
        <v>38</v>
      </c>
      <c r="D134" s="1" t="s">
        <v>6</v>
      </c>
      <c r="E134" s="103">
        <v>6505.2925894863074</v>
      </c>
      <c r="F134" s="103">
        <v>4401.6753460736363</v>
      </c>
      <c r="G134" s="103">
        <v>2730.489848151858</v>
      </c>
      <c r="H134" s="103">
        <v>2119.9941480339958</v>
      </c>
      <c r="I134" s="103">
        <v>1761.8425600025264</v>
      </c>
      <c r="J134" s="103">
        <v>1439.7537496450543</v>
      </c>
      <c r="K134" s="103">
        <v>1128.0333292524301</v>
      </c>
      <c r="L134" s="103">
        <v>904.18982423028638</v>
      </c>
      <c r="M134" s="103">
        <v>736.80866636730173</v>
      </c>
      <c r="N134" s="45"/>
    </row>
    <row r="135" spans="1:14" x14ac:dyDescent="0.25">
      <c r="A135" s="306"/>
      <c r="B135" s="323"/>
      <c r="C135" s="21" t="s">
        <v>176</v>
      </c>
      <c r="D135" s="1" t="s">
        <v>19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45"/>
    </row>
    <row r="136" spans="1:14" x14ac:dyDescent="0.25">
      <c r="A136" s="306"/>
      <c r="B136" s="323"/>
      <c r="C136" s="21" t="s">
        <v>118</v>
      </c>
      <c r="D136" s="1" t="s">
        <v>8</v>
      </c>
      <c r="E136" s="102"/>
      <c r="F136" s="102"/>
      <c r="G136" s="102"/>
      <c r="H136" s="102"/>
      <c r="I136" s="102"/>
      <c r="J136" s="102"/>
      <c r="K136" s="102"/>
      <c r="L136" s="102"/>
      <c r="M136" s="102"/>
      <c r="N136" s="45"/>
    </row>
    <row r="137" spans="1:14" x14ac:dyDescent="0.25">
      <c r="A137" s="306"/>
      <c r="B137" s="323"/>
      <c r="C137" s="21" t="s">
        <v>119</v>
      </c>
      <c r="D137" s="1" t="s">
        <v>9</v>
      </c>
      <c r="E137" s="102"/>
      <c r="F137" s="102"/>
      <c r="G137" s="102"/>
      <c r="H137" s="102"/>
      <c r="I137" s="102"/>
      <c r="J137" s="102"/>
      <c r="K137" s="102"/>
      <c r="L137" s="102"/>
      <c r="M137" s="102"/>
      <c r="N137" s="45"/>
    </row>
    <row r="138" spans="1:14" x14ac:dyDescent="0.25">
      <c r="A138" s="306"/>
      <c r="B138" s="323"/>
      <c r="C138" s="21" t="s">
        <v>39</v>
      </c>
      <c r="D138" s="1" t="s">
        <v>10</v>
      </c>
      <c r="E138" s="103">
        <v>5.4632155805897732E-2</v>
      </c>
      <c r="F138" s="103">
        <v>6.9225169277652349E-2</v>
      </c>
      <c r="G138" s="103">
        <v>5.5072970988733948E-2</v>
      </c>
      <c r="H138" s="103">
        <v>4.6604222305577481E-2</v>
      </c>
      <c r="I138" s="103">
        <v>4.0289223212275231E-2</v>
      </c>
      <c r="J138" s="103">
        <v>2.4583755873341454E-2</v>
      </c>
      <c r="K138" s="103">
        <v>1.9104989606490121E-2</v>
      </c>
      <c r="L138" s="103">
        <v>1.5182594783541725E-2</v>
      </c>
      <c r="M138" s="103">
        <v>1.3307545040231683E-2</v>
      </c>
      <c r="N138" s="45"/>
    </row>
    <row r="139" spans="1:14" x14ac:dyDescent="0.25">
      <c r="A139" s="306"/>
      <c r="B139" s="323"/>
      <c r="C139" s="22" t="s">
        <v>40</v>
      </c>
      <c r="D139" s="23" t="s">
        <v>10</v>
      </c>
      <c r="E139" s="103">
        <v>0</v>
      </c>
      <c r="F139" s="103">
        <v>0</v>
      </c>
      <c r="G139" s="103">
        <v>0</v>
      </c>
      <c r="H139" s="103">
        <v>0</v>
      </c>
      <c r="I139" s="103">
        <v>0</v>
      </c>
      <c r="J139" s="103">
        <v>0</v>
      </c>
      <c r="K139" s="103">
        <v>0</v>
      </c>
      <c r="L139" s="103">
        <v>0</v>
      </c>
      <c r="M139" s="103">
        <v>0</v>
      </c>
      <c r="N139" s="45"/>
    </row>
    <row r="140" spans="1:14" x14ac:dyDescent="0.25">
      <c r="A140" s="306"/>
      <c r="B140" s="323"/>
      <c r="C140" s="21" t="s">
        <v>41</v>
      </c>
      <c r="D140" s="1" t="s">
        <v>14</v>
      </c>
      <c r="E140" s="102"/>
      <c r="F140" s="102"/>
      <c r="G140" s="102"/>
      <c r="H140" s="102"/>
      <c r="I140" s="102"/>
      <c r="J140" s="102"/>
      <c r="K140" s="102"/>
      <c r="L140" s="102"/>
      <c r="M140" s="102"/>
      <c r="N140" s="45"/>
    </row>
    <row r="141" spans="1:14" x14ac:dyDescent="0.25">
      <c r="A141" s="306"/>
      <c r="B141" s="323"/>
      <c r="C141" s="21" t="s">
        <v>42</v>
      </c>
      <c r="D141" s="1" t="s">
        <v>4</v>
      </c>
      <c r="E141" s="102"/>
      <c r="F141" s="102"/>
      <c r="G141" s="102"/>
      <c r="H141" s="102"/>
      <c r="I141" s="102"/>
      <c r="J141" s="102"/>
      <c r="K141" s="102"/>
      <c r="L141" s="102"/>
      <c r="M141" s="102"/>
      <c r="N141" s="45"/>
    </row>
    <row r="142" spans="1:14" x14ac:dyDescent="0.25">
      <c r="A142" s="306"/>
      <c r="B142" s="323"/>
      <c r="C142" s="21" t="s">
        <v>43</v>
      </c>
      <c r="D142" s="1" t="s">
        <v>7</v>
      </c>
      <c r="E142" s="105">
        <v>0.25</v>
      </c>
      <c r="F142" s="105">
        <v>0.25</v>
      </c>
      <c r="G142" s="105">
        <v>0.25</v>
      </c>
      <c r="H142" s="105">
        <v>0.25</v>
      </c>
      <c r="I142" s="105">
        <v>0.25</v>
      </c>
      <c r="J142" s="105">
        <v>0.25</v>
      </c>
      <c r="K142" s="105">
        <v>0.25</v>
      </c>
      <c r="L142" s="105">
        <v>0.25</v>
      </c>
      <c r="M142" s="105">
        <v>0.25</v>
      </c>
      <c r="N142" s="45"/>
    </row>
    <row r="143" spans="1:14" x14ac:dyDescent="0.25">
      <c r="A143" s="306"/>
      <c r="B143" s="323"/>
      <c r="C143" s="24" t="s">
        <v>44</v>
      </c>
      <c r="D143" s="1" t="s">
        <v>7</v>
      </c>
      <c r="E143" s="104">
        <v>0.66625430833964439</v>
      </c>
      <c r="F143" s="104">
        <v>0.66367464936796561</v>
      </c>
      <c r="G143" s="104">
        <v>0.65679555877682227</v>
      </c>
      <c r="H143" s="104">
        <v>0.64733680921400016</v>
      </c>
      <c r="I143" s="104">
        <v>0.63443851435560639</v>
      </c>
      <c r="J143" s="104">
        <v>0.4680070358050421</v>
      </c>
      <c r="K143" s="104">
        <v>0.46713859851464173</v>
      </c>
      <c r="L143" s="104">
        <v>0.46531488020480088</v>
      </c>
      <c r="M143" s="104">
        <v>0.47</v>
      </c>
      <c r="N143" s="45"/>
    </row>
    <row r="144" spans="1:14" x14ac:dyDescent="0.25">
      <c r="A144" s="306"/>
      <c r="B144" s="323"/>
      <c r="C144" s="24" t="s">
        <v>45</v>
      </c>
      <c r="D144" s="1" t="s">
        <v>7</v>
      </c>
      <c r="E144" s="104">
        <v>0.25092243745356524</v>
      </c>
      <c r="F144" s="104">
        <v>0.25657675134016689</v>
      </c>
      <c r="G144" s="104">
        <v>0.27165492170443795</v>
      </c>
      <c r="H144" s="104">
        <v>0.29238740595531065</v>
      </c>
      <c r="I144" s="104">
        <v>0.32065897538831889</v>
      </c>
      <c r="J144" s="104">
        <v>0.41290384467151914</v>
      </c>
      <c r="K144" s="104">
        <v>0.41363974384019625</v>
      </c>
      <c r="L144" s="104">
        <v>0.41518513209441815</v>
      </c>
      <c r="M144" s="104">
        <v>0.41599999999999998</v>
      </c>
      <c r="N144" s="45"/>
    </row>
    <row r="145" spans="1:14" x14ac:dyDescent="0.25">
      <c r="A145" s="306"/>
      <c r="B145" s="323"/>
      <c r="C145" s="25" t="s">
        <v>120</v>
      </c>
      <c r="D145" s="23" t="s">
        <v>10</v>
      </c>
      <c r="E145" s="103">
        <v>0.16</v>
      </c>
      <c r="F145" s="103">
        <v>0.16</v>
      </c>
      <c r="G145" s="103">
        <v>0.16</v>
      </c>
      <c r="H145" s="103">
        <v>0.16</v>
      </c>
      <c r="I145" s="103">
        <v>0.06</v>
      </c>
      <c r="J145" s="103">
        <v>0.05</v>
      </c>
      <c r="K145" s="103">
        <v>4.3999999999999997E-2</v>
      </c>
      <c r="L145" s="103">
        <v>4.3999999999999997E-2</v>
      </c>
      <c r="M145" s="103">
        <v>4.3999999999999997E-2</v>
      </c>
      <c r="N145" s="45"/>
    </row>
    <row r="146" spans="1:14" x14ac:dyDescent="0.25">
      <c r="A146" s="306"/>
      <c r="B146" s="323"/>
      <c r="C146" s="25" t="s">
        <v>121</v>
      </c>
      <c r="D146" s="23" t="s">
        <v>122</v>
      </c>
      <c r="E146" s="103">
        <v>0.08</v>
      </c>
      <c r="F146" s="103">
        <v>0.08</v>
      </c>
      <c r="G146" s="103">
        <v>0.08</v>
      </c>
      <c r="H146" s="103">
        <v>0.08</v>
      </c>
      <c r="I146" s="103">
        <v>0.03</v>
      </c>
      <c r="J146" s="103">
        <v>0</v>
      </c>
      <c r="K146" s="103">
        <v>0</v>
      </c>
      <c r="L146" s="103">
        <v>0</v>
      </c>
      <c r="M146" s="103">
        <v>0</v>
      </c>
      <c r="N146" s="45"/>
    </row>
    <row r="147" spans="1:14" x14ac:dyDescent="0.25">
      <c r="A147" s="306"/>
      <c r="B147" s="323"/>
      <c r="C147" s="25" t="s">
        <v>123</v>
      </c>
      <c r="D147" s="23" t="s">
        <v>124</v>
      </c>
      <c r="E147" s="102">
        <v>5.4999999999999997E-3</v>
      </c>
      <c r="F147" s="102">
        <v>5.4999999999999997E-3</v>
      </c>
      <c r="G147" s="102">
        <v>5.4999999999999997E-3</v>
      </c>
      <c r="H147" s="102">
        <v>5.4999999999999997E-3</v>
      </c>
      <c r="I147" s="102">
        <v>5.4999999999999997E-3</v>
      </c>
      <c r="J147" s="102">
        <v>5.4999999999999997E-3</v>
      </c>
      <c r="K147" s="102">
        <v>5.4999999999999997E-3</v>
      </c>
      <c r="L147" s="102">
        <v>5.4999999999999997E-3</v>
      </c>
      <c r="M147" s="102">
        <v>5.4999999999999997E-3</v>
      </c>
      <c r="N147" s="45"/>
    </row>
    <row r="148" spans="1:14" ht="15" customHeight="1" x14ac:dyDescent="0.25">
      <c r="A148" s="306">
        <v>11</v>
      </c>
      <c r="B148" s="323" t="s">
        <v>177</v>
      </c>
      <c r="C148" s="21" t="s">
        <v>109</v>
      </c>
      <c r="D148" s="1" t="s">
        <v>19</v>
      </c>
      <c r="E148" s="102">
        <v>1</v>
      </c>
      <c r="F148" s="102">
        <v>1</v>
      </c>
      <c r="G148" s="102">
        <v>1</v>
      </c>
      <c r="H148" s="102">
        <v>1</v>
      </c>
      <c r="I148" s="102">
        <v>1</v>
      </c>
      <c r="J148" s="102">
        <v>1</v>
      </c>
      <c r="K148" s="102">
        <v>1</v>
      </c>
      <c r="L148" s="102">
        <v>1</v>
      </c>
      <c r="M148" s="102">
        <v>1</v>
      </c>
      <c r="N148" s="45"/>
    </row>
    <row r="149" spans="1:14" x14ac:dyDescent="0.25">
      <c r="A149" s="306"/>
      <c r="B149" s="323"/>
      <c r="C149" s="21" t="s">
        <v>21</v>
      </c>
      <c r="D149" s="1" t="s">
        <v>19</v>
      </c>
      <c r="E149" s="102">
        <v>0.35</v>
      </c>
      <c r="F149" s="102">
        <v>0.35</v>
      </c>
      <c r="G149" s="102">
        <v>0.35</v>
      </c>
      <c r="H149" s="102">
        <v>0.35</v>
      </c>
      <c r="I149" s="102">
        <v>0.35</v>
      </c>
      <c r="J149" s="102">
        <v>0.35</v>
      </c>
      <c r="K149" s="102">
        <v>0.35</v>
      </c>
      <c r="L149" s="102">
        <v>0.35</v>
      </c>
      <c r="M149" s="102">
        <v>0.35</v>
      </c>
      <c r="N149" s="45"/>
    </row>
    <row r="150" spans="1:14" x14ac:dyDescent="0.25">
      <c r="A150" s="306"/>
      <c r="B150" s="323"/>
      <c r="C150" s="21" t="s">
        <v>22</v>
      </c>
      <c r="D150" s="1" t="s">
        <v>4</v>
      </c>
      <c r="E150" s="102">
        <v>20</v>
      </c>
      <c r="F150" s="102">
        <v>20</v>
      </c>
      <c r="G150" s="102">
        <v>20</v>
      </c>
      <c r="H150" s="102">
        <v>20</v>
      </c>
      <c r="I150" s="102">
        <v>20</v>
      </c>
      <c r="J150" s="102">
        <v>20</v>
      </c>
      <c r="K150" s="102">
        <v>20</v>
      </c>
      <c r="L150" s="102">
        <v>20</v>
      </c>
      <c r="M150" s="102">
        <v>20</v>
      </c>
      <c r="N150" s="45"/>
    </row>
    <row r="151" spans="1:14" x14ac:dyDescent="0.25">
      <c r="A151" s="306"/>
      <c r="B151" s="323"/>
      <c r="C151" s="21" t="s">
        <v>23</v>
      </c>
      <c r="D151" s="1" t="s">
        <v>6</v>
      </c>
      <c r="E151" s="103">
        <v>212.90273464055423</v>
      </c>
      <c r="F151" s="103">
        <v>180.29847756137553</v>
      </c>
      <c r="G151" s="103">
        <v>140.44328080448224</v>
      </c>
      <c r="H151" s="103">
        <v>113.16977842477434</v>
      </c>
      <c r="I151" s="103">
        <v>107.31263157894738</v>
      </c>
      <c r="J151" s="103">
        <v>107.00631578947369</v>
      </c>
      <c r="K151" s="103">
        <v>105.98526315789475</v>
      </c>
      <c r="L151" s="103">
        <v>103.84105263157896</v>
      </c>
      <c r="M151" s="103">
        <v>99.55263157894737</v>
      </c>
      <c r="N151" s="45"/>
    </row>
    <row r="152" spans="1:14" x14ac:dyDescent="0.25">
      <c r="A152" s="306"/>
      <c r="B152" s="323"/>
      <c r="C152" s="21" t="s">
        <v>173</v>
      </c>
      <c r="D152" s="1" t="s">
        <v>19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45"/>
    </row>
    <row r="153" spans="1:14" x14ac:dyDescent="0.25">
      <c r="A153" s="306"/>
      <c r="B153" s="323"/>
      <c r="C153" s="21" t="s">
        <v>110</v>
      </c>
      <c r="D153" s="1" t="s">
        <v>8</v>
      </c>
      <c r="E153" s="102"/>
      <c r="F153" s="102"/>
      <c r="G153" s="102"/>
      <c r="H153" s="102"/>
      <c r="I153" s="102"/>
      <c r="J153" s="102"/>
      <c r="K153" s="102"/>
      <c r="L153" s="102"/>
      <c r="M153" s="102"/>
      <c r="N153" s="45"/>
    </row>
    <row r="154" spans="1:14" x14ac:dyDescent="0.25">
      <c r="A154" s="306"/>
      <c r="B154" s="323"/>
      <c r="C154" s="21" t="s">
        <v>111</v>
      </c>
      <c r="D154" s="1" t="s">
        <v>9</v>
      </c>
      <c r="E154" s="103">
        <v>6.3870820392166268</v>
      </c>
      <c r="F154" s="103">
        <v>5.4089543268412656</v>
      </c>
      <c r="G154" s="103">
        <v>4.2132984241344671</v>
      </c>
      <c r="H154" s="103">
        <v>3.3950933527432299</v>
      </c>
      <c r="I154" s="103">
        <v>2.0378947368421052</v>
      </c>
      <c r="J154" s="103">
        <v>2.0189473684210526</v>
      </c>
      <c r="K154" s="103">
        <v>1.9557894736842103</v>
      </c>
      <c r="L154" s="103">
        <v>1.8231578947368419</v>
      </c>
      <c r="M154" s="103">
        <v>1.557894736842105</v>
      </c>
      <c r="N154" s="45"/>
    </row>
    <row r="155" spans="1:14" x14ac:dyDescent="0.25">
      <c r="A155" s="306"/>
      <c r="B155" s="323"/>
      <c r="C155" s="21" t="s">
        <v>35</v>
      </c>
      <c r="D155" s="1" t="s">
        <v>10</v>
      </c>
      <c r="E155" s="103">
        <v>0</v>
      </c>
      <c r="F155" s="103">
        <v>0</v>
      </c>
      <c r="G155" s="103">
        <v>0</v>
      </c>
      <c r="H155" s="103">
        <v>0</v>
      </c>
      <c r="I155" s="103">
        <v>0</v>
      </c>
      <c r="J155" s="103">
        <v>0</v>
      </c>
      <c r="K155" s="103">
        <v>1.6357894736842103E-3</v>
      </c>
      <c r="L155" s="103">
        <v>1.5031578947368419E-3</v>
      </c>
      <c r="M155" s="103">
        <v>1.2378947368421051E-3</v>
      </c>
      <c r="N155" s="45"/>
    </row>
    <row r="156" spans="1:14" x14ac:dyDescent="0.25">
      <c r="A156" s="306"/>
      <c r="B156" s="323"/>
      <c r="C156" s="22" t="s">
        <v>24</v>
      </c>
      <c r="D156" s="23" t="s">
        <v>10</v>
      </c>
      <c r="E156" s="103">
        <v>0</v>
      </c>
      <c r="F156" s="103">
        <v>0</v>
      </c>
      <c r="G156" s="103">
        <v>0</v>
      </c>
      <c r="H156" s="103">
        <v>0</v>
      </c>
      <c r="I156" s="103">
        <v>0</v>
      </c>
      <c r="J156" s="103">
        <v>0</v>
      </c>
      <c r="K156" s="103">
        <v>0</v>
      </c>
      <c r="L156" s="103">
        <v>0</v>
      </c>
      <c r="M156" s="103">
        <v>0</v>
      </c>
      <c r="N156" s="45"/>
    </row>
    <row r="157" spans="1:14" x14ac:dyDescent="0.25">
      <c r="A157" s="306"/>
      <c r="B157" s="323"/>
      <c r="C157" s="21" t="s">
        <v>25</v>
      </c>
      <c r="D157" s="1" t="s">
        <v>7</v>
      </c>
      <c r="E157" s="102">
        <v>0.96599999999999986</v>
      </c>
      <c r="F157" s="102">
        <v>0.96599999999999986</v>
      </c>
      <c r="G157" s="102">
        <v>0.96599999999999986</v>
      </c>
      <c r="H157" s="102">
        <v>0.96599999999999986</v>
      </c>
      <c r="I157" s="102">
        <v>0.96599999999999986</v>
      </c>
      <c r="J157" s="102">
        <v>0.96599999999999986</v>
      </c>
      <c r="K157" s="102">
        <v>0.99</v>
      </c>
      <c r="L157" s="102">
        <v>0.99</v>
      </c>
      <c r="M157" s="102">
        <v>0.99</v>
      </c>
      <c r="N157" s="45"/>
    </row>
    <row r="158" spans="1:14" x14ac:dyDescent="0.25">
      <c r="A158" s="306"/>
      <c r="B158" s="323"/>
      <c r="C158" s="21" t="s">
        <v>26</v>
      </c>
      <c r="D158" s="1" t="s">
        <v>14</v>
      </c>
      <c r="E158" s="103">
        <v>1524.6</v>
      </c>
      <c r="F158" s="103">
        <v>1749.6</v>
      </c>
      <c r="G158" s="103">
        <v>2349.6</v>
      </c>
      <c r="H158" s="103">
        <v>3174.6</v>
      </c>
      <c r="I158" s="103">
        <v>4299.6000000000004</v>
      </c>
      <c r="J158" s="103">
        <v>14213</v>
      </c>
      <c r="K158" s="103">
        <v>21713</v>
      </c>
      <c r="L158" s="103">
        <v>37463</v>
      </c>
      <c r="M158" s="103">
        <v>68963</v>
      </c>
      <c r="N158" s="45"/>
    </row>
    <row r="159" spans="1:14" x14ac:dyDescent="0.25">
      <c r="A159" s="306"/>
      <c r="B159" s="323"/>
      <c r="C159" s="21" t="s">
        <v>27</v>
      </c>
      <c r="D159" s="1" t="s">
        <v>4</v>
      </c>
      <c r="E159" s="102">
        <v>40</v>
      </c>
      <c r="F159" s="102">
        <v>40</v>
      </c>
      <c r="G159" s="102">
        <v>40</v>
      </c>
      <c r="H159" s="102">
        <v>40</v>
      </c>
      <c r="I159" s="102">
        <v>40</v>
      </c>
      <c r="J159" s="102">
        <v>40</v>
      </c>
      <c r="K159" s="102">
        <v>40</v>
      </c>
      <c r="L159" s="102">
        <v>40</v>
      </c>
      <c r="M159" s="102">
        <v>40</v>
      </c>
      <c r="N159" s="45"/>
    </row>
    <row r="160" spans="1:14" x14ac:dyDescent="0.25">
      <c r="A160" s="306"/>
      <c r="B160" s="323"/>
      <c r="C160" s="21" t="s">
        <v>117</v>
      </c>
      <c r="D160" s="1" t="s">
        <v>19</v>
      </c>
      <c r="E160" s="102">
        <v>0.35</v>
      </c>
      <c r="F160" s="102">
        <v>0.35</v>
      </c>
      <c r="G160" s="102">
        <v>0.35</v>
      </c>
      <c r="H160" s="102">
        <v>0.35</v>
      </c>
      <c r="I160" s="102">
        <v>0.35</v>
      </c>
      <c r="J160" s="102">
        <v>0.35</v>
      </c>
      <c r="K160" s="102">
        <v>0.35</v>
      </c>
      <c r="L160" s="102">
        <v>0.35</v>
      </c>
      <c r="M160" s="102">
        <v>0.35</v>
      </c>
      <c r="N160" s="45"/>
    </row>
    <row r="161" spans="1:14" x14ac:dyDescent="0.25">
      <c r="A161" s="306"/>
      <c r="B161" s="323"/>
      <c r="C161" s="21" t="s">
        <v>36</v>
      </c>
      <c r="D161" s="1" t="s">
        <v>19</v>
      </c>
      <c r="E161" s="102">
        <v>1.8571428571428572</v>
      </c>
      <c r="F161" s="102">
        <v>1.8571428571428572</v>
      </c>
      <c r="G161" s="102">
        <v>1.8571428571428572</v>
      </c>
      <c r="H161" s="102">
        <v>1.8571428571428572</v>
      </c>
      <c r="I161" s="102">
        <v>1.8571428571428572</v>
      </c>
      <c r="J161" s="102">
        <v>1.8571428571428572</v>
      </c>
      <c r="K161" s="102">
        <v>1.8571428571428572</v>
      </c>
      <c r="L161" s="102">
        <v>1.8571428571428572</v>
      </c>
      <c r="M161" s="102">
        <v>1.8571428571428572</v>
      </c>
      <c r="N161" s="45"/>
    </row>
    <row r="162" spans="1:14" x14ac:dyDescent="0.25">
      <c r="A162" s="306"/>
      <c r="B162" s="323"/>
      <c r="C162" s="21" t="s">
        <v>37</v>
      </c>
      <c r="D162" s="1" t="s">
        <v>4</v>
      </c>
      <c r="E162" s="102">
        <v>20</v>
      </c>
      <c r="F162" s="102">
        <v>20</v>
      </c>
      <c r="G162" s="102">
        <v>20</v>
      </c>
      <c r="H162" s="102">
        <v>20</v>
      </c>
      <c r="I162" s="102">
        <v>20</v>
      </c>
      <c r="J162" s="102">
        <v>20</v>
      </c>
      <c r="K162" s="102">
        <v>20</v>
      </c>
      <c r="L162" s="102">
        <v>20</v>
      </c>
      <c r="M162" s="102">
        <v>20</v>
      </c>
      <c r="N162" s="45"/>
    </row>
    <row r="163" spans="1:14" x14ac:dyDescent="0.25">
      <c r="A163" s="306"/>
      <c r="B163" s="323"/>
      <c r="C163" s="21" t="s">
        <v>38</v>
      </c>
      <c r="D163" s="1" t="s">
        <v>6</v>
      </c>
      <c r="E163" s="103">
        <v>6505.2925894863074</v>
      </c>
      <c r="F163" s="103">
        <v>4401.6753460736363</v>
      </c>
      <c r="G163" s="103">
        <v>2730.489848151858</v>
      </c>
      <c r="H163" s="103">
        <v>2119.9941480339958</v>
      </c>
      <c r="I163" s="103">
        <v>1761.8425600025264</v>
      </c>
      <c r="J163" s="103">
        <v>1439.7537496450543</v>
      </c>
      <c r="K163" s="103">
        <v>1128.0333292524301</v>
      </c>
      <c r="L163" s="103">
        <v>904.18982423028638</v>
      </c>
      <c r="M163" s="103">
        <v>736.80866636730173</v>
      </c>
      <c r="N163" s="45"/>
    </row>
    <row r="164" spans="1:14" x14ac:dyDescent="0.25">
      <c r="A164" s="306"/>
      <c r="B164" s="323"/>
      <c r="C164" s="21" t="s">
        <v>176</v>
      </c>
      <c r="D164" s="1" t="s">
        <v>19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45"/>
    </row>
    <row r="165" spans="1:14" x14ac:dyDescent="0.25">
      <c r="A165" s="306"/>
      <c r="B165" s="323"/>
      <c r="C165" s="21" t="s">
        <v>118</v>
      </c>
      <c r="D165" s="1" t="s">
        <v>8</v>
      </c>
      <c r="E165" s="102"/>
      <c r="F165" s="102"/>
      <c r="G165" s="102"/>
      <c r="H165" s="102"/>
      <c r="I165" s="102"/>
      <c r="J165" s="102"/>
      <c r="K165" s="102"/>
      <c r="L165" s="102"/>
      <c r="M165" s="102"/>
      <c r="N165" s="45"/>
    </row>
    <row r="166" spans="1:14" x14ac:dyDescent="0.25">
      <c r="A166" s="306"/>
      <c r="B166" s="323"/>
      <c r="C166" s="21" t="s">
        <v>119</v>
      </c>
      <c r="D166" s="1" t="s">
        <v>9</v>
      </c>
      <c r="E166" s="102"/>
      <c r="F166" s="102"/>
      <c r="G166" s="102"/>
      <c r="H166" s="102"/>
      <c r="I166" s="102"/>
      <c r="J166" s="102"/>
      <c r="K166" s="102"/>
      <c r="L166" s="102"/>
      <c r="M166" s="102"/>
      <c r="N166" s="45"/>
    </row>
    <row r="167" spans="1:14" x14ac:dyDescent="0.25">
      <c r="A167" s="306"/>
      <c r="B167" s="323"/>
      <c r="C167" s="21" t="s">
        <v>39</v>
      </c>
      <c r="D167" s="1" t="s">
        <v>10</v>
      </c>
      <c r="E167" s="103">
        <v>5.4632155805897732E-2</v>
      </c>
      <c r="F167" s="103">
        <v>6.9225169277652349E-2</v>
      </c>
      <c r="G167" s="103">
        <v>5.5072970988733948E-2</v>
      </c>
      <c r="H167" s="103">
        <v>4.6604222305577481E-2</v>
      </c>
      <c r="I167" s="103">
        <v>4.0289223212275231E-2</v>
      </c>
      <c r="J167" s="103">
        <v>2.4583755873341454E-2</v>
      </c>
      <c r="K167" s="103">
        <v>1.9104989606490121E-2</v>
      </c>
      <c r="L167" s="103">
        <v>1.5182594783541725E-2</v>
      </c>
      <c r="M167" s="103">
        <v>1.3307545040231683E-2</v>
      </c>
      <c r="N167" s="45"/>
    </row>
    <row r="168" spans="1:14" x14ac:dyDescent="0.25">
      <c r="A168" s="306"/>
      <c r="B168" s="323"/>
      <c r="C168" s="22" t="s">
        <v>40</v>
      </c>
      <c r="D168" s="23" t="s">
        <v>10</v>
      </c>
      <c r="E168" s="103">
        <v>0</v>
      </c>
      <c r="F168" s="103">
        <v>0</v>
      </c>
      <c r="G168" s="103">
        <v>0</v>
      </c>
      <c r="H168" s="103">
        <v>0</v>
      </c>
      <c r="I168" s="103">
        <v>0</v>
      </c>
      <c r="J168" s="103">
        <v>0</v>
      </c>
      <c r="K168" s="103">
        <v>0</v>
      </c>
      <c r="L168" s="103">
        <v>0</v>
      </c>
      <c r="M168" s="103">
        <v>0</v>
      </c>
      <c r="N168" s="45"/>
    </row>
    <row r="169" spans="1:14" x14ac:dyDescent="0.25">
      <c r="A169" s="306"/>
      <c r="B169" s="323"/>
      <c r="C169" s="21" t="s">
        <v>41</v>
      </c>
      <c r="D169" s="1" t="s">
        <v>14</v>
      </c>
      <c r="E169" s="102"/>
      <c r="F169" s="102"/>
      <c r="G169" s="102"/>
      <c r="H169" s="102"/>
      <c r="I169" s="102"/>
      <c r="J169" s="102"/>
      <c r="K169" s="102"/>
      <c r="L169" s="102"/>
      <c r="M169" s="102"/>
      <c r="N169" s="45"/>
    </row>
    <row r="170" spans="1:14" x14ac:dyDescent="0.25">
      <c r="A170" s="306"/>
      <c r="B170" s="323"/>
      <c r="C170" s="21" t="s">
        <v>42</v>
      </c>
      <c r="D170" s="1" t="s">
        <v>4</v>
      </c>
      <c r="E170" s="102"/>
      <c r="F170" s="102"/>
      <c r="G170" s="102"/>
      <c r="H170" s="102"/>
      <c r="I170" s="102"/>
      <c r="J170" s="102"/>
      <c r="K170" s="102"/>
      <c r="L170" s="102"/>
      <c r="M170" s="102"/>
      <c r="N170" s="45"/>
    </row>
    <row r="171" spans="1:14" x14ac:dyDescent="0.25">
      <c r="A171" s="306"/>
      <c r="B171" s="323"/>
      <c r="C171" s="21" t="s">
        <v>43</v>
      </c>
      <c r="D171" s="1" t="s">
        <v>7</v>
      </c>
      <c r="E171" s="105">
        <v>0.5</v>
      </c>
      <c r="F171" s="105">
        <v>0.5</v>
      </c>
      <c r="G171" s="105">
        <v>0.5</v>
      </c>
      <c r="H171" s="105">
        <v>0.5</v>
      </c>
      <c r="I171" s="105">
        <v>0.5</v>
      </c>
      <c r="J171" s="105">
        <v>0.5</v>
      </c>
      <c r="K171" s="105">
        <v>0.5</v>
      </c>
      <c r="L171" s="105">
        <v>0.5</v>
      </c>
      <c r="M171" s="105">
        <v>0.5</v>
      </c>
      <c r="N171" s="45"/>
    </row>
    <row r="172" spans="1:14" ht="14.45" customHeight="1" x14ac:dyDescent="0.25">
      <c r="A172" s="306"/>
      <c r="B172" s="323"/>
      <c r="C172" s="24" t="s">
        <v>44</v>
      </c>
      <c r="D172" s="1" t="s">
        <v>7</v>
      </c>
      <c r="E172" s="104">
        <v>0.66625430833964439</v>
      </c>
      <c r="F172" s="104">
        <v>0.66367464936796561</v>
      </c>
      <c r="G172" s="104">
        <v>0.65679555877682227</v>
      </c>
      <c r="H172" s="104">
        <v>0.64733680921400016</v>
      </c>
      <c r="I172" s="104">
        <v>0.63443851435560639</v>
      </c>
      <c r="J172" s="104">
        <v>0.4680070358050421</v>
      </c>
      <c r="K172" s="104">
        <v>0.46713859851464173</v>
      </c>
      <c r="L172" s="104">
        <v>0.46531488020480088</v>
      </c>
      <c r="M172" s="104">
        <v>0.47</v>
      </c>
      <c r="N172" s="45"/>
    </row>
    <row r="173" spans="1:14" ht="14.45" customHeight="1" x14ac:dyDescent="0.25">
      <c r="A173" s="306"/>
      <c r="B173" s="323"/>
      <c r="C173" s="24" t="s">
        <v>45</v>
      </c>
      <c r="D173" s="1" t="s">
        <v>7</v>
      </c>
      <c r="E173" s="104">
        <v>0.25092243745356524</v>
      </c>
      <c r="F173" s="104">
        <v>0.25657675134016689</v>
      </c>
      <c r="G173" s="104">
        <v>0.27165492170443795</v>
      </c>
      <c r="H173" s="104">
        <v>0.29238740595531065</v>
      </c>
      <c r="I173" s="104">
        <v>0.32065897538831889</v>
      </c>
      <c r="J173" s="104">
        <v>0.41290384467151914</v>
      </c>
      <c r="K173" s="104">
        <v>0.41363974384019625</v>
      </c>
      <c r="L173" s="104">
        <v>0.41518513209441815</v>
      </c>
      <c r="M173" s="104">
        <v>0.41599999999999998</v>
      </c>
      <c r="N173" s="45"/>
    </row>
    <row r="174" spans="1:14" ht="14.45" customHeight="1" x14ac:dyDescent="0.25">
      <c r="A174" s="306"/>
      <c r="B174" s="323"/>
      <c r="C174" s="25" t="s">
        <v>120</v>
      </c>
      <c r="D174" s="23" t="s">
        <v>10</v>
      </c>
      <c r="E174" s="103">
        <v>0.16</v>
      </c>
      <c r="F174" s="103">
        <v>0.16</v>
      </c>
      <c r="G174" s="103">
        <v>0.16</v>
      </c>
      <c r="H174" s="103">
        <v>0.16</v>
      </c>
      <c r="I174" s="103">
        <v>0.06</v>
      </c>
      <c r="J174" s="103">
        <v>0.05</v>
      </c>
      <c r="K174" s="103">
        <v>4.3999999999999997E-2</v>
      </c>
      <c r="L174" s="103">
        <v>4.3999999999999997E-2</v>
      </c>
      <c r="M174" s="103">
        <v>4.3999999999999997E-2</v>
      </c>
      <c r="N174" s="45"/>
    </row>
    <row r="175" spans="1:14" ht="14.45" customHeight="1" x14ac:dyDescent="0.25">
      <c r="A175" s="306"/>
      <c r="B175" s="323"/>
      <c r="C175" s="25" t="s">
        <v>121</v>
      </c>
      <c r="D175" s="23" t="s">
        <v>122</v>
      </c>
      <c r="E175" s="103">
        <v>0.08</v>
      </c>
      <c r="F175" s="103">
        <v>0.08</v>
      </c>
      <c r="G175" s="103">
        <v>0.08</v>
      </c>
      <c r="H175" s="103">
        <v>0.08</v>
      </c>
      <c r="I175" s="103">
        <v>0.03</v>
      </c>
      <c r="J175" s="103">
        <v>0</v>
      </c>
      <c r="K175" s="103">
        <v>0</v>
      </c>
      <c r="L175" s="103">
        <v>0</v>
      </c>
      <c r="M175" s="103">
        <v>0</v>
      </c>
      <c r="N175" s="45"/>
    </row>
    <row r="176" spans="1:14" ht="14.45" customHeight="1" x14ac:dyDescent="0.25">
      <c r="A176" s="306"/>
      <c r="B176" s="323"/>
      <c r="C176" s="25" t="s">
        <v>123</v>
      </c>
      <c r="D176" s="23" t="s">
        <v>124</v>
      </c>
      <c r="E176" s="102">
        <v>5.4999999999999997E-3</v>
      </c>
      <c r="F176" s="102">
        <v>5.4999999999999997E-3</v>
      </c>
      <c r="G176" s="102">
        <v>5.4999999999999997E-3</v>
      </c>
      <c r="H176" s="102">
        <v>5.4999999999999997E-3</v>
      </c>
      <c r="I176" s="102">
        <v>5.4999999999999997E-3</v>
      </c>
      <c r="J176" s="102">
        <v>5.4999999999999997E-3</v>
      </c>
      <c r="K176" s="102">
        <v>5.4999999999999997E-3</v>
      </c>
      <c r="L176" s="102">
        <v>5.4999999999999997E-3</v>
      </c>
      <c r="M176" s="102">
        <v>5.4999999999999997E-3</v>
      </c>
      <c r="N176" s="45"/>
    </row>
    <row r="177" spans="1:14" ht="14.45" customHeight="1" x14ac:dyDescent="0.25">
      <c r="A177" s="306">
        <v>12</v>
      </c>
      <c r="B177" s="323" t="s">
        <v>178</v>
      </c>
      <c r="C177" s="21" t="s">
        <v>109</v>
      </c>
      <c r="D177" s="1" t="s">
        <v>19</v>
      </c>
      <c r="E177" s="106">
        <v>1</v>
      </c>
      <c r="F177" s="106">
        <v>1</v>
      </c>
      <c r="G177" s="106">
        <v>1</v>
      </c>
      <c r="H177" s="106">
        <v>1</v>
      </c>
      <c r="I177" s="106">
        <v>1</v>
      </c>
      <c r="J177" s="106">
        <v>1</v>
      </c>
      <c r="K177" s="106">
        <v>1</v>
      </c>
      <c r="L177" s="106">
        <v>1</v>
      </c>
      <c r="M177" s="106">
        <v>1</v>
      </c>
      <c r="N177" s="45"/>
    </row>
    <row r="178" spans="1:14" x14ac:dyDescent="0.25">
      <c r="A178" s="306"/>
      <c r="B178" s="323"/>
      <c r="C178" s="21" t="s">
        <v>21</v>
      </c>
      <c r="D178" s="1" t="s">
        <v>19</v>
      </c>
      <c r="E178" s="102">
        <v>0.8</v>
      </c>
      <c r="F178" s="102">
        <v>0.8</v>
      </c>
      <c r="G178" s="102">
        <v>0.8</v>
      </c>
      <c r="H178" s="102">
        <v>0.8</v>
      </c>
      <c r="I178" s="102">
        <v>0.8</v>
      </c>
      <c r="J178" s="102">
        <v>0.8</v>
      </c>
      <c r="K178" s="102">
        <v>0.8</v>
      </c>
      <c r="L178" s="102">
        <v>0.8</v>
      </c>
      <c r="M178" s="102">
        <v>0.8</v>
      </c>
      <c r="N178" s="45"/>
    </row>
    <row r="179" spans="1:14" x14ac:dyDescent="0.25">
      <c r="A179" s="306"/>
      <c r="B179" s="323"/>
      <c r="C179" s="21" t="s">
        <v>22</v>
      </c>
      <c r="D179" s="1" t="s">
        <v>4</v>
      </c>
      <c r="E179" s="102">
        <v>20</v>
      </c>
      <c r="F179" s="102">
        <v>20</v>
      </c>
      <c r="G179" s="102">
        <v>20</v>
      </c>
      <c r="H179" s="102">
        <v>20</v>
      </c>
      <c r="I179" s="102">
        <v>20</v>
      </c>
      <c r="J179" s="102">
        <v>20</v>
      </c>
      <c r="K179" s="102">
        <v>20</v>
      </c>
      <c r="L179" s="102">
        <v>20</v>
      </c>
      <c r="M179" s="102">
        <v>20</v>
      </c>
      <c r="N179" s="45"/>
    </row>
    <row r="180" spans="1:14" x14ac:dyDescent="0.25">
      <c r="A180" s="306"/>
      <c r="B180" s="323"/>
      <c r="C180" s="21" t="s">
        <v>23</v>
      </c>
      <c r="D180" s="1" t="s">
        <v>6</v>
      </c>
      <c r="E180" s="103">
        <v>212.90273464055423</v>
      </c>
      <c r="F180" s="103">
        <v>180.29847756137553</v>
      </c>
      <c r="G180" s="103">
        <v>140.44328080448224</v>
      </c>
      <c r="H180" s="103">
        <v>113.16977842477434</v>
      </c>
      <c r="I180" s="103">
        <v>107.31263157894738</v>
      </c>
      <c r="J180" s="103">
        <v>107.00631578947369</v>
      </c>
      <c r="K180" s="103">
        <v>105.98526315789475</v>
      </c>
      <c r="L180" s="103">
        <v>103.84105263157896</v>
      </c>
      <c r="M180" s="103">
        <v>99.55263157894737</v>
      </c>
      <c r="N180" s="45"/>
    </row>
    <row r="181" spans="1:14" ht="14.45" customHeight="1" x14ac:dyDescent="0.25">
      <c r="A181" s="306"/>
      <c r="B181" s="323"/>
      <c r="C181" s="21" t="s">
        <v>173</v>
      </c>
      <c r="D181" s="1" t="s">
        <v>19</v>
      </c>
      <c r="E181" s="104">
        <v>0.2</v>
      </c>
      <c r="F181" s="104">
        <v>0.2</v>
      </c>
      <c r="G181" s="104">
        <v>0.2</v>
      </c>
      <c r="H181" s="104">
        <v>0.2</v>
      </c>
      <c r="I181" s="104">
        <v>0.2</v>
      </c>
      <c r="J181" s="104">
        <v>0.2</v>
      </c>
      <c r="K181" s="104">
        <v>0.2</v>
      </c>
      <c r="L181" s="104">
        <v>0.2</v>
      </c>
      <c r="M181" s="104">
        <v>0.2</v>
      </c>
      <c r="N181" s="45"/>
    </row>
    <row r="182" spans="1:14" x14ac:dyDescent="0.25">
      <c r="A182" s="306"/>
      <c r="B182" s="323"/>
      <c r="C182" s="21" t="s">
        <v>110</v>
      </c>
      <c r="D182" s="1" t="s">
        <v>8</v>
      </c>
      <c r="E182" s="102"/>
      <c r="F182" s="102"/>
      <c r="G182" s="102"/>
      <c r="H182" s="102"/>
      <c r="I182" s="102"/>
      <c r="J182" s="102"/>
      <c r="K182" s="102"/>
      <c r="L182" s="102"/>
      <c r="M182" s="102"/>
      <c r="N182" s="45"/>
    </row>
    <row r="183" spans="1:14" x14ac:dyDescent="0.25">
      <c r="A183" s="306"/>
      <c r="B183" s="323"/>
      <c r="C183" s="21" t="s">
        <v>111</v>
      </c>
      <c r="D183" s="1" t="s">
        <v>9</v>
      </c>
      <c r="E183" s="103">
        <v>6.3870820392166268</v>
      </c>
      <c r="F183" s="103">
        <v>5.4089543268412656</v>
      </c>
      <c r="G183" s="103">
        <v>4.2132984241344671</v>
      </c>
      <c r="H183" s="103">
        <v>3.3950933527432299</v>
      </c>
      <c r="I183" s="103">
        <v>2.0378947368421052</v>
      </c>
      <c r="J183" s="103">
        <v>2.0189473684210526</v>
      </c>
      <c r="K183" s="103">
        <v>1.9557894736842103</v>
      </c>
      <c r="L183" s="103">
        <v>1.8231578947368419</v>
      </c>
      <c r="M183" s="103">
        <v>1.557894736842105</v>
      </c>
      <c r="N183" s="45"/>
    </row>
    <row r="184" spans="1:14" x14ac:dyDescent="0.25">
      <c r="A184" s="306"/>
      <c r="B184" s="323"/>
      <c r="C184" s="21" t="s">
        <v>35</v>
      </c>
      <c r="D184" s="1" t="s">
        <v>10</v>
      </c>
      <c r="E184" s="103">
        <v>0</v>
      </c>
      <c r="F184" s="103">
        <v>0</v>
      </c>
      <c r="G184" s="103">
        <v>0</v>
      </c>
      <c r="H184" s="103">
        <v>0</v>
      </c>
      <c r="I184" s="103">
        <v>0</v>
      </c>
      <c r="J184" s="103">
        <v>0</v>
      </c>
      <c r="K184" s="103">
        <v>1.6357894736842103E-3</v>
      </c>
      <c r="L184" s="103">
        <v>1.5031578947368419E-3</v>
      </c>
      <c r="M184" s="103">
        <v>1.2378947368421051E-3</v>
      </c>
      <c r="N184" s="45"/>
    </row>
    <row r="185" spans="1:14" x14ac:dyDescent="0.25">
      <c r="A185" s="306"/>
      <c r="B185" s="323"/>
      <c r="C185" s="22" t="s">
        <v>24</v>
      </c>
      <c r="D185" s="23" t="s">
        <v>10</v>
      </c>
      <c r="E185" s="103">
        <v>0</v>
      </c>
      <c r="F185" s="103">
        <v>0</v>
      </c>
      <c r="G185" s="103">
        <v>0</v>
      </c>
      <c r="H185" s="103">
        <v>0</v>
      </c>
      <c r="I185" s="103">
        <v>0</v>
      </c>
      <c r="J185" s="103">
        <v>0</v>
      </c>
      <c r="K185" s="103">
        <v>0</v>
      </c>
      <c r="L185" s="103">
        <v>0</v>
      </c>
      <c r="M185" s="103">
        <v>0</v>
      </c>
      <c r="N185" s="45"/>
    </row>
    <row r="186" spans="1:14" x14ac:dyDescent="0.25">
      <c r="A186" s="306"/>
      <c r="B186" s="323"/>
      <c r="C186" s="21" t="s">
        <v>25</v>
      </c>
      <c r="D186" s="1" t="s">
        <v>7</v>
      </c>
      <c r="E186" s="102">
        <v>0.96599999999999986</v>
      </c>
      <c r="F186" s="102">
        <v>0.96599999999999986</v>
      </c>
      <c r="G186" s="102">
        <v>0.96599999999999986</v>
      </c>
      <c r="H186" s="102">
        <v>0.96599999999999986</v>
      </c>
      <c r="I186" s="102">
        <v>0.96599999999999986</v>
      </c>
      <c r="J186" s="102">
        <v>0.96599999999999986</v>
      </c>
      <c r="K186" s="102">
        <v>0.99</v>
      </c>
      <c r="L186" s="102">
        <v>0.99</v>
      </c>
      <c r="M186" s="102">
        <v>0.99</v>
      </c>
      <c r="N186" s="45"/>
    </row>
    <row r="187" spans="1:14" x14ac:dyDescent="0.25">
      <c r="A187" s="306"/>
      <c r="B187" s="323"/>
      <c r="C187" s="21" t="s">
        <v>26</v>
      </c>
      <c r="D187" s="1" t="s">
        <v>14</v>
      </c>
      <c r="E187" s="103">
        <v>1524.6</v>
      </c>
      <c r="F187" s="103">
        <v>1749.6</v>
      </c>
      <c r="G187" s="103">
        <v>2349.6</v>
      </c>
      <c r="H187" s="103">
        <v>3174.6</v>
      </c>
      <c r="I187" s="103">
        <v>4299.6000000000004</v>
      </c>
      <c r="J187" s="103">
        <v>14213</v>
      </c>
      <c r="K187" s="103">
        <v>21713</v>
      </c>
      <c r="L187" s="103">
        <v>37463</v>
      </c>
      <c r="M187" s="103">
        <v>68963</v>
      </c>
      <c r="N187" s="45"/>
    </row>
    <row r="188" spans="1:14" x14ac:dyDescent="0.25">
      <c r="A188" s="306"/>
      <c r="B188" s="323"/>
      <c r="C188" s="21" t="s">
        <v>27</v>
      </c>
      <c r="D188" s="1" t="s">
        <v>4</v>
      </c>
      <c r="E188" s="102">
        <v>40</v>
      </c>
      <c r="F188" s="102">
        <v>40</v>
      </c>
      <c r="G188" s="102">
        <v>40</v>
      </c>
      <c r="H188" s="102">
        <v>40</v>
      </c>
      <c r="I188" s="102">
        <v>40</v>
      </c>
      <c r="J188" s="102">
        <v>40</v>
      </c>
      <c r="K188" s="102">
        <v>40</v>
      </c>
      <c r="L188" s="102">
        <v>40</v>
      </c>
      <c r="M188" s="102">
        <v>40</v>
      </c>
      <c r="N188" s="45"/>
    </row>
    <row r="189" spans="1:14" x14ac:dyDescent="0.25">
      <c r="A189" s="306"/>
      <c r="B189" s="323"/>
      <c r="C189" s="21" t="s">
        <v>125</v>
      </c>
      <c r="D189" s="1" t="s">
        <v>19</v>
      </c>
      <c r="E189" s="106">
        <v>0.3125</v>
      </c>
      <c r="F189" s="106">
        <v>0.3125</v>
      </c>
      <c r="G189" s="106">
        <v>0.3125</v>
      </c>
      <c r="H189" s="106">
        <v>0.3125</v>
      </c>
      <c r="I189" s="106">
        <v>0.3125</v>
      </c>
      <c r="J189" s="106">
        <v>0.3125</v>
      </c>
      <c r="K189" s="106">
        <v>0.3125</v>
      </c>
      <c r="L189" s="106">
        <v>0.3125</v>
      </c>
      <c r="M189" s="106">
        <v>0.3125</v>
      </c>
      <c r="N189" s="45"/>
    </row>
    <row r="190" spans="1:14" x14ac:dyDescent="0.25">
      <c r="A190" s="306"/>
      <c r="B190" s="323"/>
      <c r="C190" s="21" t="s">
        <v>126</v>
      </c>
      <c r="D190" s="1" t="s">
        <v>19</v>
      </c>
      <c r="E190" s="102">
        <v>0.64</v>
      </c>
      <c r="F190" s="102">
        <v>0.64</v>
      </c>
      <c r="G190" s="102">
        <v>0.64</v>
      </c>
      <c r="H190" s="102">
        <v>0.64</v>
      </c>
      <c r="I190" s="102">
        <v>0.64</v>
      </c>
      <c r="J190" s="102">
        <v>0.64</v>
      </c>
      <c r="K190" s="102">
        <v>0.64</v>
      </c>
      <c r="L190" s="102">
        <v>0.64</v>
      </c>
      <c r="M190" s="102">
        <v>0.64</v>
      </c>
      <c r="N190" s="45"/>
    </row>
    <row r="191" spans="1:14" ht="14.45" customHeight="1" x14ac:dyDescent="0.25">
      <c r="A191" s="306"/>
      <c r="B191" s="323"/>
      <c r="C191" s="24" t="s">
        <v>127</v>
      </c>
      <c r="D191" s="1" t="s">
        <v>4</v>
      </c>
      <c r="E191" s="102">
        <v>20</v>
      </c>
      <c r="F191" s="102">
        <v>20</v>
      </c>
      <c r="G191" s="102">
        <v>20</v>
      </c>
      <c r="H191" s="102">
        <v>20</v>
      </c>
      <c r="I191" s="102">
        <v>20</v>
      </c>
      <c r="J191" s="102">
        <v>20</v>
      </c>
      <c r="K191" s="102">
        <v>20</v>
      </c>
      <c r="L191" s="102">
        <v>20</v>
      </c>
      <c r="M191" s="102">
        <v>20</v>
      </c>
      <c r="N191" s="45"/>
    </row>
    <row r="192" spans="1:14" ht="14.45" customHeight="1" x14ac:dyDescent="0.25">
      <c r="A192" s="306"/>
      <c r="B192" s="323"/>
      <c r="C192" s="24" t="s">
        <v>128</v>
      </c>
      <c r="D192" s="1" t="s">
        <v>6</v>
      </c>
      <c r="E192" s="107">
        <v>946.15063293358571</v>
      </c>
      <c r="F192" s="103">
        <v>932.03126095799144</v>
      </c>
      <c r="G192" s="103">
        <v>894.37960235640639</v>
      </c>
      <c r="H192" s="103">
        <v>842.60857177922708</v>
      </c>
      <c r="I192" s="103">
        <v>772.01171190125524</v>
      </c>
      <c r="J192" s="103">
        <v>630.81799214531168</v>
      </c>
      <c r="K192" s="103">
        <v>538.57142857142856</v>
      </c>
      <c r="L192" s="103">
        <v>538.57142857142856</v>
      </c>
      <c r="M192" s="103">
        <v>538.57142857142856</v>
      </c>
      <c r="N192" s="45"/>
    </row>
    <row r="193" spans="1:14" ht="14.45" customHeight="1" x14ac:dyDescent="0.25">
      <c r="A193" s="306"/>
      <c r="B193" s="323"/>
      <c r="C193" s="21" t="s">
        <v>179</v>
      </c>
      <c r="D193" s="1" t="s">
        <v>19</v>
      </c>
      <c r="E193" s="104">
        <v>0</v>
      </c>
      <c r="F193" s="104">
        <v>0.35</v>
      </c>
      <c r="G193" s="104">
        <v>0.35</v>
      </c>
      <c r="H193" s="104">
        <v>0.35</v>
      </c>
      <c r="I193" s="104">
        <v>0.35</v>
      </c>
      <c r="J193" s="104">
        <v>0.35</v>
      </c>
      <c r="K193" s="104">
        <v>0.35</v>
      </c>
      <c r="L193" s="104">
        <v>0.35</v>
      </c>
      <c r="M193" s="104">
        <v>0.35</v>
      </c>
      <c r="N193" s="45"/>
    </row>
    <row r="194" spans="1:14" x14ac:dyDescent="0.25">
      <c r="A194" s="306"/>
      <c r="B194" s="323"/>
      <c r="C194" s="21" t="s">
        <v>129</v>
      </c>
      <c r="D194" s="1" t="s">
        <v>8</v>
      </c>
      <c r="E194" s="103">
        <v>56.686008836524309</v>
      </c>
      <c r="F194" s="103">
        <v>74.027687776141391</v>
      </c>
      <c r="G194" s="103">
        <v>120.27216494845361</v>
      </c>
      <c r="H194" s="103">
        <v>183.85832106038291</v>
      </c>
      <c r="I194" s="103">
        <v>270.56671575846832</v>
      </c>
      <c r="J194" s="103">
        <v>443.98350515463915</v>
      </c>
      <c r="K194" s="103">
        <v>617.40029455081003</v>
      </c>
      <c r="L194" s="103">
        <v>617.40029455081003</v>
      </c>
      <c r="M194" s="103">
        <v>617.40029455081003</v>
      </c>
      <c r="N194" s="45"/>
    </row>
    <row r="195" spans="1:14" x14ac:dyDescent="0.25">
      <c r="A195" s="306"/>
      <c r="B195" s="323"/>
      <c r="C195" s="21" t="s">
        <v>130</v>
      </c>
      <c r="D195" s="1" t="s">
        <v>9</v>
      </c>
      <c r="E195" s="102"/>
      <c r="F195" s="102"/>
      <c r="G195" s="102"/>
      <c r="H195" s="102"/>
      <c r="I195" s="102"/>
      <c r="J195" s="102"/>
      <c r="K195" s="102"/>
      <c r="L195" s="102"/>
      <c r="M195" s="102"/>
    </row>
    <row r="196" spans="1:14" x14ac:dyDescent="0.25">
      <c r="A196" s="306"/>
      <c r="B196" s="323"/>
      <c r="C196" s="21" t="s">
        <v>131</v>
      </c>
      <c r="D196" s="1" t="s">
        <v>10</v>
      </c>
      <c r="E196" s="102"/>
      <c r="F196" s="102"/>
      <c r="G196" s="102"/>
      <c r="H196" s="102"/>
      <c r="I196" s="102"/>
      <c r="J196" s="102"/>
      <c r="K196" s="102"/>
      <c r="L196" s="102"/>
      <c r="M196" s="102"/>
    </row>
    <row r="197" spans="1:14" ht="18.75" x14ac:dyDescent="0.25">
      <c r="A197" s="306"/>
      <c r="B197" s="323"/>
      <c r="C197" s="53" t="s">
        <v>132</v>
      </c>
      <c r="D197" s="23" t="s">
        <v>17</v>
      </c>
      <c r="E197" s="102"/>
      <c r="F197" s="102"/>
      <c r="G197" s="102"/>
      <c r="H197" s="102"/>
      <c r="I197" s="102"/>
      <c r="J197" s="102"/>
      <c r="K197" s="102"/>
      <c r="L197" s="102"/>
      <c r="M197" s="102"/>
    </row>
    <row r="198" spans="1:14" ht="14.45" customHeight="1" x14ac:dyDescent="0.25">
      <c r="A198" s="306">
        <v>13</v>
      </c>
      <c r="B198" s="323" t="s">
        <v>180</v>
      </c>
      <c r="C198" s="21" t="s">
        <v>109</v>
      </c>
      <c r="D198" s="1" t="s">
        <v>19</v>
      </c>
      <c r="E198" s="102">
        <v>1</v>
      </c>
      <c r="F198" s="102">
        <v>1</v>
      </c>
      <c r="G198" s="102">
        <v>1</v>
      </c>
      <c r="H198" s="102">
        <v>1</v>
      </c>
      <c r="I198" s="102">
        <v>1</v>
      </c>
      <c r="J198" s="102">
        <v>1</v>
      </c>
      <c r="K198" s="102">
        <v>1</v>
      </c>
      <c r="L198" s="102">
        <v>1</v>
      </c>
      <c r="M198" s="102">
        <v>1</v>
      </c>
    </row>
    <row r="199" spans="1:14" x14ac:dyDescent="0.25">
      <c r="A199" s="306"/>
      <c r="B199" s="323"/>
      <c r="C199" s="21" t="s">
        <v>21</v>
      </c>
      <c r="D199" s="1" t="s">
        <v>19</v>
      </c>
      <c r="E199" s="102">
        <v>0.65</v>
      </c>
      <c r="F199" s="102">
        <v>0.65</v>
      </c>
      <c r="G199" s="102">
        <v>0.65</v>
      </c>
      <c r="H199" s="102">
        <v>0.65</v>
      </c>
      <c r="I199" s="102">
        <v>0.65</v>
      </c>
      <c r="J199" s="102">
        <v>0.65</v>
      </c>
      <c r="K199" s="102">
        <v>0.65</v>
      </c>
      <c r="L199" s="102">
        <v>0.65</v>
      </c>
      <c r="M199" s="102">
        <v>0.65</v>
      </c>
    </row>
    <row r="200" spans="1:14" x14ac:dyDescent="0.25">
      <c r="A200" s="306"/>
      <c r="B200" s="323"/>
      <c r="C200" s="21" t="s">
        <v>22</v>
      </c>
      <c r="D200" s="1" t="s">
        <v>4</v>
      </c>
      <c r="E200" s="102">
        <v>20</v>
      </c>
      <c r="F200" s="102">
        <v>20</v>
      </c>
      <c r="G200" s="102">
        <v>20</v>
      </c>
      <c r="H200" s="102">
        <v>20</v>
      </c>
      <c r="I200" s="102">
        <v>20</v>
      </c>
      <c r="J200" s="102">
        <v>20</v>
      </c>
      <c r="K200" s="102">
        <v>20</v>
      </c>
      <c r="L200" s="102">
        <v>20</v>
      </c>
      <c r="M200" s="102">
        <v>20</v>
      </c>
    </row>
    <row r="201" spans="1:14" x14ac:dyDescent="0.25">
      <c r="A201" s="306"/>
      <c r="B201" s="323"/>
      <c r="C201" s="21" t="s">
        <v>23</v>
      </c>
      <c r="D201" s="1" t="s">
        <v>6</v>
      </c>
      <c r="E201" s="103">
        <v>212.90273464055423</v>
      </c>
      <c r="F201" s="103">
        <v>180.29847756137553</v>
      </c>
      <c r="G201" s="103">
        <v>140.44328080448224</v>
      </c>
      <c r="H201" s="103">
        <v>113.16977842477434</v>
      </c>
      <c r="I201" s="103">
        <v>107.31263157894738</v>
      </c>
      <c r="J201" s="103">
        <v>107.00631578947369</v>
      </c>
      <c r="K201" s="103">
        <v>105.98526315789475</v>
      </c>
      <c r="L201" s="103">
        <v>103.84105263157896</v>
      </c>
      <c r="M201" s="103">
        <v>99.55263157894737</v>
      </c>
    </row>
    <row r="202" spans="1:14" x14ac:dyDescent="0.25">
      <c r="A202" s="306"/>
      <c r="B202" s="323"/>
      <c r="C202" s="21" t="s">
        <v>173</v>
      </c>
      <c r="D202" s="1" t="s">
        <v>19</v>
      </c>
      <c r="E202" s="104">
        <v>0.2</v>
      </c>
      <c r="F202" s="104">
        <v>0.2</v>
      </c>
      <c r="G202" s="104">
        <v>0.2</v>
      </c>
      <c r="H202" s="104">
        <v>0.2</v>
      </c>
      <c r="I202" s="104">
        <v>0.2</v>
      </c>
      <c r="J202" s="104">
        <v>0.2</v>
      </c>
      <c r="K202" s="104">
        <v>0.2</v>
      </c>
      <c r="L202" s="104">
        <v>0.2</v>
      </c>
      <c r="M202" s="104">
        <v>0.2</v>
      </c>
    </row>
    <row r="203" spans="1:14" x14ac:dyDescent="0.25">
      <c r="A203" s="306"/>
      <c r="B203" s="323"/>
      <c r="C203" s="21" t="s">
        <v>110</v>
      </c>
      <c r="D203" s="1" t="s">
        <v>8</v>
      </c>
      <c r="E203" s="102"/>
      <c r="F203" s="102"/>
      <c r="G203" s="102"/>
      <c r="H203" s="102"/>
      <c r="I203" s="102"/>
      <c r="J203" s="102"/>
      <c r="K203" s="102"/>
      <c r="L203" s="102"/>
      <c r="M203" s="102"/>
    </row>
    <row r="204" spans="1:14" x14ac:dyDescent="0.25">
      <c r="A204" s="306"/>
      <c r="B204" s="323"/>
      <c r="C204" s="21" t="s">
        <v>111</v>
      </c>
      <c r="D204" s="1" t="s">
        <v>9</v>
      </c>
      <c r="E204" s="103">
        <v>6.3870820392166268</v>
      </c>
      <c r="F204" s="103">
        <v>5.4089543268412656</v>
      </c>
      <c r="G204" s="103">
        <v>4.2132984241344671</v>
      </c>
      <c r="H204" s="103">
        <v>3.3950933527432299</v>
      </c>
      <c r="I204" s="103">
        <v>2.0378947368421052</v>
      </c>
      <c r="J204" s="103">
        <v>2.0189473684210526</v>
      </c>
      <c r="K204" s="103">
        <v>1.9557894736842103</v>
      </c>
      <c r="L204" s="103">
        <v>1.8231578947368419</v>
      </c>
      <c r="M204" s="103">
        <v>1.557894736842105</v>
      </c>
    </row>
    <row r="205" spans="1:14" x14ac:dyDescent="0.25">
      <c r="A205" s="306"/>
      <c r="B205" s="323"/>
      <c r="C205" s="21" t="s">
        <v>35</v>
      </c>
      <c r="D205" s="1" t="s">
        <v>10</v>
      </c>
      <c r="E205" s="103">
        <v>0</v>
      </c>
      <c r="F205" s="103">
        <v>0</v>
      </c>
      <c r="G205" s="103">
        <v>0</v>
      </c>
      <c r="H205" s="103">
        <v>0</v>
      </c>
      <c r="I205" s="103">
        <v>0</v>
      </c>
      <c r="J205" s="103">
        <v>0</v>
      </c>
      <c r="K205" s="103">
        <v>1.6357894736842103E-3</v>
      </c>
      <c r="L205" s="103">
        <v>1.5031578947368419E-3</v>
      </c>
      <c r="M205" s="103">
        <v>1.2378947368421051E-3</v>
      </c>
    </row>
    <row r="206" spans="1:14" x14ac:dyDescent="0.25">
      <c r="A206" s="306"/>
      <c r="B206" s="323"/>
      <c r="C206" s="22" t="s">
        <v>24</v>
      </c>
      <c r="D206" s="23" t="s">
        <v>10</v>
      </c>
      <c r="E206" s="103">
        <v>0</v>
      </c>
      <c r="F206" s="103">
        <v>0</v>
      </c>
      <c r="G206" s="103">
        <v>0</v>
      </c>
      <c r="H206" s="103">
        <v>0</v>
      </c>
      <c r="I206" s="103">
        <v>0</v>
      </c>
      <c r="J206" s="103">
        <v>0</v>
      </c>
      <c r="K206" s="103">
        <v>0</v>
      </c>
      <c r="L206" s="103">
        <v>0</v>
      </c>
      <c r="M206" s="103">
        <v>0</v>
      </c>
    </row>
    <row r="207" spans="1:14" x14ac:dyDescent="0.25">
      <c r="A207" s="306"/>
      <c r="B207" s="323"/>
      <c r="C207" s="21" t="s">
        <v>25</v>
      </c>
      <c r="D207" s="1" t="s">
        <v>7</v>
      </c>
      <c r="E207" s="102">
        <v>0.96599999999999986</v>
      </c>
      <c r="F207" s="102">
        <v>0.96599999999999986</v>
      </c>
      <c r="G207" s="102">
        <v>0.96599999999999986</v>
      </c>
      <c r="H207" s="102">
        <v>0.96599999999999986</v>
      </c>
      <c r="I207" s="102">
        <v>0.96599999999999986</v>
      </c>
      <c r="J207" s="102">
        <v>0.96599999999999986</v>
      </c>
      <c r="K207" s="102">
        <v>0.99</v>
      </c>
      <c r="L207" s="102">
        <v>0.99</v>
      </c>
      <c r="M207" s="102">
        <v>0.99</v>
      </c>
    </row>
    <row r="208" spans="1:14" x14ac:dyDescent="0.25">
      <c r="A208" s="306"/>
      <c r="B208" s="323"/>
      <c r="C208" s="21" t="s">
        <v>26</v>
      </c>
      <c r="D208" s="1" t="s">
        <v>14</v>
      </c>
      <c r="E208" s="103">
        <v>1524.6</v>
      </c>
      <c r="F208" s="103">
        <v>1749.6</v>
      </c>
      <c r="G208" s="103">
        <v>2349.6</v>
      </c>
      <c r="H208" s="103">
        <v>3174.6</v>
      </c>
      <c r="I208" s="103">
        <v>4299.6000000000004</v>
      </c>
      <c r="J208" s="103">
        <v>14213</v>
      </c>
      <c r="K208" s="103">
        <v>21713</v>
      </c>
      <c r="L208" s="103">
        <v>37463</v>
      </c>
      <c r="M208" s="103">
        <v>68963</v>
      </c>
    </row>
    <row r="209" spans="1:13" x14ac:dyDescent="0.25">
      <c r="A209" s="306"/>
      <c r="B209" s="323"/>
      <c r="C209" s="21" t="s">
        <v>27</v>
      </c>
      <c r="D209" s="1" t="s">
        <v>4</v>
      </c>
      <c r="E209" s="102">
        <v>40</v>
      </c>
      <c r="F209" s="102">
        <v>40</v>
      </c>
      <c r="G209" s="102">
        <v>40</v>
      </c>
      <c r="H209" s="102">
        <v>40</v>
      </c>
      <c r="I209" s="102">
        <v>40</v>
      </c>
      <c r="J209" s="102">
        <v>40</v>
      </c>
      <c r="K209" s="102">
        <v>40</v>
      </c>
      <c r="L209" s="102">
        <v>40</v>
      </c>
      <c r="M209" s="102">
        <v>40</v>
      </c>
    </row>
    <row r="210" spans="1:13" x14ac:dyDescent="0.25">
      <c r="A210" s="306"/>
      <c r="B210" s="323"/>
      <c r="C210" s="21" t="s">
        <v>125</v>
      </c>
      <c r="D210" s="1" t="s">
        <v>19</v>
      </c>
      <c r="E210" s="106">
        <v>0.546875</v>
      </c>
      <c r="F210" s="106">
        <v>0.546875</v>
      </c>
      <c r="G210" s="106">
        <v>0.54687499999999989</v>
      </c>
      <c r="H210" s="106">
        <v>0.546875</v>
      </c>
      <c r="I210" s="106">
        <v>0.546875</v>
      </c>
      <c r="J210" s="106">
        <v>0.546875</v>
      </c>
      <c r="K210" s="106">
        <v>0.546875</v>
      </c>
      <c r="L210" s="106">
        <v>0.546875</v>
      </c>
      <c r="M210" s="106">
        <v>0.546875</v>
      </c>
    </row>
    <row r="211" spans="1:13" x14ac:dyDescent="0.25">
      <c r="A211" s="306"/>
      <c r="B211" s="323"/>
      <c r="C211" s="21" t="s">
        <v>126</v>
      </c>
      <c r="D211" s="1" t="s">
        <v>19</v>
      </c>
      <c r="E211" s="102">
        <v>0.64</v>
      </c>
      <c r="F211" s="102">
        <v>0.64</v>
      </c>
      <c r="G211" s="102">
        <v>0.64</v>
      </c>
      <c r="H211" s="102">
        <v>0.64</v>
      </c>
      <c r="I211" s="102">
        <v>0.64</v>
      </c>
      <c r="J211" s="102">
        <v>0.64</v>
      </c>
      <c r="K211" s="102">
        <v>0.64</v>
      </c>
      <c r="L211" s="102">
        <v>0.64</v>
      </c>
      <c r="M211" s="102">
        <v>0.64</v>
      </c>
    </row>
    <row r="212" spans="1:13" x14ac:dyDescent="0.25">
      <c r="A212" s="306"/>
      <c r="B212" s="323"/>
      <c r="C212" s="24" t="s">
        <v>127</v>
      </c>
      <c r="D212" s="1" t="s">
        <v>4</v>
      </c>
      <c r="E212" s="102">
        <v>20</v>
      </c>
      <c r="F212" s="102">
        <v>20</v>
      </c>
      <c r="G212" s="102">
        <v>20</v>
      </c>
      <c r="H212" s="102">
        <v>20</v>
      </c>
      <c r="I212" s="102">
        <v>20</v>
      </c>
      <c r="J212" s="102">
        <v>20</v>
      </c>
      <c r="K212" s="102">
        <v>20</v>
      </c>
      <c r="L212" s="102">
        <v>20</v>
      </c>
      <c r="M212" s="102">
        <v>20</v>
      </c>
    </row>
    <row r="213" spans="1:13" x14ac:dyDescent="0.25">
      <c r="A213" s="306"/>
      <c r="B213" s="323"/>
      <c r="C213" s="24" t="s">
        <v>128</v>
      </c>
      <c r="D213" s="1" t="s">
        <v>6</v>
      </c>
      <c r="E213" s="107">
        <v>935.56110395189</v>
      </c>
      <c r="F213" s="103">
        <v>910.85220299459979</v>
      </c>
      <c r="G213" s="103">
        <v>844.9618004418262</v>
      </c>
      <c r="H213" s="103">
        <v>754.36249693176228</v>
      </c>
      <c r="I213" s="103">
        <v>630.81799214531168</v>
      </c>
      <c r="J213" s="103">
        <v>538.57142857142856</v>
      </c>
      <c r="K213" s="103">
        <v>538.57142857142856</v>
      </c>
      <c r="L213" s="103">
        <v>538.57142857142856</v>
      </c>
      <c r="M213" s="103">
        <v>538.57142857142856</v>
      </c>
    </row>
    <row r="214" spans="1:13" x14ac:dyDescent="0.25">
      <c r="A214" s="306"/>
      <c r="B214" s="323"/>
      <c r="C214" s="21" t="s">
        <v>179</v>
      </c>
      <c r="D214" s="1" t="s">
        <v>19</v>
      </c>
      <c r="E214" s="104">
        <v>0.35</v>
      </c>
      <c r="F214" s="104">
        <v>0.35</v>
      </c>
      <c r="G214" s="104">
        <v>0.35</v>
      </c>
      <c r="H214" s="104">
        <v>0.35</v>
      </c>
      <c r="I214" s="104">
        <v>0.35</v>
      </c>
      <c r="J214" s="104">
        <v>0.35</v>
      </c>
      <c r="K214" s="104">
        <v>0.35</v>
      </c>
      <c r="L214" s="104">
        <v>0.35</v>
      </c>
      <c r="M214" s="104">
        <v>0.35</v>
      </c>
    </row>
    <row r="215" spans="1:13" x14ac:dyDescent="0.25">
      <c r="A215" s="306"/>
      <c r="B215" s="323"/>
      <c r="C215" s="21" t="s">
        <v>129</v>
      </c>
      <c r="D215" s="1" t="s">
        <v>8</v>
      </c>
      <c r="E215" s="103">
        <v>56.686008836524309</v>
      </c>
      <c r="F215" s="103">
        <v>74.027687776141391</v>
      </c>
      <c r="G215" s="103">
        <v>120.27216494845361</v>
      </c>
      <c r="H215" s="103">
        <v>183.85832106038291</v>
      </c>
      <c r="I215" s="103">
        <v>270.56671575846832</v>
      </c>
      <c r="J215" s="103">
        <v>443.98350515463915</v>
      </c>
      <c r="K215" s="103">
        <v>617.40029455081003</v>
      </c>
      <c r="L215" s="103">
        <v>617.40029455081003</v>
      </c>
      <c r="M215" s="103">
        <v>617.40029455081003</v>
      </c>
    </row>
    <row r="216" spans="1:13" x14ac:dyDescent="0.25">
      <c r="A216" s="306"/>
      <c r="B216" s="323"/>
      <c r="C216" s="21" t="s">
        <v>130</v>
      </c>
      <c r="D216" s="1" t="s">
        <v>9</v>
      </c>
      <c r="E216" s="102"/>
      <c r="F216" s="102"/>
      <c r="G216" s="102"/>
      <c r="H216" s="102"/>
      <c r="I216" s="102"/>
      <c r="J216" s="102"/>
      <c r="K216" s="102"/>
      <c r="L216" s="102"/>
      <c r="M216" s="102"/>
    </row>
    <row r="217" spans="1:13" x14ac:dyDescent="0.25">
      <c r="A217" s="306"/>
      <c r="B217" s="323"/>
      <c r="C217" s="21" t="s">
        <v>131</v>
      </c>
      <c r="D217" s="1" t="s">
        <v>10</v>
      </c>
      <c r="E217" s="102"/>
      <c r="F217" s="102"/>
      <c r="G217" s="102"/>
      <c r="H217" s="102"/>
      <c r="I217" s="102"/>
      <c r="J217" s="102"/>
      <c r="K217" s="102"/>
      <c r="L217" s="102"/>
      <c r="M217" s="102"/>
    </row>
    <row r="218" spans="1:13" ht="18.75" x14ac:dyDescent="0.25">
      <c r="A218" s="306"/>
      <c r="B218" s="323"/>
      <c r="C218" s="53" t="s">
        <v>132</v>
      </c>
      <c r="D218" s="23" t="s">
        <v>17</v>
      </c>
      <c r="E218" s="102"/>
      <c r="F218" s="102"/>
      <c r="G218" s="102"/>
      <c r="H218" s="102"/>
      <c r="I218" s="102"/>
      <c r="J218" s="102"/>
      <c r="K218" s="102"/>
      <c r="L218" s="102"/>
      <c r="M218" s="102"/>
    </row>
    <row r="219" spans="1:13" x14ac:dyDescent="0.25">
      <c r="A219" s="324">
        <v>14</v>
      </c>
      <c r="B219" s="327" t="s">
        <v>181</v>
      </c>
      <c r="C219" s="21" t="s">
        <v>112</v>
      </c>
      <c r="D219" s="1" t="s">
        <v>19</v>
      </c>
      <c r="E219" s="106">
        <v>1</v>
      </c>
      <c r="F219" s="106">
        <v>1</v>
      </c>
      <c r="G219" s="106">
        <v>1</v>
      </c>
      <c r="H219" s="106">
        <v>1</v>
      </c>
      <c r="I219" s="106">
        <v>1</v>
      </c>
      <c r="J219" s="106">
        <v>1</v>
      </c>
      <c r="K219" s="106">
        <v>1</v>
      </c>
      <c r="L219" s="106">
        <v>1</v>
      </c>
      <c r="M219" s="106">
        <v>1</v>
      </c>
    </row>
    <row r="220" spans="1:13" x14ac:dyDescent="0.25">
      <c r="A220" s="325"/>
      <c r="B220" s="328"/>
      <c r="C220" s="21" t="s">
        <v>28</v>
      </c>
      <c r="D220" s="1" t="s">
        <v>19</v>
      </c>
      <c r="E220" s="102">
        <v>0.8</v>
      </c>
      <c r="F220" s="102">
        <v>0.8</v>
      </c>
      <c r="G220" s="102">
        <v>0.8</v>
      </c>
      <c r="H220" s="102">
        <v>0.8</v>
      </c>
      <c r="I220" s="102">
        <v>0.8</v>
      </c>
      <c r="J220" s="102">
        <v>0.8</v>
      </c>
      <c r="K220" s="102">
        <v>0.8</v>
      </c>
      <c r="L220" s="102">
        <v>0.8</v>
      </c>
      <c r="M220" s="102">
        <v>0.8</v>
      </c>
    </row>
    <row r="221" spans="1:13" x14ac:dyDescent="0.25">
      <c r="A221" s="325"/>
      <c r="B221" s="328"/>
      <c r="C221" s="21" t="s">
        <v>29</v>
      </c>
      <c r="D221" s="1" t="s">
        <v>4</v>
      </c>
      <c r="E221" s="102">
        <v>20</v>
      </c>
      <c r="F221" s="102">
        <v>20</v>
      </c>
      <c r="G221" s="102">
        <v>20</v>
      </c>
      <c r="H221" s="102">
        <v>20</v>
      </c>
      <c r="I221" s="102">
        <v>20</v>
      </c>
      <c r="J221" s="102">
        <v>20</v>
      </c>
      <c r="K221" s="102">
        <v>20</v>
      </c>
      <c r="L221" s="102">
        <v>20</v>
      </c>
      <c r="M221" s="102">
        <v>20</v>
      </c>
    </row>
    <row r="222" spans="1:13" x14ac:dyDescent="0.25">
      <c r="A222" s="325"/>
      <c r="B222" s="328"/>
      <c r="C222" s="21" t="s">
        <v>30</v>
      </c>
      <c r="D222" s="1" t="s">
        <v>6</v>
      </c>
      <c r="E222" s="103">
        <v>865.6981523557846</v>
      </c>
      <c r="F222" s="103">
        <v>618.18184751144668</v>
      </c>
      <c r="G222" s="103">
        <v>482.31953407260886</v>
      </c>
      <c r="H222" s="103">
        <v>482.31953407260886</v>
      </c>
      <c r="I222" s="103">
        <v>482.31953407260886</v>
      </c>
      <c r="J222" s="103">
        <v>482.31953407260886</v>
      </c>
      <c r="K222" s="103">
        <v>1136.3124641115969</v>
      </c>
      <c r="L222" s="103">
        <v>988.42533284709032</v>
      </c>
      <c r="M222" s="103">
        <v>868.76381718516643</v>
      </c>
    </row>
    <row r="223" spans="1:13" x14ac:dyDescent="0.25">
      <c r="A223" s="325"/>
      <c r="B223" s="328"/>
      <c r="C223" s="21" t="s">
        <v>174</v>
      </c>
      <c r="D223" s="1" t="s">
        <v>19</v>
      </c>
      <c r="E223" s="104">
        <v>0.35</v>
      </c>
      <c r="F223" s="104">
        <v>0.35</v>
      </c>
      <c r="G223" s="104">
        <v>0.35</v>
      </c>
      <c r="H223" s="104">
        <v>0.35</v>
      </c>
      <c r="I223" s="104">
        <v>0.35</v>
      </c>
      <c r="J223" s="104">
        <v>0.35</v>
      </c>
      <c r="K223" s="104">
        <v>0.35</v>
      </c>
      <c r="L223" s="104">
        <v>0.35</v>
      </c>
      <c r="M223" s="104">
        <v>0.35</v>
      </c>
    </row>
    <row r="224" spans="1:13" x14ac:dyDescent="0.25">
      <c r="A224" s="325"/>
      <c r="B224" s="328"/>
      <c r="C224" s="21" t="s">
        <v>113</v>
      </c>
      <c r="D224" s="1" t="s">
        <v>8</v>
      </c>
      <c r="E224" s="102"/>
      <c r="F224" s="102"/>
      <c r="G224" s="102"/>
      <c r="H224" s="102"/>
      <c r="I224" s="102"/>
      <c r="J224" s="102"/>
      <c r="K224" s="102"/>
      <c r="L224" s="102"/>
      <c r="M224" s="102"/>
    </row>
    <row r="225" spans="1:13" x14ac:dyDescent="0.25">
      <c r="A225" s="325"/>
      <c r="B225" s="328"/>
      <c r="C225" s="21" t="s">
        <v>114</v>
      </c>
      <c r="D225" s="1" t="s">
        <v>9</v>
      </c>
      <c r="E225" s="102"/>
      <c r="F225" s="102"/>
      <c r="G225" s="102"/>
      <c r="H225" s="102"/>
      <c r="I225" s="102"/>
      <c r="J225" s="102"/>
      <c r="K225" s="102"/>
      <c r="L225" s="102"/>
      <c r="M225" s="102"/>
    </row>
    <row r="226" spans="1:13" x14ac:dyDescent="0.25">
      <c r="A226" s="325"/>
      <c r="B226" s="328"/>
      <c r="C226" s="21" t="s">
        <v>115</v>
      </c>
      <c r="D226" s="1" t="s">
        <v>10</v>
      </c>
      <c r="E226" s="103">
        <v>0</v>
      </c>
      <c r="F226" s="103">
        <v>0</v>
      </c>
      <c r="G226" s="103">
        <v>0</v>
      </c>
      <c r="H226" s="103">
        <v>0</v>
      </c>
      <c r="I226" s="103">
        <v>0</v>
      </c>
      <c r="J226" s="103">
        <v>0</v>
      </c>
      <c r="K226" s="103">
        <v>2.1199999999999999E-3</v>
      </c>
      <c r="L226" s="103">
        <v>2.1199999999999999E-3</v>
      </c>
      <c r="M226" s="103">
        <v>2.1199999999999999E-3</v>
      </c>
    </row>
    <row r="227" spans="1:13" ht="18.75" x14ac:dyDescent="0.25">
      <c r="A227" s="325"/>
      <c r="B227" s="328"/>
      <c r="C227" s="22" t="s">
        <v>116</v>
      </c>
      <c r="D227" s="23" t="s">
        <v>17</v>
      </c>
      <c r="E227" s="103">
        <v>0</v>
      </c>
      <c r="F227" s="103">
        <v>0</v>
      </c>
      <c r="G227" s="103">
        <v>0</v>
      </c>
      <c r="H227" s="103">
        <v>0</v>
      </c>
      <c r="I227" s="103">
        <v>0</v>
      </c>
      <c r="J227" s="103">
        <v>0</v>
      </c>
      <c r="K227" s="103">
        <v>0</v>
      </c>
      <c r="L227" s="103">
        <v>0</v>
      </c>
      <c r="M227" s="103">
        <v>0</v>
      </c>
    </row>
    <row r="228" spans="1:13" x14ac:dyDescent="0.25">
      <c r="A228" s="325"/>
      <c r="B228" s="328"/>
      <c r="C228" s="22" t="s">
        <v>31</v>
      </c>
      <c r="D228" s="23" t="s">
        <v>10</v>
      </c>
      <c r="E228" s="103">
        <v>0</v>
      </c>
      <c r="F228" s="103">
        <v>0</v>
      </c>
      <c r="G228" s="103">
        <v>0</v>
      </c>
      <c r="H228" s="103">
        <v>0</v>
      </c>
      <c r="I228" s="103">
        <v>0</v>
      </c>
      <c r="J228" s="103">
        <v>0</v>
      </c>
      <c r="K228" s="103">
        <v>0</v>
      </c>
      <c r="L228" s="103">
        <v>0</v>
      </c>
      <c r="M228" s="103">
        <v>0</v>
      </c>
    </row>
    <row r="229" spans="1:13" x14ac:dyDescent="0.25">
      <c r="A229" s="325"/>
      <c r="B229" s="328"/>
      <c r="C229" s="21" t="s">
        <v>32</v>
      </c>
      <c r="D229" s="2" t="s">
        <v>19</v>
      </c>
      <c r="E229" s="102">
        <v>3.2399999999999998</v>
      </c>
      <c r="F229" s="102">
        <v>3.2399999999999998</v>
      </c>
      <c r="G229" s="102">
        <v>3.2399999999999998</v>
      </c>
      <c r="H229" s="102">
        <v>3.2399999999999998</v>
      </c>
      <c r="I229" s="102">
        <v>3.2399999999999998</v>
      </c>
      <c r="J229" s="102">
        <v>3.2399999999999998</v>
      </c>
      <c r="K229" s="102">
        <v>3.2399999999999998</v>
      </c>
      <c r="L229" s="102">
        <v>3.2399999999999998</v>
      </c>
      <c r="M229" s="102">
        <v>3.2399999999999998</v>
      </c>
    </row>
    <row r="230" spans="1:13" x14ac:dyDescent="0.25">
      <c r="A230" s="325"/>
      <c r="B230" s="328"/>
      <c r="C230" s="21" t="s">
        <v>33</v>
      </c>
      <c r="D230" s="2" t="s">
        <v>14</v>
      </c>
      <c r="E230" s="102"/>
      <c r="F230" s="102"/>
      <c r="G230" s="102"/>
      <c r="H230" s="102"/>
      <c r="I230" s="102"/>
      <c r="J230" s="102"/>
      <c r="K230" s="102"/>
      <c r="L230" s="102"/>
      <c r="M230" s="102"/>
    </row>
    <row r="231" spans="1:13" x14ac:dyDescent="0.25">
      <c r="A231" s="325"/>
      <c r="B231" s="328"/>
      <c r="C231" s="21" t="s">
        <v>34</v>
      </c>
      <c r="D231" s="2" t="s">
        <v>4</v>
      </c>
      <c r="E231" s="102"/>
      <c r="F231" s="102"/>
      <c r="G231" s="102"/>
      <c r="H231" s="102"/>
      <c r="I231" s="102"/>
      <c r="J231" s="102"/>
      <c r="K231" s="102"/>
      <c r="L231" s="102"/>
      <c r="M231" s="102"/>
    </row>
    <row r="232" spans="1:13" x14ac:dyDescent="0.25">
      <c r="A232" s="325"/>
      <c r="B232" s="328"/>
      <c r="C232" s="21" t="s">
        <v>125</v>
      </c>
      <c r="D232" s="1" t="s">
        <v>19</v>
      </c>
      <c r="E232" s="106">
        <v>0.3125</v>
      </c>
      <c r="F232" s="106">
        <v>0.3125</v>
      </c>
      <c r="G232" s="106">
        <v>0.3125</v>
      </c>
      <c r="H232" s="106">
        <v>0.3125</v>
      </c>
      <c r="I232" s="106">
        <v>0.3125</v>
      </c>
      <c r="J232" s="106">
        <v>0.3125</v>
      </c>
      <c r="K232" s="106">
        <v>0.3125</v>
      </c>
      <c r="L232" s="106">
        <v>0.3125</v>
      </c>
      <c r="M232" s="106">
        <v>0.3125</v>
      </c>
    </row>
    <row r="233" spans="1:13" x14ac:dyDescent="0.25">
      <c r="A233" s="325"/>
      <c r="B233" s="328"/>
      <c r="C233" s="21" t="s">
        <v>126</v>
      </c>
      <c r="D233" s="1" t="s">
        <v>19</v>
      </c>
      <c r="E233" s="102">
        <v>0.64</v>
      </c>
      <c r="F233" s="102">
        <v>0.64</v>
      </c>
      <c r="G233" s="102">
        <v>0.64</v>
      </c>
      <c r="H233" s="102">
        <v>0.64</v>
      </c>
      <c r="I233" s="102">
        <v>0.64</v>
      </c>
      <c r="J233" s="102">
        <v>0.64</v>
      </c>
      <c r="K233" s="102">
        <v>0.64</v>
      </c>
      <c r="L233" s="102">
        <v>0.64</v>
      </c>
      <c r="M233" s="102">
        <v>0.64</v>
      </c>
    </row>
    <row r="234" spans="1:13" x14ac:dyDescent="0.25">
      <c r="A234" s="325"/>
      <c r="B234" s="328"/>
      <c r="C234" s="24" t="s">
        <v>127</v>
      </c>
      <c r="D234" s="1" t="s">
        <v>4</v>
      </c>
      <c r="E234" s="102">
        <v>20</v>
      </c>
      <c r="F234" s="102">
        <v>20</v>
      </c>
      <c r="G234" s="102">
        <v>20</v>
      </c>
      <c r="H234" s="102">
        <v>20</v>
      </c>
      <c r="I234" s="102">
        <v>20</v>
      </c>
      <c r="J234" s="102">
        <v>20</v>
      </c>
      <c r="K234" s="102">
        <v>20</v>
      </c>
      <c r="L234" s="102">
        <v>20</v>
      </c>
      <c r="M234" s="102">
        <v>20</v>
      </c>
    </row>
    <row r="235" spans="1:13" x14ac:dyDescent="0.25">
      <c r="A235" s="325"/>
      <c r="B235" s="328"/>
      <c r="C235" s="24" t="s">
        <v>128</v>
      </c>
      <c r="D235" s="1" t="s">
        <v>6</v>
      </c>
      <c r="E235" s="107">
        <v>946.15063293358571</v>
      </c>
      <c r="F235" s="107">
        <v>932.03126095799144</v>
      </c>
      <c r="G235" s="107">
        <v>894.37960235640639</v>
      </c>
      <c r="H235" s="107">
        <v>842.60857177922708</v>
      </c>
      <c r="I235" s="107">
        <v>772.01171190125524</v>
      </c>
      <c r="J235" s="107">
        <v>630.81799214531168</v>
      </c>
      <c r="K235" s="107">
        <v>538.57142857142856</v>
      </c>
      <c r="L235" s="107">
        <v>538.57142857142856</v>
      </c>
      <c r="M235" s="107">
        <v>538.57142857142856</v>
      </c>
    </row>
    <row r="236" spans="1:13" x14ac:dyDescent="0.25">
      <c r="A236" s="325"/>
      <c r="B236" s="328"/>
      <c r="C236" s="24" t="s">
        <v>179</v>
      </c>
      <c r="D236" s="1" t="s">
        <v>19</v>
      </c>
      <c r="E236" s="104">
        <v>0.35</v>
      </c>
      <c r="F236" s="104">
        <v>0.35</v>
      </c>
      <c r="G236" s="104">
        <v>0.35</v>
      </c>
      <c r="H236" s="104">
        <v>0.35</v>
      </c>
      <c r="I236" s="104">
        <v>0.35</v>
      </c>
      <c r="J236" s="104">
        <v>0.35</v>
      </c>
      <c r="K236" s="104">
        <v>0.35</v>
      </c>
      <c r="L236" s="104">
        <v>0.35</v>
      </c>
      <c r="M236" s="104">
        <v>0.35</v>
      </c>
    </row>
    <row r="237" spans="1:13" x14ac:dyDescent="0.25">
      <c r="A237" s="325"/>
      <c r="B237" s="328"/>
      <c r="C237" s="21" t="s">
        <v>129</v>
      </c>
      <c r="D237" s="1" t="s">
        <v>8</v>
      </c>
      <c r="E237" s="103">
        <v>56.686008836524309</v>
      </c>
      <c r="F237" s="103">
        <v>74.027687776141391</v>
      </c>
      <c r="G237" s="103">
        <v>120.27216494845361</v>
      </c>
      <c r="H237" s="103">
        <v>183.85832106038291</v>
      </c>
      <c r="I237" s="103">
        <v>270.56671575846832</v>
      </c>
      <c r="J237" s="103">
        <v>443.98350515463915</v>
      </c>
      <c r="K237" s="103">
        <v>617.40029455081003</v>
      </c>
      <c r="L237" s="103">
        <v>617.40029455081003</v>
      </c>
      <c r="M237" s="103">
        <v>617.40029455081003</v>
      </c>
    </row>
    <row r="238" spans="1:13" x14ac:dyDescent="0.25">
      <c r="A238" s="325"/>
      <c r="B238" s="328"/>
      <c r="C238" s="21" t="s">
        <v>130</v>
      </c>
      <c r="D238" s="1" t="s">
        <v>9</v>
      </c>
      <c r="E238" s="102"/>
      <c r="F238" s="102"/>
      <c r="G238" s="102"/>
      <c r="H238" s="102"/>
      <c r="I238" s="102"/>
      <c r="J238" s="102"/>
      <c r="K238" s="102"/>
      <c r="L238" s="102"/>
      <c r="M238" s="102"/>
    </row>
    <row r="239" spans="1:13" x14ac:dyDescent="0.25">
      <c r="A239" s="325"/>
      <c r="B239" s="328"/>
      <c r="C239" s="21" t="s">
        <v>131</v>
      </c>
      <c r="D239" s="1" t="s">
        <v>10</v>
      </c>
      <c r="E239" s="102"/>
      <c r="F239" s="102"/>
      <c r="G239" s="102"/>
      <c r="H239" s="102"/>
      <c r="I239" s="102"/>
      <c r="J239" s="102"/>
      <c r="K239" s="102"/>
      <c r="L239" s="102"/>
      <c r="M239" s="102"/>
    </row>
    <row r="240" spans="1:13" ht="18.75" x14ac:dyDescent="0.25">
      <c r="A240" s="326"/>
      <c r="B240" s="329"/>
      <c r="C240" s="53" t="s">
        <v>132</v>
      </c>
      <c r="D240" s="23" t="s">
        <v>17</v>
      </c>
      <c r="E240" s="102"/>
      <c r="F240" s="102"/>
      <c r="G240" s="102"/>
      <c r="H240" s="102"/>
      <c r="I240" s="102"/>
      <c r="J240" s="102"/>
      <c r="K240" s="102"/>
      <c r="L240" s="102"/>
      <c r="M240" s="102"/>
    </row>
    <row r="241" spans="1:13" x14ac:dyDescent="0.25">
      <c r="A241" s="324">
        <v>15</v>
      </c>
      <c r="B241" s="327" t="s">
        <v>182</v>
      </c>
      <c r="C241" s="21" t="s">
        <v>112</v>
      </c>
      <c r="D241" s="1" t="s">
        <v>19</v>
      </c>
      <c r="E241" s="106">
        <v>1</v>
      </c>
      <c r="F241" s="106">
        <v>1</v>
      </c>
      <c r="G241" s="106">
        <v>1</v>
      </c>
      <c r="H241" s="106">
        <v>1</v>
      </c>
      <c r="I241" s="106">
        <v>1</v>
      </c>
      <c r="J241" s="106">
        <v>1</v>
      </c>
      <c r="K241" s="106">
        <v>1</v>
      </c>
      <c r="L241" s="106">
        <v>1</v>
      </c>
      <c r="M241" s="106">
        <v>1</v>
      </c>
    </row>
    <row r="242" spans="1:13" x14ac:dyDescent="0.25">
      <c r="A242" s="325"/>
      <c r="B242" s="328"/>
      <c r="C242" s="21" t="s">
        <v>28</v>
      </c>
      <c r="D242" s="1" t="s">
        <v>19</v>
      </c>
      <c r="E242" s="102">
        <v>0.65</v>
      </c>
      <c r="F242" s="102">
        <v>0.65</v>
      </c>
      <c r="G242" s="102">
        <v>0.65</v>
      </c>
      <c r="H242" s="102">
        <v>0.65</v>
      </c>
      <c r="I242" s="102">
        <v>0.65</v>
      </c>
      <c r="J242" s="102">
        <v>0.65</v>
      </c>
      <c r="K242" s="102">
        <v>0.65</v>
      </c>
      <c r="L242" s="102">
        <v>0.65</v>
      </c>
      <c r="M242" s="102">
        <v>0.65</v>
      </c>
    </row>
    <row r="243" spans="1:13" x14ac:dyDescent="0.25">
      <c r="A243" s="325"/>
      <c r="B243" s="328"/>
      <c r="C243" s="21" t="s">
        <v>29</v>
      </c>
      <c r="D243" s="1" t="s">
        <v>4</v>
      </c>
      <c r="E243" s="102">
        <v>20</v>
      </c>
      <c r="F243" s="102">
        <v>20</v>
      </c>
      <c r="G243" s="102">
        <v>20</v>
      </c>
      <c r="H243" s="102">
        <v>20</v>
      </c>
      <c r="I243" s="102">
        <v>20</v>
      </c>
      <c r="J243" s="102">
        <v>20</v>
      </c>
      <c r="K243" s="102">
        <v>20</v>
      </c>
      <c r="L243" s="102">
        <v>20</v>
      </c>
      <c r="M243" s="102">
        <v>20</v>
      </c>
    </row>
    <row r="244" spans="1:13" x14ac:dyDescent="0.25">
      <c r="A244" s="325"/>
      <c r="B244" s="328"/>
      <c r="C244" s="21" t="s">
        <v>30</v>
      </c>
      <c r="D244" s="1" t="s">
        <v>6</v>
      </c>
      <c r="E244" s="103">
        <v>865.6981523557846</v>
      </c>
      <c r="F244" s="103">
        <v>618.18184751144668</v>
      </c>
      <c r="G244" s="103">
        <v>482.31953407260886</v>
      </c>
      <c r="H244" s="103">
        <v>482.31953407260886</v>
      </c>
      <c r="I244" s="103">
        <v>482.31953407260886</v>
      </c>
      <c r="J244" s="103">
        <v>482.31953407260886</v>
      </c>
      <c r="K244" s="103">
        <v>1136.3124641115969</v>
      </c>
      <c r="L244" s="103">
        <v>988.42533284709032</v>
      </c>
      <c r="M244" s="103">
        <v>868.76381718516643</v>
      </c>
    </row>
    <row r="245" spans="1:13" x14ac:dyDescent="0.25">
      <c r="A245" s="325"/>
      <c r="B245" s="328"/>
      <c r="C245" s="21" t="s">
        <v>174</v>
      </c>
      <c r="D245" s="1" t="s">
        <v>19</v>
      </c>
      <c r="E245" s="104">
        <v>0.35</v>
      </c>
      <c r="F245" s="104">
        <v>0.35</v>
      </c>
      <c r="G245" s="104">
        <v>0.35</v>
      </c>
      <c r="H245" s="104">
        <v>0.35</v>
      </c>
      <c r="I245" s="104">
        <v>0.35</v>
      </c>
      <c r="J245" s="104">
        <v>0.35</v>
      </c>
      <c r="K245" s="104">
        <v>0.35</v>
      </c>
      <c r="L245" s="104">
        <v>0.35</v>
      </c>
      <c r="M245" s="104">
        <v>0.35</v>
      </c>
    </row>
    <row r="246" spans="1:13" x14ac:dyDescent="0.25">
      <c r="A246" s="325"/>
      <c r="B246" s="328"/>
      <c r="C246" s="21" t="s">
        <v>113</v>
      </c>
      <c r="D246" s="1" t="s">
        <v>8</v>
      </c>
      <c r="E246" s="102"/>
      <c r="F246" s="102"/>
      <c r="G246" s="102"/>
      <c r="H246" s="102"/>
      <c r="I246" s="102"/>
      <c r="J246" s="102"/>
      <c r="K246" s="102"/>
      <c r="L246" s="102"/>
      <c r="M246" s="102"/>
    </row>
    <row r="247" spans="1:13" x14ac:dyDescent="0.25">
      <c r="A247" s="325"/>
      <c r="B247" s="328"/>
      <c r="C247" s="21" t="s">
        <v>114</v>
      </c>
      <c r="D247" s="1" t="s">
        <v>9</v>
      </c>
      <c r="E247" s="102"/>
      <c r="F247" s="102"/>
      <c r="G247" s="102"/>
      <c r="H247" s="102"/>
      <c r="I247" s="102"/>
      <c r="J247" s="102"/>
      <c r="K247" s="102"/>
      <c r="L247" s="102"/>
      <c r="M247" s="102"/>
    </row>
    <row r="248" spans="1:13" x14ac:dyDescent="0.25">
      <c r="A248" s="325"/>
      <c r="B248" s="328"/>
      <c r="C248" s="21" t="s">
        <v>115</v>
      </c>
      <c r="D248" s="1" t="s">
        <v>10</v>
      </c>
      <c r="E248" s="103">
        <v>0</v>
      </c>
      <c r="F248" s="103">
        <v>0</v>
      </c>
      <c r="G248" s="103">
        <v>0</v>
      </c>
      <c r="H248" s="103">
        <v>0</v>
      </c>
      <c r="I248" s="103">
        <v>0</v>
      </c>
      <c r="J248" s="103">
        <v>0</v>
      </c>
      <c r="K248" s="103">
        <v>2.1199999999999999E-3</v>
      </c>
      <c r="L248" s="103">
        <v>2.1199999999999999E-3</v>
      </c>
      <c r="M248" s="103">
        <v>2.1199999999999999E-3</v>
      </c>
    </row>
    <row r="249" spans="1:13" ht="18.75" x14ac:dyDescent="0.25">
      <c r="A249" s="325"/>
      <c r="B249" s="328"/>
      <c r="C249" s="22" t="s">
        <v>116</v>
      </c>
      <c r="D249" s="23" t="s">
        <v>17</v>
      </c>
      <c r="E249" s="103">
        <v>0</v>
      </c>
      <c r="F249" s="103">
        <v>0</v>
      </c>
      <c r="G249" s="103">
        <v>0</v>
      </c>
      <c r="H249" s="103">
        <v>0</v>
      </c>
      <c r="I249" s="103">
        <v>0</v>
      </c>
      <c r="J249" s="103">
        <v>0</v>
      </c>
      <c r="K249" s="103">
        <v>0</v>
      </c>
      <c r="L249" s="103">
        <v>0</v>
      </c>
      <c r="M249" s="103">
        <v>0</v>
      </c>
    </row>
    <row r="250" spans="1:13" x14ac:dyDescent="0.25">
      <c r="A250" s="325"/>
      <c r="B250" s="328"/>
      <c r="C250" s="22" t="s">
        <v>31</v>
      </c>
      <c r="D250" s="23" t="s">
        <v>10</v>
      </c>
      <c r="E250" s="103">
        <v>0</v>
      </c>
      <c r="F250" s="103">
        <v>0</v>
      </c>
      <c r="G250" s="103">
        <v>0</v>
      </c>
      <c r="H250" s="103">
        <v>0</v>
      </c>
      <c r="I250" s="103">
        <v>0</v>
      </c>
      <c r="J250" s="103">
        <v>0</v>
      </c>
      <c r="K250" s="103">
        <v>0</v>
      </c>
      <c r="L250" s="103">
        <v>0</v>
      </c>
      <c r="M250" s="103">
        <v>0</v>
      </c>
    </row>
    <row r="251" spans="1:13" x14ac:dyDescent="0.25">
      <c r="A251" s="325"/>
      <c r="B251" s="328"/>
      <c r="C251" s="21" t="s">
        <v>32</v>
      </c>
      <c r="D251" s="2" t="s">
        <v>19</v>
      </c>
      <c r="E251" s="102">
        <v>3.2399999999999998</v>
      </c>
      <c r="F251" s="102">
        <v>3.2399999999999998</v>
      </c>
      <c r="G251" s="102">
        <v>3.2399999999999998</v>
      </c>
      <c r="H251" s="102">
        <v>3.2399999999999998</v>
      </c>
      <c r="I251" s="102">
        <v>3.2399999999999998</v>
      </c>
      <c r="J251" s="102">
        <v>3.2399999999999998</v>
      </c>
      <c r="K251" s="102">
        <v>3.2399999999999998</v>
      </c>
      <c r="L251" s="102">
        <v>3.2399999999999998</v>
      </c>
      <c r="M251" s="102">
        <v>3.2399999999999998</v>
      </c>
    </row>
    <row r="252" spans="1:13" x14ac:dyDescent="0.25">
      <c r="A252" s="325"/>
      <c r="B252" s="328"/>
      <c r="C252" s="21" t="s">
        <v>33</v>
      </c>
      <c r="D252" s="2" t="s">
        <v>14</v>
      </c>
      <c r="E252" s="102"/>
      <c r="F252" s="102"/>
      <c r="G252" s="102"/>
      <c r="H252" s="102"/>
      <c r="I252" s="102"/>
      <c r="J252" s="102"/>
      <c r="K252" s="102"/>
      <c r="L252" s="102"/>
      <c r="M252" s="102"/>
    </row>
    <row r="253" spans="1:13" x14ac:dyDescent="0.25">
      <c r="A253" s="325"/>
      <c r="B253" s="328"/>
      <c r="C253" s="21" t="s">
        <v>34</v>
      </c>
      <c r="D253" s="2" t="s">
        <v>4</v>
      </c>
      <c r="E253" s="102"/>
      <c r="F253" s="102"/>
      <c r="G253" s="102"/>
      <c r="H253" s="102"/>
      <c r="I253" s="102"/>
      <c r="J253" s="102"/>
      <c r="K253" s="102"/>
      <c r="L253" s="102"/>
      <c r="M253" s="102"/>
    </row>
    <row r="254" spans="1:13" x14ac:dyDescent="0.25">
      <c r="A254" s="325"/>
      <c r="B254" s="328"/>
      <c r="C254" s="21" t="s">
        <v>125</v>
      </c>
      <c r="D254" s="1" t="s">
        <v>19</v>
      </c>
      <c r="E254" s="106">
        <v>0.546875</v>
      </c>
      <c r="F254" s="106">
        <v>0.546875</v>
      </c>
      <c r="G254" s="106">
        <v>0.54687499999999989</v>
      </c>
      <c r="H254" s="106">
        <v>0.546875</v>
      </c>
      <c r="I254" s="106">
        <v>0.546875</v>
      </c>
      <c r="J254" s="106">
        <v>0.546875</v>
      </c>
      <c r="K254" s="106">
        <v>0.546875</v>
      </c>
      <c r="L254" s="106">
        <v>0.546875</v>
      </c>
      <c r="M254" s="106">
        <v>0.546875</v>
      </c>
    </row>
    <row r="255" spans="1:13" x14ac:dyDescent="0.25">
      <c r="A255" s="325"/>
      <c r="B255" s="328"/>
      <c r="C255" s="21" t="s">
        <v>126</v>
      </c>
      <c r="D255" s="1" t="s">
        <v>19</v>
      </c>
      <c r="E255" s="102">
        <v>0.64</v>
      </c>
      <c r="F255" s="102">
        <v>0.64</v>
      </c>
      <c r="G255" s="102">
        <v>0.64</v>
      </c>
      <c r="H255" s="102">
        <v>0.64</v>
      </c>
      <c r="I255" s="102">
        <v>0.64</v>
      </c>
      <c r="J255" s="102">
        <v>0.64</v>
      </c>
      <c r="K255" s="102">
        <v>0.64</v>
      </c>
      <c r="L255" s="102">
        <v>0.64</v>
      </c>
      <c r="M255" s="102">
        <v>0.64</v>
      </c>
    </row>
    <row r="256" spans="1:13" x14ac:dyDescent="0.25">
      <c r="A256" s="325"/>
      <c r="B256" s="328"/>
      <c r="C256" s="24" t="s">
        <v>127</v>
      </c>
      <c r="D256" s="1" t="s">
        <v>4</v>
      </c>
      <c r="E256" s="102">
        <v>20</v>
      </c>
      <c r="F256" s="102">
        <v>20</v>
      </c>
      <c r="G256" s="102">
        <v>20</v>
      </c>
      <c r="H256" s="102">
        <v>20</v>
      </c>
      <c r="I256" s="102">
        <v>20</v>
      </c>
      <c r="J256" s="102">
        <v>20</v>
      </c>
      <c r="K256" s="102">
        <v>20</v>
      </c>
      <c r="L256" s="102">
        <v>20</v>
      </c>
      <c r="M256" s="102">
        <v>20</v>
      </c>
    </row>
    <row r="257" spans="1:13" x14ac:dyDescent="0.25">
      <c r="A257" s="325"/>
      <c r="B257" s="328"/>
      <c r="C257" s="24" t="s">
        <v>128</v>
      </c>
      <c r="D257" s="1" t="s">
        <v>6</v>
      </c>
      <c r="E257" s="107">
        <v>935.56110395189</v>
      </c>
      <c r="F257" s="107">
        <v>910.85220299459979</v>
      </c>
      <c r="G257" s="107">
        <v>844.9618004418262</v>
      </c>
      <c r="H257" s="107">
        <v>754.36249693176228</v>
      </c>
      <c r="I257" s="107">
        <v>630.81799214531168</v>
      </c>
      <c r="J257" s="107">
        <v>538.57142857142856</v>
      </c>
      <c r="K257" s="107">
        <v>538.57142857142856</v>
      </c>
      <c r="L257" s="107">
        <v>538.57142857142856</v>
      </c>
      <c r="M257" s="107">
        <v>538.57142857142856</v>
      </c>
    </row>
    <row r="258" spans="1:13" x14ac:dyDescent="0.25">
      <c r="A258" s="325"/>
      <c r="B258" s="328"/>
      <c r="C258" s="24" t="s">
        <v>179</v>
      </c>
      <c r="D258" s="1" t="s">
        <v>19</v>
      </c>
      <c r="E258" s="104">
        <v>0.35</v>
      </c>
      <c r="F258" s="104">
        <v>0.35</v>
      </c>
      <c r="G258" s="104">
        <v>0.35</v>
      </c>
      <c r="H258" s="104">
        <v>0.35</v>
      </c>
      <c r="I258" s="104">
        <v>0.35</v>
      </c>
      <c r="J258" s="104">
        <v>0.35</v>
      </c>
      <c r="K258" s="104">
        <v>0.35</v>
      </c>
      <c r="L258" s="104">
        <v>0.35</v>
      </c>
      <c r="M258" s="104">
        <v>0.35</v>
      </c>
    </row>
    <row r="259" spans="1:13" x14ac:dyDescent="0.25">
      <c r="A259" s="325"/>
      <c r="B259" s="328"/>
      <c r="C259" s="21" t="s">
        <v>129</v>
      </c>
      <c r="D259" s="1" t="s">
        <v>8</v>
      </c>
      <c r="E259" s="103">
        <v>56.686008836524309</v>
      </c>
      <c r="F259" s="103">
        <v>74.027687776141391</v>
      </c>
      <c r="G259" s="103">
        <v>120.27216494845361</v>
      </c>
      <c r="H259" s="103">
        <v>183.85832106038291</v>
      </c>
      <c r="I259" s="103">
        <v>270.56671575846832</v>
      </c>
      <c r="J259" s="103">
        <v>443.98350515463915</v>
      </c>
      <c r="K259" s="103">
        <v>617.40029455081003</v>
      </c>
      <c r="L259" s="103">
        <v>617.40029455081003</v>
      </c>
      <c r="M259" s="103">
        <v>617.40029455081003</v>
      </c>
    </row>
    <row r="260" spans="1:13" x14ac:dyDescent="0.25">
      <c r="A260" s="325"/>
      <c r="B260" s="328"/>
      <c r="C260" s="21" t="s">
        <v>130</v>
      </c>
      <c r="D260" s="1" t="s">
        <v>9</v>
      </c>
      <c r="E260" s="102"/>
      <c r="F260" s="102"/>
      <c r="G260" s="102"/>
      <c r="H260" s="102"/>
      <c r="I260" s="102"/>
      <c r="J260" s="102"/>
      <c r="K260" s="102"/>
      <c r="L260" s="102"/>
      <c r="M260" s="102"/>
    </row>
    <row r="261" spans="1:13" x14ac:dyDescent="0.25">
      <c r="A261" s="325"/>
      <c r="B261" s="328"/>
      <c r="C261" s="21" t="s">
        <v>131</v>
      </c>
      <c r="D261" s="1" t="s">
        <v>10</v>
      </c>
      <c r="E261" s="102"/>
      <c r="F261" s="102"/>
      <c r="G261" s="102"/>
      <c r="H261" s="102"/>
      <c r="I261" s="102"/>
      <c r="J261" s="102"/>
      <c r="K261" s="102"/>
      <c r="L261" s="102"/>
      <c r="M261" s="102"/>
    </row>
    <row r="262" spans="1:13" ht="18.75" x14ac:dyDescent="0.25">
      <c r="A262" s="326"/>
      <c r="B262" s="329"/>
      <c r="C262" s="53" t="s">
        <v>132</v>
      </c>
      <c r="D262" s="23" t="s">
        <v>17</v>
      </c>
      <c r="E262" s="102"/>
      <c r="F262" s="102"/>
      <c r="G262" s="102"/>
      <c r="H262" s="102"/>
      <c r="I262" s="102"/>
      <c r="J262" s="102"/>
      <c r="K262" s="102"/>
      <c r="L262" s="102"/>
      <c r="M262" s="102"/>
    </row>
    <row r="263" spans="1:13" x14ac:dyDescent="0.25">
      <c r="A263" s="306">
        <v>16</v>
      </c>
      <c r="B263" s="323" t="s">
        <v>156</v>
      </c>
      <c r="C263" s="21" t="s">
        <v>101</v>
      </c>
      <c r="D263" s="1" t="s">
        <v>4</v>
      </c>
      <c r="E263" s="102">
        <v>40</v>
      </c>
      <c r="F263" s="102">
        <v>40</v>
      </c>
      <c r="G263" s="102">
        <v>40</v>
      </c>
      <c r="H263" s="102">
        <v>40</v>
      </c>
      <c r="I263" s="102">
        <v>40</v>
      </c>
      <c r="J263" s="102">
        <v>40</v>
      </c>
      <c r="K263" s="102">
        <v>40</v>
      </c>
      <c r="L263" s="102">
        <v>40</v>
      </c>
      <c r="M263" s="102">
        <v>40</v>
      </c>
    </row>
    <row r="264" spans="1:13" x14ac:dyDescent="0.25">
      <c r="A264" s="306"/>
      <c r="B264" s="323"/>
      <c r="C264" s="21" t="s">
        <v>5</v>
      </c>
      <c r="D264" s="1" t="s">
        <v>6</v>
      </c>
      <c r="E264" s="103">
        <v>300</v>
      </c>
      <c r="F264" s="103">
        <v>183.33333333333334</v>
      </c>
      <c r="G264" s="103">
        <v>100</v>
      </c>
      <c r="H264" s="103">
        <v>76</v>
      </c>
      <c r="I264" s="103">
        <v>60</v>
      </c>
      <c r="J264" s="103">
        <v>42.857142857142854</v>
      </c>
      <c r="K264" s="103">
        <v>27.058823529411764</v>
      </c>
      <c r="L264" s="103">
        <v>18.421052631578949</v>
      </c>
      <c r="M264" s="103">
        <v>13.75</v>
      </c>
    </row>
    <row r="265" spans="1:13" x14ac:dyDescent="0.25">
      <c r="A265" s="306"/>
      <c r="B265" s="323"/>
      <c r="C265" s="21" t="s">
        <v>172</v>
      </c>
      <c r="D265" s="1" t="s">
        <v>19</v>
      </c>
      <c r="E265" s="104">
        <v>0.35</v>
      </c>
      <c r="F265" s="104">
        <v>0.35</v>
      </c>
      <c r="G265" s="104">
        <v>0.35</v>
      </c>
      <c r="H265" s="104">
        <v>0.35</v>
      </c>
      <c r="I265" s="104">
        <v>0.35</v>
      </c>
      <c r="J265" s="104">
        <v>0.35</v>
      </c>
      <c r="K265" s="104">
        <v>0.35</v>
      </c>
      <c r="L265" s="104">
        <v>0.35</v>
      </c>
      <c r="M265" s="104">
        <v>0.35</v>
      </c>
    </row>
    <row r="266" spans="1:13" x14ac:dyDescent="0.25">
      <c r="A266" s="306"/>
      <c r="B266" s="323"/>
      <c r="C266" s="21" t="s">
        <v>102</v>
      </c>
      <c r="D266" s="1" t="s">
        <v>8</v>
      </c>
      <c r="E266" s="103">
        <v>0</v>
      </c>
      <c r="F266" s="103">
        <v>0</v>
      </c>
      <c r="G266" s="103">
        <v>0</v>
      </c>
      <c r="H266" s="103">
        <v>0</v>
      </c>
      <c r="I266" s="103">
        <v>0</v>
      </c>
      <c r="J266" s="103">
        <v>0</v>
      </c>
      <c r="K266" s="103">
        <v>0</v>
      </c>
      <c r="L266" s="103">
        <v>0</v>
      </c>
      <c r="M266" s="103">
        <v>0</v>
      </c>
    </row>
    <row r="267" spans="1:13" x14ac:dyDescent="0.25">
      <c r="A267" s="306"/>
      <c r="B267" s="323"/>
      <c r="C267" s="21" t="s">
        <v>103</v>
      </c>
      <c r="D267" s="1" t="s">
        <v>9</v>
      </c>
      <c r="E267" s="102"/>
      <c r="F267" s="102"/>
      <c r="G267" s="102"/>
      <c r="H267" s="102"/>
      <c r="I267" s="102"/>
      <c r="J267" s="102"/>
      <c r="K267" s="102"/>
      <c r="L267" s="102"/>
      <c r="M267" s="102"/>
    </row>
    <row r="268" spans="1:13" x14ac:dyDescent="0.25">
      <c r="A268" s="306"/>
      <c r="B268" s="323"/>
      <c r="C268" s="21" t="s">
        <v>104</v>
      </c>
      <c r="D268" s="1" t="s">
        <v>10</v>
      </c>
      <c r="E268" s="102"/>
      <c r="F268" s="102"/>
      <c r="G268" s="102"/>
      <c r="H268" s="102"/>
      <c r="I268" s="102"/>
      <c r="J268" s="102"/>
      <c r="K268" s="102"/>
      <c r="L268" s="102"/>
      <c r="M268" s="102"/>
    </row>
    <row r="269" spans="1:13" x14ac:dyDescent="0.25">
      <c r="A269" s="306"/>
      <c r="B269" s="323"/>
      <c r="C269" s="22" t="s">
        <v>11</v>
      </c>
      <c r="D269" s="23" t="s">
        <v>10</v>
      </c>
      <c r="E269" s="102"/>
      <c r="F269" s="102"/>
      <c r="G269" s="102"/>
      <c r="H269" s="102"/>
      <c r="I269" s="102"/>
      <c r="J269" s="102"/>
      <c r="K269" s="102"/>
      <c r="L269" s="102"/>
      <c r="M269" s="102"/>
    </row>
    <row r="270" spans="1:13" x14ac:dyDescent="0.25">
      <c r="A270" s="306"/>
      <c r="B270" s="323"/>
      <c r="C270" s="21" t="s">
        <v>12</v>
      </c>
      <c r="D270" s="1" t="s">
        <v>7</v>
      </c>
      <c r="E270" s="104">
        <v>1</v>
      </c>
      <c r="F270" s="104">
        <v>1</v>
      </c>
      <c r="G270" s="104">
        <v>1</v>
      </c>
      <c r="H270" s="104">
        <v>1</v>
      </c>
      <c r="I270" s="104">
        <v>1</v>
      </c>
      <c r="J270" s="104">
        <v>1</v>
      </c>
      <c r="K270" s="104">
        <v>1</v>
      </c>
      <c r="L270" s="104">
        <v>1</v>
      </c>
      <c r="M270" s="104">
        <v>1</v>
      </c>
    </row>
    <row r="271" spans="1:13" x14ac:dyDescent="0.25">
      <c r="A271" s="306"/>
      <c r="B271" s="323"/>
      <c r="C271" s="21" t="s">
        <v>13</v>
      </c>
      <c r="D271" s="1" t="s">
        <v>14</v>
      </c>
      <c r="E271" s="103">
        <v>20161.05</v>
      </c>
      <c r="F271" s="103">
        <v>20736.3</v>
      </c>
      <c r="G271" s="103">
        <v>22270.3</v>
      </c>
      <c r="H271" s="103">
        <v>24379.55</v>
      </c>
      <c r="I271" s="103">
        <v>27255.8</v>
      </c>
      <c r="J271" s="103">
        <v>33008.300000000003</v>
      </c>
      <c r="K271" s="103">
        <v>52183.3</v>
      </c>
      <c r="L271" s="103">
        <v>98768.8</v>
      </c>
      <c r="M271" s="103">
        <v>190105.68460000001</v>
      </c>
    </row>
    <row r="272" spans="1:13" x14ac:dyDescent="0.25">
      <c r="A272" s="306"/>
      <c r="B272" s="323"/>
      <c r="C272" s="21" t="s">
        <v>15</v>
      </c>
      <c r="D272" s="1" t="s">
        <v>4</v>
      </c>
      <c r="E272" s="102">
        <v>40</v>
      </c>
      <c r="F272" s="102">
        <v>40</v>
      </c>
      <c r="G272" s="102">
        <v>40</v>
      </c>
      <c r="H272" s="102">
        <v>40</v>
      </c>
      <c r="I272" s="102">
        <v>40</v>
      </c>
      <c r="J272" s="102">
        <v>40</v>
      </c>
      <c r="K272" s="102">
        <v>40</v>
      </c>
      <c r="L272" s="102">
        <v>40</v>
      </c>
      <c r="M272" s="102">
        <v>40</v>
      </c>
    </row>
    <row r="273" spans="1:13" x14ac:dyDescent="0.25">
      <c r="A273" s="306">
        <v>17</v>
      </c>
      <c r="B273" s="323" t="s">
        <v>157</v>
      </c>
      <c r="C273" s="21" t="s">
        <v>101</v>
      </c>
      <c r="D273" s="1" t="s">
        <v>4</v>
      </c>
      <c r="E273" s="102">
        <v>40</v>
      </c>
      <c r="F273" s="102">
        <v>40</v>
      </c>
      <c r="G273" s="102">
        <v>40</v>
      </c>
      <c r="H273" s="102">
        <v>40</v>
      </c>
      <c r="I273" s="102">
        <v>40</v>
      </c>
      <c r="J273" s="102">
        <v>40</v>
      </c>
      <c r="K273" s="102">
        <v>40</v>
      </c>
      <c r="L273" s="102">
        <v>40</v>
      </c>
      <c r="M273" s="102">
        <v>40</v>
      </c>
    </row>
    <row r="274" spans="1:13" x14ac:dyDescent="0.25">
      <c r="A274" s="306"/>
      <c r="B274" s="323"/>
      <c r="C274" s="21" t="s">
        <v>5</v>
      </c>
      <c r="D274" s="1" t="s">
        <v>6</v>
      </c>
      <c r="E274" s="102"/>
      <c r="F274" s="102"/>
      <c r="G274" s="102"/>
      <c r="H274" s="102"/>
      <c r="I274" s="102"/>
      <c r="J274" s="102"/>
      <c r="K274" s="102"/>
      <c r="L274" s="102"/>
      <c r="M274" s="102"/>
    </row>
    <row r="275" spans="1:13" x14ac:dyDescent="0.25">
      <c r="A275" s="306"/>
      <c r="B275" s="323"/>
      <c r="C275" s="21" t="s">
        <v>172</v>
      </c>
      <c r="D275" s="1" t="s">
        <v>19</v>
      </c>
      <c r="E275" s="104">
        <v>0.35</v>
      </c>
      <c r="F275" s="104">
        <v>0.35</v>
      </c>
      <c r="G275" s="104">
        <v>0.35</v>
      </c>
      <c r="H275" s="104">
        <v>0.35</v>
      </c>
      <c r="I275" s="104">
        <v>0.35</v>
      </c>
      <c r="J275" s="104">
        <v>0.35</v>
      </c>
      <c r="K275" s="104">
        <v>0.35</v>
      </c>
      <c r="L275" s="104">
        <v>0.35</v>
      </c>
      <c r="M275" s="104">
        <v>0.35</v>
      </c>
    </row>
    <row r="276" spans="1:13" x14ac:dyDescent="0.25">
      <c r="A276" s="306"/>
      <c r="B276" s="323"/>
      <c r="C276" s="21" t="s">
        <v>102</v>
      </c>
      <c r="D276" s="1" t="s">
        <v>8</v>
      </c>
      <c r="E276" s="103">
        <v>0</v>
      </c>
      <c r="F276" s="103">
        <v>0</v>
      </c>
      <c r="G276" s="103">
        <v>0</v>
      </c>
      <c r="H276" s="103">
        <v>0</v>
      </c>
      <c r="I276" s="103">
        <v>0</v>
      </c>
      <c r="J276" s="103">
        <v>0</v>
      </c>
      <c r="K276" s="103">
        <v>0</v>
      </c>
      <c r="L276" s="103">
        <v>0</v>
      </c>
      <c r="M276" s="103">
        <v>0</v>
      </c>
    </row>
    <row r="277" spans="1:13" x14ac:dyDescent="0.25">
      <c r="A277" s="306"/>
      <c r="B277" s="323"/>
      <c r="C277" s="21" t="s">
        <v>103</v>
      </c>
      <c r="D277" s="1" t="s">
        <v>9</v>
      </c>
      <c r="E277" s="102"/>
      <c r="F277" s="102"/>
      <c r="G277" s="102"/>
      <c r="H277" s="102"/>
      <c r="I277" s="102"/>
      <c r="J277" s="102"/>
      <c r="K277" s="102"/>
      <c r="L277" s="102"/>
      <c r="M277" s="102"/>
    </row>
    <row r="278" spans="1:13" x14ac:dyDescent="0.25">
      <c r="A278" s="306"/>
      <c r="B278" s="323"/>
      <c r="C278" s="21" t="s">
        <v>104</v>
      </c>
      <c r="D278" s="1" t="s">
        <v>10</v>
      </c>
      <c r="E278" s="102"/>
      <c r="F278" s="102"/>
      <c r="G278" s="102"/>
      <c r="H278" s="102"/>
      <c r="I278" s="102"/>
      <c r="J278" s="102"/>
      <c r="K278" s="102"/>
      <c r="L278" s="102"/>
      <c r="M278" s="102"/>
    </row>
    <row r="279" spans="1:13" x14ac:dyDescent="0.25">
      <c r="A279" s="306"/>
      <c r="B279" s="323"/>
      <c r="C279" s="22" t="s">
        <v>11</v>
      </c>
      <c r="D279" s="23" t="s">
        <v>10</v>
      </c>
      <c r="E279" s="102"/>
      <c r="F279" s="102"/>
      <c r="G279" s="102"/>
      <c r="H279" s="102"/>
      <c r="I279" s="102"/>
      <c r="J279" s="102"/>
      <c r="K279" s="102"/>
      <c r="L279" s="102"/>
      <c r="M279" s="102"/>
    </row>
    <row r="280" spans="1:13" x14ac:dyDescent="0.25">
      <c r="A280" s="306"/>
      <c r="B280" s="323"/>
      <c r="C280" s="21" t="s">
        <v>12</v>
      </c>
      <c r="D280" s="1" t="s">
        <v>7</v>
      </c>
      <c r="E280" s="104">
        <v>1</v>
      </c>
      <c r="F280" s="104">
        <v>1</v>
      </c>
      <c r="G280" s="104">
        <v>1</v>
      </c>
      <c r="H280" s="104">
        <v>1</v>
      </c>
      <c r="I280" s="104">
        <v>1</v>
      </c>
      <c r="J280" s="104">
        <v>1</v>
      </c>
      <c r="K280" s="104">
        <v>1</v>
      </c>
      <c r="L280" s="104">
        <v>1</v>
      </c>
      <c r="M280" s="104">
        <v>1</v>
      </c>
    </row>
    <row r="281" spans="1:13" x14ac:dyDescent="0.25">
      <c r="A281" s="306"/>
      <c r="B281" s="323"/>
      <c r="C281" s="21" t="s">
        <v>13</v>
      </c>
      <c r="D281" s="1" t="s">
        <v>14</v>
      </c>
      <c r="E281" s="103">
        <v>59966.789999999994</v>
      </c>
      <c r="F281" s="103">
        <v>60249.539999999994</v>
      </c>
      <c r="G281" s="103">
        <v>61003.539999999994</v>
      </c>
      <c r="H281" s="103">
        <v>62040.289999999994</v>
      </c>
      <c r="I281" s="103">
        <v>63454.039999999994</v>
      </c>
      <c r="J281" s="103">
        <v>66281.539999999994</v>
      </c>
      <c r="K281" s="103">
        <v>75706.539999999994</v>
      </c>
      <c r="L281" s="103">
        <v>95499.04</v>
      </c>
      <c r="M281" s="103">
        <v>135084.03999999998</v>
      </c>
    </row>
    <row r="282" spans="1:13" x14ac:dyDescent="0.25">
      <c r="A282" s="306"/>
      <c r="B282" s="323"/>
      <c r="C282" s="21" t="s">
        <v>15</v>
      </c>
      <c r="D282" s="1" t="s">
        <v>4</v>
      </c>
      <c r="E282" s="103">
        <v>40</v>
      </c>
      <c r="F282" s="103">
        <v>40</v>
      </c>
      <c r="G282" s="103">
        <v>40</v>
      </c>
      <c r="H282" s="103">
        <v>40</v>
      </c>
      <c r="I282" s="103">
        <v>40</v>
      </c>
      <c r="J282" s="103">
        <v>40</v>
      </c>
      <c r="K282" s="103">
        <v>40</v>
      </c>
      <c r="L282" s="103">
        <v>40</v>
      </c>
      <c r="M282" s="103">
        <v>40</v>
      </c>
    </row>
  </sheetData>
  <sheetProtection algorithmName="SHA-512" hashValue="/PJONhaqGVGFDK6S1b+WIVhimenhjMvfg59rcvlIqnrsQUmWvlo//xc3LJKRvBd882vYUMHXaE/IL4+JpAiWAw==" saltValue="PbqtK+RRuNeum2ONhJI0aA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7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activeCell="F28" sqref="F28"/>
      <selection pane="bottomLeft" activeCell="E2" sqref="E2:M282"/>
    </sheetView>
  </sheetViews>
  <sheetFormatPr baseColWidth="10" defaultColWidth="10.85546875" defaultRowHeight="15" x14ac:dyDescent="0.25"/>
  <cols>
    <col min="1" max="1" width="4.7109375" style="30" customWidth="1"/>
    <col min="2" max="2" width="20.140625" style="30" bestFit="1" customWidth="1"/>
    <col min="3" max="3" width="45.42578125" style="26" customWidth="1"/>
    <col min="4" max="4" width="12.140625" style="27" customWidth="1"/>
    <col min="5" max="12" width="12.28515625" style="110" bestFit="1" customWidth="1"/>
    <col min="13" max="13" width="13.42578125" style="110" bestFit="1" customWidth="1"/>
    <col min="14" max="14" width="15" style="30" customWidth="1"/>
    <col min="15" max="16384" width="10.85546875" style="30"/>
  </cols>
  <sheetData>
    <row r="1" spans="1:14" ht="15.75" x14ac:dyDescent="0.25">
      <c r="A1" s="40"/>
      <c r="B1" s="41" t="s">
        <v>0</v>
      </c>
      <c r="C1" s="28" t="s">
        <v>1</v>
      </c>
      <c r="D1" s="29" t="s">
        <v>2</v>
      </c>
      <c r="E1" s="108">
        <v>15</v>
      </c>
      <c r="F1" s="109">
        <v>30</v>
      </c>
      <c r="G1" s="109">
        <v>70</v>
      </c>
      <c r="H1" s="109">
        <v>125</v>
      </c>
      <c r="I1" s="109">
        <v>200</v>
      </c>
      <c r="J1" s="109">
        <v>350</v>
      </c>
      <c r="K1" s="109">
        <v>850</v>
      </c>
      <c r="L1" s="109">
        <v>1900</v>
      </c>
      <c r="M1" s="109">
        <v>4000</v>
      </c>
    </row>
    <row r="2" spans="1:14" x14ac:dyDescent="0.25">
      <c r="A2" s="306">
        <v>1</v>
      </c>
      <c r="B2" s="322" t="s">
        <v>3</v>
      </c>
      <c r="C2" s="21" t="s">
        <v>101</v>
      </c>
      <c r="D2" s="1" t="s">
        <v>4</v>
      </c>
      <c r="E2" s="102">
        <v>20</v>
      </c>
      <c r="F2" s="102">
        <v>20</v>
      </c>
      <c r="G2" s="102">
        <v>20</v>
      </c>
      <c r="H2" s="102">
        <v>20</v>
      </c>
      <c r="I2" s="102">
        <v>20</v>
      </c>
      <c r="J2" s="102">
        <v>20</v>
      </c>
      <c r="K2" s="102">
        <v>20</v>
      </c>
      <c r="L2" s="102">
        <v>20</v>
      </c>
      <c r="M2" s="102">
        <v>20</v>
      </c>
      <c r="N2" s="45"/>
    </row>
    <row r="3" spans="1:14" x14ac:dyDescent="0.25">
      <c r="A3" s="306"/>
      <c r="B3" s="322"/>
      <c r="C3" s="21" t="s">
        <v>5</v>
      </c>
      <c r="D3" s="1" t="s">
        <v>6</v>
      </c>
      <c r="E3" s="103">
        <v>207.70052243006694</v>
      </c>
      <c r="F3" s="103">
        <v>175.92180364293515</v>
      </c>
      <c r="G3" s="103">
        <v>137.07573863776301</v>
      </c>
      <c r="H3" s="103">
        <v>110.49280008590137</v>
      </c>
      <c r="I3" s="103">
        <v>107.31263157894738</v>
      </c>
      <c r="J3" s="103">
        <v>107.00631578947369</v>
      </c>
      <c r="K3" s="103">
        <v>105.98526315789475</v>
      </c>
      <c r="L3" s="103">
        <v>103.84105263157896</v>
      </c>
      <c r="M3" s="103">
        <v>99.55263157894737</v>
      </c>
      <c r="N3" s="45"/>
    </row>
    <row r="4" spans="1:14" x14ac:dyDescent="0.25">
      <c r="A4" s="306"/>
      <c r="B4" s="322"/>
      <c r="C4" s="21" t="s">
        <v>172</v>
      </c>
      <c r="D4" s="1" t="s">
        <v>19</v>
      </c>
      <c r="E4" s="104">
        <v>0</v>
      </c>
      <c r="F4" s="104">
        <v>0</v>
      </c>
      <c r="G4" s="104">
        <v>0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45"/>
    </row>
    <row r="5" spans="1:14" x14ac:dyDescent="0.25">
      <c r="A5" s="306"/>
      <c r="B5" s="322"/>
      <c r="C5" s="21" t="s">
        <v>102</v>
      </c>
      <c r="D5" s="1" t="s">
        <v>8</v>
      </c>
      <c r="E5" s="102"/>
      <c r="F5" s="102"/>
      <c r="G5" s="102"/>
      <c r="H5" s="102"/>
      <c r="I5" s="102"/>
      <c r="J5" s="102"/>
      <c r="K5" s="102"/>
      <c r="L5" s="102"/>
      <c r="M5" s="102"/>
      <c r="N5" s="45"/>
    </row>
    <row r="6" spans="1:14" x14ac:dyDescent="0.25">
      <c r="A6" s="306"/>
      <c r="B6" s="322"/>
      <c r="C6" s="21" t="s">
        <v>103</v>
      </c>
      <c r="D6" s="1" t="s">
        <v>9</v>
      </c>
      <c r="E6" s="103">
        <v>6.2310156729020081</v>
      </c>
      <c r="F6" s="103">
        <v>5.2776541092880542</v>
      </c>
      <c r="G6" s="103">
        <v>4.1122721591328899</v>
      </c>
      <c r="H6" s="103">
        <v>3.3147840025770408</v>
      </c>
      <c r="I6" s="103">
        <v>2.0378947368421052</v>
      </c>
      <c r="J6" s="103">
        <v>2.0189473684210526</v>
      </c>
      <c r="K6" s="103">
        <v>1.9557894736842103</v>
      </c>
      <c r="L6" s="103">
        <v>1.8231578947368419</v>
      </c>
      <c r="M6" s="103">
        <v>1.557894736842105</v>
      </c>
      <c r="N6" s="45"/>
    </row>
    <row r="7" spans="1:14" x14ac:dyDescent="0.25">
      <c r="A7" s="306"/>
      <c r="B7" s="322"/>
      <c r="C7" s="21" t="s">
        <v>104</v>
      </c>
      <c r="D7" s="1" t="s">
        <v>10</v>
      </c>
      <c r="E7" s="103">
        <v>0</v>
      </c>
      <c r="F7" s="103">
        <v>0</v>
      </c>
      <c r="G7" s="103">
        <v>0</v>
      </c>
      <c r="H7" s="103">
        <v>0</v>
      </c>
      <c r="I7" s="103">
        <v>0</v>
      </c>
      <c r="J7" s="103">
        <v>0</v>
      </c>
      <c r="K7" s="103">
        <v>1.6473473684210525E-3</v>
      </c>
      <c r="L7" s="103">
        <v>1.5133894736842103E-3</v>
      </c>
      <c r="M7" s="103">
        <v>1.2454736842105263E-3</v>
      </c>
      <c r="N7" s="45"/>
    </row>
    <row r="8" spans="1:14" x14ac:dyDescent="0.25">
      <c r="A8" s="306"/>
      <c r="B8" s="322"/>
      <c r="C8" s="22" t="s">
        <v>11</v>
      </c>
      <c r="D8" s="23" t="s">
        <v>10</v>
      </c>
      <c r="E8" s="103">
        <v>0</v>
      </c>
      <c r="F8" s="102"/>
      <c r="G8" s="102"/>
      <c r="H8" s="102"/>
      <c r="I8" s="102"/>
      <c r="J8" s="102"/>
      <c r="K8" s="102"/>
      <c r="L8" s="102"/>
      <c r="M8" s="102"/>
      <c r="N8" s="45"/>
    </row>
    <row r="9" spans="1:14" x14ac:dyDescent="0.25">
      <c r="A9" s="306"/>
      <c r="B9" s="322"/>
      <c r="C9" s="21" t="s">
        <v>12</v>
      </c>
      <c r="D9" s="1" t="s">
        <v>7</v>
      </c>
      <c r="E9" s="104">
        <v>0.9787499999999999</v>
      </c>
      <c r="F9" s="104">
        <v>0.9787499999999999</v>
      </c>
      <c r="G9" s="104">
        <v>0.9787499999999999</v>
      </c>
      <c r="H9" s="104">
        <v>0.9787499999999999</v>
      </c>
      <c r="I9" s="104">
        <v>0.9787499999999999</v>
      </c>
      <c r="J9" s="104">
        <v>0.9787499999999999</v>
      </c>
      <c r="K9" s="104">
        <v>0.99150000000000005</v>
      </c>
      <c r="L9" s="104">
        <v>0.99150000000000005</v>
      </c>
      <c r="M9" s="104">
        <v>0.99150000000000005</v>
      </c>
      <c r="N9" s="45"/>
    </row>
    <row r="10" spans="1:14" x14ac:dyDescent="0.25">
      <c r="A10" s="306"/>
      <c r="B10" s="322"/>
      <c r="C10" s="21" t="s">
        <v>13</v>
      </c>
      <c r="D10" s="1" t="s">
        <v>14</v>
      </c>
      <c r="E10" s="103">
        <v>1524.6</v>
      </c>
      <c r="F10" s="103">
        <v>1749.6</v>
      </c>
      <c r="G10" s="103">
        <v>2349.6</v>
      </c>
      <c r="H10" s="103">
        <v>3174.6</v>
      </c>
      <c r="I10" s="103">
        <v>4299.6000000000004</v>
      </c>
      <c r="J10" s="103">
        <v>14213</v>
      </c>
      <c r="K10" s="103">
        <v>21713</v>
      </c>
      <c r="L10" s="103">
        <v>37463</v>
      </c>
      <c r="M10" s="103">
        <v>68963</v>
      </c>
      <c r="N10" s="45"/>
    </row>
    <row r="11" spans="1:14" x14ac:dyDescent="0.25">
      <c r="A11" s="306"/>
      <c r="B11" s="322"/>
      <c r="C11" s="21" t="s">
        <v>15</v>
      </c>
      <c r="D11" s="1" t="s">
        <v>4</v>
      </c>
      <c r="E11" s="102">
        <v>40</v>
      </c>
      <c r="F11" s="102">
        <v>40</v>
      </c>
      <c r="G11" s="102">
        <v>40</v>
      </c>
      <c r="H11" s="102">
        <v>40</v>
      </c>
      <c r="I11" s="102">
        <v>40</v>
      </c>
      <c r="J11" s="102">
        <v>40</v>
      </c>
      <c r="K11" s="102">
        <v>40</v>
      </c>
      <c r="L11" s="102">
        <v>40</v>
      </c>
      <c r="M11" s="102">
        <v>40</v>
      </c>
      <c r="N11" s="45"/>
    </row>
    <row r="12" spans="1:14" x14ac:dyDescent="0.25">
      <c r="A12" s="306">
        <v>2</v>
      </c>
      <c r="B12" s="322" t="s">
        <v>16</v>
      </c>
      <c r="C12" s="21" t="s">
        <v>101</v>
      </c>
      <c r="D12" s="1" t="s">
        <v>4</v>
      </c>
      <c r="E12" s="102">
        <v>20</v>
      </c>
      <c r="F12" s="102">
        <v>20</v>
      </c>
      <c r="G12" s="102">
        <v>20</v>
      </c>
      <c r="H12" s="102">
        <v>20</v>
      </c>
      <c r="I12" s="102">
        <v>20</v>
      </c>
      <c r="J12" s="102">
        <v>20</v>
      </c>
      <c r="K12" s="102">
        <v>20</v>
      </c>
      <c r="L12" s="102">
        <v>20</v>
      </c>
      <c r="M12" s="102">
        <v>20</v>
      </c>
      <c r="N12" s="45"/>
    </row>
    <row r="13" spans="1:14" x14ac:dyDescent="0.25">
      <c r="A13" s="306"/>
      <c r="B13" s="322"/>
      <c r="C13" s="21" t="s">
        <v>5</v>
      </c>
      <c r="D13" s="1" t="s">
        <v>6</v>
      </c>
      <c r="E13" s="103">
        <v>533.42832380521168</v>
      </c>
      <c r="F13" s="103">
        <v>336.80876334426267</v>
      </c>
      <c r="G13" s="103">
        <v>191.99085951104519</v>
      </c>
      <c r="H13" s="103">
        <v>130.68849756004869</v>
      </c>
      <c r="I13" s="103">
        <v>114.1</v>
      </c>
      <c r="J13" s="103">
        <v>114.1</v>
      </c>
      <c r="K13" s="103">
        <v>180.48166857059701</v>
      </c>
      <c r="L13" s="103">
        <v>263.63042786023721</v>
      </c>
      <c r="M13" s="103">
        <v>429.92794643951765</v>
      </c>
      <c r="N13" s="45"/>
    </row>
    <row r="14" spans="1:14" x14ac:dyDescent="0.25">
      <c r="A14" s="306"/>
      <c r="B14" s="322"/>
      <c r="C14" s="21" t="s">
        <v>172</v>
      </c>
      <c r="D14" s="1" t="s">
        <v>19</v>
      </c>
      <c r="E14" s="104">
        <v>0</v>
      </c>
      <c r="F14" s="104">
        <v>0</v>
      </c>
      <c r="G14" s="104">
        <v>0</v>
      </c>
      <c r="H14" s="104">
        <v>0</v>
      </c>
      <c r="I14" s="104">
        <v>0</v>
      </c>
      <c r="J14" s="104">
        <v>0</v>
      </c>
      <c r="K14" s="104">
        <v>0</v>
      </c>
      <c r="L14" s="104">
        <v>0</v>
      </c>
      <c r="M14" s="104">
        <v>0</v>
      </c>
      <c r="N14" s="45"/>
    </row>
    <row r="15" spans="1:14" x14ac:dyDescent="0.25">
      <c r="A15" s="306"/>
      <c r="B15" s="322"/>
      <c r="C15" s="21" t="s">
        <v>102</v>
      </c>
      <c r="D15" s="1" t="s">
        <v>8</v>
      </c>
      <c r="E15" s="102"/>
      <c r="F15" s="102"/>
      <c r="G15" s="102"/>
      <c r="H15" s="102"/>
      <c r="I15" s="102"/>
      <c r="J15" s="102"/>
      <c r="K15" s="102"/>
      <c r="L15" s="102"/>
      <c r="M15" s="102"/>
      <c r="N15" s="45"/>
    </row>
    <row r="16" spans="1:14" x14ac:dyDescent="0.25">
      <c r="A16" s="306"/>
      <c r="B16" s="322"/>
      <c r="C16" s="21" t="s">
        <v>103</v>
      </c>
      <c r="D16" s="1" t="s">
        <v>9</v>
      </c>
      <c r="E16" s="103">
        <v>32.00569942831266</v>
      </c>
      <c r="F16" s="103">
        <v>20.208525800655735</v>
      </c>
      <c r="G16" s="103">
        <v>11.519451570662699</v>
      </c>
      <c r="H16" s="103">
        <v>7.8413098536029162</v>
      </c>
      <c r="I16" s="103">
        <v>7.3972147894767417</v>
      </c>
      <c r="J16" s="103">
        <v>7.3972147894767417</v>
      </c>
      <c r="K16" s="103">
        <v>7.0259562857838622</v>
      </c>
      <c r="L16" s="103">
        <v>6.4262310105876717</v>
      </c>
      <c r="M16" s="103">
        <v>5.2267804601952914</v>
      </c>
      <c r="N16" s="45"/>
    </row>
    <row r="17" spans="1:14" x14ac:dyDescent="0.25">
      <c r="A17" s="306"/>
      <c r="B17" s="322"/>
      <c r="C17" s="21" t="s">
        <v>104</v>
      </c>
      <c r="D17" s="1" t="s">
        <v>10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2.2616043154498459E-3</v>
      </c>
      <c r="L17" s="103">
        <v>2.2616043154498459E-3</v>
      </c>
      <c r="M17" s="103">
        <v>2.2616043154498459E-3</v>
      </c>
      <c r="N17" s="45"/>
    </row>
    <row r="18" spans="1:14" x14ac:dyDescent="0.25">
      <c r="A18" s="306"/>
      <c r="B18" s="322"/>
      <c r="C18" s="22" t="s">
        <v>11</v>
      </c>
      <c r="D18" s="23" t="s">
        <v>10</v>
      </c>
      <c r="E18" s="103">
        <v>0</v>
      </c>
      <c r="F18" s="103">
        <v>0</v>
      </c>
      <c r="G18" s="103">
        <v>0</v>
      </c>
      <c r="H18" s="103">
        <v>0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45"/>
    </row>
    <row r="19" spans="1:14" x14ac:dyDescent="0.25">
      <c r="A19" s="306"/>
      <c r="B19" s="322"/>
      <c r="C19" s="21" t="s">
        <v>12</v>
      </c>
      <c r="D19" s="1" t="s">
        <v>7</v>
      </c>
      <c r="E19" s="104">
        <v>0.81200000000000028</v>
      </c>
      <c r="F19" s="104">
        <v>0.81200000000000028</v>
      </c>
      <c r="G19" s="104">
        <v>0.81200000000000028</v>
      </c>
      <c r="H19" s="104">
        <v>0.81200000000000028</v>
      </c>
      <c r="I19" s="104">
        <v>0.81200000000000028</v>
      </c>
      <c r="J19" s="104">
        <v>0.81200000000000028</v>
      </c>
      <c r="K19" s="104">
        <v>0.81200000000000028</v>
      </c>
      <c r="L19" s="104">
        <v>0.95641666666666658</v>
      </c>
      <c r="M19" s="104">
        <v>0.95641666666666658</v>
      </c>
      <c r="N19" s="45"/>
    </row>
    <row r="20" spans="1:14" x14ac:dyDescent="0.25">
      <c r="A20" s="306"/>
      <c r="B20" s="322"/>
      <c r="C20" s="21" t="s">
        <v>13</v>
      </c>
      <c r="D20" s="1" t="s">
        <v>14</v>
      </c>
      <c r="E20" s="102"/>
      <c r="F20" s="102"/>
      <c r="G20" s="102"/>
      <c r="H20" s="102"/>
      <c r="I20" s="102"/>
      <c r="J20" s="102"/>
      <c r="K20" s="102"/>
      <c r="L20" s="102"/>
      <c r="M20" s="102"/>
      <c r="N20" s="45"/>
    </row>
    <row r="21" spans="1:14" x14ac:dyDescent="0.25">
      <c r="A21" s="306"/>
      <c r="B21" s="322"/>
      <c r="C21" s="21" t="s">
        <v>15</v>
      </c>
      <c r="D21" s="1" t="s">
        <v>4</v>
      </c>
      <c r="E21" s="102"/>
      <c r="F21" s="102"/>
      <c r="G21" s="102"/>
      <c r="H21" s="102"/>
      <c r="I21" s="102"/>
      <c r="J21" s="102"/>
      <c r="K21" s="102"/>
      <c r="L21" s="102"/>
      <c r="M21" s="102"/>
      <c r="N21" s="45"/>
    </row>
    <row r="22" spans="1:14" ht="14.45" customHeight="1" x14ac:dyDescent="0.25">
      <c r="A22" s="306">
        <v>3</v>
      </c>
      <c r="B22" s="323" t="s">
        <v>144</v>
      </c>
      <c r="C22" s="21" t="s">
        <v>101</v>
      </c>
      <c r="D22" s="1" t="s">
        <v>4</v>
      </c>
      <c r="E22" s="102">
        <v>20</v>
      </c>
      <c r="F22" s="102">
        <v>20</v>
      </c>
      <c r="G22" s="102">
        <v>20</v>
      </c>
      <c r="H22" s="102">
        <v>20</v>
      </c>
      <c r="I22" s="102">
        <v>20</v>
      </c>
      <c r="J22" s="102">
        <v>20</v>
      </c>
      <c r="K22" s="102">
        <v>20</v>
      </c>
      <c r="L22" s="102">
        <v>20</v>
      </c>
      <c r="M22" s="102">
        <v>20</v>
      </c>
      <c r="N22" s="45"/>
    </row>
    <row r="23" spans="1:14" x14ac:dyDescent="0.25">
      <c r="A23" s="306"/>
      <c r="B23" s="323"/>
      <c r="C23" s="21" t="s">
        <v>5</v>
      </c>
      <c r="D23" s="1" t="s">
        <v>6</v>
      </c>
      <c r="E23" s="103">
        <v>822.90511868819738</v>
      </c>
      <c r="F23" s="103">
        <v>587.62399482196031</v>
      </c>
      <c r="G23" s="103">
        <v>458.47760255879234</v>
      </c>
      <c r="H23" s="103">
        <v>458.47760255879234</v>
      </c>
      <c r="I23" s="103">
        <v>458.47760255879234</v>
      </c>
      <c r="J23" s="103">
        <v>458.47760255879234</v>
      </c>
      <c r="K23" s="103">
        <v>1133.7480098003448</v>
      </c>
      <c r="L23" s="103">
        <v>986.22674801231153</v>
      </c>
      <c r="M23" s="103">
        <v>866.85752357634294</v>
      </c>
      <c r="N23" s="45"/>
    </row>
    <row r="24" spans="1:14" x14ac:dyDescent="0.25">
      <c r="A24" s="306"/>
      <c r="B24" s="323"/>
      <c r="C24" s="21" t="s">
        <v>172</v>
      </c>
      <c r="D24" s="1" t="s">
        <v>19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45"/>
    </row>
    <row r="25" spans="1:14" x14ac:dyDescent="0.25">
      <c r="A25" s="306"/>
      <c r="B25" s="323"/>
      <c r="C25" s="21" t="s">
        <v>102</v>
      </c>
      <c r="D25" s="1" t="s">
        <v>8</v>
      </c>
      <c r="E25" s="102"/>
      <c r="F25" s="102"/>
      <c r="G25" s="102"/>
      <c r="H25" s="102"/>
      <c r="I25" s="102"/>
      <c r="J25" s="102"/>
      <c r="K25" s="102"/>
      <c r="L25" s="102"/>
      <c r="M25" s="102"/>
      <c r="N25" s="45"/>
    </row>
    <row r="26" spans="1:14" x14ac:dyDescent="0.25">
      <c r="A26" s="306"/>
      <c r="B26" s="323"/>
      <c r="C26" s="21" t="s">
        <v>103</v>
      </c>
      <c r="D26" s="1" t="s">
        <v>9</v>
      </c>
      <c r="E26" s="103">
        <v>12.343576780322961</v>
      </c>
      <c r="F26" s="103">
        <v>8.8143599223294036</v>
      </c>
      <c r="G26" s="103">
        <v>6.8771640383818848</v>
      </c>
      <c r="H26" s="103">
        <v>6.8771640383818848</v>
      </c>
      <c r="I26" s="103">
        <v>6.8771640383818848</v>
      </c>
      <c r="J26" s="103">
        <v>6.8771640383818848</v>
      </c>
      <c r="K26" s="103">
        <v>1.673</v>
      </c>
      <c r="L26" s="103">
        <v>1.673</v>
      </c>
      <c r="M26" s="103">
        <v>1.673</v>
      </c>
      <c r="N26" s="45"/>
    </row>
    <row r="27" spans="1:14" x14ac:dyDescent="0.25">
      <c r="A27" s="306"/>
      <c r="B27" s="323"/>
      <c r="C27" s="21" t="s">
        <v>104</v>
      </c>
      <c r="D27" s="1" t="s">
        <v>10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  <c r="J27" s="103">
        <v>0</v>
      </c>
      <c r="K27" s="103">
        <v>2.085E-3</v>
      </c>
      <c r="L27" s="103">
        <v>2.085E-3</v>
      </c>
      <c r="M27" s="103">
        <v>2.085E-3</v>
      </c>
      <c r="N27" s="45"/>
    </row>
    <row r="28" spans="1:14" ht="18.75" x14ac:dyDescent="0.25">
      <c r="A28" s="306"/>
      <c r="B28" s="323"/>
      <c r="C28" s="22" t="s">
        <v>105</v>
      </c>
      <c r="D28" s="23" t="s">
        <v>17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45"/>
    </row>
    <row r="29" spans="1:14" x14ac:dyDescent="0.25">
      <c r="A29" s="306"/>
      <c r="B29" s="323"/>
      <c r="C29" s="22" t="s">
        <v>11</v>
      </c>
      <c r="D29" s="23" t="s">
        <v>10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45"/>
    </row>
    <row r="30" spans="1:14" x14ac:dyDescent="0.25">
      <c r="A30" s="306"/>
      <c r="B30" s="323"/>
      <c r="C30" s="21" t="s">
        <v>18</v>
      </c>
      <c r="D30" s="2" t="s">
        <v>19</v>
      </c>
      <c r="E30" s="102">
        <v>3.83</v>
      </c>
      <c r="F30" s="102">
        <v>3.83</v>
      </c>
      <c r="G30" s="102">
        <v>3.83</v>
      </c>
      <c r="H30" s="102">
        <v>3.83</v>
      </c>
      <c r="I30" s="102">
        <v>3.83</v>
      </c>
      <c r="J30" s="102">
        <v>3.83</v>
      </c>
      <c r="K30" s="102">
        <v>3.83</v>
      </c>
      <c r="L30" s="102">
        <v>3.83</v>
      </c>
      <c r="M30" s="102">
        <v>3.83</v>
      </c>
      <c r="N30" s="45"/>
    </row>
    <row r="31" spans="1:14" x14ac:dyDescent="0.25">
      <c r="A31" s="306"/>
      <c r="B31" s="323"/>
      <c r="C31" s="21" t="s">
        <v>13</v>
      </c>
      <c r="D31" s="1" t="s">
        <v>14</v>
      </c>
      <c r="E31" s="102"/>
      <c r="F31" s="102"/>
      <c r="G31" s="102"/>
      <c r="H31" s="102"/>
      <c r="I31" s="102"/>
      <c r="J31" s="102"/>
      <c r="K31" s="102"/>
      <c r="L31" s="102"/>
      <c r="M31" s="102"/>
      <c r="N31" s="45"/>
    </row>
    <row r="32" spans="1:14" x14ac:dyDescent="0.25">
      <c r="A32" s="306"/>
      <c r="B32" s="323"/>
      <c r="C32" s="21" t="s">
        <v>15</v>
      </c>
      <c r="D32" s="1" t="s">
        <v>4</v>
      </c>
      <c r="E32" s="102"/>
      <c r="F32" s="102"/>
      <c r="G32" s="102"/>
      <c r="H32" s="102"/>
      <c r="I32" s="102"/>
      <c r="J32" s="102"/>
      <c r="K32" s="102"/>
      <c r="L32" s="102"/>
      <c r="M32" s="102"/>
      <c r="N32" s="45"/>
    </row>
    <row r="33" spans="1:14" ht="14.45" customHeight="1" x14ac:dyDescent="0.25">
      <c r="A33" s="306">
        <v>4</v>
      </c>
      <c r="B33" s="323" t="s">
        <v>145</v>
      </c>
      <c r="C33" s="21" t="s">
        <v>101</v>
      </c>
      <c r="D33" s="1" t="s">
        <v>4</v>
      </c>
      <c r="E33" s="102">
        <v>20</v>
      </c>
      <c r="F33" s="102">
        <v>20</v>
      </c>
      <c r="G33" s="102">
        <v>20</v>
      </c>
      <c r="H33" s="102">
        <v>20</v>
      </c>
      <c r="I33" s="102">
        <v>20</v>
      </c>
      <c r="J33" s="102">
        <v>20</v>
      </c>
      <c r="K33" s="102">
        <v>20</v>
      </c>
      <c r="L33" s="102">
        <v>20</v>
      </c>
      <c r="M33" s="102">
        <v>20</v>
      </c>
      <c r="N33" s="45"/>
    </row>
    <row r="34" spans="1:14" x14ac:dyDescent="0.25">
      <c r="A34" s="306"/>
      <c r="B34" s="323"/>
      <c r="C34" s="21" t="s">
        <v>5</v>
      </c>
      <c r="D34" s="1" t="s">
        <v>6</v>
      </c>
      <c r="E34" s="103">
        <v>822.90511868819738</v>
      </c>
      <c r="F34" s="103">
        <v>587.62399482196031</v>
      </c>
      <c r="G34" s="103">
        <v>458.47760255879234</v>
      </c>
      <c r="H34" s="103">
        <v>458.47760255879234</v>
      </c>
      <c r="I34" s="103">
        <v>458.47760255879234</v>
      </c>
      <c r="J34" s="103">
        <v>458.47760255879234</v>
      </c>
      <c r="K34" s="103">
        <v>1133.7480098003448</v>
      </c>
      <c r="L34" s="103">
        <v>986.22674801231153</v>
      </c>
      <c r="M34" s="103">
        <v>866.85752357634294</v>
      </c>
      <c r="N34" s="45"/>
    </row>
    <row r="35" spans="1:14" x14ac:dyDescent="0.25">
      <c r="A35" s="306"/>
      <c r="B35" s="323"/>
      <c r="C35" s="21" t="s">
        <v>172</v>
      </c>
      <c r="D35" s="1" t="s">
        <v>19</v>
      </c>
      <c r="E35" s="104">
        <v>0</v>
      </c>
      <c r="F35" s="104">
        <v>0</v>
      </c>
      <c r="G35" s="104">
        <v>0</v>
      </c>
      <c r="H35" s="104">
        <v>0</v>
      </c>
      <c r="I35" s="104">
        <v>0</v>
      </c>
      <c r="J35" s="104">
        <v>0</v>
      </c>
      <c r="K35" s="104">
        <v>0</v>
      </c>
      <c r="L35" s="104">
        <v>0</v>
      </c>
      <c r="M35" s="104">
        <v>0</v>
      </c>
      <c r="N35" s="45"/>
    </row>
    <row r="36" spans="1:14" x14ac:dyDescent="0.25">
      <c r="A36" s="306"/>
      <c r="B36" s="323"/>
      <c r="C36" s="21" t="s">
        <v>102</v>
      </c>
      <c r="D36" s="1" t="s">
        <v>8</v>
      </c>
      <c r="E36" s="102"/>
      <c r="F36" s="102"/>
      <c r="G36" s="102"/>
      <c r="H36" s="102"/>
      <c r="I36" s="102"/>
      <c r="J36" s="102"/>
      <c r="K36" s="102"/>
      <c r="L36" s="102"/>
      <c r="M36" s="102"/>
      <c r="N36" s="45"/>
    </row>
    <row r="37" spans="1:14" x14ac:dyDescent="0.25">
      <c r="A37" s="306"/>
      <c r="B37" s="323"/>
      <c r="C37" s="21" t="s">
        <v>103</v>
      </c>
      <c r="D37" s="1" t="s">
        <v>9</v>
      </c>
      <c r="E37" s="103">
        <v>12.343576780322961</v>
      </c>
      <c r="F37" s="103">
        <v>8.8143599223294036</v>
      </c>
      <c r="G37" s="103">
        <v>6.8771640383818848</v>
      </c>
      <c r="H37" s="103">
        <v>6.8771640383818848</v>
      </c>
      <c r="I37" s="103">
        <v>6.8771640383818848</v>
      </c>
      <c r="J37" s="103">
        <v>6.8771640383818848</v>
      </c>
      <c r="K37" s="103">
        <v>1.673</v>
      </c>
      <c r="L37" s="103">
        <v>1.673</v>
      </c>
      <c r="M37" s="103">
        <v>1.673</v>
      </c>
      <c r="N37" s="45"/>
    </row>
    <row r="38" spans="1:14" x14ac:dyDescent="0.25">
      <c r="A38" s="306"/>
      <c r="B38" s="323"/>
      <c r="C38" s="21" t="s">
        <v>104</v>
      </c>
      <c r="D38" s="1" t="s">
        <v>10</v>
      </c>
      <c r="E38" s="103">
        <v>0</v>
      </c>
      <c r="F38" s="103">
        <v>0</v>
      </c>
      <c r="G38" s="103">
        <v>0</v>
      </c>
      <c r="H38" s="103">
        <v>0</v>
      </c>
      <c r="I38" s="103">
        <v>0</v>
      </c>
      <c r="J38" s="103">
        <v>0</v>
      </c>
      <c r="K38" s="103">
        <v>2.085E-3</v>
      </c>
      <c r="L38" s="103">
        <v>2.085E-3</v>
      </c>
      <c r="M38" s="103">
        <v>2.085E-3</v>
      </c>
      <c r="N38" s="45"/>
    </row>
    <row r="39" spans="1:14" ht="18.75" x14ac:dyDescent="0.25">
      <c r="A39" s="306"/>
      <c r="B39" s="323"/>
      <c r="C39" s="22" t="s">
        <v>105</v>
      </c>
      <c r="D39" s="23" t="s">
        <v>17</v>
      </c>
      <c r="E39" s="103">
        <v>0</v>
      </c>
      <c r="F39" s="103">
        <v>0</v>
      </c>
      <c r="G39" s="103">
        <v>0</v>
      </c>
      <c r="H39" s="103">
        <v>0</v>
      </c>
      <c r="I39" s="103">
        <v>0</v>
      </c>
      <c r="J39" s="103">
        <v>0</v>
      </c>
      <c r="K39" s="103">
        <v>0</v>
      </c>
      <c r="L39" s="103">
        <v>0</v>
      </c>
      <c r="M39" s="103">
        <v>0</v>
      </c>
      <c r="N39" s="45"/>
    </row>
    <row r="40" spans="1:14" x14ac:dyDescent="0.25">
      <c r="A40" s="306"/>
      <c r="B40" s="323"/>
      <c r="C40" s="22" t="s">
        <v>11</v>
      </c>
      <c r="D40" s="23" t="s">
        <v>10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3">
        <v>0</v>
      </c>
      <c r="L40" s="103">
        <v>0</v>
      </c>
      <c r="M40" s="103">
        <v>0</v>
      </c>
      <c r="N40" s="45"/>
    </row>
    <row r="41" spans="1:14" x14ac:dyDescent="0.25">
      <c r="A41" s="306"/>
      <c r="B41" s="323"/>
      <c r="C41" s="21" t="s">
        <v>18</v>
      </c>
      <c r="D41" s="2" t="s">
        <v>19</v>
      </c>
      <c r="E41" s="102">
        <v>3.58</v>
      </c>
      <c r="F41" s="102">
        <v>3.58</v>
      </c>
      <c r="G41" s="102">
        <v>3.58</v>
      </c>
      <c r="H41" s="102">
        <v>3.58</v>
      </c>
      <c r="I41" s="102">
        <v>3.58</v>
      </c>
      <c r="J41" s="102">
        <v>3.58</v>
      </c>
      <c r="K41" s="102">
        <v>3.58</v>
      </c>
      <c r="L41" s="102">
        <v>3.58</v>
      </c>
      <c r="M41" s="102">
        <v>3.58</v>
      </c>
      <c r="N41" s="45"/>
    </row>
    <row r="42" spans="1:14" x14ac:dyDescent="0.25">
      <c r="A42" s="306"/>
      <c r="B42" s="323"/>
      <c r="C42" s="21" t="s">
        <v>13</v>
      </c>
      <c r="D42" s="1" t="s">
        <v>14</v>
      </c>
      <c r="E42" s="102"/>
      <c r="F42" s="102"/>
      <c r="G42" s="102"/>
      <c r="H42" s="102"/>
      <c r="I42" s="102"/>
      <c r="J42" s="102"/>
      <c r="K42" s="102"/>
      <c r="L42" s="102"/>
      <c r="M42" s="102"/>
      <c r="N42" s="45"/>
    </row>
    <row r="43" spans="1:14" x14ac:dyDescent="0.25">
      <c r="A43" s="306"/>
      <c r="B43" s="323"/>
      <c r="C43" s="21" t="s">
        <v>15</v>
      </c>
      <c r="D43" s="1" t="s">
        <v>4</v>
      </c>
      <c r="E43" s="102"/>
      <c r="F43" s="102"/>
      <c r="G43" s="102"/>
      <c r="H43" s="102"/>
      <c r="I43" s="102"/>
      <c r="J43" s="102"/>
      <c r="K43" s="102"/>
      <c r="L43" s="102"/>
      <c r="M43" s="102"/>
      <c r="N43" s="45"/>
    </row>
    <row r="44" spans="1:14" ht="14.45" customHeight="1" x14ac:dyDescent="0.25">
      <c r="A44" s="306">
        <v>5</v>
      </c>
      <c r="B44" s="323" t="s">
        <v>146</v>
      </c>
      <c r="C44" s="21" t="s">
        <v>101</v>
      </c>
      <c r="D44" s="1" t="s">
        <v>4</v>
      </c>
      <c r="E44" s="102">
        <v>20</v>
      </c>
      <c r="F44" s="102">
        <v>20</v>
      </c>
      <c r="G44" s="102">
        <v>20</v>
      </c>
      <c r="H44" s="102">
        <v>20</v>
      </c>
      <c r="I44" s="102">
        <v>20</v>
      </c>
      <c r="J44" s="102">
        <v>20</v>
      </c>
      <c r="K44" s="102">
        <v>20</v>
      </c>
      <c r="L44" s="102">
        <v>20</v>
      </c>
      <c r="M44" s="102">
        <v>20</v>
      </c>
      <c r="N44" s="45"/>
    </row>
    <row r="45" spans="1:14" x14ac:dyDescent="0.25">
      <c r="A45" s="306"/>
      <c r="B45" s="323"/>
      <c r="C45" s="21" t="s">
        <v>20</v>
      </c>
      <c r="D45" s="1" t="s">
        <v>6</v>
      </c>
      <c r="E45" s="103">
        <v>822.90511868819738</v>
      </c>
      <c r="F45" s="103">
        <v>587.62399482196031</v>
      </c>
      <c r="G45" s="103">
        <v>458.47760255879234</v>
      </c>
      <c r="H45" s="103">
        <v>458.47760255879234</v>
      </c>
      <c r="I45" s="103">
        <v>458.47760255879234</v>
      </c>
      <c r="J45" s="103">
        <v>458.47760255879234</v>
      </c>
      <c r="K45" s="103">
        <v>1133.7480098003448</v>
      </c>
      <c r="L45" s="103">
        <v>986.22674801231153</v>
      </c>
      <c r="M45" s="103">
        <v>866.85752357634294</v>
      </c>
      <c r="N45" s="45"/>
    </row>
    <row r="46" spans="1:14" x14ac:dyDescent="0.25">
      <c r="A46" s="306"/>
      <c r="B46" s="323"/>
      <c r="C46" s="21" t="s">
        <v>172</v>
      </c>
      <c r="D46" s="1" t="s">
        <v>19</v>
      </c>
      <c r="E46" s="104">
        <v>0</v>
      </c>
      <c r="F46" s="104">
        <v>0</v>
      </c>
      <c r="G46" s="104">
        <v>0</v>
      </c>
      <c r="H46" s="104">
        <v>0</v>
      </c>
      <c r="I46" s="104">
        <v>0</v>
      </c>
      <c r="J46" s="104">
        <v>0</v>
      </c>
      <c r="K46" s="104">
        <v>0</v>
      </c>
      <c r="L46" s="104">
        <v>0</v>
      </c>
      <c r="M46" s="104">
        <v>0</v>
      </c>
      <c r="N46" s="45"/>
    </row>
    <row r="47" spans="1:14" x14ac:dyDescent="0.25">
      <c r="A47" s="306"/>
      <c r="B47" s="323"/>
      <c r="C47" s="21" t="s">
        <v>102</v>
      </c>
      <c r="D47" s="1" t="s">
        <v>8</v>
      </c>
      <c r="E47" s="102"/>
      <c r="F47" s="102"/>
      <c r="G47" s="102"/>
      <c r="H47" s="102"/>
      <c r="I47" s="102"/>
      <c r="J47" s="102"/>
      <c r="K47" s="102"/>
      <c r="L47" s="102"/>
      <c r="M47" s="102"/>
      <c r="N47" s="45"/>
    </row>
    <row r="48" spans="1:14" x14ac:dyDescent="0.25">
      <c r="A48" s="306"/>
      <c r="B48" s="323"/>
      <c r="C48" s="21" t="s">
        <v>103</v>
      </c>
      <c r="D48" s="1" t="s">
        <v>9</v>
      </c>
      <c r="E48" s="103">
        <v>12.343576780322961</v>
      </c>
      <c r="F48" s="103">
        <v>8.8143599223294036</v>
      </c>
      <c r="G48" s="103">
        <v>6.8771640383818848</v>
      </c>
      <c r="H48" s="103">
        <v>6.8771640383818848</v>
      </c>
      <c r="I48" s="103">
        <v>6.8771640383818848</v>
      </c>
      <c r="J48" s="103">
        <v>6.8771640383818848</v>
      </c>
      <c r="K48" s="103">
        <v>1.673</v>
      </c>
      <c r="L48" s="103">
        <v>1.673</v>
      </c>
      <c r="M48" s="103">
        <v>1.673</v>
      </c>
      <c r="N48" s="45"/>
    </row>
    <row r="49" spans="1:14" x14ac:dyDescent="0.25">
      <c r="A49" s="306"/>
      <c r="B49" s="323"/>
      <c r="C49" s="21" t="s">
        <v>104</v>
      </c>
      <c r="D49" s="1" t="s">
        <v>10</v>
      </c>
      <c r="E49" s="103">
        <v>0</v>
      </c>
      <c r="F49" s="103">
        <v>0</v>
      </c>
      <c r="G49" s="103">
        <v>0</v>
      </c>
      <c r="H49" s="103">
        <v>0</v>
      </c>
      <c r="I49" s="103">
        <v>0</v>
      </c>
      <c r="J49" s="103">
        <v>0</v>
      </c>
      <c r="K49" s="103">
        <v>2.085E-3</v>
      </c>
      <c r="L49" s="103">
        <v>2.085E-3</v>
      </c>
      <c r="M49" s="103">
        <v>2.085E-3</v>
      </c>
      <c r="N49" s="45"/>
    </row>
    <row r="50" spans="1:14" ht="18.75" x14ac:dyDescent="0.25">
      <c r="A50" s="306"/>
      <c r="B50" s="323"/>
      <c r="C50" s="22" t="s">
        <v>105</v>
      </c>
      <c r="D50" s="23" t="s">
        <v>17</v>
      </c>
      <c r="E50" s="103">
        <v>0</v>
      </c>
      <c r="F50" s="103">
        <v>0</v>
      </c>
      <c r="G50" s="103">
        <v>0</v>
      </c>
      <c r="H50" s="103">
        <v>0</v>
      </c>
      <c r="I50" s="103">
        <v>0</v>
      </c>
      <c r="J50" s="103">
        <v>0</v>
      </c>
      <c r="K50" s="103">
        <v>0</v>
      </c>
      <c r="L50" s="103">
        <v>0</v>
      </c>
      <c r="M50" s="103">
        <v>0</v>
      </c>
      <c r="N50" s="45"/>
    </row>
    <row r="51" spans="1:14" x14ac:dyDescent="0.25">
      <c r="A51" s="306"/>
      <c r="B51" s="323"/>
      <c r="C51" s="22" t="s">
        <v>11</v>
      </c>
      <c r="D51" s="23" t="s">
        <v>10</v>
      </c>
      <c r="E51" s="103">
        <v>0</v>
      </c>
      <c r="F51" s="103">
        <v>0</v>
      </c>
      <c r="G51" s="103">
        <v>0</v>
      </c>
      <c r="H51" s="103">
        <v>0</v>
      </c>
      <c r="I51" s="103">
        <v>0</v>
      </c>
      <c r="J51" s="103">
        <v>0</v>
      </c>
      <c r="K51" s="103">
        <v>0</v>
      </c>
      <c r="L51" s="103">
        <v>0</v>
      </c>
      <c r="M51" s="103">
        <v>0</v>
      </c>
      <c r="N51" s="45"/>
    </row>
    <row r="52" spans="1:14" x14ac:dyDescent="0.25">
      <c r="A52" s="306"/>
      <c r="B52" s="323"/>
      <c r="C52" s="21" t="s">
        <v>18</v>
      </c>
      <c r="D52" s="2" t="s">
        <v>19</v>
      </c>
      <c r="E52" s="102">
        <v>3.33</v>
      </c>
      <c r="F52" s="102">
        <v>3.33</v>
      </c>
      <c r="G52" s="102">
        <v>3.33</v>
      </c>
      <c r="H52" s="102">
        <v>3.33</v>
      </c>
      <c r="I52" s="102">
        <v>3.33</v>
      </c>
      <c r="J52" s="102">
        <v>3.33</v>
      </c>
      <c r="K52" s="102">
        <v>3.33</v>
      </c>
      <c r="L52" s="102">
        <v>3.33</v>
      </c>
      <c r="M52" s="102">
        <v>3.33</v>
      </c>
      <c r="N52" s="45"/>
    </row>
    <row r="53" spans="1:14" x14ac:dyDescent="0.25">
      <c r="A53" s="306"/>
      <c r="B53" s="323"/>
      <c r="C53" s="21" t="s">
        <v>13</v>
      </c>
      <c r="D53" s="2" t="s">
        <v>14</v>
      </c>
      <c r="E53" s="102"/>
      <c r="F53" s="102"/>
      <c r="G53" s="102"/>
      <c r="H53" s="102"/>
      <c r="I53" s="102"/>
      <c r="J53" s="102"/>
      <c r="K53" s="102"/>
      <c r="L53" s="102"/>
      <c r="M53" s="102"/>
      <c r="N53" s="45"/>
    </row>
    <row r="54" spans="1:14" x14ac:dyDescent="0.25">
      <c r="A54" s="306"/>
      <c r="B54" s="323"/>
      <c r="C54" s="21" t="s">
        <v>15</v>
      </c>
      <c r="D54" s="2" t="s">
        <v>4</v>
      </c>
      <c r="E54" s="102"/>
      <c r="F54" s="102"/>
      <c r="G54" s="102"/>
      <c r="H54" s="102"/>
      <c r="I54" s="102"/>
      <c r="J54" s="102"/>
      <c r="K54" s="102"/>
      <c r="L54" s="102"/>
      <c r="M54" s="102"/>
      <c r="N54" s="45"/>
    </row>
    <row r="55" spans="1:14" ht="14.45" customHeight="1" x14ac:dyDescent="0.25">
      <c r="A55" s="306">
        <v>6</v>
      </c>
      <c r="B55" s="323" t="s">
        <v>147</v>
      </c>
      <c r="C55" s="21" t="s">
        <v>101</v>
      </c>
      <c r="D55" s="1" t="s">
        <v>4</v>
      </c>
      <c r="E55" s="102">
        <v>20</v>
      </c>
      <c r="F55" s="102">
        <v>20</v>
      </c>
      <c r="G55" s="102">
        <v>20</v>
      </c>
      <c r="H55" s="102">
        <v>20</v>
      </c>
      <c r="I55" s="102">
        <v>20</v>
      </c>
      <c r="J55" s="102">
        <v>20</v>
      </c>
      <c r="K55" s="102">
        <v>20</v>
      </c>
      <c r="L55" s="102">
        <v>20</v>
      </c>
      <c r="M55" s="102">
        <v>20</v>
      </c>
      <c r="N55" s="45"/>
    </row>
    <row r="56" spans="1:14" x14ac:dyDescent="0.25">
      <c r="A56" s="306"/>
      <c r="B56" s="323"/>
      <c r="C56" s="21" t="s">
        <v>20</v>
      </c>
      <c r="D56" s="1" t="s">
        <v>6</v>
      </c>
      <c r="E56" s="103">
        <v>834.20131814045635</v>
      </c>
      <c r="F56" s="103">
        <v>582.75336672185188</v>
      </c>
      <c r="G56" s="103">
        <v>447.37922190941873</v>
      </c>
      <c r="H56" s="103">
        <v>447.37922190941873</v>
      </c>
      <c r="I56" s="103">
        <v>447.37922190941873</v>
      </c>
      <c r="J56" s="103">
        <v>447.37922190941873</v>
      </c>
      <c r="K56" s="103">
        <v>613.58399999999995</v>
      </c>
      <c r="L56" s="103">
        <v>613.58399999999995</v>
      </c>
      <c r="M56" s="103">
        <v>613.58399999999995</v>
      </c>
      <c r="N56" s="45"/>
    </row>
    <row r="57" spans="1:14" x14ac:dyDescent="0.25">
      <c r="A57" s="306"/>
      <c r="B57" s="323"/>
      <c r="C57" s="21" t="s">
        <v>172</v>
      </c>
      <c r="D57" s="1" t="s">
        <v>19</v>
      </c>
      <c r="E57" s="104">
        <v>0</v>
      </c>
      <c r="F57" s="104">
        <v>0</v>
      </c>
      <c r="G57" s="104">
        <v>0</v>
      </c>
      <c r="H57" s="104">
        <v>0</v>
      </c>
      <c r="I57" s="104">
        <v>0</v>
      </c>
      <c r="J57" s="104">
        <v>0</v>
      </c>
      <c r="K57" s="104">
        <v>0</v>
      </c>
      <c r="L57" s="104">
        <v>0</v>
      </c>
      <c r="M57" s="104">
        <v>0</v>
      </c>
      <c r="N57" s="45"/>
    </row>
    <row r="58" spans="1:14" x14ac:dyDescent="0.25">
      <c r="A58" s="306"/>
      <c r="B58" s="323"/>
      <c r="C58" s="21" t="s">
        <v>102</v>
      </c>
      <c r="D58" s="1" t="s">
        <v>8</v>
      </c>
      <c r="E58" s="102"/>
      <c r="F58" s="102"/>
      <c r="G58" s="102"/>
      <c r="H58" s="102"/>
      <c r="I58" s="102"/>
      <c r="J58" s="102"/>
      <c r="K58" s="102"/>
      <c r="L58" s="102"/>
      <c r="M58" s="102"/>
      <c r="N58" s="45"/>
    </row>
    <row r="59" spans="1:14" x14ac:dyDescent="0.25">
      <c r="A59" s="306"/>
      <c r="B59" s="323"/>
      <c r="C59" s="21" t="s">
        <v>103</v>
      </c>
      <c r="D59" s="1" t="s">
        <v>9</v>
      </c>
      <c r="E59" s="103">
        <v>12.513019772106844</v>
      </c>
      <c r="F59" s="103">
        <v>8.7413005008277782</v>
      </c>
      <c r="G59" s="103">
        <v>6.7106883286412806</v>
      </c>
      <c r="H59" s="103">
        <v>6.7106883286412806</v>
      </c>
      <c r="I59" s="103">
        <v>6.7106883286412806</v>
      </c>
      <c r="J59" s="103">
        <v>6.7106883286412806</v>
      </c>
      <c r="K59" s="103">
        <v>1.673</v>
      </c>
      <c r="L59" s="103">
        <v>1.673</v>
      </c>
      <c r="M59" s="103">
        <v>1.673</v>
      </c>
      <c r="N59" s="45"/>
    </row>
    <row r="60" spans="1:14" x14ac:dyDescent="0.25">
      <c r="A60" s="306"/>
      <c r="B60" s="323"/>
      <c r="C60" s="21" t="s">
        <v>104</v>
      </c>
      <c r="D60" s="1" t="s">
        <v>10</v>
      </c>
      <c r="E60" s="103">
        <v>0</v>
      </c>
      <c r="F60" s="103">
        <v>0</v>
      </c>
      <c r="G60" s="103">
        <v>0</v>
      </c>
      <c r="H60" s="103">
        <v>0</v>
      </c>
      <c r="I60" s="103">
        <v>0</v>
      </c>
      <c r="J60" s="103">
        <v>0</v>
      </c>
      <c r="K60" s="103">
        <v>2.085E-3</v>
      </c>
      <c r="L60" s="103">
        <v>2.085E-3</v>
      </c>
      <c r="M60" s="103">
        <v>2.085E-3</v>
      </c>
      <c r="N60" s="45"/>
    </row>
    <row r="61" spans="1:14" ht="18.75" x14ac:dyDescent="0.25">
      <c r="A61" s="306"/>
      <c r="B61" s="323"/>
      <c r="C61" s="22" t="s">
        <v>105</v>
      </c>
      <c r="D61" s="23" t="s">
        <v>17</v>
      </c>
      <c r="E61" s="103">
        <v>0</v>
      </c>
      <c r="F61" s="103">
        <v>0</v>
      </c>
      <c r="G61" s="103">
        <v>0</v>
      </c>
      <c r="H61" s="103">
        <v>0</v>
      </c>
      <c r="I61" s="103">
        <v>0</v>
      </c>
      <c r="J61" s="103">
        <v>0</v>
      </c>
      <c r="K61" s="103">
        <v>0</v>
      </c>
      <c r="L61" s="103">
        <v>0</v>
      </c>
      <c r="M61" s="103">
        <v>0</v>
      </c>
      <c r="N61" s="45"/>
    </row>
    <row r="62" spans="1:14" x14ac:dyDescent="0.25">
      <c r="A62" s="306"/>
      <c r="B62" s="323"/>
      <c r="C62" s="22" t="s">
        <v>11</v>
      </c>
      <c r="D62" s="23" t="s">
        <v>10</v>
      </c>
      <c r="E62" s="103">
        <v>0</v>
      </c>
      <c r="F62" s="103">
        <v>0</v>
      </c>
      <c r="G62" s="103">
        <v>0</v>
      </c>
      <c r="H62" s="103">
        <v>0</v>
      </c>
      <c r="I62" s="103">
        <v>0</v>
      </c>
      <c r="J62" s="103">
        <v>0</v>
      </c>
      <c r="K62" s="103">
        <v>0</v>
      </c>
      <c r="L62" s="103">
        <v>0</v>
      </c>
      <c r="M62" s="103">
        <v>0</v>
      </c>
      <c r="N62" s="45"/>
    </row>
    <row r="63" spans="1:14" x14ac:dyDescent="0.25">
      <c r="A63" s="306"/>
      <c r="B63" s="323"/>
      <c r="C63" s="21" t="s">
        <v>18</v>
      </c>
      <c r="D63" s="2" t="s">
        <v>19</v>
      </c>
      <c r="E63" s="102">
        <v>4.62</v>
      </c>
      <c r="F63" s="102">
        <v>4.62</v>
      </c>
      <c r="G63" s="102">
        <v>4.62</v>
      </c>
      <c r="H63" s="102">
        <v>4.62</v>
      </c>
      <c r="I63" s="102">
        <v>4.62</v>
      </c>
      <c r="J63" s="102">
        <v>4.62</v>
      </c>
      <c r="K63" s="102">
        <v>4.62</v>
      </c>
      <c r="L63" s="102">
        <v>4.62</v>
      </c>
      <c r="M63" s="102">
        <v>4.62</v>
      </c>
      <c r="N63" s="45"/>
    </row>
    <row r="64" spans="1:14" x14ac:dyDescent="0.25">
      <c r="A64" s="306"/>
      <c r="B64" s="323"/>
      <c r="C64" s="21" t="s">
        <v>13</v>
      </c>
      <c r="D64" s="1" t="s">
        <v>14</v>
      </c>
      <c r="E64" s="102"/>
      <c r="F64" s="102"/>
      <c r="G64" s="102"/>
      <c r="H64" s="102"/>
      <c r="I64" s="102"/>
      <c r="J64" s="102"/>
      <c r="K64" s="102"/>
      <c r="L64" s="102"/>
      <c r="M64" s="102"/>
      <c r="N64" s="45"/>
    </row>
    <row r="65" spans="1:14" x14ac:dyDescent="0.25">
      <c r="A65" s="306"/>
      <c r="B65" s="323"/>
      <c r="C65" s="21" t="s">
        <v>15</v>
      </c>
      <c r="D65" s="1" t="s">
        <v>4</v>
      </c>
      <c r="E65" s="102"/>
      <c r="F65" s="102"/>
      <c r="G65" s="102"/>
      <c r="H65" s="102"/>
      <c r="I65" s="102"/>
      <c r="J65" s="102"/>
      <c r="K65" s="102"/>
      <c r="L65" s="102"/>
      <c r="M65" s="102"/>
      <c r="N65" s="45"/>
    </row>
    <row r="66" spans="1:14" x14ac:dyDescent="0.25">
      <c r="A66" s="306"/>
      <c r="B66" s="323"/>
      <c r="C66" s="21" t="s">
        <v>106</v>
      </c>
      <c r="D66" s="1" t="s">
        <v>6</v>
      </c>
      <c r="E66" s="103">
        <v>2677.2372697755504</v>
      </c>
      <c r="F66" s="103">
        <v>1831.9318169832663</v>
      </c>
      <c r="G66" s="103">
        <v>1152.0901647065316</v>
      </c>
      <c r="H66" s="103">
        <v>400.2171452567311</v>
      </c>
      <c r="I66" s="103">
        <v>272.89255701854074</v>
      </c>
      <c r="J66" s="103">
        <v>172.97355964296725</v>
      </c>
      <c r="K66" s="103">
        <v>83.949921947780794</v>
      </c>
      <c r="L66" s="103">
        <v>73.53859356117799</v>
      </c>
      <c r="M66" s="103">
        <v>73.53859356117799</v>
      </c>
      <c r="N66" s="45"/>
    </row>
    <row r="67" spans="1:14" x14ac:dyDescent="0.25">
      <c r="A67" s="306"/>
      <c r="B67" s="323"/>
      <c r="C67" s="21" t="s">
        <v>107</v>
      </c>
      <c r="D67" s="1" t="s">
        <v>4</v>
      </c>
      <c r="E67" s="102"/>
      <c r="F67" s="102"/>
      <c r="G67" s="102"/>
      <c r="H67" s="102"/>
      <c r="I67" s="102"/>
      <c r="J67" s="102"/>
      <c r="K67" s="102"/>
      <c r="L67" s="102"/>
      <c r="M67" s="102"/>
      <c r="N67" s="45"/>
    </row>
    <row r="68" spans="1:14" ht="14.45" customHeight="1" x14ac:dyDescent="0.25">
      <c r="A68" s="306">
        <v>7</v>
      </c>
      <c r="B68" s="323" t="s">
        <v>148</v>
      </c>
      <c r="C68" s="21" t="s">
        <v>101</v>
      </c>
      <c r="D68" s="1" t="s">
        <v>4</v>
      </c>
      <c r="E68" s="102">
        <v>20</v>
      </c>
      <c r="F68" s="102">
        <v>20</v>
      </c>
      <c r="G68" s="102">
        <v>20</v>
      </c>
      <c r="H68" s="102">
        <v>20</v>
      </c>
      <c r="I68" s="102">
        <v>20</v>
      </c>
      <c r="J68" s="102">
        <v>20</v>
      </c>
      <c r="K68" s="102">
        <v>20</v>
      </c>
      <c r="L68" s="102">
        <v>20</v>
      </c>
      <c r="M68" s="102">
        <v>20</v>
      </c>
      <c r="N68" s="45"/>
    </row>
    <row r="69" spans="1:14" x14ac:dyDescent="0.25">
      <c r="A69" s="306"/>
      <c r="B69" s="323"/>
      <c r="C69" s="21" t="s">
        <v>20</v>
      </c>
      <c r="D69" s="1" t="s">
        <v>6</v>
      </c>
      <c r="E69" s="103">
        <v>834.20131814045635</v>
      </c>
      <c r="F69" s="103">
        <v>582.75336672185188</v>
      </c>
      <c r="G69" s="103">
        <v>447.37922190941873</v>
      </c>
      <c r="H69" s="103">
        <v>447.37922190941873</v>
      </c>
      <c r="I69" s="103">
        <v>447.37922190941873</v>
      </c>
      <c r="J69" s="103">
        <v>447.37922190941873</v>
      </c>
      <c r="K69" s="103">
        <v>613.58399999999995</v>
      </c>
      <c r="L69" s="103">
        <v>613.58399999999995</v>
      </c>
      <c r="M69" s="103">
        <v>613.58399999999995</v>
      </c>
      <c r="N69" s="45"/>
    </row>
    <row r="70" spans="1:14" x14ac:dyDescent="0.25">
      <c r="A70" s="306"/>
      <c r="B70" s="323"/>
      <c r="C70" s="21" t="s">
        <v>172</v>
      </c>
      <c r="D70" s="1" t="s">
        <v>19</v>
      </c>
      <c r="E70" s="104">
        <v>0</v>
      </c>
      <c r="F70" s="104">
        <v>0</v>
      </c>
      <c r="G70" s="104">
        <v>0</v>
      </c>
      <c r="H70" s="104">
        <v>0</v>
      </c>
      <c r="I70" s="104">
        <v>0</v>
      </c>
      <c r="J70" s="104">
        <v>0</v>
      </c>
      <c r="K70" s="104">
        <v>0</v>
      </c>
      <c r="L70" s="104">
        <v>0</v>
      </c>
      <c r="M70" s="104">
        <v>0</v>
      </c>
      <c r="N70" s="45"/>
    </row>
    <row r="71" spans="1:14" x14ac:dyDescent="0.25">
      <c r="A71" s="306"/>
      <c r="B71" s="323"/>
      <c r="C71" s="21" t="s">
        <v>102</v>
      </c>
      <c r="D71" s="1" t="s">
        <v>8</v>
      </c>
      <c r="E71" s="102"/>
      <c r="F71" s="102"/>
      <c r="G71" s="102"/>
      <c r="H71" s="102"/>
      <c r="I71" s="102"/>
      <c r="J71" s="102"/>
      <c r="K71" s="102"/>
      <c r="L71" s="102"/>
      <c r="M71" s="102"/>
      <c r="N71" s="45"/>
    </row>
    <row r="72" spans="1:14" x14ac:dyDescent="0.25">
      <c r="A72" s="306"/>
      <c r="B72" s="323"/>
      <c r="C72" s="21" t="s">
        <v>103</v>
      </c>
      <c r="D72" s="1" t="s">
        <v>9</v>
      </c>
      <c r="E72" s="103">
        <v>12.513019772106844</v>
      </c>
      <c r="F72" s="103">
        <v>8.7413005008277782</v>
      </c>
      <c r="G72" s="103">
        <v>6.7106883286412806</v>
      </c>
      <c r="H72" s="103">
        <v>6.7106883286412806</v>
      </c>
      <c r="I72" s="103">
        <v>6.7106883286412806</v>
      </c>
      <c r="J72" s="103">
        <v>6.7106883286412806</v>
      </c>
      <c r="K72" s="103">
        <v>1.673</v>
      </c>
      <c r="L72" s="103">
        <v>1.673</v>
      </c>
      <c r="M72" s="103">
        <v>1.673</v>
      </c>
      <c r="N72" s="45"/>
    </row>
    <row r="73" spans="1:14" x14ac:dyDescent="0.25">
      <c r="A73" s="306"/>
      <c r="B73" s="323"/>
      <c r="C73" s="21" t="s">
        <v>104</v>
      </c>
      <c r="D73" s="1" t="s">
        <v>10</v>
      </c>
      <c r="E73" s="103">
        <v>0</v>
      </c>
      <c r="F73" s="103">
        <v>0</v>
      </c>
      <c r="G73" s="103">
        <v>0</v>
      </c>
      <c r="H73" s="103">
        <v>0</v>
      </c>
      <c r="I73" s="103">
        <v>0</v>
      </c>
      <c r="J73" s="103">
        <v>0</v>
      </c>
      <c r="K73" s="103">
        <v>2.085E-3</v>
      </c>
      <c r="L73" s="103">
        <v>2.085E-3</v>
      </c>
      <c r="M73" s="103">
        <v>2.085E-3</v>
      </c>
      <c r="N73" s="45"/>
    </row>
    <row r="74" spans="1:14" ht="18.75" x14ac:dyDescent="0.25">
      <c r="A74" s="306"/>
      <c r="B74" s="323"/>
      <c r="C74" s="22" t="s">
        <v>105</v>
      </c>
      <c r="D74" s="23" t="s">
        <v>17</v>
      </c>
      <c r="E74" s="103">
        <v>0</v>
      </c>
      <c r="F74" s="103">
        <v>0</v>
      </c>
      <c r="G74" s="103">
        <v>0</v>
      </c>
      <c r="H74" s="103">
        <v>0</v>
      </c>
      <c r="I74" s="103">
        <v>0</v>
      </c>
      <c r="J74" s="103">
        <v>0</v>
      </c>
      <c r="K74" s="103">
        <v>0</v>
      </c>
      <c r="L74" s="103">
        <v>0</v>
      </c>
      <c r="M74" s="103">
        <v>0</v>
      </c>
      <c r="N74" s="45"/>
    </row>
    <row r="75" spans="1:14" x14ac:dyDescent="0.25">
      <c r="A75" s="306"/>
      <c r="B75" s="323"/>
      <c r="C75" s="22" t="s">
        <v>11</v>
      </c>
      <c r="D75" s="23" t="s">
        <v>10</v>
      </c>
      <c r="E75" s="103">
        <v>0</v>
      </c>
      <c r="F75" s="103">
        <v>0</v>
      </c>
      <c r="G75" s="103">
        <v>0</v>
      </c>
      <c r="H75" s="103">
        <v>0</v>
      </c>
      <c r="I75" s="103">
        <v>0</v>
      </c>
      <c r="J75" s="103">
        <v>0</v>
      </c>
      <c r="K75" s="103">
        <v>0</v>
      </c>
      <c r="L75" s="103">
        <v>0</v>
      </c>
      <c r="M75" s="103">
        <v>0</v>
      </c>
      <c r="N75" s="45"/>
    </row>
    <row r="76" spans="1:14" x14ac:dyDescent="0.25">
      <c r="A76" s="306"/>
      <c r="B76" s="323"/>
      <c r="C76" s="21" t="s">
        <v>18</v>
      </c>
      <c r="D76" s="2" t="s">
        <v>19</v>
      </c>
      <c r="E76" s="102">
        <v>4.3125</v>
      </c>
      <c r="F76" s="102">
        <v>4.3125</v>
      </c>
      <c r="G76" s="102">
        <v>4.3125</v>
      </c>
      <c r="H76" s="102">
        <v>4.3125</v>
      </c>
      <c r="I76" s="102">
        <v>4.3125</v>
      </c>
      <c r="J76" s="102">
        <v>4.3125</v>
      </c>
      <c r="K76" s="102">
        <v>4.3125</v>
      </c>
      <c r="L76" s="102">
        <v>4.3125</v>
      </c>
      <c r="M76" s="102">
        <v>4.3125</v>
      </c>
      <c r="N76" s="45"/>
    </row>
    <row r="77" spans="1:14" x14ac:dyDescent="0.25">
      <c r="A77" s="306"/>
      <c r="B77" s="323"/>
      <c r="C77" s="21" t="s">
        <v>13</v>
      </c>
      <c r="D77" s="1" t="s">
        <v>14</v>
      </c>
      <c r="E77" s="102"/>
      <c r="F77" s="102"/>
      <c r="G77" s="102"/>
      <c r="H77" s="102"/>
      <c r="I77" s="102"/>
      <c r="J77" s="102"/>
      <c r="K77" s="102"/>
      <c r="L77" s="102"/>
      <c r="M77" s="102"/>
      <c r="N77" s="45"/>
    </row>
    <row r="78" spans="1:14" x14ac:dyDescent="0.25">
      <c r="A78" s="306"/>
      <c r="B78" s="323"/>
      <c r="C78" s="21" t="s">
        <v>15</v>
      </c>
      <c r="D78" s="1" t="s">
        <v>4</v>
      </c>
      <c r="E78" s="102"/>
      <c r="F78" s="102"/>
      <c r="G78" s="102"/>
      <c r="H78" s="102"/>
      <c r="I78" s="102"/>
      <c r="J78" s="102"/>
      <c r="K78" s="102"/>
      <c r="L78" s="102"/>
      <c r="M78" s="102"/>
      <c r="N78" s="45"/>
    </row>
    <row r="79" spans="1:14" x14ac:dyDescent="0.25">
      <c r="A79" s="306"/>
      <c r="B79" s="323"/>
      <c r="C79" s="21" t="s">
        <v>106</v>
      </c>
      <c r="D79" s="1" t="s">
        <v>6</v>
      </c>
      <c r="E79" s="103">
        <v>2677.2372697755504</v>
      </c>
      <c r="F79" s="103">
        <v>1831.9318169832663</v>
      </c>
      <c r="G79" s="103">
        <v>1152.0901647065316</v>
      </c>
      <c r="H79" s="103">
        <v>400.2171452567311</v>
      </c>
      <c r="I79" s="103">
        <v>272.89255701854074</v>
      </c>
      <c r="J79" s="103">
        <v>172.97355964296725</v>
      </c>
      <c r="K79" s="103">
        <v>83.949921947780794</v>
      </c>
      <c r="L79" s="103">
        <v>73.53859356117799</v>
      </c>
      <c r="M79" s="103">
        <v>73.53859356117799</v>
      </c>
      <c r="N79" s="45"/>
    </row>
    <row r="80" spans="1:14" x14ac:dyDescent="0.25">
      <c r="A80" s="306"/>
      <c r="B80" s="323"/>
      <c r="C80" s="21" t="s">
        <v>107</v>
      </c>
      <c r="D80" s="1" t="s">
        <v>4</v>
      </c>
      <c r="E80" s="102"/>
      <c r="F80" s="102"/>
      <c r="G80" s="102"/>
      <c r="H80" s="102"/>
      <c r="I80" s="102"/>
      <c r="J80" s="102"/>
      <c r="K80" s="102"/>
      <c r="L80" s="102"/>
      <c r="M80" s="102"/>
      <c r="N80" s="45"/>
    </row>
    <row r="81" spans="1:14" ht="14.45" customHeight="1" x14ac:dyDescent="0.25">
      <c r="A81" s="306">
        <v>8</v>
      </c>
      <c r="B81" s="323" t="s">
        <v>149</v>
      </c>
      <c r="C81" s="21" t="s">
        <v>101</v>
      </c>
      <c r="D81" s="1" t="s">
        <v>4</v>
      </c>
      <c r="E81" s="102">
        <v>20</v>
      </c>
      <c r="F81" s="102">
        <v>20</v>
      </c>
      <c r="G81" s="102">
        <v>20</v>
      </c>
      <c r="H81" s="102">
        <v>20</v>
      </c>
      <c r="I81" s="102">
        <v>20</v>
      </c>
      <c r="J81" s="102">
        <v>20</v>
      </c>
      <c r="K81" s="102">
        <v>20</v>
      </c>
      <c r="L81" s="102">
        <v>20</v>
      </c>
      <c r="M81" s="102">
        <v>20</v>
      </c>
      <c r="N81" s="45"/>
    </row>
    <row r="82" spans="1:14" x14ac:dyDescent="0.25">
      <c r="A82" s="306"/>
      <c r="B82" s="323"/>
      <c r="C82" s="21" t="s">
        <v>20</v>
      </c>
      <c r="D82" s="1" t="s">
        <v>6</v>
      </c>
      <c r="E82" s="103">
        <v>834.20131814045635</v>
      </c>
      <c r="F82" s="103">
        <v>582.75336672185188</v>
      </c>
      <c r="G82" s="103">
        <v>447.37922190941873</v>
      </c>
      <c r="H82" s="103">
        <v>447.37922190941873</v>
      </c>
      <c r="I82" s="103">
        <v>447.37922190941873</v>
      </c>
      <c r="J82" s="103">
        <v>447.37922190941873</v>
      </c>
      <c r="K82" s="103">
        <v>613.58399999999995</v>
      </c>
      <c r="L82" s="103">
        <v>613.58399999999995</v>
      </c>
      <c r="M82" s="103">
        <v>613.58399999999995</v>
      </c>
      <c r="N82" s="45"/>
    </row>
    <row r="83" spans="1:14" x14ac:dyDescent="0.25">
      <c r="A83" s="306"/>
      <c r="B83" s="323"/>
      <c r="C83" s="21" t="s">
        <v>172</v>
      </c>
      <c r="D83" s="1" t="s">
        <v>19</v>
      </c>
      <c r="E83" s="104">
        <v>0</v>
      </c>
      <c r="F83" s="104">
        <v>0</v>
      </c>
      <c r="G83" s="104">
        <v>0</v>
      </c>
      <c r="H83" s="104">
        <v>0</v>
      </c>
      <c r="I83" s="104">
        <v>0</v>
      </c>
      <c r="J83" s="104">
        <v>0</v>
      </c>
      <c r="K83" s="104">
        <v>0</v>
      </c>
      <c r="L83" s="104">
        <v>0</v>
      </c>
      <c r="M83" s="104">
        <v>0</v>
      </c>
      <c r="N83" s="45"/>
    </row>
    <row r="84" spans="1:14" x14ac:dyDescent="0.25">
      <c r="A84" s="306"/>
      <c r="B84" s="323"/>
      <c r="C84" s="21" t="s">
        <v>102</v>
      </c>
      <c r="D84" s="1" t="s">
        <v>8</v>
      </c>
      <c r="E84" s="102"/>
      <c r="F84" s="102"/>
      <c r="G84" s="102"/>
      <c r="H84" s="102"/>
      <c r="I84" s="102"/>
      <c r="J84" s="102"/>
      <c r="K84" s="102"/>
      <c r="L84" s="102"/>
      <c r="M84" s="102"/>
      <c r="N84" s="45"/>
    </row>
    <row r="85" spans="1:14" x14ac:dyDescent="0.25">
      <c r="A85" s="306"/>
      <c r="B85" s="323"/>
      <c r="C85" s="21" t="s">
        <v>103</v>
      </c>
      <c r="D85" s="1" t="s">
        <v>9</v>
      </c>
      <c r="E85" s="103">
        <v>12.513019772106844</v>
      </c>
      <c r="F85" s="103">
        <v>8.7413005008277782</v>
      </c>
      <c r="G85" s="103">
        <v>6.7106883286412806</v>
      </c>
      <c r="H85" s="103">
        <v>6.7106883286412806</v>
      </c>
      <c r="I85" s="103">
        <v>6.7106883286412806</v>
      </c>
      <c r="J85" s="103">
        <v>6.7106883286412806</v>
      </c>
      <c r="K85" s="103">
        <v>1.673</v>
      </c>
      <c r="L85" s="103">
        <v>1.673</v>
      </c>
      <c r="M85" s="103">
        <v>1.673</v>
      </c>
      <c r="N85" s="45"/>
    </row>
    <row r="86" spans="1:14" x14ac:dyDescent="0.25">
      <c r="A86" s="306"/>
      <c r="B86" s="323"/>
      <c r="C86" s="21" t="s">
        <v>104</v>
      </c>
      <c r="D86" s="1" t="s">
        <v>10</v>
      </c>
      <c r="E86" s="103">
        <v>0</v>
      </c>
      <c r="F86" s="103">
        <v>0</v>
      </c>
      <c r="G86" s="103">
        <v>0</v>
      </c>
      <c r="H86" s="103">
        <v>0</v>
      </c>
      <c r="I86" s="103">
        <v>0</v>
      </c>
      <c r="J86" s="103">
        <v>0</v>
      </c>
      <c r="K86" s="103">
        <v>2.085E-3</v>
      </c>
      <c r="L86" s="103">
        <v>2.085E-3</v>
      </c>
      <c r="M86" s="103">
        <v>2.085E-3</v>
      </c>
      <c r="N86" s="45"/>
    </row>
    <row r="87" spans="1:14" ht="18.75" x14ac:dyDescent="0.25">
      <c r="A87" s="306"/>
      <c r="B87" s="323"/>
      <c r="C87" s="22" t="s">
        <v>105</v>
      </c>
      <c r="D87" s="23" t="s">
        <v>17</v>
      </c>
      <c r="E87" s="103">
        <v>0</v>
      </c>
      <c r="F87" s="103">
        <v>0</v>
      </c>
      <c r="G87" s="103">
        <v>0</v>
      </c>
      <c r="H87" s="103">
        <v>0</v>
      </c>
      <c r="I87" s="103">
        <v>0</v>
      </c>
      <c r="J87" s="103">
        <v>0</v>
      </c>
      <c r="K87" s="103">
        <v>0</v>
      </c>
      <c r="L87" s="103">
        <v>0</v>
      </c>
      <c r="M87" s="103">
        <v>0</v>
      </c>
      <c r="N87" s="45"/>
    </row>
    <row r="88" spans="1:14" x14ac:dyDescent="0.25">
      <c r="A88" s="306"/>
      <c r="B88" s="323"/>
      <c r="C88" s="22" t="s">
        <v>11</v>
      </c>
      <c r="D88" s="23" t="s">
        <v>10</v>
      </c>
      <c r="E88" s="103">
        <v>0</v>
      </c>
      <c r="F88" s="103">
        <v>0</v>
      </c>
      <c r="G88" s="103">
        <v>0</v>
      </c>
      <c r="H88" s="103">
        <v>0</v>
      </c>
      <c r="I88" s="103">
        <v>0</v>
      </c>
      <c r="J88" s="103">
        <v>0</v>
      </c>
      <c r="K88" s="103">
        <v>0</v>
      </c>
      <c r="L88" s="103">
        <v>0</v>
      </c>
      <c r="M88" s="103">
        <v>0</v>
      </c>
      <c r="N88" s="45"/>
    </row>
    <row r="89" spans="1:14" x14ac:dyDescent="0.25">
      <c r="A89" s="306"/>
      <c r="B89" s="323"/>
      <c r="C89" s="21" t="s">
        <v>18</v>
      </c>
      <c r="D89" s="2" t="s">
        <v>19</v>
      </c>
      <c r="E89" s="102">
        <v>4.0049999999999999</v>
      </c>
      <c r="F89" s="102">
        <v>4.0049999999999999</v>
      </c>
      <c r="G89" s="102">
        <v>4.0049999999999999</v>
      </c>
      <c r="H89" s="102">
        <v>4.0049999999999999</v>
      </c>
      <c r="I89" s="102">
        <v>4.0049999999999999</v>
      </c>
      <c r="J89" s="102">
        <v>4.0049999999999999</v>
      </c>
      <c r="K89" s="102">
        <v>4.0049999999999999</v>
      </c>
      <c r="L89" s="102">
        <v>4.0049999999999999</v>
      </c>
      <c r="M89" s="102">
        <v>4.0049999999999999</v>
      </c>
      <c r="N89" s="45"/>
    </row>
    <row r="90" spans="1:14" x14ac:dyDescent="0.25">
      <c r="A90" s="306"/>
      <c r="B90" s="323"/>
      <c r="C90" s="21" t="s">
        <v>13</v>
      </c>
      <c r="D90" s="2" t="s">
        <v>14</v>
      </c>
      <c r="E90" s="102"/>
      <c r="F90" s="102"/>
      <c r="G90" s="102"/>
      <c r="H90" s="102"/>
      <c r="I90" s="102"/>
      <c r="J90" s="102"/>
      <c r="K90" s="102"/>
      <c r="L90" s="102"/>
      <c r="M90" s="102"/>
      <c r="N90" s="45"/>
    </row>
    <row r="91" spans="1:14" x14ac:dyDescent="0.25">
      <c r="A91" s="306"/>
      <c r="B91" s="323"/>
      <c r="C91" s="21" t="s">
        <v>15</v>
      </c>
      <c r="D91" s="1" t="s">
        <v>4</v>
      </c>
      <c r="E91" s="102"/>
      <c r="F91" s="102"/>
      <c r="G91" s="102"/>
      <c r="H91" s="102"/>
      <c r="I91" s="102"/>
      <c r="J91" s="102"/>
      <c r="K91" s="102"/>
      <c r="L91" s="102"/>
      <c r="M91" s="102"/>
      <c r="N91" s="45"/>
    </row>
    <row r="92" spans="1:14" x14ac:dyDescent="0.25">
      <c r="A92" s="306"/>
      <c r="B92" s="323"/>
      <c r="C92" s="21" t="s">
        <v>106</v>
      </c>
      <c r="D92" s="1" t="s">
        <v>6</v>
      </c>
      <c r="E92" s="103">
        <v>2677.2372697755504</v>
      </c>
      <c r="F92" s="103">
        <v>1831.9318169832663</v>
      </c>
      <c r="G92" s="103">
        <v>1152.0901647065316</v>
      </c>
      <c r="H92" s="103">
        <v>400.2171452567311</v>
      </c>
      <c r="I92" s="103">
        <v>272.89255701854074</v>
      </c>
      <c r="J92" s="103">
        <v>172.97355964296725</v>
      </c>
      <c r="K92" s="103">
        <v>83.949921947780794</v>
      </c>
      <c r="L92" s="103">
        <v>73.53859356117799</v>
      </c>
      <c r="M92" s="103">
        <v>73.53859356117799</v>
      </c>
      <c r="N92" s="45"/>
    </row>
    <row r="93" spans="1:14" x14ac:dyDescent="0.25">
      <c r="A93" s="306"/>
      <c r="B93" s="323"/>
      <c r="C93" s="21" t="s">
        <v>107</v>
      </c>
      <c r="D93" s="1" t="s">
        <v>4</v>
      </c>
      <c r="E93" s="102"/>
      <c r="F93" s="102"/>
      <c r="G93" s="102"/>
      <c r="H93" s="102"/>
      <c r="I93" s="102"/>
      <c r="J93" s="102"/>
      <c r="K93" s="102"/>
      <c r="L93" s="102"/>
      <c r="M93" s="102"/>
      <c r="N93" s="45"/>
    </row>
    <row r="94" spans="1:14" ht="15" customHeight="1" x14ac:dyDescent="0.25">
      <c r="A94" s="306">
        <v>9</v>
      </c>
      <c r="B94" s="323" t="s">
        <v>108</v>
      </c>
      <c r="C94" s="21" t="s">
        <v>109</v>
      </c>
      <c r="D94" s="1" t="s">
        <v>19</v>
      </c>
      <c r="E94" s="102">
        <v>1</v>
      </c>
      <c r="F94" s="102">
        <v>1</v>
      </c>
      <c r="G94" s="102">
        <v>1</v>
      </c>
      <c r="H94" s="102">
        <v>1</v>
      </c>
      <c r="I94" s="102">
        <v>1</v>
      </c>
      <c r="J94" s="102">
        <v>1</v>
      </c>
      <c r="K94" s="102">
        <v>1</v>
      </c>
      <c r="L94" s="102">
        <v>1</v>
      </c>
      <c r="M94" s="102">
        <v>1</v>
      </c>
      <c r="N94" s="45"/>
    </row>
    <row r="95" spans="1:14" x14ac:dyDescent="0.25">
      <c r="A95" s="306"/>
      <c r="B95" s="323"/>
      <c r="C95" s="21" t="s">
        <v>21</v>
      </c>
      <c r="D95" s="1" t="s">
        <v>19</v>
      </c>
      <c r="E95" s="102">
        <v>0.35</v>
      </c>
      <c r="F95" s="102">
        <v>0.35</v>
      </c>
      <c r="G95" s="102">
        <v>0.35</v>
      </c>
      <c r="H95" s="102">
        <v>0.35</v>
      </c>
      <c r="I95" s="102">
        <v>0.35</v>
      </c>
      <c r="J95" s="102">
        <v>0.35</v>
      </c>
      <c r="K95" s="102">
        <v>0.35</v>
      </c>
      <c r="L95" s="102">
        <v>0.35</v>
      </c>
      <c r="M95" s="102">
        <v>0.35</v>
      </c>
      <c r="N95" s="45"/>
    </row>
    <row r="96" spans="1:14" x14ac:dyDescent="0.25">
      <c r="A96" s="306"/>
      <c r="B96" s="323"/>
      <c r="C96" s="21" t="s">
        <v>22</v>
      </c>
      <c r="D96" s="1" t="s">
        <v>4</v>
      </c>
      <c r="E96" s="102">
        <v>20</v>
      </c>
      <c r="F96" s="102">
        <v>20</v>
      </c>
      <c r="G96" s="102">
        <v>20</v>
      </c>
      <c r="H96" s="102">
        <v>20</v>
      </c>
      <c r="I96" s="102">
        <v>20</v>
      </c>
      <c r="J96" s="102">
        <v>20</v>
      </c>
      <c r="K96" s="102">
        <v>20</v>
      </c>
      <c r="L96" s="102">
        <v>20</v>
      </c>
      <c r="M96" s="102">
        <v>20</v>
      </c>
      <c r="N96" s="45"/>
    </row>
    <row r="97" spans="1:14" x14ac:dyDescent="0.25">
      <c r="A97" s="306"/>
      <c r="B97" s="323"/>
      <c r="C97" s="21" t="s">
        <v>23</v>
      </c>
      <c r="D97" s="1" t="s">
        <v>6</v>
      </c>
      <c r="E97" s="103">
        <v>207.70052243006694</v>
      </c>
      <c r="F97" s="103">
        <v>175.92180364293515</v>
      </c>
      <c r="G97" s="103">
        <v>137.07573863776301</v>
      </c>
      <c r="H97" s="103">
        <v>110.49280008590137</v>
      </c>
      <c r="I97" s="103">
        <v>107.31263157894738</v>
      </c>
      <c r="J97" s="103">
        <v>107.00631578947369</v>
      </c>
      <c r="K97" s="103">
        <v>105.98526315789475</v>
      </c>
      <c r="L97" s="103">
        <v>103.84105263157896</v>
      </c>
      <c r="M97" s="103">
        <v>99.55263157894737</v>
      </c>
      <c r="N97" s="45"/>
    </row>
    <row r="98" spans="1:14" x14ac:dyDescent="0.25">
      <c r="A98" s="306"/>
      <c r="B98" s="323"/>
      <c r="C98" s="21" t="s">
        <v>173</v>
      </c>
      <c r="D98" s="1" t="s">
        <v>19</v>
      </c>
      <c r="E98" s="104">
        <v>0</v>
      </c>
      <c r="F98" s="104">
        <v>0</v>
      </c>
      <c r="G98" s="104">
        <v>0</v>
      </c>
      <c r="H98" s="104">
        <v>0</v>
      </c>
      <c r="I98" s="104">
        <v>0</v>
      </c>
      <c r="J98" s="104">
        <v>0</v>
      </c>
      <c r="K98" s="104">
        <v>0</v>
      </c>
      <c r="L98" s="104">
        <v>0</v>
      </c>
      <c r="M98" s="104">
        <v>0</v>
      </c>
      <c r="N98" s="45"/>
    </row>
    <row r="99" spans="1:14" x14ac:dyDescent="0.25">
      <c r="A99" s="306"/>
      <c r="B99" s="323"/>
      <c r="C99" s="21" t="s">
        <v>110</v>
      </c>
      <c r="D99" s="1" t="s">
        <v>8</v>
      </c>
      <c r="E99" s="102"/>
      <c r="F99" s="102"/>
      <c r="G99" s="102"/>
      <c r="H99" s="102"/>
      <c r="I99" s="102"/>
      <c r="J99" s="102"/>
      <c r="K99" s="102"/>
      <c r="L99" s="102"/>
      <c r="M99" s="102"/>
      <c r="N99" s="45"/>
    </row>
    <row r="100" spans="1:14" x14ac:dyDescent="0.25">
      <c r="A100" s="306"/>
      <c r="B100" s="323"/>
      <c r="C100" s="21" t="s">
        <v>111</v>
      </c>
      <c r="D100" s="1" t="s">
        <v>9</v>
      </c>
      <c r="E100" s="103">
        <v>6.2310156729020081</v>
      </c>
      <c r="F100" s="103">
        <v>5.2776541092880542</v>
      </c>
      <c r="G100" s="103">
        <v>4.1122721591328899</v>
      </c>
      <c r="H100" s="103">
        <v>3.3147840025770408</v>
      </c>
      <c r="I100" s="103">
        <v>2.0378947368421052</v>
      </c>
      <c r="J100" s="103">
        <v>2.0189473684210526</v>
      </c>
      <c r="K100" s="103">
        <v>1.9557894736842103</v>
      </c>
      <c r="L100" s="103">
        <v>1.8231578947368419</v>
      </c>
      <c r="M100" s="103">
        <v>1.557894736842105</v>
      </c>
      <c r="N100" s="45"/>
    </row>
    <row r="101" spans="1:14" x14ac:dyDescent="0.25">
      <c r="A101" s="306"/>
      <c r="B101" s="323"/>
      <c r="C101" s="21" t="s">
        <v>35</v>
      </c>
      <c r="D101" s="1" t="s">
        <v>10</v>
      </c>
      <c r="E101" s="103">
        <v>0</v>
      </c>
      <c r="F101" s="103">
        <v>0</v>
      </c>
      <c r="G101" s="103">
        <v>0</v>
      </c>
      <c r="H101" s="103">
        <v>0</v>
      </c>
      <c r="I101" s="103">
        <v>0</v>
      </c>
      <c r="J101" s="103">
        <v>0</v>
      </c>
      <c r="K101" s="103">
        <v>1.6473473684210525E-3</v>
      </c>
      <c r="L101" s="103">
        <v>1.5133894736842103E-3</v>
      </c>
      <c r="M101" s="103">
        <v>1.2454736842105263E-3</v>
      </c>
      <c r="N101" s="45"/>
    </row>
    <row r="102" spans="1:14" x14ac:dyDescent="0.25">
      <c r="A102" s="306"/>
      <c r="B102" s="323"/>
      <c r="C102" s="22" t="s">
        <v>24</v>
      </c>
      <c r="D102" s="23" t="s">
        <v>10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45"/>
    </row>
    <row r="103" spans="1:14" x14ac:dyDescent="0.25">
      <c r="A103" s="306"/>
      <c r="B103" s="323"/>
      <c r="C103" s="21" t="s">
        <v>25</v>
      </c>
      <c r="D103" s="1" t="s">
        <v>7</v>
      </c>
      <c r="E103" s="104">
        <v>0.9787499999999999</v>
      </c>
      <c r="F103" s="104">
        <v>0.9787499999999999</v>
      </c>
      <c r="G103" s="104">
        <v>0.9787499999999999</v>
      </c>
      <c r="H103" s="104">
        <v>0.9787499999999999</v>
      </c>
      <c r="I103" s="104">
        <v>0.9787499999999999</v>
      </c>
      <c r="J103" s="104">
        <v>0.9787499999999999</v>
      </c>
      <c r="K103" s="104">
        <v>0.99150000000000005</v>
      </c>
      <c r="L103" s="104">
        <v>0.99150000000000005</v>
      </c>
      <c r="M103" s="104">
        <v>0.99150000000000005</v>
      </c>
      <c r="N103" s="45"/>
    </row>
    <row r="104" spans="1:14" x14ac:dyDescent="0.25">
      <c r="A104" s="306"/>
      <c r="B104" s="323"/>
      <c r="C104" s="21" t="s">
        <v>26</v>
      </c>
      <c r="D104" s="1" t="s">
        <v>14</v>
      </c>
      <c r="E104" s="103">
        <v>1524.6</v>
      </c>
      <c r="F104" s="103">
        <v>1749.6</v>
      </c>
      <c r="G104" s="103">
        <v>2349.6</v>
      </c>
      <c r="H104" s="103">
        <v>3174.6</v>
      </c>
      <c r="I104" s="103">
        <v>4299.6000000000004</v>
      </c>
      <c r="J104" s="103">
        <v>14213</v>
      </c>
      <c r="K104" s="103">
        <v>21713</v>
      </c>
      <c r="L104" s="103">
        <v>37463</v>
      </c>
      <c r="M104" s="103">
        <v>68963</v>
      </c>
      <c r="N104" s="45"/>
    </row>
    <row r="105" spans="1:14" x14ac:dyDescent="0.25">
      <c r="A105" s="306"/>
      <c r="B105" s="323"/>
      <c r="C105" s="21" t="s">
        <v>27</v>
      </c>
      <c r="D105" s="1" t="s">
        <v>4</v>
      </c>
      <c r="E105" s="102">
        <v>40</v>
      </c>
      <c r="F105" s="102">
        <v>40</v>
      </c>
      <c r="G105" s="102">
        <v>40</v>
      </c>
      <c r="H105" s="102">
        <v>40</v>
      </c>
      <c r="I105" s="102">
        <v>40</v>
      </c>
      <c r="J105" s="102">
        <v>40</v>
      </c>
      <c r="K105" s="102">
        <v>40</v>
      </c>
      <c r="L105" s="102">
        <v>40</v>
      </c>
      <c r="M105" s="102">
        <v>40</v>
      </c>
      <c r="N105" s="45"/>
    </row>
    <row r="106" spans="1:14" x14ac:dyDescent="0.25">
      <c r="A106" s="306"/>
      <c r="B106" s="323"/>
      <c r="C106" s="21" t="s">
        <v>112</v>
      </c>
      <c r="D106" s="1" t="s">
        <v>19</v>
      </c>
      <c r="E106" s="102">
        <v>0.5</v>
      </c>
      <c r="F106" s="102">
        <v>0.5</v>
      </c>
      <c r="G106" s="102">
        <v>0.5</v>
      </c>
      <c r="H106" s="102">
        <v>0.5</v>
      </c>
      <c r="I106" s="102">
        <v>0.5</v>
      </c>
      <c r="J106" s="102">
        <v>0.5</v>
      </c>
      <c r="K106" s="102">
        <v>0.5</v>
      </c>
      <c r="L106" s="102">
        <v>0.5</v>
      </c>
      <c r="M106" s="102">
        <v>0.5</v>
      </c>
      <c r="N106" s="45"/>
    </row>
    <row r="107" spans="1:14" x14ac:dyDescent="0.25">
      <c r="A107" s="306"/>
      <c r="B107" s="323"/>
      <c r="C107" s="21" t="s">
        <v>28</v>
      </c>
      <c r="D107" s="1" t="s">
        <v>19</v>
      </c>
      <c r="E107" s="102">
        <v>1.3</v>
      </c>
      <c r="F107" s="102">
        <v>1.3</v>
      </c>
      <c r="G107" s="102">
        <v>1.3</v>
      </c>
      <c r="H107" s="102">
        <v>1.3</v>
      </c>
      <c r="I107" s="102">
        <v>1.3</v>
      </c>
      <c r="J107" s="102">
        <v>1.3</v>
      </c>
      <c r="K107" s="102">
        <v>1.3</v>
      </c>
      <c r="L107" s="102">
        <v>1.3</v>
      </c>
      <c r="M107" s="102">
        <v>1.3</v>
      </c>
      <c r="N107" s="45"/>
    </row>
    <row r="108" spans="1:14" x14ac:dyDescent="0.25">
      <c r="A108" s="306"/>
      <c r="B108" s="323"/>
      <c r="C108" s="21" t="s">
        <v>29</v>
      </c>
      <c r="D108" s="1" t="s">
        <v>4</v>
      </c>
      <c r="E108" s="102">
        <v>20</v>
      </c>
      <c r="F108" s="102">
        <v>20</v>
      </c>
      <c r="G108" s="102">
        <v>20</v>
      </c>
      <c r="H108" s="102">
        <v>20</v>
      </c>
      <c r="I108" s="102">
        <v>20</v>
      </c>
      <c r="J108" s="102">
        <v>20</v>
      </c>
      <c r="K108" s="102">
        <v>20</v>
      </c>
      <c r="L108" s="102">
        <v>20</v>
      </c>
      <c r="M108" s="102">
        <v>20</v>
      </c>
      <c r="N108" s="45"/>
    </row>
    <row r="109" spans="1:14" x14ac:dyDescent="0.25">
      <c r="A109" s="306"/>
      <c r="B109" s="323"/>
      <c r="C109" s="21" t="s">
        <v>30</v>
      </c>
      <c r="D109" s="1" t="s">
        <v>6</v>
      </c>
      <c r="E109" s="103">
        <v>1152.3913936979507</v>
      </c>
      <c r="F109" s="103">
        <v>822.90511868819738</v>
      </c>
      <c r="G109" s="103">
        <v>545.22351181490808</v>
      </c>
      <c r="H109" s="103">
        <v>458.47760255879234</v>
      </c>
      <c r="I109" s="103">
        <v>458.47760255879234</v>
      </c>
      <c r="J109" s="103">
        <v>458.47760255879234</v>
      </c>
      <c r="K109" s="103">
        <v>1278.4539485788428</v>
      </c>
      <c r="L109" s="103">
        <v>1112.1038090399368</v>
      </c>
      <c r="M109" s="103">
        <v>977.49889242726499</v>
      </c>
      <c r="N109" s="45"/>
    </row>
    <row r="110" spans="1:14" x14ac:dyDescent="0.25">
      <c r="A110" s="306"/>
      <c r="B110" s="323"/>
      <c r="C110" s="21" t="s">
        <v>174</v>
      </c>
      <c r="D110" s="1" t="s">
        <v>19</v>
      </c>
      <c r="E110" s="104">
        <v>0</v>
      </c>
      <c r="F110" s="104">
        <v>0</v>
      </c>
      <c r="G110" s="104">
        <v>0</v>
      </c>
      <c r="H110" s="104">
        <v>0</v>
      </c>
      <c r="I110" s="104">
        <v>0</v>
      </c>
      <c r="J110" s="104">
        <v>0</v>
      </c>
      <c r="K110" s="104">
        <v>0</v>
      </c>
      <c r="L110" s="104">
        <v>0</v>
      </c>
      <c r="M110" s="104">
        <v>0</v>
      </c>
      <c r="N110" s="45"/>
    </row>
    <row r="111" spans="1:14" x14ac:dyDescent="0.25">
      <c r="A111" s="306"/>
      <c r="B111" s="323"/>
      <c r="C111" s="21" t="s">
        <v>113</v>
      </c>
      <c r="D111" s="1" t="s">
        <v>8</v>
      </c>
      <c r="E111" s="102"/>
      <c r="F111" s="102"/>
      <c r="G111" s="102"/>
      <c r="H111" s="102"/>
      <c r="I111" s="102"/>
      <c r="J111" s="102"/>
      <c r="K111" s="102"/>
      <c r="L111" s="102"/>
      <c r="M111" s="102"/>
      <c r="N111" s="45"/>
    </row>
    <row r="112" spans="1:14" x14ac:dyDescent="0.25">
      <c r="A112" s="306"/>
      <c r="B112" s="323"/>
      <c r="C112" s="21" t="s">
        <v>114</v>
      </c>
      <c r="D112" s="1" t="s">
        <v>9</v>
      </c>
      <c r="E112" s="102"/>
      <c r="F112" s="102"/>
      <c r="G112" s="102"/>
      <c r="H112" s="102"/>
      <c r="I112" s="102"/>
      <c r="J112" s="102"/>
      <c r="K112" s="102"/>
      <c r="L112" s="102"/>
      <c r="M112" s="102"/>
      <c r="N112" s="45"/>
    </row>
    <row r="113" spans="1:15" x14ac:dyDescent="0.25">
      <c r="A113" s="306"/>
      <c r="B113" s="323"/>
      <c r="C113" s="21" t="s">
        <v>115</v>
      </c>
      <c r="D113" s="1" t="s">
        <v>10</v>
      </c>
      <c r="E113" s="103">
        <v>0</v>
      </c>
      <c r="F113" s="103">
        <v>0</v>
      </c>
      <c r="G113" s="103">
        <v>0</v>
      </c>
      <c r="H113" s="103">
        <v>0</v>
      </c>
      <c r="I113" s="103">
        <v>0</v>
      </c>
      <c r="J113" s="103">
        <v>0</v>
      </c>
      <c r="K113" s="103">
        <v>0</v>
      </c>
      <c r="L113" s="103">
        <v>2.085E-3</v>
      </c>
      <c r="M113" s="103">
        <v>2.085E-3</v>
      </c>
      <c r="N113" s="48"/>
      <c r="O113" s="49"/>
    </row>
    <row r="114" spans="1:15" ht="18.75" x14ac:dyDescent="0.25">
      <c r="A114" s="306"/>
      <c r="B114" s="323"/>
      <c r="C114" s="22" t="s">
        <v>116</v>
      </c>
      <c r="D114" s="23" t="s">
        <v>17</v>
      </c>
      <c r="E114" s="103">
        <v>0</v>
      </c>
      <c r="F114" s="103">
        <v>0</v>
      </c>
      <c r="G114" s="103">
        <v>0</v>
      </c>
      <c r="H114" s="103">
        <v>0</v>
      </c>
      <c r="I114" s="103">
        <v>0</v>
      </c>
      <c r="J114" s="103">
        <v>0</v>
      </c>
      <c r="K114" s="103">
        <v>0</v>
      </c>
      <c r="L114" s="103">
        <v>0</v>
      </c>
      <c r="M114" s="103">
        <v>0</v>
      </c>
      <c r="N114" s="45"/>
    </row>
    <row r="115" spans="1:15" x14ac:dyDescent="0.25">
      <c r="A115" s="306"/>
      <c r="B115" s="323"/>
      <c r="C115" s="22" t="s">
        <v>31</v>
      </c>
      <c r="D115" s="23" t="s">
        <v>10</v>
      </c>
      <c r="E115" s="103">
        <v>0</v>
      </c>
      <c r="F115" s="103">
        <v>0</v>
      </c>
      <c r="G115" s="103">
        <v>0</v>
      </c>
      <c r="H115" s="103">
        <v>0</v>
      </c>
      <c r="I115" s="103">
        <v>0</v>
      </c>
      <c r="J115" s="103">
        <v>0</v>
      </c>
      <c r="K115" s="103">
        <v>0</v>
      </c>
      <c r="L115" s="103">
        <v>0</v>
      </c>
      <c r="M115" s="103">
        <v>0</v>
      </c>
      <c r="N115" s="45"/>
    </row>
    <row r="116" spans="1:15" x14ac:dyDescent="0.25">
      <c r="A116" s="306"/>
      <c r="B116" s="323"/>
      <c r="C116" s="21" t="s">
        <v>32</v>
      </c>
      <c r="D116" s="2" t="s">
        <v>19</v>
      </c>
      <c r="E116" s="102">
        <v>3.33</v>
      </c>
      <c r="F116" s="102">
        <v>3.33</v>
      </c>
      <c r="G116" s="102">
        <v>3.33</v>
      </c>
      <c r="H116" s="102">
        <v>3.33</v>
      </c>
      <c r="I116" s="102">
        <v>3.33</v>
      </c>
      <c r="J116" s="102">
        <v>3.33</v>
      </c>
      <c r="K116" s="102">
        <v>3.33</v>
      </c>
      <c r="L116" s="102">
        <v>3.33</v>
      </c>
      <c r="M116" s="102">
        <v>3.33</v>
      </c>
      <c r="N116" s="45"/>
    </row>
    <row r="117" spans="1:15" x14ac:dyDescent="0.25">
      <c r="A117" s="306"/>
      <c r="B117" s="323"/>
      <c r="C117" s="21" t="s">
        <v>33</v>
      </c>
      <c r="D117" s="2" t="s">
        <v>14</v>
      </c>
      <c r="E117" s="102"/>
      <c r="F117" s="102"/>
      <c r="G117" s="102"/>
      <c r="H117" s="102"/>
      <c r="I117" s="102"/>
      <c r="J117" s="102"/>
      <c r="K117" s="102"/>
      <c r="L117" s="102"/>
      <c r="M117" s="102"/>
      <c r="N117" s="45"/>
    </row>
    <row r="118" spans="1:15" x14ac:dyDescent="0.25">
      <c r="A118" s="306"/>
      <c r="B118" s="323"/>
      <c r="C118" s="21" t="s">
        <v>34</v>
      </c>
      <c r="D118" s="2" t="s">
        <v>4</v>
      </c>
      <c r="E118" s="102"/>
      <c r="F118" s="102"/>
      <c r="G118" s="102"/>
      <c r="H118" s="102"/>
      <c r="I118" s="102"/>
      <c r="J118" s="102"/>
      <c r="K118" s="102"/>
      <c r="L118" s="102"/>
      <c r="M118" s="102"/>
      <c r="N118" s="45"/>
    </row>
    <row r="119" spans="1:15" ht="15" customHeight="1" x14ac:dyDescent="0.25">
      <c r="A119" s="306">
        <v>10</v>
      </c>
      <c r="B119" s="323" t="s">
        <v>175</v>
      </c>
      <c r="C119" s="21" t="s">
        <v>109</v>
      </c>
      <c r="D119" s="1" t="s">
        <v>19</v>
      </c>
      <c r="E119" s="102">
        <v>1</v>
      </c>
      <c r="F119" s="102">
        <v>1</v>
      </c>
      <c r="G119" s="102">
        <v>1</v>
      </c>
      <c r="H119" s="102">
        <v>1</v>
      </c>
      <c r="I119" s="102">
        <v>1</v>
      </c>
      <c r="J119" s="102">
        <v>1</v>
      </c>
      <c r="K119" s="102">
        <v>1</v>
      </c>
      <c r="L119" s="102">
        <v>1</v>
      </c>
      <c r="M119" s="102">
        <v>1</v>
      </c>
      <c r="N119" s="45"/>
    </row>
    <row r="120" spans="1:15" x14ac:dyDescent="0.25">
      <c r="A120" s="306"/>
      <c r="B120" s="323"/>
      <c r="C120" s="21" t="s">
        <v>21</v>
      </c>
      <c r="D120" s="1" t="s">
        <v>19</v>
      </c>
      <c r="E120" s="102">
        <v>0.35</v>
      </c>
      <c r="F120" s="102">
        <v>0.35</v>
      </c>
      <c r="G120" s="102">
        <v>0.35</v>
      </c>
      <c r="H120" s="102">
        <v>0.35</v>
      </c>
      <c r="I120" s="102">
        <v>0.35</v>
      </c>
      <c r="J120" s="102">
        <v>0.35</v>
      </c>
      <c r="K120" s="102">
        <v>0.35</v>
      </c>
      <c r="L120" s="102">
        <v>0.35</v>
      </c>
      <c r="M120" s="102">
        <v>0.35</v>
      </c>
      <c r="N120" s="45"/>
    </row>
    <row r="121" spans="1:15" x14ac:dyDescent="0.25">
      <c r="A121" s="306"/>
      <c r="B121" s="323"/>
      <c r="C121" s="21" t="s">
        <v>22</v>
      </c>
      <c r="D121" s="1" t="s">
        <v>4</v>
      </c>
      <c r="E121" s="102">
        <v>20</v>
      </c>
      <c r="F121" s="102">
        <v>20</v>
      </c>
      <c r="G121" s="102">
        <v>20</v>
      </c>
      <c r="H121" s="102">
        <v>20</v>
      </c>
      <c r="I121" s="102">
        <v>20</v>
      </c>
      <c r="J121" s="102">
        <v>20</v>
      </c>
      <c r="K121" s="102">
        <v>20</v>
      </c>
      <c r="L121" s="102">
        <v>20</v>
      </c>
      <c r="M121" s="102">
        <v>20</v>
      </c>
      <c r="N121" s="45"/>
    </row>
    <row r="122" spans="1:15" x14ac:dyDescent="0.25">
      <c r="A122" s="306"/>
      <c r="B122" s="323"/>
      <c r="C122" s="21" t="s">
        <v>23</v>
      </c>
      <c r="D122" s="1" t="s">
        <v>6</v>
      </c>
      <c r="E122" s="103">
        <v>207.70052243006694</v>
      </c>
      <c r="F122" s="103">
        <v>175.92180364293515</v>
      </c>
      <c r="G122" s="103">
        <v>137.07573863776301</v>
      </c>
      <c r="H122" s="103">
        <v>110.49280008590137</v>
      </c>
      <c r="I122" s="103">
        <v>107.31263157894738</v>
      </c>
      <c r="J122" s="103">
        <v>107.00631578947369</v>
      </c>
      <c r="K122" s="103">
        <v>105.98526315789475</v>
      </c>
      <c r="L122" s="103">
        <v>103.84105263157896</v>
      </c>
      <c r="M122" s="103">
        <v>99.55263157894737</v>
      </c>
      <c r="N122" s="45"/>
    </row>
    <row r="123" spans="1:15" x14ac:dyDescent="0.25">
      <c r="A123" s="306"/>
      <c r="B123" s="323"/>
      <c r="C123" s="21" t="s">
        <v>173</v>
      </c>
      <c r="D123" s="1" t="s">
        <v>19</v>
      </c>
      <c r="E123" s="104">
        <v>0</v>
      </c>
      <c r="F123" s="104">
        <v>0</v>
      </c>
      <c r="G123" s="104">
        <v>0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45"/>
    </row>
    <row r="124" spans="1:15" x14ac:dyDescent="0.25">
      <c r="A124" s="306"/>
      <c r="B124" s="323"/>
      <c r="C124" s="21" t="s">
        <v>110</v>
      </c>
      <c r="D124" s="1" t="s">
        <v>8</v>
      </c>
      <c r="E124" s="102"/>
      <c r="F124" s="102"/>
      <c r="G124" s="102"/>
      <c r="H124" s="102"/>
      <c r="I124" s="102"/>
      <c r="J124" s="102"/>
      <c r="K124" s="102"/>
      <c r="L124" s="102"/>
      <c r="M124" s="102"/>
      <c r="N124" s="45"/>
    </row>
    <row r="125" spans="1:15" x14ac:dyDescent="0.25">
      <c r="A125" s="306"/>
      <c r="B125" s="323"/>
      <c r="C125" s="21" t="s">
        <v>111</v>
      </c>
      <c r="D125" s="1" t="s">
        <v>9</v>
      </c>
      <c r="E125" s="103">
        <v>6.2310156729020081</v>
      </c>
      <c r="F125" s="103">
        <v>5.2776541092880542</v>
      </c>
      <c r="G125" s="103">
        <v>4.1122721591328899</v>
      </c>
      <c r="H125" s="103">
        <v>3.3147840025770408</v>
      </c>
      <c r="I125" s="103">
        <v>2.0378947368421052</v>
      </c>
      <c r="J125" s="103">
        <v>2.0189473684210526</v>
      </c>
      <c r="K125" s="103">
        <v>1.9557894736842103</v>
      </c>
      <c r="L125" s="103">
        <v>1.8231578947368419</v>
      </c>
      <c r="M125" s="103">
        <v>1.557894736842105</v>
      </c>
      <c r="N125" s="45"/>
    </row>
    <row r="126" spans="1:15" x14ac:dyDescent="0.25">
      <c r="A126" s="306"/>
      <c r="B126" s="323"/>
      <c r="C126" s="21" t="s">
        <v>35</v>
      </c>
      <c r="D126" s="1" t="s">
        <v>10</v>
      </c>
      <c r="E126" s="103">
        <v>0</v>
      </c>
      <c r="F126" s="103">
        <v>0</v>
      </c>
      <c r="G126" s="103">
        <v>0</v>
      </c>
      <c r="H126" s="103">
        <v>0</v>
      </c>
      <c r="I126" s="103">
        <v>0</v>
      </c>
      <c r="J126" s="103">
        <v>0</v>
      </c>
      <c r="K126" s="103">
        <v>1.6473473684210525E-3</v>
      </c>
      <c r="L126" s="103">
        <v>1.5133894736842103E-3</v>
      </c>
      <c r="M126" s="103">
        <v>1.2454736842105263E-3</v>
      </c>
      <c r="N126" s="45"/>
    </row>
    <row r="127" spans="1:15" x14ac:dyDescent="0.25">
      <c r="A127" s="306"/>
      <c r="B127" s="323"/>
      <c r="C127" s="22" t="s">
        <v>24</v>
      </c>
      <c r="D127" s="23" t="s">
        <v>10</v>
      </c>
      <c r="E127" s="103">
        <v>0</v>
      </c>
      <c r="F127" s="103">
        <v>0</v>
      </c>
      <c r="G127" s="103">
        <v>0</v>
      </c>
      <c r="H127" s="103">
        <v>0</v>
      </c>
      <c r="I127" s="103">
        <v>0</v>
      </c>
      <c r="J127" s="103">
        <v>0</v>
      </c>
      <c r="K127" s="103">
        <v>0</v>
      </c>
      <c r="L127" s="103">
        <v>0</v>
      </c>
      <c r="M127" s="103">
        <v>0</v>
      </c>
      <c r="N127" s="45"/>
    </row>
    <row r="128" spans="1:15" x14ac:dyDescent="0.25">
      <c r="A128" s="306"/>
      <c r="B128" s="323"/>
      <c r="C128" s="21" t="s">
        <v>25</v>
      </c>
      <c r="D128" s="1" t="s">
        <v>7</v>
      </c>
      <c r="E128" s="104">
        <v>0.9787499999999999</v>
      </c>
      <c r="F128" s="104">
        <v>0.9787499999999999</v>
      </c>
      <c r="G128" s="104">
        <v>0.9787499999999999</v>
      </c>
      <c r="H128" s="104">
        <v>0.9787499999999999</v>
      </c>
      <c r="I128" s="104">
        <v>0.9787499999999999</v>
      </c>
      <c r="J128" s="104">
        <v>0.9787499999999999</v>
      </c>
      <c r="K128" s="104">
        <v>0.99150000000000005</v>
      </c>
      <c r="L128" s="104">
        <v>0.99150000000000005</v>
      </c>
      <c r="M128" s="104">
        <v>0.99150000000000005</v>
      </c>
      <c r="N128" s="45"/>
    </row>
    <row r="129" spans="1:14" x14ac:dyDescent="0.25">
      <c r="A129" s="306"/>
      <c r="B129" s="323"/>
      <c r="C129" s="21" t="s">
        <v>26</v>
      </c>
      <c r="D129" s="1" t="s">
        <v>14</v>
      </c>
      <c r="E129" s="103">
        <v>1524.6</v>
      </c>
      <c r="F129" s="103">
        <v>1749.6</v>
      </c>
      <c r="G129" s="103">
        <v>2349.6</v>
      </c>
      <c r="H129" s="103">
        <v>3174.6</v>
      </c>
      <c r="I129" s="103">
        <v>4299.6000000000004</v>
      </c>
      <c r="J129" s="103">
        <v>14213</v>
      </c>
      <c r="K129" s="103">
        <v>21713</v>
      </c>
      <c r="L129" s="103">
        <v>37463</v>
      </c>
      <c r="M129" s="103">
        <v>68963</v>
      </c>
      <c r="N129" s="45"/>
    </row>
    <row r="130" spans="1:14" x14ac:dyDescent="0.25">
      <c r="A130" s="306"/>
      <c r="B130" s="323"/>
      <c r="C130" s="21" t="s">
        <v>27</v>
      </c>
      <c r="D130" s="1" t="s">
        <v>4</v>
      </c>
      <c r="E130" s="102">
        <v>40</v>
      </c>
      <c r="F130" s="102">
        <v>40</v>
      </c>
      <c r="G130" s="102">
        <v>40</v>
      </c>
      <c r="H130" s="102">
        <v>40</v>
      </c>
      <c r="I130" s="102">
        <v>40</v>
      </c>
      <c r="J130" s="102">
        <v>40</v>
      </c>
      <c r="K130" s="102">
        <v>40</v>
      </c>
      <c r="L130" s="102">
        <v>40</v>
      </c>
      <c r="M130" s="102">
        <v>40</v>
      </c>
      <c r="N130" s="45"/>
    </row>
    <row r="131" spans="1:14" x14ac:dyDescent="0.25">
      <c r="A131" s="306"/>
      <c r="B131" s="323"/>
      <c r="C131" s="21" t="s">
        <v>117</v>
      </c>
      <c r="D131" s="1" t="s">
        <v>19</v>
      </c>
      <c r="E131" s="102">
        <v>0.35</v>
      </c>
      <c r="F131" s="102">
        <v>0.35</v>
      </c>
      <c r="G131" s="102">
        <v>0.35</v>
      </c>
      <c r="H131" s="102">
        <v>0.35</v>
      </c>
      <c r="I131" s="102">
        <v>0.35</v>
      </c>
      <c r="J131" s="102">
        <v>0.35</v>
      </c>
      <c r="K131" s="102">
        <v>0.35</v>
      </c>
      <c r="L131" s="102">
        <v>0.35</v>
      </c>
      <c r="M131" s="102">
        <v>0.35</v>
      </c>
      <c r="N131" s="45"/>
    </row>
    <row r="132" spans="1:14" x14ac:dyDescent="0.25">
      <c r="A132" s="306"/>
      <c r="B132" s="323"/>
      <c r="C132" s="21" t="s">
        <v>36</v>
      </c>
      <c r="D132" s="1" t="s">
        <v>19</v>
      </c>
      <c r="E132" s="102">
        <v>1.8571428571428572</v>
      </c>
      <c r="F132" s="102">
        <v>1.8571428571428572</v>
      </c>
      <c r="G132" s="102">
        <v>1.8571428571428572</v>
      </c>
      <c r="H132" s="102">
        <v>1.8571428571428572</v>
      </c>
      <c r="I132" s="102">
        <v>1.8571428571428572</v>
      </c>
      <c r="J132" s="102">
        <v>1.8571428571428572</v>
      </c>
      <c r="K132" s="102">
        <v>1.8571428571428572</v>
      </c>
      <c r="L132" s="102">
        <v>1.8571428571428572</v>
      </c>
      <c r="M132" s="102">
        <v>1.8571428571428572</v>
      </c>
      <c r="N132" s="45"/>
    </row>
    <row r="133" spans="1:14" x14ac:dyDescent="0.25">
      <c r="A133" s="306"/>
      <c r="B133" s="323"/>
      <c r="C133" s="21" t="s">
        <v>37</v>
      </c>
      <c r="D133" s="1" t="s">
        <v>4</v>
      </c>
      <c r="E133" s="102">
        <v>20</v>
      </c>
      <c r="F133" s="102">
        <v>20</v>
      </c>
      <c r="G133" s="102">
        <v>20</v>
      </c>
      <c r="H133" s="102">
        <v>20</v>
      </c>
      <c r="I133" s="102">
        <v>20</v>
      </c>
      <c r="J133" s="102">
        <v>20</v>
      </c>
      <c r="K133" s="102">
        <v>20</v>
      </c>
      <c r="L133" s="102">
        <v>20</v>
      </c>
      <c r="M133" s="102">
        <v>20</v>
      </c>
      <c r="N133" s="45"/>
    </row>
    <row r="134" spans="1:14" x14ac:dyDescent="0.25">
      <c r="A134" s="306"/>
      <c r="B134" s="323"/>
      <c r="C134" s="21" t="s">
        <v>38</v>
      </c>
      <c r="D134" s="1" t="s">
        <v>6</v>
      </c>
      <c r="E134" s="103">
        <v>6446.1263682075942</v>
      </c>
      <c r="F134" s="103">
        <v>4363.6353162151654</v>
      </c>
      <c r="G134" s="103">
        <v>2708.404978638011</v>
      </c>
      <c r="H134" s="103">
        <v>2101.328882850632</v>
      </c>
      <c r="I134" s="103">
        <v>1742.9566020172474</v>
      </c>
      <c r="J134" s="103">
        <v>1429.4675711498674</v>
      </c>
      <c r="K134" s="103">
        <v>1119.0921583216257</v>
      </c>
      <c r="L134" s="103">
        <v>896.38245628520338</v>
      </c>
      <c r="M134" s="103">
        <v>729.96389830866713</v>
      </c>
      <c r="N134" s="45"/>
    </row>
    <row r="135" spans="1:14" x14ac:dyDescent="0.25">
      <c r="A135" s="306"/>
      <c r="B135" s="323"/>
      <c r="C135" s="21" t="s">
        <v>176</v>
      </c>
      <c r="D135" s="1" t="s">
        <v>19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45"/>
    </row>
    <row r="136" spans="1:14" x14ac:dyDescent="0.25">
      <c r="A136" s="306"/>
      <c r="B136" s="323"/>
      <c r="C136" s="21" t="s">
        <v>118</v>
      </c>
      <c r="D136" s="1" t="s">
        <v>8</v>
      </c>
      <c r="E136" s="102"/>
      <c r="F136" s="102"/>
      <c r="G136" s="102"/>
      <c r="H136" s="102"/>
      <c r="I136" s="102"/>
      <c r="J136" s="102"/>
      <c r="K136" s="102"/>
      <c r="L136" s="102"/>
      <c r="M136" s="102"/>
      <c r="N136" s="45"/>
    </row>
    <row r="137" spans="1:14" x14ac:dyDescent="0.25">
      <c r="A137" s="306"/>
      <c r="B137" s="323"/>
      <c r="C137" s="21" t="s">
        <v>119</v>
      </c>
      <c r="D137" s="1" t="s">
        <v>9</v>
      </c>
      <c r="E137" s="102"/>
      <c r="F137" s="102"/>
      <c r="G137" s="102"/>
      <c r="H137" s="102"/>
      <c r="I137" s="102"/>
      <c r="J137" s="102"/>
      <c r="K137" s="102"/>
      <c r="L137" s="102"/>
      <c r="M137" s="102"/>
      <c r="N137" s="45"/>
    </row>
    <row r="138" spans="1:14" x14ac:dyDescent="0.25">
      <c r="A138" s="306"/>
      <c r="B138" s="323"/>
      <c r="C138" s="21" t="s">
        <v>39</v>
      </c>
      <c r="D138" s="1" t="s">
        <v>10</v>
      </c>
      <c r="E138" s="103">
        <v>5.4632155805897732E-2</v>
      </c>
      <c r="F138" s="103">
        <v>6.9225169277652349E-2</v>
      </c>
      <c r="G138" s="103">
        <v>5.5072970988733948E-2</v>
      </c>
      <c r="H138" s="103">
        <v>4.6604222305577481E-2</v>
      </c>
      <c r="I138" s="103">
        <v>4.0289223212275231E-2</v>
      </c>
      <c r="J138" s="103">
        <v>2.4583755873341454E-2</v>
      </c>
      <c r="K138" s="103">
        <v>1.9104989606490121E-2</v>
      </c>
      <c r="L138" s="103">
        <v>1.5182594783541725E-2</v>
      </c>
      <c r="M138" s="103">
        <v>1.3307545040231683E-2</v>
      </c>
      <c r="N138" s="45"/>
    </row>
    <row r="139" spans="1:14" x14ac:dyDescent="0.25">
      <c r="A139" s="306"/>
      <c r="B139" s="323"/>
      <c r="C139" s="22" t="s">
        <v>40</v>
      </c>
      <c r="D139" s="23" t="s">
        <v>10</v>
      </c>
      <c r="E139" s="103">
        <v>0</v>
      </c>
      <c r="F139" s="103">
        <v>0</v>
      </c>
      <c r="G139" s="103">
        <v>0</v>
      </c>
      <c r="H139" s="103">
        <v>0</v>
      </c>
      <c r="I139" s="103">
        <v>0</v>
      </c>
      <c r="J139" s="103">
        <v>0</v>
      </c>
      <c r="K139" s="103">
        <v>0</v>
      </c>
      <c r="L139" s="103">
        <v>0</v>
      </c>
      <c r="M139" s="103">
        <v>0</v>
      </c>
      <c r="N139" s="45"/>
    </row>
    <row r="140" spans="1:14" x14ac:dyDescent="0.25">
      <c r="A140" s="306"/>
      <c r="B140" s="323"/>
      <c r="C140" s="21" t="s">
        <v>41</v>
      </c>
      <c r="D140" s="1" t="s">
        <v>14</v>
      </c>
      <c r="E140" s="102"/>
      <c r="F140" s="102"/>
      <c r="G140" s="102"/>
      <c r="H140" s="102"/>
      <c r="I140" s="102"/>
      <c r="J140" s="102"/>
      <c r="K140" s="102"/>
      <c r="L140" s="102"/>
      <c r="M140" s="102"/>
      <c r="N140" s="45"/>
    </row>
    <row r="141" spans="1:14" x14ac:dyDescent="0.25">
      <c r="A141" s="306"/>
      <c r="B141" s="323"/>
      <c r="C141" s="21" t="s">
        <v>42</v>
      </c>
      <c r="D141" s="1" t="s">
        <v>4</v>
      </c>
      <c r="E141" s="102"/>
      <c r="F141" s="102"/>
      <c r="G141" s="102"/>
      <c r="H141" s="102"/>
      <c r="I141" s="102"/>
      <c r="J141" s="102"/>
      <c r="K141" s="102"/>
      <c r="L141" s="102"/>
      <c r="M141" s="102"/>
      <c r="N141" s="45"/>
    </row>
    <row r="142" spans="1:14" x14ac:dyDescent="0.25">
      <c r="A142" s="306"/>
      <c r="B142" s="323"/>
      <c r="C142" s="21" t="s">
        <v>43</v>
      </c>
      <c r="D142" s="1" t="s">
        <v>7</v>
      </c>
      <c r="E142" s="105">
        <v>0.25</v>
      </c>
      <c r="F142" s="105">
        <v>0.25</v>
      </c>
      <c r="G142" s="105">
        <v>0.25</v>
      </c>
      <c r="H142" s="105">
        <v>0.25</v>
      </c>
      <c r="I142" s="105">
        <v>0.25</v>
      </c>
      <c r="J142" s="105">
        <v>0.25</v>
      </c>
      <c r="K142" s="105">
        <v>0.25</v>
      </c>
      <c r="L142" s="105">
        <v>0.25</v>
      </c>
      <c r="M142" s="105">
        <v>0.25</v>
      </c>
      <c r="N142" s="45"/>
    </row>
    <row r="143" spans="1:14" x14ac:dyDescent="0.25">
      <c r="A143" s="306"/>
      <c r="B143" s="323"/>
      <c r="C143" s="24" t="s">
        <v>44</v>
      </c>
      <c r="D143" s="1" t="s">
        <v>7</v>
      </c>
      <c r="E143" s="104">
        <v>0.66625430833964439</v>
      </c>
      <c r="F143" s="104">
        <v>0.66367464936796561</v>
      </c>
      <c r="G143" s="104">
        <v>0.65679555877682227</v>
      </c>
      <c r="H143" s="104">
        <v>0.64733680921400016</v>
      </c>
      <c r="I143" s="104">
        <v>0.63443851435560639</v>
      </c>
      <c r="J143" s="104">
        <v>0.4680070358050421</v>
      </c>
      <c r="K143" s="104">
        <v>0.46713859851464173</v>
      </c>
      <c r="L143" s="104">
        <v>0.46531488020480088</v>
      </c>
      <c r="M143" s="104">
        <v>0.47</v>
      </c>
      <c r="N143" s="45"/>
    </row>
    <row r="144" spans="1:14" x14ac:dyDescent="0.25">
      <c r="A144" s="306"/>
      <c r="B144" s="323"/>
      <c r="C144" s="24" t="s">
        <v>45</v>
      </c>
      <c r="D144" s="1" t="s">
        <v>7</v>
      </c>
      <c r="E144" s="104">
        <v>0.25092243745356524</v>
      </c>
      <c r="F144" s="104">
        <v>0.25657675134016689</v>
      </c>
      <c r="G144" s="104">
        <v>0.27165492170443795</v>
      </c>
      <c r="H144" s="104">
        <v>0.29238740595531065</v>
      </c>
      <c r="I144" s="104">
        <v>0.32065897538831889</v>
      </c>
      <c r="J144" s="104">
        <v>0.41290384467151914</v>
      </c>
      <c r="K144" s="104">
        <v>0.41363974384019625</v>
      </c>
      <c r="L144" s="104">
        <v>0.41518513209441815</v>
      </c>
      <c r="M144" s="104">
        <v>0.41599999999999998</v>
      </c>
      <c r="N144" s="45"/>
    </row>
    <row r="145" spans="1:14" x14ac:dyDescent="0.25">
      <c r="A145" s="306"/>
      <c r="B145" s="323"/>
      <c r="C145" s="25" t="s">
        <v>120</v>
      </c>
      <c r="D145" s="23" t="s">
        <v>10</v>
      </c>
      <c r="E145" s="103">
        <v>0</v>
      </c>
      <c r="F145" s="103">
        <v>0</v>
      </c>
      <c r="G145" s="103">
        <v>0</v>
      </c>
      <c r="H145" s="103">
        <v>0</v>
      </c>
      <c r="I145" s="103">
        <v>0</v>
      </c>
      <c r="J145" s="103">
        <v>0</v>
      </c>
      <c r="K145" s="103">
        <v>0</v>
      </c>
      <c r="L145" s="103">
        <v>0</v>
      </c>
      <c r="M145" s="103">
        <v>0</v>
      </c>
      <c r="N145" s="45"/>
    </row>
    <row r="146" spans="1:14" x14ac:dyDescent="0.25">
      <c r="A146" s="306"/>
      <c r="B146" s="323"/>
      <c r="C146" s="25" t="s">
        <v>121</v>
      </c>
      <c r="D146" s="23" t="s">
        <v>122</v>
      </c>
      <c r="E146" s="103">
        <v>0</v>
      </c>
      <c r="F146" s="103">
        <v>0</v>
      </c>
      <c r="G146" s="103">
        <v>0</v>
      </c>
      <c r="H146" s="103">
        <v>0</v>
      </c>
      <c r="I146" s="103">
        <v>0</v>
      </c>
      <c r="J146" s="103">
        <v>0</v>
      </c>
      <c r="K146" s="103">
        <v>0</v>
      </c>
      <c r="L146" s="103">
        <v>0</v>
      </c>
      <c r="M146" s="103">
        <v>0</v>
      </c>
      <c r="N146" s="45"/>
    </row>
    <row r="147" spans="1:14" x14ac:dyDescent="0.25">
      <c r="A147" s="306"/>
      <c r="B147" s="323"/>
      <c r="C147" s="25" t="s">
        <v>123</v>
      </c>
      <c r="D147" s="23" t="s">
        <v>124</v>
      </c>
      <c r="E147" s="102">
        <v>0</v>
      </c>
      <c r="F147" s="102">
        <v>0</v>
      </c>
      <c r="G147" s="102">
        <v>0</v>
      </c>
      <c r="H147" s="102">
        <v>0</v>
      </c>
      <c r="I147" s="102">
        <v>0</v>
      </c>
      <c r="J147" s="102">
        <v>0</v>
      </c>
      <c r="K147" s="102">
        <v>0</v>
      </c>
      <c r="L147" s="102">
        <v>0</v>
      </c>
      <c r="M147" s="102">
        <v>0</v>
      </c>
      <c r="N147" s="45"/>
    </row>
    <row r="148" spans="1:14" ht="15" customHeight="1" x14ac:dyDescent="0.25">
      <c r="A148" s="306">
        <v>11</v>
      </c>
      <c r="B148" s="323" t="s">
        <v>177</v>
      </c>
      <c r="C148" s="21" t="s">
        <v>109</v>
      </c>
      <c r="D148" s="1" t="s">
        <v>19</v>
      </c>
      <c r="E148" s="102">
        <v>1</v>
      </c>
      <c r="F148" s="102">
        <v>1</v>
      </c>
      <c r="G148" s="102">
        <v>1</v>
      </c>
      <c r="H148" s="102">
        <v>1</v>
      </c>
      <c r="I148" s="102">
        <v>1</v>
      </c>
      <c r="J148" s="102">
        <v>1</v>
      </c>
      <c r="K148" s="102">
        <v>1</v>
      </c>
      <c r="L148" s="102">
        <v>1</v>
      </c>
      <c r="M148" s="102">
        <v>1</v>
      </c>
      <c r="N148" s="45"/>
    </row>
    <row r="149" spans="1:14" x14ac:dyDescent="0.25">
      <c r="A149" s="306"/>
      <c r="B149" s="323"/>
      <c r="C149" s="21" t="s">
        <v>21</v>
      </c>
      <c r="D149" s="1" t="s">
        <v>19</v>
      </c>
      <c r="E149" s="102">
        <v>0.35</v>
      </c>
      <c r="F149" s="102">
        <v>0.35</v>
      </c>
      <c r="G149" s="102">
        <v>0.35</v>
      </c>
      <c r="H149" s="102">
        <v>0.35</v>
      </c>
      <c r="I149" s="102">
        <v>0.35</v>
      </c>
      <c r="J149" s="102">
        <v>0.35</v>
      </c>
      <c r="K149" s="102">
        <v>0.35</v>
      </c>
      <c r="L149" s="102">
        <v>0.35</v>
      </c>
      <c r="M149" s="102">
        <v>0.35</v>
      </c>
      <c r="N149" s="45"/>
    </row>
    <row r="150" spans="1:14" x14ac:dyDescent="0.25">
      <c r="A150" s="306"/>
      <c r="B150" s="323"/>
      <c r="C150" s="21" t="s">
        <v>22</v>
      </c>
      <c r="D150" s="1" t="s">
        <v>4</v>
      </c>
      <c r="E150" s="102">
        <v>20</v>
      </c>
      <c r="F150" s="102">
        <v>20</v>
      </c>
      <c r="G150" s="102">
        <v>20</v>
      </c>
      <c r="H150" s="102">
        <v>20</v>
      </c>
      <c r="I150" s="102">
        <v>20</v>
      </c>
      <c r="J150" s="102">
        <v>20</v>
      </c>
      <c r="K150" s="102">
        <v>20</v>
      </c>
      <c r="L150" s="102">
        <v>20</v>
      </c>
      <c r="M150" s="102">
        <v>20</v>
      </c>
      <c r="N150" s="45"/>
    </row>
    <row r="151" spans="1:14" x14ac:dyDescent="0.25">
      <c r="A151" s="306"/>
      <c r="B151" s="323"/>
      <c r="C151" s="21" t="s">
        <v>23</v>
      </c>
      <c r="D151" s="1" t="s">
        <v>6</v>
      </c>
      <c r="E151" s="103">
        <v>207.70052243006694</v>
      </c>
      <c r="F151" s="103">
        <v>175.92180364293515</v>
      </c>
      <c r="G151" s="103">
        <v>137.07573863776301</v>
      </c>
      <c r="H151" s="103">
        <v>110.49280008590137</v>
      </c>
      <c r="I151" s="103">
        <v>107.31263157894738</v>
      </c>
      <c r="J151" s="103">
        <v>107.00631578947369</v>
      </c>
      <c r="K151" s="103">
        <v>105.98526315789475</v>
      </c>
      <c r="L151" s="103">
        <v>103.84105263157896</v>
      </c>
      <c r="M151" s="103">
        <v>99.55263157894737</v>
      </c>
      <c r="N151" s="45"/>
    </row>
    <row r="152" spans="1:14" x14ac:dyDescent="0.25">
      <c r="A152" s="306"/>
      <c r="B152" s="323"/>
      <c r="C152" s="21" t="s">
        <v>173</v>
      </c>
      <c r="D152" s="1" t="s">
        <v>19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45"/>
    </row>
    <row r="153" spans="1:14" x14ac:dyDescent="0.25">
      <c r="A153" s="306"/>
      <c r="B153" s="323"/>
      <c r="C153" s="21" t="s">
        <v>110</v>
      </c>
      <c r="D153" s="1" t="s">
        <v>8</v>
      </c>
      <c r="E153" s="102"/>
      <c r="F153" s="102"/>
      <c r="G153" s="102"/>
      <c r="H153" s="102"/>
      <c r="I153" s="102"/>
      <c r="J153" s="102"/>
      <c r="K153" s="102"/>
      <c r="L153" s="102"/>
      <c r="M153" s="102"/>
      <c r="N153" s="45"/>
    </row>
    <row r="154" spans="1:14" x14ac:dyDescent="0.25">
      <c r="A154" s="306"/>
      <c r="B154" s="323"/>
      <c r="C154" s="21" t="s">
        <v>111</v>
      </c>
      <c r="D154" s="1" t="s">
        <v>9</v>
      </c>
      <c r="E154" s="103">
        <v>6.2310156729020081</v>
      </c>
      <c r="F154" s="103">
        <v>5.2776541092880542</v>
      </c>
      <c r="G154" s="103">
        <v>4.1122721591328899</v>
      </c>
      <c r="H154" s="103">
        <v>3.3147840025770408</v>
      </c>
      <c r="I154" s="103">
        <v>2.0378947368421052</v>
      </c>
      <c r="J154" s="103">
        <v>2.0189473684210526</v>
      </c>
      <c r="K154" s="103">
        <v>1.9557894736842103</v>
      </c>
      <c r="L154" s="103">
        <v>1.8231578947368419</v>
      </c>
      <c r="M154" s="103">
        <v>1.557894736842105</v>
      </c>
      <c r="N154" s="45"/>
    </row>
    <row r="155" spans="1:14" x14ac:dyDescent="0.25">
      <c r="A155" s="306"/>
      <c r="B155" s="323"/>
      <c r="C155" s="21" t="s">
        <v>35</v>
      </c>
      <c r="D155" s="1" t="s">
        <v>10</v>
      </c>
      <c r="E155" s="103">
        <v>0</v>
      </c>
      <c r="F155" s="103">
        <v>0</v>
      </c>
      <c r="G155" s="103">
        <v>0</v>
      </c>
      <c r="H155" s="103">
        <v>0</v>
      </c>
      <c r="I155" s="103">
        <v>0</v>
      </c>
      <c r="J155" s="103">
        <v>0</v>
      </c>
      <c r="K155" s="103">
        <v>1.6473473684210525E-3</v>
      </c>
      <c r="L155" s="103">
        <v>1.5133894736842103E-3</v>
      </c>
      <c r="M155" s="103">
        <v>1.2454736842105263E-3</v>
      </c>
      <c r="N155" s="45"/>
    </row>
    <row r="156" spans="1:14" x14ac:dyDescent="0.25">
      <c r="A156" s="306"/>
      <c r="B156" s="323"/>
      <c r="C156" s="22" t="s">
        <v>24</v>
      </c>
      <c r="D156" s="23" t="s">
        <v>10</v>
      </c>
      <c r="E156" s="103">
        <v>0</v>
      </c>
      <c r="F156" s="103">
        <v>0</v>
      </c>
      <c r="G156" s="103">
        <v>0</v>
      </c>
      <c r="H156" s="103">
        <v>0</v>
      </c>
      <c r="I156" s="103">
        <v>0</v>
      </c>
      <c r="J156" s="103">
        <v>0</v>
      </c>
      <c r="K156" s="103">
        <v>0</v>
      </c>
      <c r="L156" s="103">
        <v>0</v>
      </c>
      <c r="M156" s="103">
        <v>0</v>
      </c>
      <c r="N156" s="45"/>
    </row>
    <row r="157" spans="1:14" x14ac:dyDescent="0.25">
      <c r="A157" s="306"/>
      <c r="B157" s="323"/>
      <c r="C157" s="21" t="s">
        <v>25</v>
      </c>
      <c r="D157" s="1" t="s">
        <v>7</v>
      </c>
      <c r="E157" s="102">
        <v>0.9787499999999999</v>
      </c>
      <c r="F157" s="102">
        <v>0.9787499999999999</v>
      </c>
      <c r="G157" s="102">
        <v>0.9787499999999999</v>
      </c>
      <c r="H157" s="102">
        <v>0.9787499999999999</v>
      </c>
      <c r="I157" s="102">
        <v>0.9787499999999999</v>
      </c>
      <c r="J157" s="102">
        <v>0.9787499999999999</v>
      </c>
      <c r="K157" s="102">
        <v>0.99150000000000005</v>
      </c>
      <c r="L157" s="102">
        <v>0.99150000000000005</v>
      </c>
      <c r="M157" s="102">
        <v>0.99150000000000005</v>
      </c>
      <c r="N157" s="45"/>
    </row>
    <row r="158" spans="1:14" x14ac:dyDescent="0.25">
      <c r="A158" s="306"/>
      <c r="B158" s="323"/>
      <c r="C158" s="21" t="s">
        <v>26</v>
      </c>
      <c r="D158" s="1" t="s">
        <v>14</v>
      </c>
      <c r="E158" s="103">
        <v>1524.6</v>
      </c>
      <c r="F158" s="103">
        <v>1749.6</v>
      </c>
      <c r="G158" s="103">
        <v>2349.6</v>
      </c>
      <c r="H158" s="103">
        <v>3174.6</v>
      </c>
      <c r="I158" s="103">
        <v>4299.6000000000004</v>
      </c>
      <c r="J158" s="103">
        <v>14213</v>
      </c>
      <c r="K158" s="103">
        <v>21713</v>
      </c>
      <c r="L158" s="103">
        <v>37463</v>
      </c>
      <c r="M158" s="103">
        <v>68963</v>
      </c>
      <c r="N158" s="45"/>
    </row>
    <row r="159" spans="1:14" x14ac:dyDescent="0.25">
      <c r="A159" s="306"/>
      <c r="B159" s="323"/>
      <c r="C159" s="21" t="s">
        <v>27</v>
      </c>
      <c r="D159" s="1" t="s">
        <v>4</v>
      </c>
      <c r="E159" s="102">
        <v>40</v>
      </c>
      <c r="F159" s="102">
        <v>40</v>
      </c>
      <c r="G159" s="102">
        <v>40</v>
      </c>
      <c r="H159" s="102">
        <v>40</v>
      </c>
      <c r="I159" s="102">
        <v>40</v>
      </c>
      <c r="J159" s="102">
        <v>40</v>
      </c>
      <c r="K159" s="102">
        <v>40</v>
      </c>
      <c r="L159" s="102">
        <v>40</v>
      </c>
      <c r="M159" s="102">
        <v>40</v>
      </c>
      <c r="N159" s="45"/>
    </row>
    <row r="160" spans="1:14" x14ac:dyDescent="0.25">
      <c r="A160" s="306"/>
      <c r="B160" s="323"/>
      <c r="C160" s="21" t="s">
        <v>117</v>
      </c>
      <c r="D160" s="1" t="s">
        <v>19</v>
      </c>
      <c r="E160" s="102">
        <v>0.35</v>
      </c>
      <c r="F160" s="102">
        <v>0.35</v>
      </c>
      <c r="G160" s="102">
        <v>0.35</v>
      </c>
      <c r="H160" s="102">
        <v>0.35</v>
      </c>
      <c r="I160" s="102">
        <v>0.35</v>
      </c>
      <c r="J160" s="102">
        <v>0.35</v>
      </c>
      <c r="K160" s="102">
        <v>0.35</v>
      </c>
      <c r="L160" s="102">
        <v>0.35</v>
      </c>
      <c r="M160" s="102">
        <v>0.35</v>
      </c>
      <c r="N160" s="45"/>
    </row>
    <row r="161" spans="1:14" x14ac:dyDescent="0.25">
      <c r="A161" s="306"/>
      <c r="B161" s="323"/>
      <c r="C161" s="21" t="s">
        <v>36</v>
      </c>
      <c r="D161" s="1" t="s">
        <v>19</v>
      </c>
      <c r="E161" s="102">
        <v>1.8571428571428572</v>
      </c>
      <c r="F161" s="102">
        <v>1.8571428571428572</v>
      </c>
      <c r="G161" s="102">
        <v>1.8571428571428572</v>
      </c>
      <c r="H161" s="102">
        <v>1.8571428571428572</v>
      </c>
      <c r="I161" s="102">
        <v>1.8571428571428572</v>
      </c>
      <c r="J161" s="102">
        <v>1.8571428571428572</v>
      </c>
      <c r="K161" s="102">
        <v>1.8571428571428572</v>
      </c>
      <c r="L161" s="102">
        <v>1.8571428571428572</v>
      </c>
      <c r="M161" s="102">
        <v>1.8571428571428572</v>
      </c>
      <c r="N161" s="45"/>
    </row>
    <row r="162" spans="1:14" x14ac:dyDescent="0.25">
      <c r="A162" s="306"/>
      <c r="B162" s="323"/>
      <c r="C162" s="21" t="s">
        <v>37</v>
      </c>
      <c r="D162" s="1" t="s">
        <v>4</v>
      </c>
      <c r="E162" s="102">
        <v>20</v>
      </c>
      <c r="F162" s="102">
        <v>20</v>
      </c>
      <c r="G162" s="102">
        <v>20</v>
      </c>
      <c r="H162" s="102">
        <v>20</v>
      </c>
      <c r="I162" s="102">
        <v>20</v>
      </c>
      <c r="J162" s="102">
        <v>20</v>
      </c>
      <c r="K162" s="102">
        <v>20</v>
      </c>
      <c r="L162" s="102">
        <v>20</v>
      </c>
      <c r="M162" s="102">
        <v>20</v>
      </c>
      <c r="N162" s="45"/>
    </row>
    <row r="163" spans="1:14" x14ac:dyDescent="0.25">
      <c r="A163" s="306"/>
      <c r="B163" s="323"/>
      <c r="C163" s="21" t="s">
        <v>38</v>
      </c>
      <c r="D163" s="1" t="s">
        <v>6</v>
      </c>
      <c r="E163" s="103">
        <v>6446.1263682075942</v>
      </c>
      <c r="F163" s="103">
        <v>4363.6353162151654</v>
      </c>
      <c r="G163" s="103">
        <v>2708.404978638011</v>
      </c>
      <c r="H163" s="103">
        <v>2101.328882850632</v>
      </c>
      <c r="I163" s="103">
        <v>1742.9566020172474</v>
      </c>
      <c r="J163" s="103">
        <v>1429.4675711498674</v>
      </c>
      <c r="K163" s="103">
        <v>1119.0921583216257</v>
      </c>
      <c r="L163" s="103">
        <v>896.38245628520338</v>
      </c>
      <c r="M163" s="103">
        <v>729.96389830866713</v>
      </c>
      <c r="N163" s="45"/>
    </row>
    <row r="164" spans="1:14" x14ac:dyDescent="0.25">
      <c r="A164" s="306"/>
      <c r="B164" s="323"/>
      <c r="C164" s="21" t="s">
        <v>176</v>
      </c>
      <c r="D164" s="1" t="s">
        <v>19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45"/>
    </row>
    <row r="165" spans="1:14" x14ac:dyDescent="0.25">
      <c r="A165" s="306"/>
      <c r="B165" s="323"/>
      <c r="C165" s="21" t="s">
        <v>118</v>
      </c>
      <c r="D165" s="1" t="s">
        <v>8</v>
      </c>
      <c r="E165" s="102"/>
      <c r="F165" s="102"/>
      <c r="G165" s="102"/>
      <c r="H165" s="102"/>
      <c r="I165" s="102"/>
      <c r="J165" s="102"/>
      <c r="K165" s="102"/>
      <c r="L165" s="102"/>
      <c r="M165" s="102"/>
      <c r="N165" s="45"/>
    </row>
    <row r="166" spans="1:14" x14ac:dyDescent="0.25">
      <c r="A166" s="306"/>
      <c r="B166" s="323"/>
      <c r="C166" s="21" t="s">
        <v>119</v>
      </c>
      <c r="D166" s="1" t="s">
        <v>9</v>
      </c>
      <c r="E166" s="102"/>
      <c r="F166" s="102"/>
      <c r="G166" s="102"/>
      <c r="H166" s="102"/>
      <c r="I166" s="102"/>
      <c r="J166" s="102"/>
      <c r="K166" s="102"/>
      <c r="L166" s="102"/>
      <c r="M166" s="102"/>
      <c r="N166" s="45"/>
    </row>
    <row r="167" spans="1:14" x14ac:dyDescent="0.25">
      <c r="A167" s="306"/>
      <c r="B167" s="323"/>
      <c r="C167" s="21" t="s">
        <v>39</v>
      </c>
      <c r="D167" s="1" t="s">
        <v>10</v>
      </c>
      <c r="E167" s="103">
        <v>5.4632155805897732E-2</v>
      </c>
      <c r="F167" s="103">
        <v>6.9225169277652349E-2</v>
      </c>
      <c r="G167" s="103">
        <v>5.5072970988733948E-2</v>
      </c>
      <c r="H167" s="103">
        <v>4.6604222305577481E-2</v>
      </c>
      <c r="I167" s="103">
        <v>4.0289223212275231E-2</v>
      </c>
      <c r="J167" s="103">
        <v>2.4583755873341454E-2</v>
      </c>
      <c r="K167" s="103">
        <v>1.9104989606490121E-2</v>
      </c>
      <c r="L167" s="103">
        <v>1.5182594783541725E-2</v>
      </c>
      <c r="M167" s="103">
        <v>1.3307545040231683E-2</v>
      </c>
      <c r="N167" s="45"/>
    </row>
    <row r="168" spans="1:14" x14ac:dyDescent="0.25">
      <c r="A168" s="306"/>
      <c r="B168" s="323"/>
      <c r="C168" s="22" t="s">
        <v>40</v>
      </c>
      <c r="D168" s="23" t="s">
        <v>10</v>
      </c>
      <c r="E168" s="103">
        <v>0</v>
      </c>
      <c r="F168" s="103">
        <v>0</v>
      </c>
      <c r="G168" s="103">
        <v>0</v>
      </c>
      <c r="H168" s="103">
        <v>0</v>
      </c>
      <c r="I168" s="103">
        <v>0</v>
      </c>
      <c r="J168" s="103">
        <v>0</v>
      </c>
      <c r="K168" s="103">
        <v>0</v>
      </c>
      <c r="L168" s="103">
        <v>0</v>
      </c>
      <c r="M168" s="103">
        <v>0</v>
      </c>
      <c r="N168" s="45"/>
    </row>
    <row r="169" spans="1:14" x14ac:dyDescent="0.25">
      <c r="A169" s="306"/>
      <c r="B169" s="323"/>
      <c r="C169" s="21" t="s">
        <v>41</v>
      </c>
      <c r="D169" s="1" t="s">
        <v>14</v>
      </c>
      <c r="E169" s="102"/>
      <c r="F169" s="102"/>
      <c r="G169" s="102"/>
      <c r="H169" s="102"/>
      <c r="I169" s="102"/>
      <c r="J169" s="102"/>
      <c r="K169" s="102"/>
      <c r="L169" s="102"/>
      <c r="M169" s="102"/>
      <c r="N169" s="45"/>
    </row>
    <row r="170" spans="1:14" x14ac:dyDescent="0.25">
      <c r="A170" s="306"/>
      <c r="B170" s="323"/>
      <c r="C170" s="21" t="s">
        <v>42</v>
      </c>
      <c r="D170" s="1" t="s">
        <v>4</v>
      </c>
      <c r="E170" s="102"/>
      <c r="F170" s="102"/>
      <c r="G170" s="102"/>
      <c r="H170" s="102"/>
      <c r="I170" s="102"/>
      <c r="J170" s="102"/>
      <c r="K170" s="102"/>
      <c r="L170" s="102"/>
      <c r="M170" s="102"/>
      <c r="N170" s="45"/>
    </row>
    <row r="171" spans="1:14" x14ac:dyDescent="0.25">
      <c r="A171" s="306"/>
      <c r="B171" s="323"/>
      <c r="C171" s="21" t="s">
        <v>43</v>
      </c>
      <c r="D171" s="1" t="s">
        <v>7</v>
      </c>
      <c r="E171" s="105">
        <v>0.5</v>
      </c>
      <c r="F171" s="105">
        <v>0.5</v>
      </c>
      <c r="G171" s="105">
        <v>0.5</v>
      </c>
      <c r="H171" s="105">
        <v>0.5</v>
      </c>
      <c r="I171" s="105">
        <v>0.5</v>
      </c>
      <c r="J171" s="105">
        <v>0.5</v>
      </c>
      <c r="K171" s="105">
        <v>0.5</v>
      </c>
      <c r="L171" s="105">
        <v>0.5</v>
      </c>
      <c r="M171" s="105">
        <v>0.5</v>
      </c>
      <c r="N171" s="45"/>
    </row>
    <row r="172" spans="1:14" ht="14.45" customHeight="1" x14ac:dyDescent="0.25">
      <c r="A172" s="306"/>
      <c r="B172" s="323"/>
      <c r="C172" s="24" t="s">
        <v>44</v>
      </c>
      <c r="D172" s="1" t="s">
        <v>7</v>
      </c>
      <c r="E172" s="104">
        <v>0.66625430833964439</v>
      </c>
      <c r="F172" s="104">
        <v>0.66367464936796561</v>
      </c>
      <c r="G172" s="104">
        <v>0.65679555877682227</v>
      </c>
      <c r="H172" s="104">
        <v>0.64733680921400016</v>
      </c>
      <c r="I172" s="104">
        <v>0.63443851435560639</v>
      </c>
      <c r="J172" s="104">
        <v>0.4680070358050421</v>
      </c>
      <c r="K172" s="104">
        <v>0.46713859851464173</v>
      </c>
      <c r="L172" s="104">
        <v>0.46531488020480088</v>
      </c>
      <c r="M172" s="104">
        <v>0.47</v>
      </c>
      <c r="N172" s="45"/>
    </row>
    <row r="173" spans="1:14" ht="14.45" customHeight="1" x14ac:dyDescent="0.25">
      <c r="A173" s="306"/>
      <c r="B173" s="323"/>
      <c r="C173" s="24" t="s">
        <v>45</v>
      </c>
      <c r="D173" s="1" t="s">
        <v>7</v>
      </c>
      <c r="E173" s="104">
        <v>0.25092243745356524</v>
      </c>
      <c r="F173" s="104">
        <v>0.25657675134016689</v>
      </c>
      <c r="G173" s="104">
        <v>0.27165492170443795</v>
      </c>
      <c r="H173" s="104">
        <v>0.29238740595531065</v>
      </c>
      <c r="I173" s="104">
        <v>0.32065897538831889</v>
      </c>
      <c r="J173" s="104">
        <v>0.41290384467151914</v>
      </c>
      <c r="K173" s="104">
        <v>0.41363974384019625</v>
      </c>
      <c r="L173" s="104">
        <v>0.41518513209441815</v>
      </c>
      <c r="M173" s="104">
        <v>0.41599999999999998</v>
      </c>
      <c r="N173" s="45"/>
    </row>
    <row r="174" spans="1:14" ht="14.45" customHeight="1" x14ac:dyDescent="0.25">
      <c r="A174" s="306"/>
      <c r="B174" s="323"/>
      <c r="C174" s="25" t="s">
        <v>120</v>
      </c>
      <c r="D174" s="23" t="s">
        <v>10</v>
      </c>
      <c r="E174" s="103">
        <v>0</v>
      </c>
      <c r="F174" s="103">
        <v>0</v>
      </c>
      <c r="G174" s="103">
        <v>0</v>
      </c>
      <c r="H174" s="103">
        <v>0</v>
      </c>
      <c r="I174" s="103">
        <v>0</v>
      </c>
      <c r="J174" s="103">
        <v>0</v>
      </c>
      <c r="K174" s="103">
        <v>0</v>
      </c>
      <c r="L174" s="103">
        <v>0</v>
      </c>
      <c r="M174" s="103">
        <v>0</v>
      </c>
      <c r="N174" s="45"/>
    </row>
    <row r="175" spans="1:14" ht="14.45" customHeight="1" x14ac:dyDescent="0.25">
      <c r="A175" s="306"/>
      <c r="B175" s="323"/>
      <c r="C175" s="25" t="s">
        <v>121</v>
      </c>
      <c r="D175" s="23" t="s">
        <v>122</v>
      </c>
      <c r="E175" s="103">
        <v>0</v>
      </c>
      <c r="F175" s="103">
        <v>0</v>
      </c>
      <c r="G175" s="103">
        <v>0</v>
      </c>
      <c r="H175" s="103">
        <v>0</v>
      </c>
      <c r="I175" s="103">
        <v>0</v>
      </c>
      <c r="J175" s="103">
        <v>0</v>
      </c>
      <c r="K175" s="103">
        <v>0</v>
      </c>
      <c r="L175" s="103">
        <v>0</v>
      </c>
      <c r="M175" s="103">
        <v>0</v>
      </c>
      <c r="N175" s="45"/>
    </row>
    <row r="176" spans="1:14" ht="14.45" customHeight="1" x14ac:dyDescent="0.25">
      <c r="A176" s="306"/>
      <c r="B176" s="323"/>
      <c r="C176" s="25" t="s">
        <v>123</v>
      </c>
      <c r="D176" s="23" t="s">
        <v>124</v>
      </c>
      <c r="E176" s="102">
        <v>0</v>
      </c>
      <c r="F176" s="102">
        <v>0</v>
      </c>
      <c r="G176" s="102">
        <v>0</v>
      </c>
      <c r="H176" s="102">
        <v>0</v>
      </c>
      <c r="I176" s="102">
        <v>0</v>
      </c>
      <c r="J176" s="102">
        <v>0</v>
      </c>
      <c r="K176" s="102">
        <v>0</v>
      </c>
      <c r="L176" s="102">
        <v>0</v>
      </c>
      <c r="M176" s="102">
        <v>0</v>
      </c>
      <c r="N176" s="45"/>
    </row>
    <row r="177" spans="1:14" ht="14.45" customHeight="1" x14ac:dyDescent="0.25">
      <c r="A177" s="306">
        <v>12</v>
      </c>
      <c r="B177" s="323" t="s">
        <v>178</v>
      </c>
      <c r="C177" s="21" t="s">
        <v>109</v>
      </c>
      <c r="D177" s="1" t="s">
        <v>19</v>
      </c>
      <c r="E177" s="106">
        <v>1</v>
      </c>
      <c r="F177" s="106">
        <v>1</v>
      </c>
      <c r="G177" s="106">
        <v>1</v>
      </c>
      <c r="H177" s="106">
        <v>1</v>
      </c>
      <c r="I177" s="106">
        <v>1</v>
      </c>
      <c r="J177" s="106">
        <v>1</v>
      </c>
      <c r="K177" s="106">
        <v>1</v>
      </c>
      <c r="L177" s="106">
        <v>1</v>
      </c>
      <c r="M177" s="106">
        <v>1</v>
      </c>
      <c r="N177" s="45"/>
    </row>
    <row r="178" spans="1:14" x14ac:dyDescent="0.25">
      <c r="A178" s="306"/>
      <c r="B178" s="323"/>
      <c r="C178" s="21" t="s">
        <v>21</v>
      </c>
      <c r="D178" s="1" t="s">
        <v>19</v>
      </c>
      <c r="E178" s="102">
        <v>0.8</v>
      </c>
      <c r="F178" s="102">
        <v>0.8</v>
      </c>
      <c r="G178" s="102">
        <v>0.8</v>
      </c>
      <c r="H178" s="102">
        <v>0.8</v>
      </c>
      <c r="I178" s="102">
        <v>0.8</v>
      </c>
      <c r="J178" s="102">
        <v>0.8</v>
      </c>
      <c r="K178" s="102">
        <v>0.8</v>
      </c>
      <c r="L178" s="102">
        <v>0.8</v>
      </c>
      <c r="M178" s="102">
        <v>0.8</v>
      </c>
      <c r="N178" s="45"/>
    </row>
    <row r="179" spans="1:14" x14ac:dyDescent="0.25">
      <c r="A179" s="306"/>
      <c r="B179" s="323"/>
      <c r="C179" s="21" t="s">
        <v>22</v>
      </c>
      <c r="D179" s="1" t="s">
        <v>4</v>
      </c>
      <c r="E179" s="102">
        <v>20</v>
      </c>
      <c r="F179" s="102">
        <v>20</v>
      </c>
      <c r="G179" s="102">
        <v>20</v>
      </c>
      <c r="H179" s="102">
        <v>20</v>
      </c>
      <c r="I179" s="102">
        <v>20</v>
      </c>
      <c r="J179" s="102">
        <v>20</v>
      </c>
      <c r="K179" s="102">
        <v>20</v>
      </c>
      <c r="L179" s="102">
        <v>20</v>
      </c>
      <c r="M179" s="102">
        <v>20</v>
      </c>
      <c r="N179" s="45"/>
    </row>
    <row r="180" spans="1:14" x14ac:dyDescent="0.25">
      <c r="A180" s="306"/>
      <c r="B180" s="323"/>
      <c r="C180" s="21" t="s">
        <v>23</v>
      </c>
      <c r="D180" s="1" t="s">
        <v>6</v>
      </c>
      <c r="E180" s="103">
        <v>207.70052243006694</v>
      </c>
      <c r="F180" s="103">
        <v>175.92180364293515</v>
      </c>
      <c r="G180" s="103">
        <v>137.07573863776301</v>
      </c>
      <c r="H180" s="103">
        <v>110.49280008590137</v>
      </c>
      <c r="I180" s="103">
        <v>107.31263157894738</v>
      </c>
      <c r="J180" s="103">
        <v>107.00631578947369</v>
      </c>
      <c r="K180" s="103">
        <v>105.98526315789475</v>
      </c>
      <c r="L180" s="103">
        <v>103.84105263157896</v>
      </c>
      <c r="M180" s="103">
        <v>99.55263157894737</v>
      </c>
      <c r="N180" s="45"/>
    </row>
    <row r="181" spans="1:14" ht="14.45" customHeight="1" x14ac:dyDescent="0.25">
      <c r="A181" s="306"/>
      <c r="B181" s="323"/>
      <c r="C181" s="21" t="s">
        <v>173</v>
      </c>
      <c r="D181" s="1" t="s">
        <v>19</v>
      </c>
      <c r="E181" s="104">
        <v>0</v>
      </c>
      <c r="F181" s="104">
        <v>0</v>
      </c>
      <c r="G181" s="104">
        <v>0</v>
      </c>
      <c r="H181" s="104">
        <v>0</v>
      </c>
      <c r="I181" s="104">
        <v>0</v>
      </c>
      <c r="J181" s="104">
        <v>0</v>
      </c>
      <c r="K181" s="104">
        <v>0</v>
      </c>
      <c r="L181" s="104">
        <v>0</v>
      </c>
      <c r="M181" s="104">
        <v>0</v>
      </c>
      <c r="N181" s="45"/>
    </row>
    <row r="182" spans="1:14" x14ac:dyDescent="0.25">
      <c r="A182" s="306"/>
      <c r="B182" s="323"/>
      <c r="C182" s="21" t="s">
        <v>110</v>
      </c>
      <c r="D182" s="1" t="s">
        <v>8</v>
      </c>
      <c r="E182" s="102"/>
      <c r="F182" s="102"/>
      <c r="G182" s="102"/>
      <c r="H182" s="102"/>
      <c r="I182" s="102"/>
      <c r="J182" s="102"/>
      <c r="K182" s="102"/>
      <c r="L182" s="102"/>
      <c r="M182" s="102"/>
      <c r="N182" s="45"/>
    </row>
    <row r="183" spans="1:14" x14ac:dyDescent="0.25">
      <c r="A183" s="306"/>
      <c r="B183" s="323"/>
      <c r="C183" s="21" t="s">
        <v>111</v>
      </c>
      <c r="D183" s="1" t="s">
        <v>9</v>
      </c>
      <c r="E183" s="103">
        <v>6.2310156729020081</v>
      </c>
      <c r="F183" s="103">
        <v>5.2776541092880542</v>
      </c>
      <c r="G183" s="103">
        <v>4.1122721591328899</v>
      </c>
      <c r="H183" s="103">
        <v>3.3147840025770408</v>
      </c>
      <c r="I183" s="103">
        <v>2.0378947368421052</v>
      </c>
      <c r="J183" s="103">
        <v>2.0189473684210526</v>
      </c>
      <c r="K183" s="103">
        <v>1.9557894736842103</v>
      </c>
      <c r="L183" s="103">
        <v>1.8231578947368419</v>
      </c>
      <c r="M183" s="103">
        <v>1.557894736842105</v>
      </c>
      <c r="N183" s="45"/>
    </row>
    <row r="184" spans="1:14" x14ac:dyDescent="0.25">
      <c r="A184" s="306"/>
      <c r="B184" s="323"/>
      <c r="C184" s="21" t="s">
        <v>35</v>
      </c>
      <c r="D184" s="1" t="s">
        <v>10</v>
      </c>
      <c r="E184" s="103">
        <v>0</v>
      </c>
      <c r="F184" s="103">
        <v>0</v>
      </c>
      <c r="G184" s="103">
        <v>0</v>
      </c>
      <c r="H184" s="103">
        <v>0</v>
      </c>
      <c r="I184" s="103">
        <v>0</v>
      </c>
      <c r="J184" s="103">
        <v>0</v>
      </c>
      <c r="K184" s="103">
        <v>1.6473473684210525E-3</v>
      </c>
      <c r="L184" s="103">
        <v>1.5133894736842103E-3</v>
      </c>
      <c r="M184" s="103">
        <v>1.2454736842105263E-3</v>
      </c>
      <c r="N184" s="45"/>
    </row>
    <row r="185" spans="1:14" x14ac:dyDescent="0.25">
      <c r="A185" s="306"/>
      <c r="B185" s="323"/>
      <c r="C185" s="22" t="s">
        <v>24</v>
      </c>
      <c r="D185" s="23" t="s">
        <v>10</v>
      </c>
      <c r="E185" s="103">
        <v>0</v>
      </c>
      <c r="F185" s="103">
        <v>0</v>
      </c>
      <c r="G185" s="103">
        <v>0</v>
      </c>
      <c r="H185" s="103">
        <v>0</v>
      </c>
      <c r="I185" s="103">
        <v>0</v>
      </c>
      <c r="J185" s="103">
        <v>0</v>
      </c>
      <c r="K185" s="103">
        <v>0</v>
      </c>
      <c r="L185" s="103">
        <v>0</v>
      </c>
      <c r="M185" s="103">
        <v>0</v>
      </c>
      <c r="N185" s="45"/>
    </row>
    <row r="186" spans="1:14" x14ac:dyDescent="0.25">
      <c r="A186" s="306"/>
      <c r="B186" s="323"/>
      <c r="C186" s="21" t="s">
        <v>25</v>
      </c>
      <c r="D186" s="1" t="s">
        <v>7</v>
      </c>
      <c r="E186" s="102">
        <v>0.9787499999999999</v>
      </c>
      <c r="F186" s="102">
        <v>0.9787499999999999</v>
      </c>
      <c r="G186" s="102">
        <v>0.9787499999999999</v>
      </c>
      <c r="H186" s="102">
        <v>0.9787499999999999</v>
      </c>
      <c r="I186" s="102">
        <v>0.9787499999999999</v>
      </c>
      <c r="J186" s="102">
        <v>0.9787499999999999</v>
      </c>
      <c r="K186" s="102">
        <v>0.99150000000000005</v>
      </c>
      <c r="L186" s="102">
        <v>0.99150000000000005</v>
      </c>
      <c r="M186" s="102">
        <v>0.99150000000000005</v>
      </c>
      <c r="N186" s="45"/>
    </row>
    <row r="187" spans="1:14" x14ac:dyDescent="0.25">
      <c r="A187" s="306"/>
      <c r="B187" s="323"/>
      <c r="C187" s="21" t="s">
        <v>26</v>
      </c>
      <c r="D187" s="1" t="s">
        <v>14</v>
      </c>
      <c r="E187" s="103">
        <v>1524.6</v>
      </c>
      <c r="F187" s="103">
        <v>1749.6</v>
      </c>
      <c r="G187" s="103">
        <v>2349.6</v>
      </c>
      <c r="H187" s="103">
        <v>3174.6</v>
      </c>
      <c r="I187" s="103">
        <v>4299.6000000000004</v>
      </c>
      <c r="J187" s="103">
        <v>14213</v>
      </c>
      <c r="K187" s="103">
        <v>21713</v>
      </c>
      <c r="L187" s="103">
        <v>37463</v>
      </c>
      <c r="M187" s="103">
        <v>68963</v>
      </c>
      <c r="N187" s="45"/>
    </row>
    <row r="188" spans="1:14" x14ac:dyDescent="0.25">
      <c r="A188" s="306"/>
      <c r="B188" s="323"/>
      <c r="C188" s="21" t="s">
        <v>27</v>
      </c>
      <c r="D188" s="1" t="s">
        <v>4</v>
      </c>
      <c r="E188" s="102">
        <v>40</v>
      </c>
      <c r="F188" s="102">
        <v>40</v>
      </c>
      <c r="G188" s="102">
        <v>40</v>
      </c>
      <c r="H188" s="102">
        <v>40</v>
      </c>
      <c r="I188" s="102">
        <v>40</v>
      </c>
      <c r="J188" s="102">
        <v>40</v>
      </c>
      <c r="K188" s="102">
        <v>40</v>
      </c>
      <c r="L188" s="102">
        <v>40</v>
      </c>
      <c r="M188" s="102">
        <v>40</v>
      </c>
      <c r="N188" s="45"/>
    </row>
    <row r="189" spans="1:14" x14ac:dyDescent="0.25">
      <c r="A189" s="306"/>
      <c r="B189" s="323"/>
      <c r="C189" s="21" t="s">
        <v>125</v>
      </c>
      <c r="D189" s="1" t="s">
        <v>19</v>
      </c>
      <c r="E189" s="106">
        <v>0.3125</v>
      </c>
      <c r="F189" s="106">
        <v>0.3125</v>
      </c>
      <c r="G189" s="106">
        <v>0.3125</v>
      </c>
      <c r="H189" s="106">
        <v>0.3125</v>
      </c>
      <c r="I189" s="106">
        <v>0.3125</v>
      </c>
      <c r="J189" s="106">
        <v>0.3125</v>
      </c>
      <c r="K189" s="106">
        <v>0.3125</v>
      </c>
      <c r="L189" s="106">
        <v>0.3125</v>
      </c>
      <c r="M189" s="106">
        <v>0.3125</v>
      </c>
      <c r="N189" s="45"/>
    </row>
    <row r="190" spans="1:14" x14ac:dyDescent="0.25">
      <c r="A190" s="306"/>
      <c r="B190" s="323"/>
      <c r="C190" s="21" t="s">
        <v>126</v>
      </c>
      <c r="D190" s="1" t="s">
        <v>19</v>
      </c>
      <c r="E190" s="102">
        <v>0.64</v>
      </c>
      <c r="F190" s="102">
        <v>0.64</v>
      </c>
      <c r="G190" s="102">
        <v>0.64</v>
      </c>
      <c r="H190" s="102">
        <v>0.64</v>
      </c>
      <c r="I190" s="102">
        <v>0.64</v>
      </c>
      <c r="J190" s="102">
        <v>0.64</v>
      </c>
      <c r="K190" s="102">
        <v>0.64</v>
      </c>
      <c r="L190" s="102">
        <v>0.64</v>
      </c>
      <c r="M190" s="102">
        <v>0.64</v>
      </c>
      <c r="N190" s="45"/>
    </row>
    <row r="191" spans="1:14" ht="14.45" customHeight="1" x14ac:dyDescent="0.25">
      <c r="A191" s="306"/>
      <c r="B191" s="323"/>
      <c r="C191" s="24" t="s">
        <v>127</v>
      </c>
      <c r="D191" s="1" t="s">
        <v>4</v>
      </c>
      <c r="E191" s="102">
        <v>20</v>
      </c>
      <c r="F191" s="102">
        <v>20</v>
      </c>
      <c r="G191" s="102">
        <v>20</v>
      </c>
      <c r="H191" s="102">
        <v>20</v>
      </c>
      <c r="I191" s="102">
        <v>20</v>
      </c>
      <c r="J191" s="102">
        <v>20</v>
      </c>
      <c r="K191" s="102">
        <v>20</v>
      </c>
      <c r="L191" s="102">
        <v>20</v>
      </c>
      <c r="M191" s="102">
        <v>20</v>
      </c>
      <c r="N191" s="45"/>
    </row>
    <row r="192" spans="1:14" ht="14.45" customHeight="1" x14ac:dyDescent="0.25">
      <c r="A192" s="306"/>
      <c r="B192" s="323"/>
      <c r="C192" s="24" t="s">
        <v>128</v>
      </c>
      <c r="D192" s="1" t="s">
        <v>6</v>
      </c>
      <c r="E192" s="107">
        <v>923.0754808366645</v>
      </c>
      <c r="F192" s="103">
        <v>909.14924346027067</v>
      </c>
      <c r="G192" s="103">
        <v>872.01261045655372</v>
      </c>
      <c r="H192" s="103">
        <v>820.94974007644282</v>
      </c>
      <c r="I192" s="103">
        <v>751.31855319447357</v>
      </c>
      <c r="J192" s="103">
        <v>612.05617943053505</v>
      </c>
      <c r="K192" s="103">
        <v>521.07142857142856</v>
      </c>
      <c r="L192" s="103">
        <v>521.07142857142856</v>
      </c>
      <c r="M192" s="103">
        <v>521.07142857142856</v>
      </c>
      <c r="N192" s="45"/>
    </row>
    <row r="193" spans="1:14" ht="14.45" customHeight="1" x14ac:dyDescent="0.25">
      <c r="A193" s="306"/>
      <c r="B193" s="323"/>
      <c r="C193" s="21" t="s">
        <v>179</v>
      </c>
      <c r="D193" s="1" t="s">
        <v>19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45"/>
    </row>
    <row r="194" spans="1:14" x14ac:dyDescent="0.25">
      <c r="A194" s="306"/>
      <c r="B194" s="323"/>
      <c r="C194" s="21" t="s">
        <v>129</v>
      </c>
      <c r="D194" s="1" t="s">
        <v>8</v>
      </c>
      <c r="E194" s="103">
        <v>54.38718703976437</v>
      </c>
      <c r="F194" s="103">
        <v>71.452724594992645</v>
      </c>
      <c r="G194" s="103">
        <v>116.96082474226804</v>
      </c>
      <c r="H194" s="103">
        <v>179.53446244477172</v>
      </c>
      <c r="I194" s="103">
        <v>264.86215022091312</v>
      </c>
      <c r="J194" s="103">
        <v>435.51752577319587</v>
      </c>
      <c r="K194" s="103">
        <v>606.17290132547862</v>
      </c>
      <c r="L194" s="103">
        <v>606.17290132547862</v>
      </c>
      <c r="M194" s="103">
        <v>606.17290132547862</v>
      </c>
      <c r="N194" s="45"/>
    </row>
    <row r="195" spans="1:14" x14ac:dyDescent="0.25">
      <c r="A195" s="306"/>
      <c r="B195" s="323"/>
      <c r="C195" s="21" t="s">
        <v>130</v>
      </c>
      <c r="D195" s="1" t="s">
        <v>9</v>
      </c>
      <c r="E195" s="102"/>
      <c r="F195" s="102"/>
      <c r="G195" s="102"/>
      <c r="H195" s="102"/>
      <c r="I195" s="102"/>
      <c r="J195" s="102"/>
      <c r="K195" s="102"/>
      <c r="L195" s="102"/>
      <c r="M195" s="102"/>
    </row>
    <row r="196" spans="1:14" x14ac:dyDescent="0.25">
      <c r="A196" s="306"/>
      <c r="B196" s="323"/>
      <c r="C196" s="21" t="s">
        <v>131</v>
      </c>
      <c r="D196" s="1" t="s">
        <v>10</v>
      </c>
      <c r="E196" s="102"/>
      <c r="F196" s="102"/>
      <c r="G196" s="102"/>
      <c r="H196" s="102"/>
      <c r="I196" s="102"/>
      <c r="J196" s="102"/>
      <c r="K196" s="102"/>
      <c r="L196" s="102"/>
      <c r="M196" s="102"/>
    </row>
    <row r="197" spans="1:14" ht="18.75" x14ac:dyDescent="0.25">
      <c r="A197" s="306"/>
      <c r="B197" s="323"/>
      <c r="C197" s="53" t="s">
        <v>132</v>
      </c>
      <c r="D197" s="23" t="s">
        <v>17</v>
      </c>
      <c r="E197" s="102"/>
      <c r="F197" s="102"/>
      <c r="G197" s="102"/>
      <c r="H197" s="102"/>
      <c r="I197" s="102"/>
      <c r="J197" s="102"/>
      <c r="K197" s="102"/>
      <c r="L197" s="102"/>
      <c r="M197" s="102"/>
    </row>
    <row r="198" spans="1:14" ht="14.45" customHeight="1" x14ac:dyDescent="0.25">
      <c r="A198" s="306">
        <v>13</v>
      </c>
      <c r="B198" s="323" t="s">
        <v>180</v>
      </c>
      <c r="C198" s="21" t="s">
        <v>109</v>
      </c>
      <c r="D198" s="1" t="s">
        <v>19</v>
      </c>
      <c r="E198" s="102">
        <v>1</v>
      </c>
      <c r="F198" s="102">
        <v>1</v>
      </c>
      <c r="G198" s="102">
        <v>1</v>
      </c>
      <c r="H198" s="102">
        <v>1</v>
      </c>
      <c r="I198" s="102">
        <v>1</v>
      </c>
      <c r="J198" s="102">
        <v>1</v>
      </c>
      <c r="K198" s="102">
        <v>1</v>
      </c>
      <c r="L198" s="102">
        <v>1</v>
      </c>
      <c r="M198" s="102">
        <v>1</v>
      </c>
    </row>
    <row r="199" spans="1:14" x14ac:dyDescent="0.25">
      <c r="A199" s="306"/>
      <c r="B199" s="323"/>
      <c r="C199" s="21" t="s">
        <v>21</v>
      </c>
      <c r="D199" s="1" t="s">
        <v>19</v>
      </c>
      <c r="E199" s="102">
        <v>0.65</v>
      </c>
      <c r="F199" s="102">
        <v>0.65</v>
      </c>
      <c r="G199" s="102">
        <v>0.65</v>
      </c>
      <c r="H199" s="102">
        <v>0.65</v>
      </c>
      <c r="I199" s="102">
        <v>0.65</v>
      </c>
      <c r="J199" s="102">
        <v>0.65</v>
      </c>
      <c r="K199" s="102">
        <v>0.65</v>
      </c>
      <c r="L199" s="102">
        <v>0.65</v>
      </c>
      <c r="M199" s="102">
        <v>0.65</v>
      </c>
    </row>
    <row r="200" spans="1:14" x14ac:dyDescent="0.25">
      <c r="A200" s="306"/>
      <c r="B200" s="323"/>
      <c r="C200" s="21" t="s">
        <v>22</v>
      </c>
      <c r="D200" s="1" t="s">
        <v>4</v>
      </c>
      <c r="E200" s="102">
        <v>20</v>
      </c>
      <c r="F200" s="102">
        <v>20</v>
      </c>
      <c r="G200" s="102">
        <v>20</v>
      </c>
      <c r="H200" s="102">
        <v>20</v>
      </c>
      <c r="I200" s="102">
        <v>20</v>
      </c>
      <c r="J200" s="102">
        <v>20</v>
      </c>
      <c r="K200" s="102">
        <v>20</v>
      </c>
      <c r="L200" s="102">
        <v>20</v>
      </c>
      <c r="M200" s="102">
        <v>20</v>
      </c>
    </row>
    <row r="201" spans="1:14" x14ac:dyDescent="0.25">
      <c r="A201" s="306"/>
      <c r="B201" s="323"/>
      <c r="C201" s="21" t="s">
        <v>23</v>
      </c>
      <c r="D201" s="1" t="s">
        <v>6</v>
      </c>
      <c r="E201" s="103">
        <v>207.70052243006694</v>
      </c>
      <c r="F201" s="103">
        <v>175.92180364293515</v>
      </c>
      <c r="G201" s="103">
        <v>137.07573863776301</v>
      </c>
      <c r="H201" s="103">
        <v>110.49280008590137</v>
      </c>
      <c r="I201" s="103">
        <v>107.31263157894738</v>
      </c>
      <c r="J201" s="103">
        <v>107.00631578947369</v>
      </c>
      <c r="K201" s="103">
        <v>105.98526315789475</v>
      </c>
      <c r="L201" s="103">
        <v>103.84105263157896</v>
      </c>
      <c r="M201" s="103">
        <v>99.55263157894737</v>
      </c>
    </row>
    <row r="202" spans="1:14" x14ac:dyDescent="0.25">
      <c r="A202" s="306"/>
      <c r="B202" s="323"/>
      <c r="C202" s="21" t="s">
        <v>173</v>
      </c>
      <c r="D202" s="1" t="s">
        <v>19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</row>
    <row r="203" spans="1:14" x14ac:dyDescent="0.25">
      <c r="A203" s="306"/>
      <c r="B203" s="323"/>
      <c r="C203" s="21" t="s">
        <v>110</v>
      </c>
      <c r="D203" s="1" t="s">
        <v>8</v>
      </c>
      <c r="E203" s="102"/>
      <c r="F203" s="102"/>
      <c r="G203" s="102"/>
      <c r="H203" s="102"/>
      <c r="I203" s="102"/>
      <c r="J203" s="102"/>
      <c r="K203" s="102"/>
      <c r="L203" s="102"/>
      <c r="M203" s="102"/>
    </row>
    <row r="204" spans="1:14" x14ac:dyDescent="0.25">
      <c r="A204" s="306"/>
      <c r="B204" s="323"/>
      <c r="C204" s="21" t="s">
        <v>111</v>
      </c>
      <c r="D204" s="1" t="s">
        <v>9</v>
      </c>
      <c r="E204" s="103">
        <v>6.2310156729020081</v>
      </c>
      <c r="F204" s="103">
        <v>5.2776541092880542</v>
      </c>
      <c r="G204" s="103">
        <v>4.1122721591328899</v>
      </c>
      <c r="H204" s="103">
        <v>3.3147840025770408</v>
      </c>
      <c r="I204" s="103">
        <v>2.0378947368421052</v>
      </c>
      <c r="J204" s="103">
        <v>2.0189473684210526</v>
      </c>
      <c r="K204" s="103">
        <v>1.9557894736842103</v>
      </c>
      <c r="L204" s="103">
        <v>1.8231578947368419</v>
      </c>
      <c r="M204" s="103">
        <v>1.557894736842105</v>
      </c>
    </row>
    <row r="205" spans="1:14" x14ac:dyDescent="0.25">
      <c r="A205" s="306"/>
      <c r="B205" s="323"/>
      <c r="C205" s="21" t="s">
        <v>35</v>
      </c>
      <c r="D205" s="1" t="s">
        <v>10</v>
      </c>
      <c r="E205" s="103">
        <v>0</v>
      </c>
      <c r="F205" s="103">
        <v>0</v>
      </c>
      <c r="G205" s="103">
        <v>0</v>
      </c>
      <c r="H205" s="103">
        <v>0</v>
      </c>
      <c r="I205" s="103">
        <v>0</v>
      </c>
      <c r="J205" s="103">
        <v>0</v>
      </c>
      <c r="K205" s="103">
        <v>1.6473473684210525E-3</v>
      </c>
      <c r="L205" s="103">
        <v>1.5133894736842103E-3</v>
      </c>
      <c r="M205" s="103">
        <v>1.2454736842105263E-3</v>
      </c>
    </row>
    <row r="206" spans="1:14" x14ac:dyDescent="0.25">
      <c r="A206" s="306"/>
      <c r="B206" s="323"/>
      <c r="C206" s="22" t="s">
        <v>24</v>
      </c>
      <c r="D206" s="23" t="s">
        <v>10</v>
      </c>
      <c r="E206" s="103">
        <v>0</v>
      </c>
      <c r="F206" s="103">
        <v>0</v>
      </c>
      <c r="G206" s="103">
        <v>0</v>
      </c>
      <c r="H206" s="103">
        <v>0</v>
      </c>
      <c r="I206" s="103">
        <v>0</v>
      </c>
      <c r="J206" s="103">
        <v>0</v>
      </c>
      <c r="K206" s="103">
        <v>0</v>
      </c>
      <c r="L206" s="103">
        <v>0</v>
      </c>
      <c r="M206" s="103">
        <v>0</v>
      </c>
    </row>
    <row r="207" spans="1:14" x14ac:dyDescent="0.25">
      <c r="A207" s="306"/>
      <c r="B207" s="323"/>
      <c r="C207" s="21" t="s">
        <v>25</v>
      </c>
      <c r="D207" s="1" t="s">
        <v>7</v>
      </c>
      <c r="E207" s="102">
        <v>0.9787499999999999</v>
      </c>
      <c r="F207" s="102">
        <v>0.9787499999999999</v>
      </c>
      <c r="G207" s="102">
        <v>0.9787499999999999</v>
      </c>
      <c r="H207" s="102">
        <v>0.9787499999999999</v>
      </c>
      <c r="I207" s="102">
        <v>0.9787499999999999</v>
      </c>
      <c r="J207" s="102">
        <v>0.9787499999999999</v>
      </c>
      <c r="K207" s="102">
        <v>0.99150000000000005</v>
      </c>
      <c r="L207" s="102">
        <v>0.99150000000000005</v>
      </c>
      <c r="M207" s="102">
        <v>0.99150000000000005</v>
      </c>
    </row>
    <row r="208" spans="1:14" x14ac:dyDescent="0.25">
      <c r="A208" s="306"/>
      <c r="B208" s="323"/>
      <c r="C208" s="21" t="s">
        <v>26</v>
      </c>
      <c r="D208" s="1" t="s">
        <v>14</v>
      </c>
      <c r="E208" s="103">
        <v>1524.6</v>
      </c>
      <c r="F208" s="103">
        <v>1749.6</v>
      </c>
      <c r="G208" s="103">
        <v>2349.6</v>
      </c>
      <c r="H208" s="103">
        <v>3174.6</v>
      </c>
      <c r="I208" s="103">
        <v>4299.6000000000004</v>
      </c>
      <c r="J208" s="103">
        <v>14213</v>
      </c>
      <c r="K208" s="103">
        <v>21713</v>
      </c>
      <c r="L208" s="103">
        <v>37463</v>
      </c>
      <c r="M208" s="103">
        <v>68963</v>
      </c>
    </row>
    <row r="209" spans="1:13" x14ac:dyDescent="0.25">
      <c r="A209" s="306"/>
      <c r="B209" s="323"/>
      <c r="C209" s="21" t="s">
        <v>27</v>
      </c>
      <c r="D209" s="1" t="s">
        <v>4</v>
      </c>
      <c r="E209" s="102">
        <v>40</v>
      </c>
      <c r="F209" s="102">
        <v>40</v>
      </c>
      <c r="G209" s="102">
        <v>40</v>
      </c>
      <c r="H209" s="102">
        <v>40</v>
      </c>
      <c r="I209" s="102">
        <v>40</v>
      </c>
      <c r="J209" s="102">
        <v>40</v>
      </c>
      <c r="K209" s="102">
        <v>40</v>
      </c>
      <c r="L209" s="102">
        <v>40</v>
      </c>
      <c r="M209" s="102">
        <v>40</v>
      </c>
    </row>
    <row r="210" spans="1:13" x14ac:dyDescent="0.25">
      <c r="A210" s="306"/>
      <c r="B210" s="323"/>
      <c r="C210" s="21" t="s">
        <v>125</v>
      </c>
      <c r="D210" s="1" t="s">
        <v>19</v>
      </c>
      <c r="E210" s="106">
        <v>0.546875</v>
      </c>
      <c r="F210" s="106">
        <v>0.546875</v>
      </c>
      <c r="G210" s="106">
        <v>0.54687499999999989</v>
      </c>
      <c r="H210" s="106">
        <v>0.546875</v>
      </c>
      <c r="I210" s="106">
        <v>0.546875</v>
      </c>
      <c r="J210" s="106">
        <v>0.546875</v>
      </c>
      <c r="K210" s="106">
        <v>0.546875</v>
      </c>
      <c r="L210" s="106">
        <v>0.546875</v>
      </c>
      <c r="M210" s="106">
        <v>0.546875</v>
      </c>
    </row>
    <row r="211" spans="1:13" x14ac:dyDescent="0.25">
      <c r="A211" s="306"/>
      <c r="B211" s="323"/>
      <c r="C211" s="21" t="s">
        <v>126</v>
      </c>
      <c r="D211" s="1" t="s">
        <v>19</v>
      </c>
      <c r="E211" s="102">
        <v>0.64</v>
      </c>
      <c r="F211" s="102">
        <v>0.64</v>
      </c>
      <c r="G211" s="102">
        <v>0.64</v>
      </c>
      <c r="H211" s="102">
        <v>0.64</v>
      </c>
      <c r="I211" s="102">
        <v>0.64</v>
      </c>
      <c r="J211" s="102">
        <v>0.64</v>
      </c>
      <c r="K211" s="102">
        <v>0.64</v>
      </c>
      <c r="L211" s="102">
        <v>0.64</v>
      </c>
      <c r="M211" s="102">
        <v>0.64</v>
      </c>
    </row>
    <row r="212" spans="1:13" x14ac:dyDescent="0.25">
      <c r="A212" s="306"/>
      <c r="B212" s="323"/>
      <c r="C212" s="24" t="s">
        <v>127</v>
      </c>
      <c r="D212" s="1" t="s">
        <v>4</v>
      </c>
      <c r="E212" s="102">
        <v>20</v>
      </c>
      <c r="F212" s="102">
        <v>20</v>
      </c>
      <c r="G212" s="102">
        <v>20</v>
      </c>
      <c r="H212" s="102">
        <v>20</v>
      </c>
      <c r="I212" s="102">
        <v>20</v>
      </c>
      <c r="J212" s="102">
        <v>20</v>
      </c>
      <c r="K212" s="102">
        <v>20</v>
      </c>
      <c r="L212" s="102">
        <v>20</v>
      </c>
      <c r="M212" s="102">
        <v>20</v>
      </c>
    </row>
    <row r="213" spans="1:13" x14ac:dyDescent="0.25">
      <c r="A213" s="306"/>
      <c r="B213" s="323"/>
      <c r="C213" s="24" t="s">
        <v>128</v>
      </c>
      <c r="D213" s="1" t="s">
        <v>6</v>
      </c>
      <c r="E213" s="107">
        <v>912.63080280436907</v>
      </c>
      <c r="F213" s="103">
        <v>888.25988739567981</v>
      </c>
      <c r="G213" s="103">
        <v>823.2707796391752</v>
      </c>
      <c r="H213" s="103">
        <v>733.91075647398134</v>
      </c>
      <c r="I213" s="103">
        <v>612.05617943053505</v>
      </c>
      <c r="J213" s="103">
        <v>521.07142857142856</v>
      </c>
      <c r="K213" s="103">
        <v>521.07142857142856</v>
      </c>
      <c r="L213" s="103">
        <v>521.07142857142856</v>
      </c>
      <c r="M213" s="103">
        <v>521.07142857142856</v>
      </c>
    </row>
    <row r="214" spans="1:13" x14ac:dyDescent="0.25">
      <c r="A214" s="306"/>
      <c r="B214" s="323"/>
      <c r="C214" s="21" t="s">
        <v>179</v>
      </c>
      <c r="D214" s="1" t="s">
        <v>19</v>
      </c>
      <c r="E214" s="104">
        <v>0</v>
      </c>
      <c r="F214" s="104">
        <v>0</v>
      </c>
      <c r="G214" s="104">
        <v>0</v>
      </c>
      <c r="H214" s="104">
        <v>0</v>
      </c>
      <c r="I214" s="104">
        <v>0</v>
      </c>
      <c r="J214" s="104">
        <v>0</v>
      </c>
      <c r="K214" s="104">
        <v>0</v>
      </c>
      <c r="L214" s="104">
        <v>0</v>
      </c>
      <c r="M214" s="104">
        <v>0</v>
      </c>
    </row>
    <row r="215" spans="1:13" x14ac:dyDescent="0.25">
      <c r="A215" s="306"/>
      <c r="B215" s="323"/>
      <c r="C215" s="21" t="s">
        <v>129</v>
      </c>
      <c r="D215" s="1" t="s">
        <v>8</v>
      </c>
      <c r="E215" s="103">
        <v>54.38718703976437</v>
      </c>
      <c r="F215" s="103">
        <v>71.452724594992645</v>
      </c>
      <c r="G215" s="103">
        <v>116.96082474226804</v>
      </c>
      <c r="H215" s="103">
        <v>179.53446244477172</v>
      </c>
      <c r="I215" s="103">
        <v>264.86215022091312</v>
      </c>
      <c r="J215" s="103">
        <v>435.51752577319587</v>
      </c>
      <c r="K215" s="103">
        <v>606.17290132547862</v>
      </c>
      <c r="L215" s="103">
        <v>606.17290132547862</v>
      </c>
      <c r="M215" s="103">
        <v>606.17290132547862</v>
      </c>
    </row>
    <row r="216" spans="1:13" x14ac:dyDescent="0.25">
      <c r="A216" s="306"/>
      <c r="B216" s="323"/>
      <c r="C216" s="21" t="s">
        <v>130</v>
      </c>
      <c r="D216" s="1" t="s">
        <v>9</v>
      </c>
      <c r="E216" s="102"/>
      <c r="F216" s="102"/>
      <c r="G216" s="102"/>
      <c r="H216" s="102"/>
      <c r="I216" s="102"/>
      <c r="J216" s="102"/>
      <c r="K216" s="102"/>
      <c r="L216" s="102"/>
      <c r="M216" s="102"/>
    </row>
    <row r="217" spans="1:13" x14ac:dyDescent="0.25">
      <c r="A217" s="306"/>
      <c r="B217" s="323"/>
      <c r="C217" s="21" t="s">
        <v>131</v>
      </c>
      <c r="D217" s="1" t="s">
        <v>10</v>
      </c>
      <c r="E217" s="102"/>
      <c r="F217" s="102"/>
      <c r="G217" s="102"/>
      <c r="H217" s="102"/>
      <c r="I217" s="102"/>
      <c r="J217" s="102"/>
      <c r="K217" s="102"/>
      <c r="L217" s="102"/>
      <c r="M217" s="102"/>
    </row>
    <row r="218" spans="1:13" ht="18.75" x14ac:dyDescent="0.25">
      <c r="A218" s="306"/>
      <c r="B218" s="323"/>
      <c r="C218" s="53" t="s">
        <v>132</v>
      </c>
      <c r="D218" s="23" t="s">
        <v>17</v>
      </c>
      <c r="E218" s="102"/>
      <c r="F218" s="102"/>
      <c r="G218" s="102"/>
      <c r="H218" s="102"/>
      <c r="I218" s="102"/>
      <c r="J218" s="102"/>
      <c r="K218" s="102"/>
      <c r="L218" s="102"/>
      <c r="M218" s="102"/>
    </row>
    <row r="219" spans="1:13" x14ac:dyDescent="0.25">
      <c r="A219" s="324">
        <v>14</v>
      </c>
      <c r="B219" s="327" t="s">
        <v>181</v>
      </c>
      <c r="C219" s="21" t="s">
        <v>112</v>
      </c>
      <c r="D219" s="1" t="s">
        <v>19</v>
      </c>
      <c r="E219" s="106">
        <v>1</v>
      </c>
      <c r="F219" s="106">
        <v>1</v>
      </c>
      <c r="G219" s="106">
        <v>1</v>
      </c>
      <c r="H219" s="106">
        <v>1</v>
      </c>
      <c r="I219" s="106">
        <v>1</v>
      </c>
      <c r="J219" s="106">
        <v>1</v>
      </c>
      <c r="K219" s="106">
        <v>1</v>
      </c>
      <c r="L219" s="106">
        <v>1</v>
      </c>
      <c r="M219" s="106">
        <v>1</v>
      </c>
    </row>
    <row r="220" spans="1:13" x14ac:dyDescent="0.25">
      <c r="A220" s="325"/>
      <c r="B220" s="328"/>
      <c r="C220" s="21" t="s">
        <v>28</v>
      </c>
      <c r="D220" s="1" t="s">
        <v>19</v>
      </c>
      <c r="E220" s="102">
        <v>0.8</v>
      </c>
      <c r="F220" s="102">
        <v>0.8</v>
      </c>
      <c r="G220" s="102">
        <v>0.8</v>
      </c>
      <c r="H220" s="102">
        <v>0.8</v>
      </c>
      <c r="I220" s="102">
        <v>0.8</v>
      </c>
      <c r="J220" s="102">
        <v>0.8</v>
      </c>
      <c r="K220" s="102">
        <v>0.8</v>
      </c>
      <c r="L220" s="102">
        <v>0.8</v>
      </c>
      <c r="M220" s="102">
        <v>0.8</v>
      </c>
    </row>
    <row r="221" spans="1:13" x14ac:dyDescent="0.25">
      <c r="A221" s="325"/>
      <c r="B221" s="328"/>
      <c r="C221" s="21" t="s">
        <v>29</v>
      </c>
      <c r="D221" s="1" t="s">
        <v>4</v>
      </c>
      <c r="E221" s="102">
        <v>20</v>
      </c>
      <c r="F221" s="102">
        <v>20</v>
      </c>
      <c r="G221" s="102">
        <v>20</v>
      </c>
      <c r="H221" s="102">
        <v>20</v>
      </c>
      <c r="I221" s="102">
        <v>20</v>
      </c>
      <c r="J221" s="102">
        <v>20</v>
      </c>
      <c r="K221" s="102">
        <v>20</v>
      </c>
      <c r="L221" s="102">
        <v>20</v>
      </c>
      <c r="M221" s="102">
        <v>20</v>
      </c>
    </row>
    <row r="222" spans="1:13" x14ac:dyDescent="0.25">
      <c r="A222" s="325"/>
      <c r="B222" s="328"/>
      <c r="C222" s="21" t="s">
        <v>30</v>
      </c>
      <c r="D222" s="1" t="s">
        <v>6</v>
      </c>
      <c r="E222" s="103">
        <v>822.90511868819738</v>
      </c>
      <c r="F222" s="103">
        <v>587.62399482196031</v>
      </c>
      <c r="G222" s="103">
        <v>458.47760255879234</v>
      </c>
      <c r="H222" s="103">
        <v>458.47760255879234</v>
      </c>
      <c r="I222" s="103">
        <v>458.47760255879234</v>
      </c>
      <c r="J222" s="103">
        <v>458.47760255879234</v>
      </c>
      <c r="K222" s="103">
        <v>1133.7480098003448</v>
      </c>
      <c r="L222" s="103">
        <v>986.22674801231153</v>
      </c>
      <c r="M222" s="103">
        <v>866.85752357634294</v>
      </c>
    </row>
    <row r="223" spans="1:13" x14ac:dyDescent="0.25">
      <c r="A223" s="325"/>
      <c r="B223" s="328"/>
      <c r="C223" s="21" t="s">
        <v>174</v>
      </c>
      <c r="D223" s="1" t="s">
        <v>19</v>
      </c>
      <c r="E223" s="104">
        <v>0</v>
      </c>
      <c r="F223" s="104">
        <v>0</v>
      </c>
      <c r="G223" s="104">
        <v>0</v>
      </c>
      <c r="H223" s="104">
        <v>0</v>
      </c>
      <c r="I223" s="104">
        <v>0</v>
      </c>
      <c r="J223" s="104">
        <v>0</v>
      </c>
      <c r="K223" s="104">
        <v>0</v>
      </c>
      <c r="L223" s="104">
        <v>0</v>
      </c>
      <c r="M223" s="104">
        <v>0</v>
      </c>
    </row>
    <row r="224" spans="1:13" x14ac:dyDescent="0.25">
      <c r="A224" s="325"/>
      <c r="B224" s="328"/>
      <c r="C224" s="21" t="s">
        <v>113</v>
      </c>
      <c r="D224" s="1" t="s">
        <v>8</v>
      </c>
      <c r="E224" s="102"/>
      <c r="F224" s="102"/>
      <c r="G224" s="102"/>
      <c r="H224" s="102"/>
      <c r="I224" s="102"/>
      <c r="J224" s="102"/>
      <c r="K224" s="102"/>
      <c r="L224" s="102"/>
      <c r="M224" s="102"/>
    </row>
    <row r="225" spans="1:13" x14ac:dyDescent="0.25">
      <c r="A225" s="325"/>
      <c r="B225" s="328"/>
      <c r="C225" s="21" t="s">
        <v>114</v>
      </c>
      <c r="D225" s="1" t="s">
        <v>9</v>
      </c>
      <c r="E225" s="102"/>
      <c r="F225" s="102"/>
      <c r="G225" s="102"/>
      <c r="H225" s="102"/>
      <c r="I225" s="102"/>
      <c r="J225" s="102"/>
      <c r="K225" s="102"/>
      <c r="L225" s="102"/>
      <c r="M225" s="102"/>
    </row>
    <row r="226" spans="1:13" x14ac:dyDescent="0.25">
      <c r="A226" s="325"/>
      <c r="B226" s="328"/>
      <c r="C226" s="21" t="s">
        <v>115</v>
      </c>
      <c r="D226" s="1" t="s">
        <v>10</v>
      </c>
      <c r="E226" s="103">
        <v>0</v>
      </c>
      <c r="F226" s="103">
        <v>0</v>
      </c>
      <c r="G226" s="103">
        <v>0</v>
      </c>
      <c r="H226" s="103">
        <v>0</v>
      </c>
      <c r="I226" s="103">
        <v>0</v>
      </c>
      <c r="J226" s="103">
        <v>0</v>
      </c>
      <c r="K226" s="103">
        <v>2.085E-3</v>
      </c>
      <c r="L226" s="103">
        <v>2.085E-3</v>
      </c>
      <c r="M226" s="103">
        <v>2.085E-3</v>
      </c>
    </row>
    <row r="227" spans="1:13" ht="18.75" x14ac:dyDescent="0.25">
      <c r="A227" s="325"/>
      <c r="B227" s="328"/>
      <c r="C227" s="22" t="s">
        <v>116</v>
      </c>
      <c r="D227" s="23" t="s">
        <v>17</v>
      </c>
      <c r="E227" s="103">
        <v>0</v>
      </c>
      <c r="F227" s="103">
        <v>0</v>
      </c>
      <c r="G227" s="103">
        <v>0</v>
      </c>
      <c r="H227" s="103">
        <v>0</v>
      </c>
      <c r="I227" s="103">
        <v>0</v>
      </c>
      <c r="J227" s="103">
        <v>0</v>
      </c>
      <c r="K227" s="103">
        <v>0</v>
      </c>
      <c r="L227" s="103">
        <v>0</v>
      </c>
      <c r="M227" s="103">
        <v>0</v>
      </c>
    </row>
    <row r="228" spans="1:13" x14ac:dyDescent="0.25">
      <c r="A228" s="325"/>
      <c r="B228" s="328"/>
      <c r="C228" s="22" t="s">
        <v>31</v>
      </c>
      <c r="D228" s="23" t="s">
        <v>10</v>
      </c>
      <c r="E228" s="103">
        <v>0</v>
      </c>
      <c r="F228" s="103">
        <v>0</v>
      </c>
      <c r="G228" s="103">
        <v>0</v>
      </c>
      <c r="H228" s="103">
        <v>0</v>
      </c>
      <c r="I228" s="103">
        <v>0</v>
      </c>
      <c r="J228" s="103">
        <v>0</v>
      </c>
      <c r="K228" s="103">
        <v>0</v>
      </c>
      <c r="L228" s="103">
        <v>0</v>
      </c>
      <c r="M228" s="103">
        <v>0</v>
      </c>
    </row>
    <row r="229" spans="1:13" x14ac:dyDescent="0.25">
      <c r="A229" s="325"/>
      <c r="B229" s="328"/>
      <c r="C229" s="21" t="s">
        <v>32</v>
      </c>
      <c r="D229" s="2" t="s">
        <v>19</v>
      </c>
      <c r="E229" s="102">
        <v>3.33</v>
      </c>
      <c r="F229" s="102">
        <v>3.33</v>
      </c>
      <c r="G229" s="102">
        <v>3.33</v>
      </c>
      <c r="H229" s="102">
        <v>3.33</v>
      </c>
      <c r="I229" s="102">
        <v>3.33</v>
      </c>
      <c r="J229" s="102">
        <v>3.33</v>
      </c>
      <c r="K229" s="102">
        <v>3.33</v>
      </c>
      <c r="L229" s="102">
        <v>3.33</v>
      </c>
      <c r="M229" s="102">
        <v>3.33</v>
      </c>
    </row>
    <row r="230" spans="1:13" x14ac:dyDescent="0.25">
      <c r="A230" s="325"/>
      <c r="B230" s="328"/>
      <c r="C230" s="21" t="s">
        <v>33</v>
      </c>
      <c r="D230" s="2" t="s">
        <v>14</v>
      </c>
      <c r="E230" s="102"/>
      <c r="F230" s="102"/>
      <c r="G230" s="102"/>
      <c r="H230" s="102"/>
      <c r="I230" s="102"/>
      <c r="J230" s="102"/>
      <c r="K230" s="102"/>
      <c r="L230" s="102"/>
      <c r="M230" s="102"/>
    </row>
    <row r="231" spans="1:13" x14ac:dyDescent="0.25">
      <c r="A231" s="325"/>
      <c r="B231" s="328"/>
      <c r="C231" s="21" t="s">
        <v>34</v>
      </c>
      <c r="D231" s="2" t="s">
        <v>4</v>
      </c>
      <c r="E231" s="102"/>
      <c r="F231" s="102"/>
      <c r="G231" s="102"/>
      <c r="H231" s="102"/>
      <c r="I231" s="102"/>
      <c r="J231" s="102"/>
      <c r="K231" s="102"/>
      <c r="L231" s="102"/>
      <c r="M231" s="102"/>
    </row>
    <row r="232" spans="1:13" x14ac:dyDescent="0.25">
      <c r="A232" s="325"/>
      <c r="B232" s="328"/>
      <c r="C232" s="21" t="s">
        <v>125</v>
      </c>
      <c r="D232" s="1" t="s">
        <v>19</v>
      </c>
      <c r="E232" s="106">
        <v>0.3125</v>
      </c>
      <c r="F232" s="106">
        <v>0.3125</v>
      </c>
      <c r="G232" s="106">
        <v>0.3125</v>
      </c>
      <c r="H232" s="106">
        <v>0.3125</v>
      </c>
      <c r="I232" s="106">
        <v>0.3125</v>
      </c>
      <c r="J232" s="106">
        <v>0.3125</v>
      </c>
      <c r="K232" s="106">
        <v>0.3125</v>
      </c>
      <c r="L232" s="106">
        <v>0.3125</v>
      </c>
      <c r="M232" s="106">
        <v>0.3125</v>
      </c>
    </row>
    <row r="233" spans="1:13" x14ac:dyDescent="0.25">
      <c r="A233" s="325"/>
      <c r="B233" s="328"/>
      <c r="C233" s="21" t="s">
        <v>126</v>
      </c>
      <c r="D233" s="1" t="s">
        <v>19</v>
      </c>
      <c r="E233" s="102">
        <v>0.64</v>
      </c>
      <c r="F233" s="102">
        <v>0.64</v>
      </c>
      <c r="G233" s="102">
        <v>0.64</v>
      </c>
      <c r="H233" s="102">
        <v>0.64</v>
      </c>
      <c r="I233" s="102">
        <v>0.64</v>
      </c>
      <c r="J233" s="102">
        <v>0.64</v>
      </c>
      <c r="K233" s="102">
        <v>0.64</v>
      </c>
      <c r="L233" s="102">
        <v>0.64</v>
      </c>
      <c r="M233" s="102">
        <v>0.64</v>
      </c>
    </row>
    <row r="234" spans="1:13" x14ac:dyDescent="0.25">
      <c r="A234" s="325"/>
      <c r="B234" s="328"/>
      <c r="C234" s="24" t="s">
        <v>127</v>
      </c>
      <c r="D234" s="1" t="s">
        <v>4</v>
      </c>
      <c r="E234" s="102">
        <v>20</v>
      </c>
      <c r="F234" s="102">
        <v>20</v>
      </c>
      <c r="G234" s="102">
        <v>20</v>
      </c>
      <c r="H234" s="102">
        <v>20</v>
      </c>
      <c r="I234" s="102">
        <v>20</v>
      </c>
      <c r="J234" s="102">
        <v>20</v>
      </c>
      <c r="K234" s="102">
        <v>20</v>
      </c>
      <c r="L234" s="102">
        <v>20</v>
      </c>
      <c r="M234" s="102">
        <v>20</v>
      </c>
    </row>
    <row r="235" spans="1:13" x14ac:dyDescent="0.25">
      <c r="A235" s="325"/>
      <c r="B235" s="328"/>
      <c r="C235" s="24" t="s">
        <v>128</v>
      </c>
      <c r="D235" s="1" t="s">
        <v>6</v>
      </c>
      <c r="E235" s="107">
        <v>923.0754808366645</v>
      </c>
      <c r="F235" s="107">
        <v>909.14924346027067</v>
      </c>
      <c r="G235" s="107">
        <v>872.01261045655372</v>
      </c>
      <c r="H235" s="107">
        <v>820.94974007644282</v>
      </c>
      <c r="I235" s="107">
        <v>751.31855319447357</v>
      </c>
      <c r="J235" s="107">
        <v>612.05617943053505</v>
      </c>
      <c r="K235" s="107">
        <v>521.07142857142856</v>
      </c>
      <c r="L235" s="107">
        <v>521.07142857142856</v>
      </c>
      <c r="M235" s="107">
        <v>521.07142857142856</v>
      </c>
    </row>
    <row r="236" spans="1:13" x14ac:dyDescent="0.25">
      <c r="A236" s="325"/>
      <c r="B236" s="328"/>
      <c r="C236" s="24" t="s">
        <v>179</v>
      </c>
      <c r="D236" s="1" t="s">
        <v>19</v>
      </c>
      <c r="E236" s="104">
        <v>0</v>
      </c>
      <c r="F236" s="104">
        <v>0</v>
      </c>
      <c r="G236" s="104">
        <v>0</v>
      </c>
      <c r="H236" s="104">
        <v>0</v>
      </c>
      <c r="I236" s="104">
        <v>0</v>
      </c>
      <c r="J236" s="104">
        <v>0</v>
      </c>
      <c r="K236" s="104">
        <v>0</v>
      </c>
      <c r="L236" s="104">
        <v>0</v>
      </c>
      <c r="M236" s="104">
        <v>0</v>
      </c>
    </row>
    <row r="237" spans="1:13" x14ac:dyDescent="0.25">
      <c r="A237" s="325"/>
      <c r="B237" s="328"/>
      <c r="C237" s="21" t="s">
        <v>129</v>
      </c>
      <c r="D237" s="1" t="s">
        <v>8</v>
      </c>
      <c r="E237" s="103">
        <v>54.38718703976437</v>
      </c>
      <c r="F237" s="103">
        <v>71.452724594992645</v>
      </c>
      <c r="G237" s="103">
        <v>116.96082474226804</v>
      </c>
      <c r="H237" s="103">
        <v>179.53446244477172</v>
      </c>
      <c r="I237" s="103">
        <v>264.86215022091312</v>
      </c>
      <c r="J237" s="103">
        <v>435.51752577319587</v>
      </c>
      <c r="K237" s="103">
        <v>606.17290132547862</v>
      </c>
      <c r="L237" s="103">
        <v>606.17290132547862</v>
      </c>
      <c r="M237" s="103">
        <v>606.17290132547862</v>
      </c>
    </row>
    <row r="238" spans="1:13" x14ac:dyDescent="0.25">
      <c r="A238" s="325"/>
      <c r="B238" s="328"/>
      <c r="C238" s="21" t="s">
        <v>130</v>
      </c>
      <c r="D238" s="1" t="s">
        <v>9</v>
      </c>
      <c r="E238" s="102"/>
      <c r="F238" s="102"/>
      <c r="G238" s="102"/>
      <c r="H238" s="102"/>
      <c r="I238" s="102"/>
      <c r="J238" s="102"/>
      <c r="K238" s="102"/>
      <c r="L238" s="102"/>
      <c r="M238" s="102"/>
    </row>
    <row r="239" spans="1:13" x14ac:dyDescent="0.25">
      <c r="A239" s="325"/>
      <c r="B239" s="328"/>
      <c r="C239" s="21" t="s">
        <v>131</v>
      </c>
      <c r="D239" s="1" t="s">
        <v>10</v>
      </c>
      <c r="E239" s="102"/>
      <c r="F239" s="102"/>
      <c r="G239" s="102"/>
      <c r="H239" s="102"/>
      <c r="I239" s="102"/>
      <c r="J239" s="102"/>
      <c r="K239" s="102"/>
      <c r="L239" s="102"/>
      <c r="M239" s="102"/>
    </row>
    <row r="240" spans="1:13" ht="18.75" x14ac:dyDescent="0.25">
      <c r="A240" s="326"/>
      <c r="B240" s="329"/>
      <c r="C240" s="53" t="s">
        <v>132</v>
      </c>
      <c r="D240" s="23" t="s">
        <v>17</v>
      </c>
      <c r="E240" s="102"/>
      <c r="F240" s="102"/>
      <c r="G240" s="102"/>
      <c r="H240" s="102"/>
      <c r="I240" s="102"/>
      <c r="J240" s="102"/>
      <c r="K240" s="102"/>
      <c r="L240" s="102"/>
      <c r="M240" s="102"/>
    </row>
    <row r="241" spans="1:13" x14ac:dyDescent="0.25">
      <c r="A241" s="324">
        <v>15</v>
      </c>
      <c r="B241" s="327" t="s">
        <v>182</v>
      </c>
      <c r="C241" s="21" t="s">
        <v>112</v>
      </c>
      <c r="D241" s="1" t="s">
        <v>19</v>
      </c>
      <c r="E241" s="106">
        <v>1</v>
      </c>
      <c r="F241" s="106">
        <v>1</v>
      </c>
      <c r="G241" s="106">
        <v>1</v>
      </c>
      <c r="H241" s="106">
        <v>1</v>
      </c>
      <c r="I241" s="106">
        <v>1</v>
      </c>
      <c r="J241" s="106">
        <v>1</v>
      </c>
      <c r="K241" s="106">
        <v>1</v>
      </c>
      <c r="L241" s="106">
        <v>1</v>
      </c>
      <c r="M241" s="106">
        <v>1</v>
      </c>
    </row>
    <row r="242" spans="1:13" x14ac:dyDescent="0.25">
      <c r="A242" s="325"/>
      <c r="B242" s="328"/>
      <c r="C242" s="21" t="s">
        <v>28</v>
      </c>
      <c r="D242" s="1" t="s">
        <v>19</v>
      </c>
      <c r="E242" s="102">
        <v>0.65</v>
      </c>
      <c r="F242" s="102">
        <v>0.65</v>
      </c>
      <c r="G242" s="102">
        <v>0.65</v>
      </c>
      <c r="H242" s="102">
        <v>0.65</v>
      </c>
      <c r="I242" s="102">
        <v>0.65</v>
      </c>
      <c r="J242" s="102">
        <v>0.65</v>
      </c>
      <c r="K242" s="102">
        <v>0.65</v>
      </c>
      <c r="L242" s="102">
        <v>0.65</v>
      </c>
      <c r="M242" s="102">
        <v>0.65</v>
      </c>
    </row>
    <row r="243" spans="1:13" x14ac:dyDescent="0.25">
      <c r="A243" s="325"/>
      <c r="B243" s="328"/>
      <c r="C243" s="21" t="s">
        <v>29</v>
      </c>
      <c r="D243" s="1" t="s">
        <v>4</v>
      </c>
      <c r="E243" s="102">
        <v>20</v>
      </c>
      <c r="F243" s="102">
        <v>20</v>
      </c>
      <c r="G243" s="102">
        <v>20</v>
      </c>
      <c r="H243" s="102">
        <v>20</v>
      </c>
      <c r="I243" s="102">
        <v>20</v>
      </c>
      <c r="J243" s="102">
        <v>20</v>
      </c>
      <c r="K243" s="102">
        <v>20</v>
      </c>
      <c r="L243" s="102">
        <v>20</v>
      </c>
      <c r="M243" s="102">
        <v>20</v>
      </c>
    </row>
    <row r="244" spans="1:13" x14ac:dyDescent="0.25">
      <c r="A244" s="325"/>
      <c r="B244" s="328"/>
      <c r="C244" s="21" t="s">
        <v>30</v>
      </c>
      <c r="D244" s="1" t="s">
        <v>6</v>
      </c>
      <c r="E244" s="103">
        <v>822.90511868819738</v>
      </c>
      <c r="F244" s="103">
        <v>587.62399482196031</v>
      </c>
      <c r="G244" s="103">
        <v>458.47760255879234</v>
      </c>
      <c r="H244" s="103">
        <v>458.47760255879234</v>
      </c>
      <c r="I244" s="103">
        <v>458.47760255879234</v>
      </c>
      <c r="J244" s="103">
        <v>458.47760255879234</v>
      </c>
      <c r="K244" s="103">
        <v>1133.7480098003448</v>
      </c>
      <c r="L244" s="103">
        <v>986.22674801231153</v>
      </c>
      <c r="M244" s="103">
        <v>866.85752357634294</v>
      </c>
    </row>
    <row r="245" spans="1:13" x14ac:dyDescent="0.25">
      <c r="A245" s="325"/>
      <c r="B245" s="328"/>
      <c r="C245" s="21" t="s">
        <v>174</v>
      </c>
      <c r="D245" s="1" t="s">
        <v>19</v>
      </c>
      <c r="E245" s="104">
        <v>0</v>
      </c>
      <c r="F245" s="104">
        <v>0</v>
      </c>
      <c r="G245" s="104">
        <v>0</v>
      </c>
      <c r="H245" s="104">
        <v>0</v>
      </c>
      <c r="I245" s="104">
        <v>0</v>
      </c>
      <c r="J245" s="104">
        <v>0</v>
      </c>
      <c r="K245" s="104">
        <v>0</v>
      </c>
      <c r="L245" s="104">
        <v>0</v>
      </c>
      <c r="M245" s="104">
        <v>0</v>
      </c>
    </row>
    <row r="246" spans="1:13" x14ac:dyDescent="0.25">
      <c r="A246" s="325"/>
      <c r="B246" s="328"/>
      <c r="C246" s="21" t="s">
        <v>113</v>
      </c>
      <c r="D246" s="1" t="s">
        <v>8</v>
      </c>
      <c r="E246" s="102"/>
      <c r="F246" s="102"/>
      <c r="G246" s="102"/>
      <c r="H246" s="102"/>
      <c r="I246" s="102"/>
      <c r="J246" s="102"/>
      <c r="K246" s="102"/>
      <c r="L246" s="102"/>
      <c r="M246" s="102"/>
    </row>
    <row r="247" spans="1:13" x14ac:dyDescent="0.25">
      <c r="A247" s="325"/>
      <c r="B247" s="328"/>
      <c r="C247" s="21" t="s">
        <v>114</v>
      </c>
      <c r="D247" s="1" t="s">
        <v>9</v>
      </c>
      <c r="E247" s="102"/>
      <c r="F247" s="102"/>
      <c r="G247" s="102"/>
      <c r="H247" s="102"/>
      <c r="I247" s="102"/>
      <c r="J247" s="102"/>
      <c r="K247" s="102"/>
      <c r="L247" s="102"/>
      <c r="M247" s="102"/>
    </row>
    <row r="248" spans="1:13" x14ac:dyDescent="0.25">
      <c r="A248" s="325"/>
      <c r="B248" s="328"/>
      <c r="C248" s="21" t="s">
        <v>115</v>
      </c>
      <c r="D248" s="1" t="s">
        <v>10</v>
      </c>
      <c r="E248" s="103">
        <v>0</v>
      </c>
      <c r="F248" s="103">
        <v>0</v>
      </c>
      <c r="G248" s="103">
        <v>0</v>
      </c>
      <c r="H248" s="103">
        <v>0</v>
      </c>
      <c r="I248" s="103">
        <v>0</v>
      </c>
      <c r="J248" s="103">
        <v>0</v>
      </c>
      <c r="K248" s="103">
        <v>2.085E-3</v>
      </c>
      <c r="L248" s="103">
        <v>2.085E-3</v>
      </c>
      <c r="M248" s="103">
        <v>2.085E-3</v>
      </c>
    </row>
    <row r="249" spans="1:13" ht="18.75" x14ac:dyDescent="0.25">
      <c r="A249" s="325"/>
      <c r="B249" s="328"/>
      <c r="C249" s="22" t="s">
        <v>116</v>
      </c>
      <c r="D249" s="23" t="s">
        <v>17</v>
      </c>
      <c r="E249" s="103">
        <v>0</v>
      </c>
      <c r="F249" s="103">
        <v>0</v>
      </c>
      <c r="G249" s="103">
        <v>0</v>
      </c>
      <c r="H249" s="103">
        <v>0</v>
      </c>
      <c r="I249" s="103">
        <v>0</v>
      </c>
      <c r="J249" s="103">
        <v>0</v>
      </c>
      <c r="K249" s="103">
        <v>0</v>
      </c>
      <c r="L249" s="103">
        <v>0</v>
      </c>
      <c r="M249" s="103">
        <v>0</v>
      </c>
    </row>
    <row r="250" spans="1:13" x14ac:dyDescent="0.25">
      <c r="A250" s="325"/>
      <c r="B250" s="328"/>
      <c r="C250" s="22" t="s">
        <v>31</v>
      </c>
      <c r="D250" s="23" t="s">
        <v>10</v>
      </c>
      <c r="E250" s="103">
        <v>0</v>
      </c>
      <c r="F250" s="103">
        <v>0</v>
      </c>
      <c r="G250" s="103">
        <v>0</v>
      </c>
      <c r="H250" s="103">
        <v>0</v>
      </c>
      <c r="I250" s="103">
        <v>0</v>
      </c>
      <c r="J250" s="103">
        <v>0</v>
      </c>
      <c r="K250" s="103">
        <v>0</v>
      </c>
      <c r="L250" s="103">
        <v>0</v>
      </c>
      <c r="M250" s="103">
        <v>0</v>
      </c>
    </row>
    <row r="251" spans="1:13" x14ac:dyDescent="0.25">
      <c r="A251" s="325"/>
      <c r="B251" s="328"/>
      <c r="C251" s="21" t="s">
        <v>32</v>
      </c>
      <c r="D251" s="2" t="s">
        <v>19</v>
      </c>
      <c r="E251" s="102">
        <v>3.33</v>
      </c>
      <c r="F251" s="102">
        <v>3.33</v>
      </c>
      <c r="G251" s="102">
        <v>3.33</v>
      </c>
      <c r="H251" s="102">
        <v>3.33</v>
      </c>
      <c r="I251" s="102">
        <v>3.33</v>
      </c>
      <c r="J251" s="102">
        <v>3.33</v>
      </c>
      <c r="K251" s="102">
        <v>3.33</v>
      </c>
      <c r="L251" s="102">
        <v>3.33</v>
      </c>
      <c r="M251" s="102">
        <v>3.33</v>
      </c>
    </row>
    <row r="252" spans="1:13" x14ac:dyDescent="0.25">
      <c r="A252" s="325"/>
      <c r="B252" s="328"/>
      <c r="C252" s="21" t="s">
        <v>33</v>
      </c>
      <c r="D252" s="2" t="s">
        <v>14</v>
      </c>
      <c r="E252" s="102"/>
      <c r="F252" s="102"/>
      <c r="G252" s="102"/>
      <c r="H252" s="102"/>
      <c r="I252" s="102"/>
      <c r="J252" s="102"/>
      <c r="K252" s="102"/>
      <c r="L252" s="102"/>
      <c r="M252" s="102"/>
    </row>
    <row r="253" spans="1:13" x14ac:dyDescent="0.25">
      <c r="A253" s="325"/>
      <c r="B253" s="328"/>
      <c r="C253" s="21" t="s">
        <v>34</v>
      </c>
      <c r="D253" s="2" t="s">
        <v>4</v>
      </c>
      <c r="E253" s="102"/>
      <c r="F253" s="102"/>
      <c r="G253" s="102"/>
      <c r="H253" s="102"/>
      <c r="I253" s="102"/>
      <c r="J253" s="102"/>
      <c r="K253" s="102"/>
      <c r="L253" s="102"/>
      <c r="M253" s="102"/>
    </row>
    <row r="254" spans="1:13" x14ac:dyDescent="0.25">
      <c r="A254" s="325"/>
      <c r="B254" s="328"/>
      <c r="C254" s="21" t="s">
        <v>125</v>
      </c>
      <c r="D254" s="1" t="s">
        <v>19</v>
      </c>
      <c r="E254" s="106">
        <v>0.546875</v>
      </c>
      <c r="F254" s="106">
        <v>0.546875</v>
      </c>
      <c r="G254" s="106">
        <v>0.54687499999999989</v>
      </c>
      <c r="H254" s="106">
        <v>0.546875</v>
      </c>
      <c r="I254" s="106">
        <v>0.546875</v>
      </c>
      <c r="J254" s="106">
        <v>0.546875</v>
      </c>
      <c r="K254" s="106">
        <v>0.546875</v>
      </c>
      <c r="L254" s="106">
        <v>0.546875</v>
      </c>
      <c r="M254" s="106">
        <v>0.546875</v>
      </c>
    </row>
    <row r="255" spans="1:13" x14ac:dyDescent="0.25">
      <c r="A255" s="325"/>
      <c r="B255" s="328"/>
      <c r="C255" s="21" t="s">
        <v>126</v>
      </c>
      <c r="D255" s="1" t="s">
        <v>19</v>
      </c>
      <c r="E255" s="102">
        <v>0.64</v>
      </c>
      <c r="F255" s="102">
        <v>0.64</v>
      </c>
      <c r="G255" s="102">
        <v>0.64</v>
      </c>
      <c r="H255" s="102">
        <v>0.64</v>
      </c>
      <c r="I255" s="102">
        <v>0.64</v>
      </c>
      <c r="J255" s="102">
        <v>0.64</v>
      </c>
      <c r="K255" s="102">
        <v>0.64</v>
      </c>
      <c r="L255" s="102">
        <v>0.64</v>
      </c>
      <c r="M255" s="102">
        <v>0.64</v>
      </c>
    </row>
    <row r="256" spans="1:13" x14ac:dyDescent="0.25">
      <c r="A256" s="325"/>
      <c r="B256" s="328"/>
      <c r="C256" s="24" t="s">
        <v>127</v>
      </c>
      <c r="D256" s="1" t="s">
        <v>4</v>
      </c>
      <c r="E256" s="102">
        <v>20</v>
      </c>
      <c r="F256" s="102">
        <v>20</v>
      </c>
      <c r="G256" s="102">
        <v>20</v>
      </c>
      <c r="H256" s="102">
        <v>20</v>
      </c>
      <c r="I256" s="102">
        <v>20</v>
      </c>
      <c r="J256" s="102">
        <v>20</v>
      </c>
      <c r="K256" s="102">
        <v>20</v>
      </c>
      <c r="L256" s="102">
        <v>20</v>
      </c>
      <c r="M256" s="102">
        <v>20</v>
      </c>
    </row>
    <row r="257" spans="1:13" x14ac:dyDescent="0.25">
      <c r="A257" s="325"/>
      <c r="B257" s="328"/>
      <c r="C257" s="24" t="s">
        <v>128</v>
      </c>
      <c r="D257" s="1" t="s">
        <v>6</v>
      </c>
      <c r="E257" s="107">
        <v>912.63080280436907</v>
      </c>
      <c r="F257" s="107">
        <v>888.25988739567981</v>
      </c>
      <c r="G257" s="107">
        <v>823.2707796391752</v>
      </c>
      <c r="H257" s="107">
        <v>733.91075647398134</v>
      </c>
      <c r="I257" s="107">
        <v>612.05617943053505</v>
      </c>
      <c r="J257" s="107">
        <v>521.07142857142856</v>
      </c>
      <c r="K257" s="107">
        <v>521.07142857142856</v>
      </c>
      <c r="L257" s="107">
        <v>521.07142857142856</v>
      </c>
      <c r="M257" s="107">
        <v>521.07142857142856</v>
      </c>
    </row>
    <row r="258" spans="1:13" x14ac:dyDescent="0.25">
      <c r="A258" s="325"/>
      <c r="B258" s="328"/>
      <c r="C258" s="24" t="s">
        <v>179</v>
      </c>
      <c r="D258" s="1" t="s">
        <v>19</v>
      </c>
      <c r="E258" s="104">
        <v>0</v>
      </c>
      <c r="F258" s="104">
        <v>0</v>
      </c>
      <c r="G258" s="104">
        <v>0</v>
      </c>
      <c r="H258" s="104">
        <v>0</v>
      </c>
      <c r="I258" s="104">
        <v>0</v>
      </c>
      <c r="J258" s="104">
        <v>0</v>
      </c>
      <c r="K258" s="104">
        <v>0</v>
      </c>
      <c r="L258" s="104">
        <v>0</v>
      </c>
      <c r="M258" s="104">
        <v>0</v>
      </c>
    </row>
    <row r="259" spans="1:13" x14ac:dyDescent="0.25">
      <c r="A259" s="325"/>
      <c r="B259" s="328"/>
      <c r="C259" s="21" t="s">
        <v>129</v>
      </c>
      <c r="D259" s="1" t="s">
        <v>8</v>
      </c>
      <c r="E259" s="103">
        <v>54.38718703976437</v>
      </c>
      <c r="F259" s="103">
        <v>71.452724594992645</v>
      </c>
      <c r="G259" s="103">
        <v>116.96082474226804</v>
      </c>
      <c r="H259" s="103">
        <v>179.53446244477172</v>
      </c>
      <c r="I259" s="103">
        <v>264.86215022091312</v>
      </c>
      <c r="J259" s="103">
        <v>435.51752577319587</v>
      </c>
      <c r="K259" s="103">
        <v>606.17290132547862</v>
      </c>
      <c r="L259" s="103">
        <v>606.17290132547862</v>
      </c>
      <c r="M259" s="103">
        <v>606.17290132547862</v>
      </c>
    </row>
    <row r="260" spans="1:13" x14ac:dyDescent="0.25">
      <c r="A260" s="325"/>
      <c r="B260" s="328"/>
      <c r="C260" s="21" t="s">
        <v>130</v>
      </c>
      <c r="D260" s="1" t="s">
        <v>9</v>
      </c>
      <c r="E260" s="102"/>
      <c r="F260" s="102"/>
      <c r="G260" s="102"/>
      <c r="H260" s="102"/>
      <c r="I260" s="102"/>
      <c r="J260" s="102"/>
      <c r="K260" s="102"/>
      <c r="L260" s="102"/>
      <c r="M260" s="102"/>
    </row>
    <row r="261" spans="1:13" x14ac:dyDescent="0.25">
      <c r="A261" s="325"/>
      <c r="B261" s="328"/>
      <c r="C261" s="21" t="s">
        <v>131</v>
      </c>
      <c r="D261" s="1" t="s">
        <v>10</v>
      </c>
      <c r="E261" s="102"/>
      <c r="F261" s="102"/>
      <c r="G261" s="102"/>
      <c r="H261" s="102"/>
      <c r="I261" s="102"/>
      <c r="J261" s="102"/>
      <c r="K261" s="102"/>
      <c r="L261" s="102"/>
      <c r="M261" s="102"/>
    </row>
    <row r="262" spans="1:13" ht="18.75" x14ac:dyDescent="0.25">
      <c r="A262" s="326"/>
      <c r="B262" s="329"/>
      <c r="C262" s="53" t="s">
        <v>132</v>
      </c>
      <c r="D262" s="23" t="s">
        <v>17</v>
      </c>
      <c r="E262" s="102"/>
      <c r="F262" s="102"/>
      <c r="G262" s="102"/>
      <c r="H262" s="102"/>
      <c r="I262" s="102"/>
      <c r="J262" s="102"/>
      <c r="K262" s="102"/>
      <c r="L262" s="102"/>
      <c r="M262" s="102"/>
    </row>
    <row r="263" spans="1:13" x14ac:dyDescent="0.25">
      <c r="A263" s="306">
        <v>16</v>
      </c>
      <c r="B263" s="323" t="s">
        <v>156</v>
      </c>
      <c r="C263" s="21" t="s">
        <v>101</v>
      </c>
      <c r="D263" s="1" t="s">
        <v>4</v>
      </c>
      <c r="E263" s="102">
        <v>40</v>
      </c>
      <c r="F263" s="102">
        <v>40</v>
      </c>
      <c r="G263" s="102">
        <v>40</v>
      </c>
      <c r="H263" s="102">
        <v>40</v>
      </c>
      <c r="I263" s="102">
        <v>40</v>
      </c>
      <c r="J263" s="102">
        <v>40</v>
      </c>
      <c r="K263" s="102">
        <v>40</v>
      </c>
      <c r="L263" s="102">
        <v>40</v>
      </c>
      <c r="M263" s="102">
        <v>40</v>
      </c>
    </row>
    <row r="264" spans="1:13" x14ac:dyDescent="0.25">
      <c r="A264" s="306"/>
      <c r="B264" s="323"/>
      <c r="C264" s="21" t="s">
        <v>5</v>
      </c>
      <c r="D264" s="1" t="s">
        <v>6</v>
      </c>
      <c r="E264" s="103">
        <v>300</v>
      </c>
      <c r="F264" s="103">
        <v>183.33333333333334</v>
      </c>
      <c r="G264" s="103">
        <v>100</v>
      </c>
      <c r="H264" s="103">
        <v>76</v>
      </c>
      <c r="I264" s="103">
        <v>60</v>
      </c>
      <c r="J264" s="103">
        <v>42.857142857142854</v>
      </c>
      <c r="K264" s="103">
        <v>27.058823529411764</v>
      </c>
      <c r="L264" s="103">
        <v>18.421052631578949</v>
      </c>
      <c r="M264" s="103">
        <v>13.75</v>
      </c>
    </row>
    <row r="265" spans="1:13" x14ac:dyDescent="0.25">
      <c r="A265" s="306"/>
      <c r="B265" s="323"/>
      <c r="C265" s="21" t="s">
        <v>172</v>
      </c>
      <c r="D265" s="1" t="s">
        <v>19</v>
      </c>
      <c r="E265" s="104">
        <v>0</v>
      </c>
      <c r="F265" s="104">
        <v>0</v>
      </c>
      <c r="G265" s="104">
        <v>0</v>
      </c>
      <c r="H265" s="104">
        <v>0</v>
      </c>
      <c r="I265" s="104">
        <v>0</v>
      </c>
      <c r="J265" s="104">
        <v>0</v>
      </c>
      <c r="K265" s="104">
        <v>0</v>
      </c>
      <c r="L265" s="104">
        <v>0</v>
      </c>
      <c r="M265" s="104">
        <v>0</v>
      </c>
    </row>
    <row r="266" spans="1:13" x14ac:dyDescent="0.25">
      <c r="A266" s="306"/>
      <c r="B266" s="323"/>
      <c r="C266" s="21" t="s">
        <v>102</v>
      </c>
      <c r="D266" s="1" t="s">
        <v>8</v>
      </c>
      <c r="E266" s="103">
        <v>0</v>
      </c>
      <c r="F266" s="103">
        <v>0</v>
      </c>
      <c r="G266" s="103">
        <v>0</v>
      </c>
      <c r="H266" s="103">
        <v>0</v>
      </c>
      <c r="I266" s="103">
        <v>0</v>
      </c>
      <c r="J266" s="103">
        <v>0</v>
      </c>
      <c r="K266" s="103">
        <v>0</v>
      </c>
      <c r="L266" s="103">
        <v>0</v>
      </c>
      <c r="M266" s="103">
        <v>0</v>
      </c>
    </row>
    <row r="267" spans="1:13" x14ac:dyDescent="0.25">
      <c r="A267" s="306"/>
      <c r="B267" s="323"/>
      <c r="C267" s="21" t="s">
        <v>103</v>
      </c>
      <c r="D267" s="1" t="s">
        <v>9</v>
      </c>
      <c r="E267" s="102"/>
      <c r="F267" s="102"/>
      <c r="G267" s="102"/>
      <c r="H267" s="102"/>
      <c r="I267" s="102"/>
      <c r="J267" s="102"/>
      <c r="K267" s="102"/>
      <c r="L267" s="102"/>
      <c r="M267" s="102"/>
    </row>
    <row r="268" spans="1:13" x14ac:dyDescent="0.25">
      <c r="A268" s="306"/>
      <c r="B268" s="323"/>
      <c r="C268" s="21" t="s">
        <v>104</v>
      </c>
      <c r="D268" s="1" t="s">
        <v>10</v>
      </c>
      <c r="E268" s="102"/>
      <c r="F268" s="102"/>
      <c r="G268" s="102"/>
      <c r="H268" s="102"/>
      <c r="I268" s="102"/>
      <c r="J268" s="102"/>
      <c r="K268" s="102"/>
      <c r="L268" s="102"/>
      <c r="M268" s="102"/>
    </row>
    <row r="269" spans="1:13" x14ac:dyDescent="0.25">
      <c r="A269" s="306"/>
      <c r="B269" s="323"/>
      <c r="C269" s="22" t="s">
        <v>11</v>
      </c>
      <c r="D269" s="23" t="s">
        <v>10</v>
      </c>
      <c r="E269" s="102"/>
      <c r="F269" s="102"/>
      <c r="G269" s="102"/>
      <c r="H269" s="102"/>
      <c r="I269" s="102"/>
      <c r="J269" s="102"/>
      <c r="K269" s="102"/>
      <c r="L269" s="102"/>
      <c r="M269" s="102"/>
    </row>
    <row r="270" spans="1:13" x14ac:dyDescent="0.25">
      <c r="A270" s="306"/>
      <c r="B270" s="323"/>
      <c r="C270" s="21" t="s">
        <v>12</v>
      </c>
      <c r="D270" s="1" t="s">
        <v>7</v>
      </c>
      <c r="E270" s="104">
        <v>1</v>
      </c>
      <c r="F270" s="104">
        <v>1</v>
      </c>
      <c r="G270" s="104">
        <v>1</v>
      </c>
      <c r="H270" s="104">
        <v>1</v>
      </c>
      <c r="I270" s="104">
        <v>1</v>
      </c>
      <c r="J270" s="104">
        <v>1</v>
      </c>
      <c r="K270" s="104">
        <v>1</v>
      </c>
      <c r="L270" s="104">
        <v>1</v>
      </c>
      <c r="M270" s="104">
        <v>1</v>
      </c>
    </row>
    <row r="271" spans="1:13" x14ac:dyDescent="0.25">
      <c r="A271" s="306"/>
      <c r="B271" s="323"/>
      <c r="C271" s="21" t="s">
        <v>13</v>
      </c>
      <c r="D271" s="1" t="s">
        <v>14</v>
      </c>
      <c r="E271" s="103">
        <v>31017</v>
      </c>
      <c r="F271" s="103">
        <v>31902</v>
      </c>
      <c r="G271" s="103">
        <v>34262</v>
      </c>
      <c r="H271" s="103">
        <v>37507</v>
      </c>
      <c r="I271" s="103">
        <v>41932</v>
      </c>
      <c r="J271" s="103">
        <v>50782</v>
      </c>
      <c r="K271" s="103">
        <v>80282</v>
      </c>
      <c r="L271" s="103">
        <v>151952</v>
      </c>
      <c r="M271" s="103">
        <v>292470.28399999999</v>
      </c>
    </row>
    <row r="272" spans="1:13" x14ac:dyDescent="0.25">
      <c r="A272" s="306"/>
      <c r="B272" s="323"/>
      <c r="C272" s="21" t="s">
        <v>15</v>
      </c>
      <c r="D272" s="1" t="s">
        <v>4</v>
      </c>
      <c r="E272" s="102">
        <v>40</v>
      </c>
      <c r="F272" s="102">
        <v>40</v>
      </c>
      <c r="G272" s="102">
        <v>40</v>
      </c>
      <c r="H272" s="102">
        <v>40</v>
      </c>
      <c r="I272" s="102">
        <v>40</v>
      </c>
      <c r="J272" s="102">
        <v>40</v>
      </c>
      <c r="K272" s="102">
        <v>40</v>
      </c>
      <c r="L272" s="102">
        <v>40</v>
      </c>
      <c r="M272" s="102">
        <v>40</v>
      </c>
    </row>
    <row r="273" spans="1:13" x14ac:dyDescent="0.25">
      <c r="A273" s="306">
        <v>17</v>
      </c>
      <c r="B273" s="323" t="s">
        <v>157</v>
      </c>
      <c r="C273" s="21" t="s">
        <v>101</v>
      </c>
      <c r="D273" s="1" t="s">
        <v>4</v>
      </c>
      <c r="E273" s="102">
        <v>40</v>
      </c>
      <c r="F273" s="102">
        <v>40</v>
      </c>
      <c r="G273" s="102">
        <v>40</v>
      </c>
      <c r="H273" s="102">
        <v>40</v>
      </c>
      <c r="I273" s="102">
        <v>40</v>
      </c>
      <c r="J273" s="102">
        <v>40</v>
      </c>
      <c r="K273" s="102">
        <v>40</v>
      </c>
      <c r="L273" s="102">
        <v>40</v>
      </c>
      <c r="M273" s="102">
        <v>40</v>
      </c>
    </row>
    <row r="274" spans="1:13" x14ac:dyDescent="0.25">
      <c r="A274" s="306"/>
      <c r="B274" s="323"/>
      <c r="C274" s="21" t="s">
        <v>5</v>
      </c>
      <c r="D274" s="1" t="s">
        <v>6</v>
      </c>
      <c r="E274" s="102"/>
      <c r="F274" s="102"/>
      <c r="G274" s="102"/>
      <c r="H274" s="102"/>
      <c r="I274" s="102"/>
      <c r="J274" s="102"/>
      <c r="K274" s="102"/>
      <c r="L274" s="102"/>
      <c r="M274" s="102"/>
    </row>
    <row r="275" spans="1:13" x14ac:dyDescent="0.25">
      <c r="A275" s="306"/>
      <c r="B275" s="323"/>
      <c r="C275" s="21" t="s">
        <v>172</v>
      </c>
      <c r="D275" s="1" t="s">
        <v>19</v>
      </c>
      <c r="E275" s="104">
        <v>0</v>
      </c>
      <c r="F275" s="104">
        <v>0</v>
      </c>
      <c r="G275" s="104">
        <v>0</v>
      </c>
      <c r="H275" s="104">
        <v>0</v>
      </c>
      <c r="I275" s="104">
        <v>0</v>
      </c>
      <c r="J275" s="104">
        <v>0</v>
      </c>
      <c r="K275" s="104">
        <v>0</v>
      </c>
      <c r="L275" s="104">
        <v>0</v>
      </c>
      <c r="M275" s="104">
        <v>0</v>
      </c>
    </row>
    <row r="276" spans="1:13" x14ac:dyDescent="0.25">
      <c r="A276" s="306"/>
      <c r="B276" s="323"/>
      <c r="C276" s="21" t="s">
        <v>102</v>
      </c>
      <c r="D276" s="1" t="s">
        <v>8</v>
      </c>
      <c r="E276" s="103">
        <v>0</v>
      </c>
      <c r="F276" s="103">
        <v>0</v>
      </c>
      <c r="G276" s="103">
        <v>0</v>
      </c>
      <c r="H276" s="103">
        <v>0</v>
      </c>
      <c r="I276" s="103">
        <v>0</v>
      </c>
      <c r="J276" s="103">
        <v>0</v>
      </c>
      <c r="K276" s="103">
        <v>0</v>
      </c>
      <c r="L276" s="103">
        <v>0</v>
      </c>
      <c r="M276" s="103">
        <v>0</v>
      </c>
    </row>
    <row r="277" spans="1:13" x14ac:dyDescent="0.25">
      <c r="A277" s="306"/>
      <c r="B277" s="323"/>
      <c r="C277" s="21" t="s">
        <v>103</v>
      </c>
      <c r="D277" s="1" t="s">
        <v>9</v>
      </c>
      <c r="E277" s="102"/>
      <c r="F277" s="102"/>
      <c r="G277" s="102"/>
      <c r="H277" s="102"/>
      <c r="I277" s="102"/>
      <c r="J277" s="102"/>
      <c r="K277" s="102"/>
      <c r="L277" s="102"/>
      <c r="M277" s="102"/>
    </row>
    <row r="278" spans="1:13" x14ac:dyDescent="0.25">
      <c r="A278" s="306"/>
      <c r="B278" s="323"/>
      <c r="C278" s="21" t="s">
        <v>104</v>
      </c>
      <c r="D278" s="1" t="s">
        <v>10</v>
      </c>
      <c r="E278" s="102"/>
      <c r="F278" s="102"/>
      <c r="G278" s="102"/>
      <c r="H278" s="102"/>
      <c r="I278" s="102"/>
      <c r="J278" s="102"/>
      <c r="K278" s="102"/>
      <c r="L278" s="102"/>
      <c r="M278" s="102"/>
    </row>
    <row r="279" spans="1:13" x14ac:dyDescent="0.25">
      <c r="A279" s="306"/>
      <c r="B279" s="323"/>
      <c r="C279" s="22" t="s">
        <v>11</v>
      </c>
      <c r="D279" s="23" t="s">
        <v>10</v>
      </c>
      <c r="E279" s="102"/>
      <c r="F279" s="102"/>
      <c r="G279" s="102"/>
      <c r="H279" s="102"/>
      <c r="I279" s="102"/>
      <c r="J279" s="102"/>
      <c r="K279" s="102"/>
      <c r="L279" s="102"/>
      <c r="M279" s="102"/>
    </row>
    <row r="280" spans="1:13" x14ac:dyDescent="0.25">
      <c r="A280" s="306"/>
      <c r="B280" s="323"/>
      <c r="C280" s="21" t="s">
        <v>12</v>
      </c>
      <c r="D280" s="1" t="s">
        <v>7</v>
      </c>
      <c r="E280" s="104">
        <v>1</v>
      </c>
      <c r="F280" s="104">
        <v>1</v>
      </c>
      <c r="G280" s="104">
        <v>1</v>
      </c>
      <c r="H280" s="104">
        <v>1</v>
      </c>
      <c r="I280" s="104">
        <v>1</v>
      </c>
      <c r="J280" s="104">
        <v>1</v>
      </c>
      <c r="K280" s="104">
        <v>1</v>
      </c>
      <c r="L280" s="104">
        <v>1</v>
      </c>
      <c r="M280" s="104">
        <v>1</v>
      </c>
    </row>
    <row r="281" spans="1:13" x14ac:dyDescent="0.25">
      <c r="A281" s="306"/>
      <c r="B281" s="323"/>
      <c r="C281" s="21" t="s">
        <v>13</v>
      </c>
      <c r="D281" s="1" t="s">
        <v>14</v>
      </c>
      <c r="E281" s="103">
        <v>92256.599999999991</v>
      </c>
      <c r="F281" s="103">
        <v>92691.599999999991</v>
      </c>
      <c r="G281" s="103">
        <v>93851.599999999991</v>
      </c>
      <c r="H281" s="103">
        <v>95446.599999999991</v>
      </c>
      <c r="I281" s="103">
        <v>97621.599999999991</v>
      </c>
      <c r="J281" s="103">
        <v>101971.59999999999</v>
      </c>
      <c r="K281" s="103">
        <v>116471.59999999999</v>
      </c>
      <c r="L281" s="103">
        <v>146921.59999999998</v>
      </c>
      <c r="M281" s="103">
        <v>207821.59999999998</v>
      </c>
    </row>
    <row r="282" spans="1:13" x14ac:dyDescent="0.25">
      <c r="A282" s="306"/>
      <c r="B282" s="323"/>
      <c r="C282" s="21" t="s">
        <v>15</v>
      </c>
      <c r="D282" s="1" t="s">
        <v>4</v>
      </c>
      <c r="E282" s="103">
        <v>40</v>
      </c>
      <c r="F282" s="103">
        <v>40</v>
      </c>
      <c r="G282" s="103">
        <v>40</v>
      </c>
      <c r="H282" s="103">
        <v>40</v>
      </c>
      <c r="I282" s="103">
        <v>40</v>
      </c>
      <c r="J282" s="103">
        <v>40</v>
      </c>
      <c r="K282" s="103">
        <v>40</v>
      </c>
      <c r="L282" s="103">
        <v>40</v>
      </c>
      <c r="M282" s="103">
        <v>40</v>
      </c>
    </row>
  </sheetData>
  <sheetProtection algorithmName="SHA-512" hashValue="QvvfaOFoXMullmybaQo/Et6/vf5fGtRmy9juOoKO/NAgbhEI8SjtplZpG0zOLvxXZEOEWtGuhZtDeffgCT33IQ==" saltValue="mpQJ0b8Qsi3BYuakj+R4Zg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8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activeCell="F28" sqref="F28"/>
      <selection pane="bottomLeft" activeCell="E2" sqref="E2:M282"/>
    </sheetView>
  </sheetViews>
  <sheetFormatPr baseColWidth="10" defaultColWidth="10.85546875" defaultRowHeight="15" x14ac:dyDescent="0.25"/>
  <cols>
    <col min="1" max="1" width="4.7109375" style="30" customWidth="1"/>
    <col min="2" max="2" width="20.140625" style="30" bestFit="1" customWidth="1"/>
    <col min="3" max="3" width="45.42578125" style="26" customWidth="1"/>
    <col min="4" max="4" width="12.140625" style="27" customWidth="1"/>
    <col min="5" max="12" width="12.28515625" style="54" bestFit="1" customWidth="1"/>
    <col min="13" max="13" width="13.42578125" style="54" bestFit="1" customWidth="1"/>
    <col min="14" max="14" width="15" style="30" customWidth="1"/>
    <col min="15" max="16384" width="10.85546875" style="30"/>
  </cols>
  <sheetData>
    <row r="1" spans="1:14" ht="15.75" x14ac:dyDescent="0.25">
      <c r="A1" s="40"/>
      <c r="B1" s="41" t="s">
        <v>0</v>
      </c>
      <c r="C1" s="28" t="s">
        <v>1</v>
      </c>
      <c r="D1" s="29" t="s">
        <v>2</v>
      </c>
      <c r="E1" s="108">
        <v>15</v>
      </c>
      <c r="F1" s="109">
        <v>30</v>
      </c>
      <c r="G1" s="109">
        <v>70</v>
      </c>
      <c r="H1" s="109">
        <v>125</v>
      </c>
      <c r="I1" s="109">
        <v>200</v>
      </c>
      <c r="J1" s="109">
        <v>350</v>
      </c>
      <c r="K1" s="109">
        <v>850</v>
      </c>
      <c r="L1" s="109">
        <v>1900</v>
      </c>
      <c r="M1" s="109">
        <v>4000</v>
      </c>
    </row>
    <row r="2" spans="1:14" x14ac:dyDescent="0.25">
      <c r="A2" s="306">
        <v>1</v>
      </c>
      <c r="B2" s="322" t="s">
        <v>3</v>
      </c>
      <c r="C2" s="21" t="s">
        <v>101</v>
      </c>
      <c r="D2" s="1" t="s">
        <v>4</v>
      </c>
      <c r="E2" s="102">
        <v>20</v>
      </c>
      <c r="F2" s="102">
        <v>20</v>
      </c>
      <c r="G2" s="102">
        <v>20</v>
      </c>
      <c r="H2" s="102">
        <v>20</v>
      </c>
      <c r="I2" s="102">
        <v>20</v>
      </c>
      <c r="J2" s="102">
        <v>20</v>
      </c>
      <c r="K2" s="102">
        <v>20</v>
      </c>
      <c r="L2" s="102">
        <v>20</v>
      </c>
      <c r="M2" s="102">
        <v>20</v>
      </c>
      <c r="N2" s="45"/>
    </row>
    <row r="3" spans="1:14" x14ac:dyDescent="0.25">
      <c r="A3" s="306"/>
      <c r="B3" s="322"/>
      <c r="C3" s="21" t="s">
        <v>5</v>
      </c>
      <c r="D3" s="1" t="s">
        <v>6</v>
      </c>
      <c r="E3" s="103">
        <v>202.65582041234001</v>
      </c>
      <c r="F3" s="103">
        <v>171.6776866187549</v>
      </c>
      <c r="G3" s="103">
        <v>133.81025064233</v>
      </c>
      <c r="H3" s="103">
        <v>107.89700245248551</v>
      </c>
      <c r="I3" s="103">
        <v>107.31263157894738</v>
      </c>
      <c r="J3" s="103">
        <v>107.00631578947369</v>
      </c>
      <c r="K3" s="103">
        <v>105.98526315789475</v>
      </c>
      <c r="L3" s="103">
        <v>103.84105263157896</v>
      </c>
      <c r="M3" s="103">
        <v>99.55263157894737</v>
      </c>
      <c r="N3" s="45"/>
    </row>
    <row r="4" spans="1:14" x14ac:dyDescent="0.25">
      <c r="A4" s="306"/>
      <c r="B4" s="322"/>
      <c r="C4" s="21" t="s">
        <v>172</v>
      </c>
      <c r="D4" s="1" t="s">
        <v>19</v>
      </c>
      <c r="E4" s="104">
        <v>0</v>
      </c>
      <c r="F4" s="104">
        <v>0</v>
      </c>
      <c r="G4" s="104">
        <v>0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45"/>
    </row>
    <row r="5" spans="1:14" x14ac:dyDescent="0.25">
      <c r="A5" s="306"/>
      <c r="B5" s="322"/>
      <c r="C5" s="21" t="s">
        <v>102</v>
      </c>
      <c r="D5" s="1" t="s">
        <v>8</v>
      </c>
      <c r="E5" s="102"/>
      <c r="F5" s="102"/>
      <c r="G5" s="102"/>
      <c r="H5" s="102"/>
      <c r="I5" s="102"/>
      <c r="J5" s="102"/>
      <c r="K5" s="102"/>
      <c r="L5" s="102"/>
      <c r="M5" s="102"/>
      <c r="N5" s="45"/>
    </row>
    <row r="6" spans="1:14" x14ac:dyDescent="0.25">
      <c r="A6" s="306"/>
      <c r="B6" s="322"/>
      <c r="C6" s="21" t="s">
        <v>103</v>
      </c>
      <c r="D6" s="1" t="s">
        <v>9</v>
      </c>
      <c r="E6" s="103">
        <v>6.0796746123701997</v>
      </c>
      <c r="F6" s="103">
        <v>5.1503305985626469</v>
      </c>
      <c r="G6" s="103">
        <v>4.0143075192698996</v>
      </c>
      <c r="H6" s="103">
        <v>3.2369100735745651</v>
      </c>
      <c r="I6" s="103">
        <v>2.0378947368421052</v>
      </c>
      <c r="J6" s="103">
        <v>2.0189473684210526</v>
      </c>
      <c r="K6" s="103">
        <v>1.9557894736842103</v>
      </c>
      <c r="L6" s="103">
        <v>1.8231578947368419</v>
      </c>
      <c r="M6" s="103">
        <v>1.557894736842105</v>
      </c>
      <c r="N6" s="45"/>
    </row>
    <row r="7" spans="1:14" x14ac:dyDescent="0.25">
      <c r="A7" s="306"/>
      <c r="B7" s="322"/>
      <c r="C7" s="21" t="s">
        <v>104</v>
      </c>
      <c r="D7" s="1" t="s">
        <v>10</v>
      </c>
      <c r="E7" s="103">
        <v>0</v>
      </c>
      <c r="F7" s="103">
        <v>0</v>
      </c>
      <c r="G7" s="103">
        <v>0</v>
      </c>
      <c r="H7" s="103">
        <v>0</v>
      </c>
      <c r="I7" s="103">
        <v>0</v>
      </c>
      <c r="J7" s="103">
        <v>0</v>
      </c>
      <c r="K7" s="103">
        <v>1.6666105263157894E-3</v>
      </c>
      <c r="L7" s="103">
        <v>1.5304421052631579E-3</v>
      </c>
      <c r="M7" s="103">
        <v>1.2581052631578946E-3</v>
      </c>
      <c r="N7" s="45"/>
    </row>
    <row r="8" spans="1:14" x14ac:dyDescent="0.25">
      <c r="A8" s="306"/>
      <c r="B8" s="322"/>
      <c r="C8" s="22" t="s">
        <v>11</v>
      </c>
      <c r="D8" s="23" t="s">
        <v>10</v>
      </c>
      <c r="E8" s="103">
        <v>0</v>
      </c>
      <c r="F8" s="102"/>
      <c r="G8" s="102"/>
      <c r="H8" s="102"/>
      <c r="I8" s="102"/>
      <c r="J8" s="102"/>
      <c r="K8" s="102"/>
      <c r="L8" s="102"/>
      <c r="M8" s="102"/>
      <c r="N8" s="45"/>
    </row>
    <row r="9" spans="1:14" x14ac:dyDescent="0.25">
      <c r="A9" s="306"/>
      <c r="B9" s="322"/>
      <c r="C9" s="21" t="s">
        <v>12</v>
      </c>
      <c r="D9" s="1" t="s">
        <v>7</v>
      </c>
      <c r="E9" s="104">
        <v>0.98499999999999988</v>
      </c>
      <c r="F9" s="104">
        <v>0.98499999999999988</v>
      </c>
      <c r="G9" s="104">
        <v>0.98499999999999988</v>
      </c>
      <c r="H9" s="104">
        <v>0.98499999999999988</v>
      </c>
      <c r="I9" s="104">
        <v>0.98499999999999988</v>
      </c>
      <c r="J9" s="104">
        <v>0.98499999999999988</v>
      </c>
      <c r="K9" s="104">
        <v>0.99399999999999999</v>
      </c>
      <c r="L9" s="104">
        <v>0.99399999999999999</v>
      </c>
      <c r="M9" s="104">
        <v>0.99399999999999999</v>
      </c>
      <c r="N9" s="45"/>
    </row>
    <row r="10" spans="1:14" x14ac:dyDescent="0.25">
      <c r="A10" s="306"/>
      <c r="B10" s="322"/>
      <c r="C10" s="21" t="s">
        <v>13</v>
      </c>
      <c r="D10" s="1" t="s">
        <v>14</v>
      </c>
      <c r="E10" s="103">
        <v>1524.6</v>
      </c>
      <c r="F10" s="103">
        <v>1749.6</v>
      </c>
      <c r="G10" s="103">
        <v>2349.6</v>
      </c>
      <c r="H10" s="103">
        <v>3174.6</v>
      </c>
      <c r="I10" s="103">
        <v>4299.6000000000004</v>
      </c>
      <c r="J10" s="103">
        <v>14213</v>
      </c>
      <c r="K10" s="103">
        <v>21713</v>
      </c>
      <c r="L10" s="103">
        <v>37463</v>
      </c>
      <c r="M10" s="103">
        <v>68963</v>
      </c>
      <c r="N10" s="45"/>
    </row>
    <row r="11" spans="1:14" x14ac:dyDescent="0.25">
      <c r="A11" s="306"/>
      <c r="B11" s="322"/>
      <c r="C11" s="21" t="s">
        <v>15</v>
      </c>
      <c r="D11" s="1" t="s">
        <v>4</v>
      </c>
      <c r="E11" s="102">
        <v>40</v>
      </c>
      <c r="F11" s="102">
        <v>40</v>
      </c>
      <c r="G11" s="102">
        <v>40</v>
      </c>
      <c r="H11" s="102">
        <v>40</v>
      </c>
      <c r="I11" s="102">
        <v>40</v>
      </c>
      <c r="J11" s="102">
        <v>40</v>
      </c>
      <c r="K11" s="102">
        <v>40</v>
      </c>
      <c r="L11" s="102">
        <v>40</v>
      </c>
      <c r="M11" s="102">
        <v>40</v>
      </c>
      <c r="N11" s="45"/>
    </row>
    <row r="12" spans="1:14" x14ac:dyDescent="0.25">
      <c r="A12" s="306">
        <v>2</v>
      </c>
      <c r="B12" s="322" t="s">
        <v>16</v>
      </c>
      <c r="C12" s="21" t="s">
        <v>101</v>
      </c>
      <c r="D12" s="1" t="s">
        <v>4</v>
      </c>
      <c r="E12" s="102">
        <v>20</v>
      </c>
      <c r="F12" s="102">
        <v>20</v>
      </c>
      <c r="G12" s="102">
        <v>20</v>
      </c>
      <c r="H12" s="102">
        <v>20</v>
      </c>
      <c r="I12" s="102">
        <v>20</v>
      </c>
      <c r="J12" s="102">
        <v>20</v>
      </c>
      <c r="K12" s="102">
        <v>20</v>
      </c>
      <c r="L12" s="102">
        <v>20</v>
      </c>
      <c r="M12" s="102">
        <v>20</v>
      </c>
      <c r="N12" s="45"/>
    </row>
    <row r="13" spans="1:14" x14ac:dyDescent="0.25">
      <c r="A13" s="306"/>
      <c r="B13" s="322"/>
      <c r="C13" s="21" t="s">
        <v>5</v>
      </c>
      <c r="D13" s="1" t="s">
        <v>6</v>
      </c>
      <c r="E13" s="103">
        <v>520.52279811670326</v>
      </c>
      <c r="F13" s="103">
        <v>328.66016314162061</v>
      </c>
      <c r="G13" s="103">
        <v>187.34591874055215</v>
      </c>
      <c r="H13" s="103">
        <v>127.52667864795502</v>
      </c>
      <c r="I13" s="103">
        <v>112.6</v>
      </c>
      <c r="J13" s="103">
        <v>112.6</v>
      </c>
      <c r="K13" s="103">
        <v>177.62593672991372</v>
      </c>
      <c r="L13" s="103">
        <v>260.98318443898637</v>
      </c>
      <c r="M13" s="103">
        <v>427.69767985713173</v>
      </c>
      <c r="N13" s="45"/>
    </row>
    <row r="14" spans="1:14" x14ac:dyDescent="0.25">
      <c r="A14" s="306"/>
      <c r="B14" s="322"/>
      <c r="C14" s="21" t="s">
        <v>172</v>
      </c>
      <c r="D14" s="1" t="s">
        <v>19</v>
      </c>
      <c r="E14" s="104">
        <v>0</v>
      </c>
      <c r="F14" s="104">
        <v>0</v>
      </c>
      <c r="G14" s="104">
        <v>0</v>
      </c>
      <c r="H14" s="104">
        <v>0</v>
      </c>
      <c r="I14" s="104">
        <v>0</v>
      </c>
      <c r="J14" s="104">
        <v>0</v>
      </c>
      <c r="K14" s="104">
        <v>0</v>
      </c>
      <c r="L14" s="104">
        <v>0</v>
      </c>
      <c r="M14" s="104">
        <v>0</v>
      </c>
      <c r="N14" s="45"/>
    </row>
    <row r="15" spans="1:14" x14ac:dyDescent="0.25">
      <c r="A15" s="306"/>
      <c r="B15" s="322"/>
      <c r="C15" s="21" t="s">
        <v>102</v>
      </c>
      <c r="D15" s="1" t="s">
        <v>8</v>
      </c>
      <c r="E15" s="102"/>
      <c r="F15" s="102"/>
      <c r="G15" s="102"/>
      <c r="H15" s="102"/>
      <c r="I15" s="102"/>
      <c r="J15" s="102"/>
      <c r="K15" s="102"/>
      <c r="L15" s="102"/>
      <c r="M15" s="102"/>
      <c r="N15" s="45"/>
    </row>
    <row r="16" spans="1:14" x14ac:dyDescent="0.25">
      <c r="A16" s="306"/>
      <c r="B16" s="322"/>
      <c r="C16" s="21" t="s">
        <v>103</v>
      </c>
      <c r="D16" s="1" t="s">
        <v>9</v>
      </c>
      <c r="E16" s="103">
        <v>31.231367887002168</v>
      </c>
      <c r="F16" s="103">
        <v>19.71960978849722</v>
      </c>
      <c r="G16" s="103">
        <v>11.240755124433118</v>
      </c>
      <c r="H16" s="103">
        <v>7.6516007188772948</v>
      </c>
      <c r="I16" s="103">
        <v>7.218948063824203</v>
      </c>
      <c r="J16" s="103">
        <v>7.218948063824203</v>
      </c>
      <c r="K16" s="103">
        <v>6.8637074659241435</v>
      </c>
      <c r="L16" s="103">
        <v>6.2898572693163546</v>
      </c>
      <c r="M16" s="103">
        <v>5.1421568761007768</v>
      </c>
      <c r="N16" s="45"/>
    </row>
    <row r="17" spans="1:14" x14ac:dyDescent="0.25">
      <c r="A17" s="306"/>
      <c r="B17" s="322"/>
      <c r="C17" s="21" t="s">
        <v>104</v>
      </c>
      <c r="D17" s="1" t="s">
        <v>10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2.3331952085431959E-3</v>
      </c>
      <c r="L17" s="103">
        <v>2.3331952085431959E-3</v>
      </c>
      <c r="M17" s="103">
        <v>2.3331952085431959E-3</v>
      </c>
      <c r="N17" s="45"/>
    </row>
    <row r="18" spans="1:14" x14ac:dyDescent="0.25">
      <c r="A18" s="306"/>
      <c r="B18" s="322"/>
      <c r="C18" s="22" t="s">
        <v>11</v>
      </c>
      <c r="D18" s="23" t="s">
        <v>10</v>
      </c>
      <c r="E18" s="103">
        <v>0</v>
      </c>
      <c r="F18" s="103">
        <v>0</v>
      </c>
      <c r="G18" s="103">
        <v>0</v>
      </c>
      <c r="H18" s="103">
        <v>0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45"/>
    </row>
    <row r="19" spans="1:14" x14ac:dyDescent="0.25">
      <c r="A19" s="306"/>
      <c r="B19" s="322"/>
      <c r="C19" s="21" t="s">
        <v>12</v>
      </c>
      <c r="D19" s="1" t="s">
        <v>7</v>
      </c>
      <c r="E19" s="104">
        <v>0.83200000000000029</v>
      </c>
      <c r="F19" s="104">
        <v>0.83200000000000029</v>
      </c>
      <c r="G19" s="104">
        <v>0.83200000000000029</v>
      </c>
      <c r="H19" s="104">
        <v>0.83200000000000029</v>
      </c>
      <c r="I19" s="104">
        <v>0.83200000000000029</v>
      </c>
      <c r="J19" s="104">
        <v>0.83200000000000029</v>
      </c>
      <c r="K19" s="104">
        <v>0.83200000000000029</v>
      </c>
      <c r="L19" s="104">
        <v>0.95599999999999996</v>
      </c>
      <c r="M19" s="104">
        <v>0.95599999999999996</v>
      </c>
      <c r="N19" s="45"/>
    </row>
    <row r="20" spans="1:14" x14ac:dyDescent="0.25">
      <c r="A20" s="306"/>
      <c r="B20" s="322"/>
      <c r="C20" s="21" t="s">
        <v>13</v>
      </c>
      <c r="D20" s="1" t="s">
        <v>14</v>
      </c>
      <c r="E20" s="102"/>
      <c r="F20" s="102"/>
      <c r="G20" s="102"/>
      <c r="H20" s="102"/>
      <c r="I20" s="102"/>
      <c r="J20" s="102"/>
      <c r="K20" s="102"/>
      <c r="L20" s="102"/>
      <c r="M20" s="102"/>
      <c r="N20" s="45"/>
    </row>
    <row r="21" spans="1:14" x14ac:dyDescent="0.25">
      <c r="A21" s="306"/>
      <c r="B21" s="322"/>
      <c r="C21" s="21" t="s">
        <v>15</v>
      </c>
      <c r="D21" s="1" t="s">
        <v>4</v>
      </c>
      <c r="E21" s="102"/>
      <c r="F21" s="102"/>
      <c r="G21" s="102"/>
      <c r="H21" s="102"/>
      <c r="I21" s="102"/>
      <c r="J21" s="102"/>
      <c r="K21" s="102"/>
      <c r="L21" s="102"/>
      <c r="M21" s="102"/>
      <c r="N21" s="45"/>
    </row>
    <row r="22" spans="1:14" ht="14.45" customHeight="1" x14ac:dyDescent="0.25">
      <c r="A22" s="306">
        <v>3</v>
      </c>
      <c r="B22" s="323" t="s">
        <v>144</v>
      </c>
      <c r="C22" s="21" t="s">
        <v>101</v>
      </c>
      <c r="D22" s="1" t="s">
        <v>4</v>
      </c>
      <c r="E22" s="102">
        <v>20</v>
      </c>
      <c r="F22" s="102">
        <v>20</v>
      </c>
      <c r="G22" s="102">
        <v>20</v>
      </c>
      <c r="H22" s="102">
        <v>20</v>
      </c>
      <c r="I22" s="102">
        <v>20</v>
      </c>
      <c r="J22" s="102">
        <v>20</v>
      </c>
      <c r="K22" s="102">
        <v>20</v>
      </c>
      <c r="L22" s="102">
        <v>20</v>
      </c>
      <c r="M22" s="102">
        <v>20</v>
      </c>
      <c r="N22" s="45"/>
    </row>
    <row r="23" spans="1:14" x14ac:dyDescent="0.25">
      <c r="A23" s="306"/>
      <c r="B23" s="323"/>
      <c r="C23" s="21" t="s">
        <v>5</v>
      </c>
      <c r="D23" s="1" t="s">
        <v>6</v>
      </c>
      <c r="E23" s="103">
        <v>800.77079092910083</v>
      </c>
      <c r="F23" s="103">
        <v>571.81820894808823</v>
      </c>
      <c r="G23" s="103">
        <v>446.14556901716315</v>
      </c>
      <c r="H23" s="103">
        <v>446.14556901716315</v>
      </c>
      <c r="I23" s="103">
        <v>446.14556901716315</v>
      </c>
      <c r="J23" s="103">
        <v>446.14556901716315</v>
      </c>
      <c r="K23" s="103">
        <v>1129.4706178785063</v>
      </c>
      <c r="L23" s="103">
        <v>982.55924743473179</v>
      </c>
      <c r="M23" s="103">
        <v>863.67730421521264</v>
      </c>
      <c r="N23" s="45"/>
    </row>
    <row r="24" spans="1:14" x14ac:dyDescent="0.25">
      <c r="A24" s="306"/>
      <c r="B24" s="323"/>
      <c r="C24" s="21" t="s">
        <v>172</v>
      </c>
      <c r="D24" s="1" t="s">
        <v>19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45"/>
    </row>
    <row r="25" spans="1:14" x14ac:dyDescent="0.25">
      <c r="A25" s="306"/>
      <c r="B25" s="323"/>
      <c r="C25" s="21" t="s">
        <v>102</v>
      </c>
      <c r="D25" s="1" t="s">
        <v>8</v>
      </c>
      <c r="E25" s="102"/>
      <c r="F25" s="102"/>
      <c r="G25" s="102"/>
      <c r="H25" s="102"/>
      <c r="I25" s="102"/>
      <c r="J25" s="102"/>
      <c r="K25" s="102"/>
      <c r="L25" s="102"/>
      <c r="M25" s="102"/>
      <c r="N25" s="45"/>
    </row>
    <row r="26" spans="1:14" x14ac:dyDescent="0.25">
      <c r="A26" s="306"/>
      <c r="B26" s="323"/>
      <c r="C26" s="21" t="s">
        <v>103</v>
      </c>
      <c r="D26" s="1" t="s">
        <v>9</v>
      </c>
      <c r="E26" s="103">
        <v>12.011561863936512</v>
      </c>
      <c r="F26" s="103">
        <v>8.5772731342213238</v>
      </c>
      <c r="G26" s="103">
        <v>6.6921835352574464</v>
      </c>
      <c r="H26" s="103">
        <v>6.6921835352574464</v>
      </c>
      <c r="I26" s="103">
        <v>6.6921835352574464</v>
      </c>
      <c r="J26" s="103">
        <v>6.6921835352574464</v>
      </c>
      <c r="K26" s="103">
        <v>1.6279999999999999</v>
      </c>
      <c r="L26" s="103">
        <v>1.6279999999999999</v>
      </c>
      <c r="M26" s="103">
        <v>1.6279999999999999</v>
      </c>
      <c r="N26" s="45"/>
    </row>
    <row r="27" spans="1:14" x14ac:dyDescent="0.25">
      <c r="A27" s="306"/>
      <c r="B27" s="323"/>
      <c r="C27" s="21" t="s">
        <v>104</v>
      </c>
      <c r="D27" s="1" t="s">
        <v>10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  <c r="J27" s="103">
        <v>0</v>
      </c>
      <c r="K27" s="103">
        <v>2.0599999999999998E-3</v>
      </c>
      <c r="L27" s="103">
        <v>2.0599999999999998E-3</v>
      </c>
      <c r="M27" s="103">
        <v>2.0599999999999998E-3</v>
      </c>
      <c r="N27" s="45"/>
    </row>
    <row r="28" spans="1:14" ht="18.75" x14ac:dyDescent="0.25">
      <c r="A28" s="306"/>
      <c r="B28" s="323"/>
      <c r="C28" s="22" t="s">
        <v>105</v>
      </c>
      <c r="D28" s="23" t="s">
        <v>17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45"/>
    </row>
    <row r="29" spans="1:14" x14ac:dyDescent="0.25">
      <c r="A29" s="306"/>
      <c r="B29" s="323"/>
      <c r="C29" s="22" t="s">
        <v>11</v>
      </c>
      <c r="D29" s="23" t="s">
        <v>10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45"/>
    </row>
    <row r="30" spans="1:14" x14ac:dyDescent="0.25">
      <c r="A30" s="306"/>
      <c r="B30" s="323"/>
      <c r="C30" s="21" t="s">
        <v>18</v>
      </c>
      <c r="D30" s="2" t="s">
        <v>19</v>
      </c>
      <c r="E30" s="102">
        <v>3.88</v>
      </c>
      <c r="F30" s="102">
        <v>3.88</v>
      </c>
      <c r="G30" s="102">
        <v>3.88</v>
      </c>
      <c r="H30" s="102">
        <v>3.88</v>
      </c>
      <c r="I30" s="102">
        <v>3.88</v>
      </c>
      <c r="J30" s="102">
        <v>3.88</v>
      </c>
      <c r="K30" s="102">
        <v>3.88</v>
      </c>
      <c r="L30" s="102">
        <v>3.88</v>
      </c>
      <c r="M30" s="102">
        <v>3.88</v>
      </c>
      <c r="N30" s="45"/>
    </row>
    <row r="31" spans="1:14" x14ac:dyDescent="0.25">
      <c r="A31" s="306"/>
      <c r="B31" s="323"/>
      <c r="C31" s="21" t="s">
        <v>13</v>
      </c>
      <c r="D31" s="1" t="s">
        <v>14</v>
      </c>
      <c r="E31" s="102"/>
      <c r="F31" s="102"/>
      <c r="G31" s="102"/>
      <c r="H31" s="102"/>
      <c r="I31" s="102"/>
      <c r="J31" s="102"/>
      <c r="K31" s="102"/>
      <c r="L31" s="102"/>
      <c r="M31" s="102"/>
      <c r="N31" s="45"/>
    </row>
    <row r="32" spans="1:14" x14ac:dyDescent="0.25">
      <c r="A32" s="306"/>
      <c r="B32" s="323"/>
      <c r="C32" s="21" t="s">
        <v>15</v>
      </c>
      <c r="D32" s="1" t="s">
        <v>4</v>
      </c>
      <c r="E32" s="102"/>
      <c r="F32" s="102"/>
      <c r="G32" s="102"/>
      <c r="H32" s="102"/>
      <c r="I32" s="102"/>
      <c r="J32" s="102"/>
      <c r="K32" s="102"/>
      <c r="L32" s="102"/>
      <c r="M32" s="102"/>
      <c r="N32" s="45"/>
    </row>
    <row r="33" spans="1:14" ht="14.45" customHeight="1" x14ac:dyDescent="0.25">
      <c r="A33" s="306">
        <v>4</v>
      </c>
      <c r="B33" s="323" t="s">
        <v>145</v>
      </c>
      <c r="C33" s="21" t="s">
        <v>101</v>
      </c>
      <c r="D33" s="1" t="s">
        <v>4</v>
      </c>
      <c r="E33" s="102">
        <v>20</v>
      </c>
      <c r="F33" s="102">
        <v>20</v>
      </c>
      <c r="G33" s="102">
        <v>20</v>
      </c>
      <c r="H33" s="102">
        <v>20</v>
      </c>
      <c r="I33" s="102">
        <v>20</v>
      </c>
      <c r="J33" s="102">
        <v>20</v>
      </c>
      <c r="K33" s="102">
        <v>20</v>
      </c>
      <c r="L33" s="102">
        <v>20</v>
      </c>
      <c r="M33" s="102">
        <v>20</v>
      </c>
      <c r="N33" s="45"/>
    </row>
    <row r="34" spans="1:14" x14ac:dyDescent="0.25">
      <c r="A34" s="306"/>
      <c r="B34" s="323"/>
      <c r="C34" s="21" t="s">
        <v>5</v>
      </c>
      <c r="D34" s="1" t="s">
        <v>6</v>
      </c>
      <c r="E34" s="103">
        <v>800.77079092910083</v>
      </c>
      <c r="F34" s="103">
        <v>571.81820894808823</v>
      </c>
      <c r="G34" s="103">
        <v>446.14556901716315</v>
      </c>
      <c r="H34" s="103">
        <v>446.14556901716315</v>
      </c>
      <c r="I34" s="103">
        <v>446.14556901716315</v>
      </c>
      <c r="J34" s="103">
        <v>446.14556901716315</v>
      </c>
      <c r="K34" s="103">
        <v>1129.4706178785063</v>
      </c>
      <c r="L34" s="103">
        <v>982.55924743473179</v>
      </c>
      <c r="M34" s="103">
        <v>863.67730421521264</v>
      </c>
      <c r="N34" s="45"/>
    </row>
    <row r="35" spans="1:14" x14ac:dyDescent="0.25">
      <c r="A35" s="306"/>
      <c r="B35" s="323"/>
      <c r="C35" s="21" t="s">
        <v>172</v>
      </c>
      <c r="D35" s="1" t="s">
        <v>19</v>
      </c>
      <c r="E35" s="104">
        <v>0</v>
      </c>
      <c r="F35" s="104">
        <v>0</v>
      </c>
      <c r="G35" s="104">
        <v>0</v>
      </c>
      <c r="H35" s="104">
        <v>0</v>
      </c>
      <c r="I35" s="104">
        <v>0</v>
      </c>
      <c r="J35" s="104">
        <v>0</v>
      </c>
      <c r="K35" s="104">
        <v>0</v>
      </c>
      <c r="L35" s="104">
        <v>0</v>
      </c>
      <c r="M35" s="104">
        <v>0</v>
      </c>
      <c r="N35" s="45"/>
    </row>
    <row r="36" spans="1:14" x14ac:dyDescent="0.25">
      <c r="A36" s="306"/>
      <c r="B36" s="323"/>
      <c r="C36" s="21" t="s">
        <v>102</v>
      </c>
      <c r="D36" s="1" t="s">
        <v>8</v>
      </c>
      <c r="E36" s="102"/>
      <c r="F36" s="102"/>
      <c r="G36" s="102"/>
      <c r="H36" s="102"/>
      <c r="I36" s="102"/>
      <c r="J36" s="102"/>
      <c r="K36" s="102"/>
      <c r="L36" s="102"/>
      <c r="M36" s="102"/>
      <c r="N36" s="45"/>
    </row>
    <row r="37" spans="1:14" x14ac:dyDescent="0.25">
      <c r="A37" s="306"/>
      <c r="B37" s="323"/>
      <c r="C37" s="21" t="s">
        <v>103</v>
      </c>
      <c r="D37" s="1" t="s">
        <v>9</v>
      </c>
      <c r="E37" s="103">
        <v>12.011561863936512</v>
      </c>
      <c r="F37" s="103">
        <v>8.5772731342213238</v>
      </c>
      <c r="G37" s="103">
        <v>6.6921835352574464</v>
      </c>
      <c r="H37" s="103">
        <v>6.6921835352574464</v>
      </c>
      <c r="I37" s="103">
        <v>6.6921835352574464</v>
      </c>
      <c r="J37" s="103">
        <v>6.6921835352574464</v>
      </c>
      <c r="K37" s="103">
        <v>1.6279999999999999</v>
      </c>
      <c r="L37" s="103">
        <v>1.6279999999999999</v>
      </c>
      <c r="M37" s="103">
        <v>1.6279999999999999</v>
      </c>
      <c r="N37" s="45"/>
    </row>
    <row r="38" spans="1:14" x14ac:dyDescent="0.25">
      <c r="A38" s="306"/>
      <c r="B38" s="323"/>
      <c r="C38" s="21" t="s">
        <v>104</v>
      </c>
      <c r="D38" s="1" t="s">
        <v>10</v>
      </c>
      <c r="E38" s="103">
        <v>0</v>
      </c>
      <c r="F38" s="103">
        <v>0</v>
      </c>
      <c r="G38" s="103">
        <v>0</v>
      </c>
      <c r="H38" s="103">
        <v>0</v>
      </c>
      <c r="I38" s="103">
        <v>0</v>
      </c>
      <c r="J38" s="103">
        <v>0</v>
      </c>
      <c r="K38" s="103">
        <v>2.0599999999999998E-3</v>
      </c>
      <c r="L38" s="103">
        <v>2.0599999999999998E-3</v>
      </c>
      <c r="M38" s="103">
        <v>2.0599999999999998E-3</v>
      </c>
      <c r="N38" s="45"/>
    </row>
    <row r="39" spans="1:14" ht="18.75" x14ac:dyDescent="0.25">
      <c r="A39" s="306"/>
      <c r="B39" s="323"/>
      <c r="C39" s="22" t="s">
        <v>105</v>
      </c>
      <c r="D39" s="23" t="s">
        <v>17</v>
      </c>
      <c r="E39" s="103">
        <v>0</v>
      </c>
      <c r="F39" s="103">
        <v>0</v>
      </c>
      <c r="G39" s="103">
        <v>0</v>
      </c>
      <c r="H39" s="103">
        <v>0</v>
      </c>
      <c r="I39" s="103">
        <v>0</v>
      </c>
      <c r="J39" s="103">
        <v>0</v>
      </c>
      <c r="K39" s="103">
        <v>0</v>
      </c>
      <c r="L39" s="103">
        <v>0</v>
      </c>
      <c r="M39" s="103">
        <v>0</v>
      </c>
      <c r="N39" s="45"/>
    </row>
    <row r="40" spans="1:14" x14ac:dyDescent="0.25">
      <c r="A40" s="306"/>
      <c r="B40" s="323"/>
      <c r="C40" s="22" t="s">
        <v>11</v>
      </c>
      <c r="D40" s="23" t="s">
        <v>10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3">
        <v>0</v>
      </c>
      <c r="L40" s="103">
        <v>0</v>
      </c>
      <c r="M40" s="103">
        <v>0</v>
      </c>
      <c r="N40" s="45"/>
    </row>
    <row r="41" spans="1:14" x14ac:dyDescent="0.25">
      <c r="A41" s="306"/>
      <c r="B41" s="323"/>
      <c r="C41" s="21" t="s">
        <v>18</v>
      </c>
      <c r="D41" s="2" t="s">
        <v>19</v>
      </c>
      <c r="E41" s="102">
        <v>3.63</v>
      </c>
      <c r="F41" s="102">
        <v>3.63</v>
      </c>
      <c r="G41" s="102">
        <v>3.63</v>
      </c>
      <c r="H41" s="102">
        <v>3.63</v>
      </c>
      <c r="I41" s="102">
        <v>3.63</v>
      </c>
      <c r="J41" s="102">
        <v>3.63</v>
      </c>
      <c r="K41" s="102">
        <v>3.63</v>
      </c>
      <c r="L41" s="102">
        <v>3.63</v>
      </c>
      <c r="M41" s="102">
        <v>3.63</v>
      </c>
      <c r="N41" s="45"/>
    </row>
    <row r="42" spans="1:14" x14ac:dyDescent="0.25">
      <c r="A42" s="306"/>
      <c r="B42" s="323"/>
      <c r="C42" s="21" t="s">
        <v>13</v>
      </c>
      <c r="D42" s="1" t="s">
        <v>14</v>
      </c>
      <c r="E42" s="102"/>
      <c r="F42" s="102"/>
      <c r="G42" s="102"/>
      <c r="H42" s="102"/>
      <c r="I42" s="102"/>
      <c r="J42" s="102"/>
      <c r="K42" s="102"/>
      <c r="L42" s="102"/>
      <c r="M42" s="102"/>
      <c r="N42" s="45"/>
    </row>
    <row r="43" spans="1:14" x14ac:dyDescent="0.25">
      <c r="A43" s="306"/>
      <c r="B43" s="323"/>
      <c r="C43" s="21" t="s">
        <v>15</v>
      </c>
      <c r="D43" s="1" t="s">
        <v>4</v>
      </c>
      <c r="E43" s="102"/>
      <c r="F43" s="102"/>
      <c r="G43" s="102"/>
      <c r="H43" s="102"/>
      <c r="I43" s="102"/>
      <c r="J43" s="102"/>
      <c r="K43" s="102"/>
      <c r="L43" s="102"/>
      <c r="M43" s="102"/>
      <c r="N43" s="45"/>
    </row>
    <row r="44" spans="1:14" ht="14.45" customHeight="1" x14ac:dyDescent="0.25">
      <c r="A44" s="306">
        <v>5</v>
      </c>
      <c r="B44" s="323" t="s">
        <v>146</v>
      </c>
      <c r="C44" s="21" t="s">
        <v>101</v>
      </c>
      <c r="D44" s="1" t="s">
        <v>4</v>
      </c>
      <c r="E44" s="102">
        <v>20</v>
      </c>
      <c r="F44" s="102">
        <v>20</v>
      </c>
      <c r="G44" s="102">
        <v>20</v>
      </c>
      <c r="H44" s="102">
        <v>20</v>
      </c>
      <c r="I44" s="102">
        <v>20</v>
      </c>
      <c r="J44" s="102">
        <v>20</v>
      </c>
      <c r="K44" s="102">
        <v>20</v>
      </c>
      <c r="L44" s="102">
        <v>20</v>
      </c>
      <c r="M44" s="102">
        <v>20</v>
      </c>
      <c r="N44" s="45"/>
    </row>
    <row r="45" spans="1:14" x14ac:dyDescent="0.25">
      <c r="A45" s="306"/>
      <c r="B45" s="323"/>
      <c r="C45" s="21" t="s">
        <v>20</v>
      </c>
      <c r="D45" s="1" t="s">
        <v>6</v>
      </c>
      <c r="E45" s="103">
        <v>800.77079092910083</v>
      </c>
      <c r="F45" s="103">
        <v>571.81820894808823</v>
      </c>
      <c r="G45" s="103">
        <v>446.14556901716315</v>
      </c>
      <c r="H45" s="103">
        <v>446.14556901716315</v>
      </c>
      <c r="I45" s="103">
        <v>446.14556901716315</v>
      </c>
      <c r="J45" s="103">
        <v>446.14556901716315</v>
      </c>
      <c r="K45" s="103">
        <v>1129.4706178785063</v>
      </c>
      <c r="L45" s="103">
        <v>982.55924743473179</v>
      </c>
      <c r="M45" s="103">
        <v>863.67730421521264</v>
      </c>
      <c r="N45" s="45"/>
    </row>
    <row r="46" spans="1:14" x14ac:dyDescent="0.25">
      <c r="A46" s="306"/>
      <c r="B46" s="323"/>
      <c r="C46" s="21" t="s">
        <v>172</v>
      </c>
      <c r="D46" s="1" t="s">
        <v>19</v>
      </c>
      <c r="E46" s="104">
        <v>0</v>
      </c>
      <c r="F46" s="104">
        <v>0</v>
      </c>
      <c r="G46" s="104">
        <v>0</v>
      </c>
      <c r="H46" s="104">
        <v>0</v>
      </c>
      <c r="I46" s="104">
        <v>0</v>
      </c>
      <c r="J46" s="104">
        <v>0</v>
      </c>
      <c r="K46" s="104">
        <v>0</v>
      </c>
      <c r="L46" s="104">
        <v>0</v>
      </c>
      <c r="M46" s="104">
        <v>0</v>
      </c>
      <c r="N46" s="45"/>
    </row>
    <row r="47" spans="1:14" x14ac:dyDescent="0.25">
      <c r="A47" s="306"/>
      <c r="B47" s="323"/>
      <c r="C47" s="21" t="s">
        <v>102</v>
      </c>
      <c r="D47" s="1" t="s">
        <v>8</v>
      </c>
      <c r="E47" s="102"/>
      <c r="F47" s="102"/>
      <c r="G47" s="102"/>
      <c r="H47" s="102"/>
      <c r="I47" s="102"/>
      <c r="J47" s="102"/>
      <c r="K47" s="102"/>
      <c r="L47" s="102"/>
      <c r="M47" s="102"/>
      <c r="N47" s="45"/>
    </row>
    <row r="48" spans="1:14" x14ac:dyDescent="0.25">
      <c r="A48" s="306"/>
      <c r="B48" s="323"/>
      <c r="C48" s="21" t="s">
        <v>103</v>
      </c>
      <c r="D48" s="1" t="s">
        <v>9</v>
      </c>
      <c r="E48" s="103">
        <v>12.011561863936512</v>
      </c>
      <c r="F48" s="103">
        <v>8.5772731342213238</v>
      </c>
      <c r="G48" s="103">
        <v>6.6921835352574464</v>
      </c>
      <c r="H48" s="103">
        <v>6.6921835352574464</v>
      </c>
      <c r="I48" s="103">
        <v>6.6921835352574464</v>
      </c>
      <c r="J48" s="103">
        <v>6.6921835352574464</v>
      </c>
      <c r="K48" s="103">
        <v>1.6279999999999999</v>
      </c>
      <c r="L48" s="103">
        <v>1.6279999999999999</v>
      </c>
      <c r="M48" s="103">
        <v>1.6279999999999999</v>
      </c>
      <c r="N48" s="45"/>
    </row>
    <row r="49" spans="1:14" x14ac:dyDescent="0.25">
      <c r="A49" s="306"/>
      <c r="B49" s="323"/>
      <c r="C49" s="21" t="s">
        <v>104</v>
      </c>
      <c r="D49" s="1" t="s">
        <v>10</v>
      </c>
      <c r="E49" s="103">
        <v>0</v>
      </c>
      <c r="F49" s="103">
        <v>0</v>
      </c>
      <c r="G49" s="103">
        <v>0</v>
      </c>
      <c r="H49" s="103">
        <v>0</v>
      </c>
      <c r="I49" s="103">
        <v>0</v>
      </c>
      <c r="J49" s="103">
        <v>0</v>
      </c>
      <c r="K49" s="103">
        <v>2.0599999999999998E-3</v>
      </c>
      <c r="L49" s="103">
        <v>2.0599999999999998E-3</v>
      </c>
      <c r="M49" s="103">
        <v>2.0599999999999998E-3</v>
      </c>
      <c r="N49" s="45"/>
    </row>
    <row r="50" spans="1:14" ht="18.75" x14ac:dyDescent="0.25">
      <c r="A50" s="306"/>
      <c r="B50" s="323"/>
      <c r="C50" s="22" t="s">
        <v>105</v>
      </c>
      <c r="D50" s="23" t="s">
        <v>17</v>
      </c>
      <c r="E50" s="103">
        <v>0</v>
      </c>
      <c r="F50" s="103">
        <v>0</v>
      </c>
      <c r="G50" s="103">
        <v>0</v>
      </c>
      <c r="H50" s="103">
        <v>0</v>
      </c>
      <c r="I50" s="103">
        <v>0</v>
      </c>
      <c r="J50" s="103">
        <v>0</v>
      </c>
      <c r="K50" s="103">
        <v>0</v>
      </c>
      <c r="L50" s="103">
        <v>0</v>
      </c>
      <c r="M50" s="103">
        <v>0</v>
      </c>
      <c r="N50" s="45"/>
    </row>
    <row r="51" spans="1:14" x14ac:dyDescent="0.25">
      <c r="A51" s="306"/>
      <c r="B51" s="323"/>
      <c r="C51" s="22" t="s">
        <v>11</v>
      </c>
      <c r="D51" s="23" t="s">
        <v>10</v>
      </c>
      <c r="E51" s="103">
        <v>0</v>
      </c>
      <c r="F51" s="103">
        <v>0</v>
      </c>
      <c r="G51" s="103">
        <v>0</v>
      </c>
      <c r="H51" s="103">
        <v>0</v>
      </c>
      <c r="I51" s="103">
        <v>0</v>
      </c>
      <c r="J51" s="103">
        <v>0</v>
      </c>
      <c r="K51" s="103">
        <v>0</v>
      </c>
      <c r="L51" s="103">
        <v>0</v>
      </c>
      <c r="M51" s="103">
        <v>0</v>
      </c>
      <c r="N51" s="45"/>
    </row>
    <row r="52" spans="1:14" x14ac:dyDescent="0.25">
      <c r="A52" s="306"/>
      <c r="B52" s="323"/>
      <c r="C52" s="21" t="s">
        <v>18</v>
      </c>
      <c r="D52" s="2" t="s">
        <v>19</v>
      </c>
      <c r="E52" s="102">
        <v>3.38</v>
      </c>
      <c r="F52" s="102">
        <v>3.38</v>
      </c>
      <c r="G52" s="102">
        <v>3.38</v>
      </c>
      <c r="H52" s="102">
        <v>3.38</v>
      </c>
      <c r="I52" s="102">
        <v>3.38</v>
      </c>
      <c r="J52" s="102">
        <v>3.38</v>
      </c>
      <c r="K52" s="102">
        <v>3.38</v>
      </c>
      <c r="L52" s="102">
        <v>3.38</v>
      </c>
      <c r="M52" s="102">
        <v>3.38</v>
      </c>
      <c r="N52" s="45"/>
    </row>
    <row r="53" spans="1:14" x14ac:dyDescent="0.25">
      <c r="A53" s="306"/>
      <c r="B53" s="323"/>
      <c r="C53" s="21" t="s">
        <v>13</v>
      </c>
      <c r="D53" s="2" t="s">
        <v>14</v>
      </c>
      <c r="E53" s="102"/>
      <c r="F53" s="102"/>
      <c r="G53" s="102"/>
      <c r="H53" s="102"/>
      <c r="I53" s="102"/>
      <c r="J53" s="102"/>
      <c r="K53" s="102"/>
      <c r="L53" s="102"/>
      <c r="M53" s="102"/>
      <c r="N53" s="45"/>
    </row>
    <row r="54" spans="1:14" x14ac:dyDescent="0.25">
      <c r="A54" s="306"/>
      <c r="B54" s="323"/>
      <c r="C54" s="21" t="s">
        <v>15</v>
      </c>
      <c r="D54" s="2" t="s">
        <v>4</v>
      </c>
      <c r="E54" s="102"/>
      <c r="F54" s="102"/>
      <c r="G54" s="102"/>
      <c r="H54" s="102"/>
      <c r="I54" s="102"/>
      <c r="J54" s="102"/>
      <c r="K54" s="102"/>
      <c r="L54" s="102"/>
      <c r="M54" s="102"/>
      <c r="N54" s="45"/>
    </row>
    <row r="55" spans="1:14" ht="14.45" customHeight="1" x14ac:dyDescent="0.25">
      <c r="A55" s="306">
        <v>6</v>
      </c>
      <c r="B55" s="323" t="s">
        <v>147</v>
      </c>
      <c r="C55" s="21" t="s">
        <v>101</v>
      </c>
      <c r="D55" s="1" t="s">
        <v>4</v>
      </c>
      <c r="E55" s="102">
        <v>20</v>
      </c>
      <c r="F55" s="102">
        <v>20</v>
      </c>
      <c r="G55" s="102">
        <v>20</v>
      </c>
      <c r="H55" s="102">
        <v>20</v>
      </c>
      <c r="I55" s="102">
        <v>20</v>
      </c>
      <c r="J55" s="102">
        <v>20</v>
      </c>
      <c r="K55" s="102">
        <v>20</v>
      </c>
      <c r="L55" s="102">
        <v>20</v>
      </c>
      <c r="M55" s="102">
        <v>20</v>
      </c>
      <c r="N55" s="45"/>
    </row>
    <row r="56" spans="1:14" x14ac:dyDescent="0.25">
      <c r="A56" s="306"/>
      <c r="B56" s="323"/>
      <c r="C56" s="21" t="s">
        <v>20</v>
      </c>
      <c r="D56" s="1" t="s">
        <v>6</v>
      </c>
      <c r="E56" s="103">
        <v>786.25871364962575</v>
      </c>
      <c r="F56" s="103">
        <v>549.26179392174538</v>
      </c>
      <c r="G56" s="103">
        <v>421.66777237439481</v>
      </c>
      <c r="H56" s="103">
        <v>421.66777237439481</v>
      </c>
      <c r="I56" s="103">
        <v>421.66777237439481</v>
      </c>
      <c r="J56" s="103">
        <v>421.66777237439481</v>
      </c>
      <c r="K56" s="103">
        <v>597.82399999999996</v>
      </c>
      <c r="L56" s="103">
        <v>597.82399999999996</v>
      </c>
      <c r="M56" s="103">
        <v>597.82399999999996</v>
      </c>
      <c r="N56" s="45"/>
    </row>
    <row r="57" spans="1:14" x14ac:dyDescent="0.25">
      <c r="A57" s="306"/>
      <c r="B57" s="323"/>
      <c r="C57" s="21" t="s">
        <v>172</v>
      </c>
      <c r="D57" s="1" t="s">
        <v>19</v>
      </c>
      <c r="E57" s="104">
        <v>0</v>
      </c>
      <c r="F57" s="104">
        <v>0</v>
      </c>
      <c r="G57" s="104">
        <v>0</v>
      </c>
      <c r="H57" s="104">
        <v>0</v>
      </c>
      <c r="I57" s="104">
        <v>0</v>
      </c>
      <c r="J57" s="104">
        <v>0</v>
      </c>
      <c r="K57" s="104">
        <v>0</v>
      </c>
      <c r="L57" s="104">
        <v>0</v>
      </c>
      <c r="M57" s="104">
        <v>0</v>
      </c>
      <c r="N57" s="45"/>
    </row>
    <row r="58" spans="1:14" x14ac:dyDescent="0.25">
      <c r="A58" s="306"/>
      <c r="B58" s="323"/>
      <c r="C58" s="21" t="s">
        <v>102</v>
      </c>
      <c r="D58" s="1" t="s">
        <v>8</v>
      </c>
      <c r="E58" s="102"/>
      <c r="F58" s="102"/>
      <c r="G58" s="102"/>
      <c r="H58" s="102"/>
      <c r="I58" s="102"/>
      <c r="J58" s="102"/>
      <c r="K58" s="102"/>
      <c r="L58" s="102"/>
      <c r="M58" s="102"/>
      <c r="N58" s="45"/>
    </row>
    <row r="59" spans="1:14" x14ac:dyDescent="0.25">
      <c r="A59" s="306"/>
      <c r="B59" s="323"/>
      <c r="C59" s="21" t="s">
        <v>103</v>
      </c>
      <c r="D59" s="1" t="s">
        <v>9</v>
      </c>
      <c r="E59" s="103">
        <v>11.793880704744385</v>
      </c>
      <c r="F59" s="103">
        <v>8.2389269088261798</v>
      </c>
      <c r="G59" s="103">
        <v>6.3250165856159217</v>
      </c>
      <c r="H59" s="103">
        <v>6.3250165856159217</v>
      </c>
      <c r="I59" s="103">
        <v>6.3250165856159217</v>
      </c>
      <c r="J59" s="103">
        <v>6.3250165856159217</v>
      </c>
      <c r="K59" s="103">
        <v>1.6279999999999999</v>
      </c>
      <c r="L59" s="103">
        <v>1.6279999999999999</v>
      </c>
      <c r="M59" s="103">
        <v>1.6279999999999999</v>
      </c>
      <c r="N59" s="45"/>
    </row>
    <row r="60" spans="1:14" x14ac:dyDescent="0.25">
      <c r="A60" s="306"/>
      <c r="B60" s="323"/>
      <c r="C60" s="21" t="s">
        <v>104</v>
      </c>
      <c r="D60" s="1" t="s">
        <v>10</v>
      </c>
      <c r="E60" s="103">
        <v>0</v>
      </c>
      <c r="F60" s="103">
        <v>0</v>
      </c>
      <c r="G60" s="103">
        <v>0</v>
      </c>
      <c r="H60" s="103">
        <v>0</v>
      </c>
      <c r="I60" s="103">
        <v>0</v>
      </c>
      <c r="J60" s="103">
        <v>0</v>
      </c>
      <c r="K60" s="103">
        <v>2.0599999999999998E-3</v>
      </c>
      <c r="L60" s="103">
        <v>2.0599999999999998E-3</v>
      </c>
      <c r="M60" s="103">
        <v>2.0599999999999998E-3</v>
      </c>
      <c r="N60" s="45"/>
    </row>
    <row r="61" spans="1:14" ht="18.75" x14ac:dyDescent="0.25">
      <c r="A61" s="306"/>
      <c r="B61" s="323"/>
      <c r="C61" s="22" t="s">
        <v>105</v>
      </c>
      <c r="D61" s="23" t="s">
        <v>17</v>
      </c>
      <c r="E61" s="103">
        <v>0</v>
      </c>
      <c r="F61" s="103">
        <v>0</v>
      </c>
      <c r="G61" s="103">
        <v>0</v>
      </c>
      <c r="H61" s="103">
        <v>0</v>
      </c>
      <c r="I61" s="103">
        <v>0</v>
      </c>
      <c r="J61" s="103">
        <v>0</v>
      </c>
      <c r="K61" s="103">
        <v>0</v>
      </c>
      <c r="L61" s="103">
        <v>0</v>
      </c>
      <c r="M61" s="103">
        <v>0</v>
      </c>
      <c r="N61" s="45"/>
    </row>
    <row r="62" spans="1:14" x14ac:dyDescent="0.25">
      <c r="A62" s="306"/>
      <c r="B62" s="323"/>
      <c r="C62" s="22" t="s">
        <v>11</v>
      </c>
      <c r="D62" s="23" t="s">
        <v>10</v>
      </c>
      <c r="E62" s="103">
        <v>0</v>
      </c>
      <c r="F62" s="103">
        <v>0</v>
      </c>
      <c r="G62" s="103">
        <v>0</v>
      </c>
      <c r="H62" s="103">
        <v>0</v>
      </c>
      <c r="I62" s="103">
        <v>0</v>
      </c>
      <c r="J62" s="103">
        <v>0</v>
      </c>
      <c r="K62" s="103">
        <v>0</v>
      </c>
      <c r="L62" s="103">
        <v>0</v>
      </c>
      <c r="M62" s="103">
        <v>0</v>
      </c>
      <c r="N62" s="45"/>
    </row>
    <row r="63" spans="1:14" x14ac:dyDescent="0.25">
      <c r="A63" s="306"/>
      <c r="B63" s="323"/>
      <c r="C63" s="21" t="s">
        <v>18</v>
      </c>
      <c r="D63" s="2" t="s">
        <v>19</v>
      </c>
      <c r="E63" s="102">
        <v>4.82</v>
      </c>
      <c r="F63" s="102">
        <v>4.82</v>
      </c>
      <c r="G63" s="102">
        <v>4.82</v>
      </c>
      <c r="H63" s="102">
        <v>4.82</v>
      </c>
      <c r="I63" s="102">
        <v>4.82</v>
      </c>
      <c r="J63" s="102">
        <v>4.82</v>
      </c>
      <c r="K63" s="102">
        <v>4.82</v>
      </c>
      <c r="L63" s="102">
        <v>4.82</v>
      </c>
      <c r="M63" s="102">
        <v>4.82</v>
      </c>
      <c r="N63" s="45"/>
    </row>
    <row r="64" spans="1:14" x14ac:dyDescent="0.25">
      <c r="A64" s="306"/>
      <c r="B64" s="323"/>
      <c r="C64" s="21" t="s">
        <v>13</v>
      </c>
      <c r="D64" s="1" t="s">
        <v>14</v>
      </c>
      <c r="E64" s="102"/>
      <c r="F64" s="102"/>
      <c r="G64" s="102"/>
      <c r="H64" s="102"/>
      <c r="I64" s="102"/>
      <c r="J64" s="102"/>
      <c r="K64" s="102"/>
      <c r="L64" s="102"/>
      <c r="M64" s="102"/>
      <c r="N64" s="45"/>
    </row>
    <row r="65" spans="1:14" x14ac:dyDescent="0.25">
      <c r="A65" s="306"/>
      <c r="B65" s="323"/>
      <c r="C65" s="21" t="s">
        <v>15</v>
      </c>
      <c r="D65" s="1" t="s">
        <v>4</v>
      </c>
      <c r="E65" s="102"/>
      <c r="F65" s="102"/>
      <c r="G65" s="102"/>
      <c r="H65" s="102"/>
      <c r="I65" s="102"/>
      <c r="J65" s="102"/>
      <c r="K65" s="102"/>
      <c r="L65" s="102"/>
      <c r="M65" s="102"/>
      <c r="N65" s="45"/>
    </row>
    <row r="66" spans="1:14" x14ac:dyDescent="0.25">
      <c r="A66" s="306"/>
      <c r="B66" s="323"/>
      <c r="C66" s="21" t="s">
        <v>106</v>
      </c>
      <c r="D66" s="1" t="s">
        <v>6</v>
      </c>
      <c r="E66" s="103">
        <v>2819.9005597918967</v>
      </c>
      <c r="F66" s="103">
        <v>1929.550889841297</v>
      </c>
      <c r="G66" s="103">
        <v>1213.482173232652</v>
      </c>
      <c r="H66" s="103">
        <v>421.5437177304745</v>
      </c>
      <c r="I66" s="103">
        <v>287.43432006836628</v>
      </c>
      <c r="J66" s="103">
        <v>182.19088878412825</v>
      </c>
      <c r="K66" s="103">
        <v>88.423403695885241</v>
      </c>
      <c r="L66" s="103">
        <v>77.457281612869494</v>
      </c>
      <c r="M66" s="103">
        <v>77.457281612869494</v>
      </c>
      <c r="N66" s="45"/>
    </row>
    <row r="67" spans="1:14" x14ac:dyDescent="0.25">
      <c r="A67" s="306"/>
      <c r="B67" s="323"/>
      <c r="C67" s="21" t="s">
        <v>107</v>
      </c>
      <c r="D67" s="1" t="s">
        <v>4</v>
      </c>
      <c r="E67" s="102"/>
      <c r="F67" s="102"/>
      <c r="G67" s="102"/>
      <c r="H67" s="102"/>
      <c r="I67" s="102"/>
      <c r="J67" s="102"/>
      <c r="K67" s="102"/>
      <c r="L67" s="102"/>
      <c r="M67" s="102"/>
      <c r="N67" s="45"/>
    </row>
    <row r="68" spans="1:14" ht="14.45" customHeight="1" x14ac:dyDescent="0.25">
      <c r="A68" s="306">
        <v>7</v>
      </c>
      <c r="B68" s="323" t="s">
        <v>148</v>
      </c>
      <c r="C68" s="21" t="s">
        <v>101</v>
      </c>
      <c r="D68" s="1" t="s">
        <v>4</v>
      </c>
      <c r="E68" s="102">
        <v>20</v>
      </c>
      <c r="F68" s="102">
        <v>20</v>
      </c>
      <c r="G68" s="102">
        <v>20</v>
      </c>
      <c r="H68" s="102">
        <v>20</v>
      </c>
      <c r="I68" s="102">
        <v>20</v>
      </c>
      <c r="J68" s="102">
        <v>20</v>
      </c>
      <c r="K68" s="102">
        <v>20</v>
      </c>
      <c r="L68" s="102">
        <v>20</v>
      </c>
      <c r="M68" s="102">
        <v>20</v>
      </c>
      <c r="N68" s="45"/>
    </row>
    <row r="69" spans="1:14" x14ac:dyDescent="0.25">
      <c r="A69" s="306"/>
      <c r="B69" s="323"/>
      <c r="C69" s="21" t="s">
        <v>20</v>
      </c>
      <c r="D69" s="1" t="s">
        <v>6</v>
      </c>
      <c r="E69" s="103">
        <v>786.25871364962575</v>
      </c>
      <c r="F69" s="103">
        <v>549.26179392174538</v>
      </c>
      <c r="G69" s="103">
        <v>421.66777237439481</v>
      </c>
      <c r="H69" s="103">
        <v>421.66777237439481</v>
      </c>
      <c r="I69" s="103">
        <v>421.66777237439481</v>
      </c>
      <c r="J69" s="103">
        <v>421.66777237439481</v>
      </c>
      <c r="K69" s="103">
        <v>597.82399999999996</v>
      </c>
      <c r="L69" s="103">
        <v>597.82399999999996</v>
      </c>
      <c r="M69" s="103">
        <v>597.82399999999996</v>
      </c>
      <c r="N69" s="45"/>
    </row>
    <row r="70" spans="1:14" x14ac:dyDescent="0.25">
      <c r="A70" s="306"/>
      <c r="B70" s="323"/>
      <c r="C70" s="21" t="s">
        <v>172</v>
      </c>
      <c r="D70" s="1" t="s">
        <v>19</v>
      </c>
      <c r="E70" s="104">
        <v>0</v>
      </c>
      <c r="F70" s="104">
        <v>0</v>
      </c>
      <c r="G70" s="104">
        <v>0</v>
      </c>
      <c r="H70" s="104">
        <v>0</v>
      </c>
      <c r="I70" s="104">
        <v>0</v>
      </c>
      <c r="J70" s="104">
        <v>0</v>
      </c>
      <c r="K70" s="104">
        <v>0</v>
      </c>
      <c r="L70" s="104">
        <v>0</v>
      </c>
      <c r="M70" s="104">
        <v>0</v>
      </c>
      <c r="N70" s="45"/>
    </row>
    <row r="71" spans="1:14" x14ac:dyDescent="0.25">
      <c r="A71" s="306"/>
      <c r="B71" s="323"/>
      <c r="C71" s="21" t="s">
        <v>102</v>
      </c>
      <c r="D71" s="1" t="s">
        <v>8</v>
      </c>
      <c r="E71" s="102"/>
      <c r="F71" s="102"/>
      <c r="G71" s="102"/>
      <c r="H71" s="102"/>
      <c r="I71" s="102"/>
      <c r="J71" s="102"/>
      <c r="K71" s="102"/>
      <c r="L71" s="102"/>
      <c r="M71" s="102"/>
      <c r="N71" s="45"/>
    </row>
    <row r="72" spans="1:14" x14ac:dyDescent="0.25">
      <c r="A72" s="306"/>
      <c r="B72" s="323"/>
      <c r="C72" s="21" t="s">
        <v>103</v>
      </c>
      <c r="D72" s="1" t="s">
        <v>9</v>
      </c>
      <c r="E72" s="103">
        <v>11.793880704744385</v>
      </c>
      <c r="F72" s="103">
        <v>8.2389269088261798</v>
      </c>
      <c r="G72" s="103">
        <v>6.3250165856159217</v>
      </c>
      <c r="H72" s="103">
        <v>6.3250165856159217</v>
      </c>
      <c r="I72" s="103">
        <v>6.3250165856159217</v>
      </c>
      <c r="J72" s="103">
        <v>6.3250165856159217</v>
      </c>
      <c r="K72" s="103">
        <v>1.6279999999999999</v>
      </c>
      <c r="L72" s="103">
        <v>1.6279999999999999</v>
      </c>
      <c r="M72" s="103">
        <v>1.6279999999999999</v>
      </c>
      <c r="N72" s="45"/>
    </row>
    <row r="73" spans="1:14" x14ac:dyDescent="0.25">
      <c r="A73" s="306"/>
      <c r="B73" s="323"/>
      <c r="C73" s="21" t="s">
        <v>104</v>
      </c>
      <c r="D73" s="1" t="s">
        <v>10</v>
      </c>
      <c r="E73" s="103">
        <v>0</v>
      </c>
      <c r="F73" s="103">
        <v>0</v>
      </c>
      <c r="G73" s="103">
        <v>0</v>
      </c>
      <c r="H73" s="103">
        <v>0</v>
      </c>
      <c r="I73" s="103">
        <v>0</v>
      </c>
      <c r="J73" s="103">
        <v>0</v>
      </c>
      <c r="K73" s="103">
        <v>2.0599999999999998E-3</v>
      </c>
      <c r="L73" s="103">
        <v>2.0599999999999998E-3</v>
      </c>
      <c r="M73" s="103">
        <v>2.0599999999999998E-3</v>
      </c>
      <c r="N73" s="45"/>
    </row>
    <row r="74" spans="1:14" ht="18.75" x14ac:dyDescent="0.25">
      <c r="A74" s="306"/>
      <c r="B74" s="323"/>
      <c r="C74" s="22" t="s">
        <v>105</v>
      </c>
      <c r="D74" s="23" t="s">
        <v>17</v>
      </c>
      <c r="E74" s="103">
        <v>0</v>
      </c>
      <c r="F74" s="103">
        <v>0</v>
      </c>
      <c r="G74" s="103">
        <v>0</v>
      </c>
      <c r="H74" s="103">
        <v>0</v>
      </c>
      <c r="I74" s="103">
        <v>0</v>
      </c>
      <c r="J74" s="103">
        <v>0</v>
      </c>
      <c r="K74" s="103">
        <v>0</v>
      </c>
      <c r="L74" s="103">
        <v>0</v>
      </c>
      <c r="M74" s="103">
        <v>0</v>
      </c>
      <c r="N74" s="45"/>
    </row>
    <row r="75" spans="1:14" x14ac:dyDescent="0.25">
      <c r="A75" s="306"/>
      <c r="B75" s="323"/>
      <c r="C75" s="22" t="s">
        <v>11</v>
      </c>
      <c r="D75" s="23" t="s">
        <v>10</v>
      </c>
      <c r="E75" s="103">
        <v>0</v>
      </c>
      <c r="F75" s="103">
        <v>0</v>
      </c>
      <c r="G75" s="103">
        <v>0</v>
      </c>
      <c r="H75" s="103">
        <v>0</v>
      </c>
      <c r="I75" s="103">
        <v>0</v>
      </c>
      <c r="J75" s="103">
        <v>0</v>
      </c>
      <c r="K75" s="103">
        <v>0</v>
      </c>
      <c r="L75" s="103">
        <v>0</v>
      </c>
      <c r="M75" s="103">
        <v>0</v>
      </c>
      <c r="N75" s="45"/>
    </row>
    <row r="76" spans="1:14" x14ac:dyDescent="0.25">
      <c r="A76" s="306"/>
      <c r="B76" s="323"/>
      <c r="C76" s="21" t="s">
        <v>18</v>
      </c>
      <c r="D76" s="2" t="s">
        <v>19</v>
      </c>
      <c r="E76" s="102">
        <v>4.5</v>
      </c>
      <c r="F76" s="102">
        <v>4.5</v>
      </c>
      <c r="G76" s="102">
        <v>4.5</v>
      </c>
      <c r="H76" s="102">
        <v>4.5</v>
      </c>
      <c r="I76" s="102">
        <v>4.5</v>
      </c>
      <c r="J76" s="102">
        <v>4.5</v>
      </c>
      <c r="K76" s="102">
        <v>4.5</v>
      </c>
      <c r="L76" s="102">
        <v>4.5</v>
      </c>
      <c r="M76" s="102">
        <v>4.5</v>
      </c>
      <c r="N76" s="45"/>
    </row>
    <row r="77" spans="1:14" x14ac:dyDescent="0.25">
      <c r="A77" s="306"/>
      <c r="B77" s="323"/>
      <c r="C77" s="21" t="s">
        <v>13</v>
      </c>
      <c r="D77" s="1" t="s">
        <v>14</v>
      </c>
      <c r="E77" s="102"/>
      <c r="F77" s="102"/>
      <c r="G77" s="102"/>
      <c r="H77" s="102"/>
      <c r="I77" s="102"/>
      <c r="J77" s="102"/>
      <c r="K77" s="102"/>
      <c r="L77" s="102"/>
      <c r="M77" s="102"/>
      <c r="N77" s="45"/>
    </row>
    <row r="78" spans="1:14" x14ac:dyDescent="0.25">
      <c r="A78" s="306"/>
      <c r="B78" s="323"/>
      <c r="C78" s="21" t="s">
        <v>15</v>
      </c>
      <c r="D78" s="1" t="s">
        <v>4</v>
      </c>
      <c r="E78" s="102"/>
      <c r="F78" s="102"/>
      <c r="G78" s="102"/>
      <c r="H78" s="102"/>
      <c r="I78" s="102"/>
      <c r="J78" s="102"/>
      <c r="K78" s="102"/>
      <c r="L78" s="102"/>
      <c r="M78" s="102"/>
      <c r="N78" s="45"/>
    </row>
    <row r="79" spans="1:14" x14ac:dyDescent="0.25">
      <c r="A79" s="306"/>
      <c r="B79" s="323"/>
      <c r="C79" s="21" t="s">
        <v>106</v>
      </c>
      <c r="D79" s="1" t="s">
        <v>6</v>
      </c>
      <c r="E79" s="103">
        <v>2819.9005597918967</v>
      </c>
      <c r="F79" s="103">
        <v>1929.550889841297</v>
      </c>
      <c r="G79" s="103">
        <v>1213.482173232652</v>
      </c>
      <c r="H79" s="103">
        <v>421.5437177304745</v>
      </c>
      <c r="I79" s="103">
        <v>287.43432006836628</v>
      </c>
      <c r="J79" s="103">
        <v>182.19088878412825</v>
      </c>
      <c r="K79" s="103">
        <v>88.423403695885241</v>
      </c>
      <c r="L79" s="103">
        <v>77.457281612869494</v>
      </c>
      <c r="M79" s="103">
        <v>77.457281612869494</v>
      </c>
      <c r="N79" s="45"/>
    </row>
    <row r="80" spans="1:14" x14ac:dyDescent="0.25">
      <c r="A80" s="306"/>
      <c r="B80" s="323"/>
      <c r="C80" s="21" t="s">
        <v>107</v>
      </c>
      <c r="D80" s="1" t="s">
        <v>4</v>
      </c>
      <c r="E80" s="102"/>
      <c r="F80" s="102"/>
      <c r="G80" s="102"/>
      <c r="H80" s="102"/>
      <c r="I80" s="102"/>
      <c r="J80" s="102"/>
      <c r="K80" s="102"/>
      <c r="L80" s="102"/>
      <c r="M80" s="102"/>
      <c r="N80" s="45"/>
    </row>
    <row r="81" spans="1:14" ht="14.45" customHeight="1" x14ac:dyDescent="0.25">
      <c r="A81" s="306">
        <v>8</v>
      </c>
      <c r="B81" s="323" t="s">
        <v>149</v>
      </c>
      <c r="C81" s="21" t="s">
        <v>101</v>
      </c>
      <c r="D81" s="1" t="s">
        <v>4</v>
      </c>
      <c r="E81" s="102">
        <v>20</v>
      </c>
      <c r="F81" s="102">
        <v>20</v>
      </c>
      <c r="G81" s="102">
        <v>20</v>
      </c>
      <c r="H81" s="102">
        <v>20</v>
      </c>
      <c r="I81" s="102">
        <v>20</v>
      </c>
      <c r="J81" s="102">
        <v>20</v>
      </c>
      <c r="K81" s="102">
        <v>20</v>
      </c>
      <c r="L81" s="102">
        <v>20</v>
      </c>
      <c r="M81" s="102">
        <v>20</v>
      </c>
      <c r="N81" s="45"/>
    </row>
    <row r="82" spans="1:14" x14ac:dyDescent="0.25">
      <c r="A82" s="306"/>
      <c r="B82" s="323"/>
      <c r="C82" s="21" t="s">
        <v>20</v>
      </c>
      <c r="D82" s="1" t="s">
        <v>6</v>
      </c>
      <c r="E82" s="103">
        <v>786.25871364962575</v>
      </c>
      <c r="F82" s="103">
        <v>549.26179392174538</v>
      </c>
      <c r="G82" s="103">
        <v>421.66777237439481</v>
      </c>
      <c r="H82" s="103">
        <v>421.66777237439481</v>
      </c>
      <c r="I82" s="103">
        <v>421.66777237439481</v>
      </c>
      <c r="J82" s="103">
        <v>421.66777237439481</v>
      </c>
      <c r="K82" s="103">
        <v>597.82399999999996</v>
      </c>
      <c r="L82" s="103">
        <v>597.82399999999996</v>
      </c>
      <c r="M82" s="103">
        <v>597.82399999999996</v>
      </c>
      <c r="N82" s="45"/>
    </row>
    <row r="83" spans="1:14" x14ac:dyDescent="0.25">
      <c r="A83" s="306"/>
      <c r="B83" s="323"/>
      <c r="C83" s="21" t="s">
        <v>172</v>
      </c>
      <c r="D83" s="1" t="s">
        <v>19</v>
      </c>
      <c r="E83" s="104">
        <v>0</v>
      </c>
      <c r="F83" s="104">
        <v>0</v>
      </c>
      <c r="G83" s="104">
        <v>0</v>
      </c>
      <c r="H83" s="104">
        <v>0</v>
      </c>
      <c r="I83" s="104">
        <v>0</v>
      </c>
      <c r="J83" s="104">
        <v>0</v>
      </c>
      <c r="K83" s="104">
        <v>0</v>
      </c>
      <c r="L83" s="104">
        <v>0</v>
      </c>
      <c r="M83" s="104">
        <v>0</v>
      </c>
      <c r="N83" s="45"/>
    </row>
    <row r="84" spans="1:14" x14ac:dyDescent="0.25">
      <c r="A84" s="306"/>
      <c r="B84" s="323"/>
      <c r="C84" s="21" t="s">
        <v>102</v>
      </c>
      <c r="D84" s="1" t="s">
        <v>8</v>
      </c>
      <c r="E84" s="102"/>
      <c r="F84" s="102"/>
      <c r="G84" s="102"/>
      <c r="H84" s="102"/>
      <c r="I84" s="102"/>
      <c r="J84" s="102"/>
      <c r="K84" s="102"/>
      <c r="L84" s="102"/>
      <c r="M84" s="102"/>
      <c r="N84" s="45"/>
    </row>
    <row r="85" spans="1:14" x14ac:dyDescent="0.25">
      <c r="A85" s="306"/>
      <c r="B85" s="323"/>
      <c r="C85" s="21" t="s">
        <v>103</v>
      </c>
      <c r="D85" s="1" t="s">
        <v>9</v>
      </c>
      <c r="E85" s="103">
        <v>11.793880704744385</v>
      </c>
      <c r="F85" s="103">
        <v>8.2389269088261798</v>
      </c>
      <c r="G85" s="103">
        <v>6.3250165856159217</v>
      </c>
      <c r="H85" s="103">
        <v>6.3250165856159217</v>
      </c>
      <c r="I85" s="103">
        <v>6.3250165856159217</v>
      </c>
      <c r="J85" s="103">
        <v>6.3250165856159217</v>
      </c>
      <c r="K85" s="103">
        <v>1.6279999999999999</v>
      </c>
      <c r="L85" s="103">
        <v>1.6279999999999999</v>
      </c>
      <c r="M85" s="103">
        <v>1.6279999999999999</v>
      </c>
      <c r="N85" s="45"/>
    </row>
    <row r="86" spans="1:14" x14ac:dyDescent="0.25">
      <c r="A86" s="306"/>
      <c r="B86" s="323"/>
      <c r="C86" s="21" t="s">
        <v>104</v>
      </c>
      <c r="D86" s="1" t="s">
        <v>10</v>
      </c>
      <c r="E86" s="103">
        <v>0</v>
      </c>
      <c r="F86" s="103">
        <v>0</v>
      </c>
      <c r="G86" s="103">
        <v>0</v>
      </c>
      <c r="H86" s="103">
        <v>0</v>
      </c>
      <c r="I86" s="103">
        <v>0</v>
      </c>
      <c r="J86" s="103">
        <v>0</v>
      </c>
      <c r="K86" s="103">
        <v>2.0599999999999998E-3</v>
      </c>
      <c r="L86" s="103">
        <v>2.0599999999999998E-3</v>
      </c>
      <c r="M86" s="103">
        <v>2.0599999999999998E-3</v>
      </c>
      <c r="N86" s="45"/>
    </row>
    <row r="87" spans="1:14" ht="18.75" x14ac:dyDescent="0.25">
      <c r="A87" s="306"/>
      <c r="B87" s="323"/>
      <c r="C87" s="22" t="s">
        <v>105</v>
      </c>
      <c r="D87" s="23" t="s">
        <v>17</v>
      </c>
      <c r="E87" s="103">
        <v>0</v>
      </c>
      <c r="F87" s="103">
        <v>0</v>
      </c>
      <c r="G87" s="103">
        <v>0</v>
      </c>
      <c r="H87" s="103">
        <v>0</v>
      </c>
      <c r="I87" s="103">
        <v>0</v>
      </c>
      <c r="J87" s="103">
        <v>0</v>
      </c>
      <c r="K87" s="103">
        <v>0</v>
      </c>
      <c r="L87" s="103">
        <v>0</v>
      </c>
      <c r="M87" s="103">
        <v>0</v>
      </c>
      <c r="N87" s="45"/>
    </row>
    <row r="88" spans="1:14" x14ac:dyDescent="0.25">
      <c r="A88" s="306"/>
      <c r="B88" s="323"/>
      <c r="C88" s="22" t="s">
        <v>11</v>
      </c>
      <c r="D88" s="23" t="s">
        <v>10</v>
      </c>
      <c r="E88" s="103">
        <v>0</v>
      </c>
      <c r="F88" s="103">
        <v>0</v>
      </c>
      <c r="G88" s="103">
        <v>0</v>
      </c>
      <c r="H88" s="103">
        <v>0</v>
      </c>
      <c r="I88" s="103">
        <v>0</v>
      </c>
      <c r="J88" s="103">
        <v>0</v>
      </c>
      <c r="K88" s="103">
        <v>0</v>
      </c>
      <c r="L88" s="103">
        <v>0</v>
      </c>
      <c r="M88" s="103">
        <v>0</v>
      </c>
      <c r="N88" s="45"/>
    </row>
    <row r="89" spans="1:14" x14ac:dyDescent="0.25">
      <c r="A89" s="306"/>
      <c r="B89" s="323"/>
      <c r="C89" s="21" t="s">
        <v>18</v>
      </c>
      <c r="D89" s="2" t="s">
        <v>19</v>
      </c>
      <c r="E89" s="102">
        <v>4.18</v>
      </c>
      <c r="F89" s="102">
        <v>4.18</v>
      </c>
      <c r="G89" s="102">
        <v>4.18</v>
      </c>
      <c r="H89" s="102">
        <v>4.18</v>
      </c>
      <c r="I89" s="102">
        <v>4.18</v>
      </c>
      <c r="J89" s="102">
        <v>4.18</v>
      </c>
      <c r="K89" s="102">
        <v>4.18</v>
      </c>
      <c r="L89" s="102">
        <v>4.18</v>
      </c>
      <c r="M89" s="102">
        <v>4.18</v>
      </c>
      <c r="N89" s="45"/>
    </row>
    <row r="90" spans="1:14" x14ac:dyDescent="0.25">
      <c r="A90" s="306"/>
      <c r="B90" s="323"/>
      <c r="C90" s="21" t="s">
        <v>13</v>
      </c>
      <c r="D90" s="2" t="s">
        <v>14</v>
      </c>
      <c r="E90" s="102"/>
      <c r="F90" s="102"/>
      <c r="G90" s="102"/>
      <c r="H90" s="102"/>
      <c r="I90" s="102"/>
      <c r="J90" s="102"/>
      <c r="K90" s="102"/>
      <c r="L90" s="102"/>
      <c r="M90" s="102"/>
      <c r="N90" s="45"/>
    </row>
    <row r="91" spans="1:14" x14ac:dyDescent="0.25">
      <c r="A91" s="306"/>
      <c r="B91" s="323"/>
      <c r="C91" s="21" t="s">
        <v>15</v>
      </c>
      <c r="D91" s="1" t="s">
        <v>4</v>
      </c>
      <c r="E91" s="102"/>
      <c r="F91" s="102"/>
      <c r="G91" s="102"/>
      <c r="H91" s="102"/>
      <c r="I91" s="102"/>
      <c r="J91" s="102"/>
      <c r="K91" s="102"/>
      <c r="L91" s="102"/>
      <c r="M91" s="102"/>
      <c r="N91" s="45"/>
    </row>
    <row r="92" spans="1:14" x14ac:dyDescent="0.25">
      <c r="A92" s="306"/>
      <c r="B92" s="323"/>
      <c r="C92" s="21" t="s">
        <v>106</v>
      </c>
      <c r="D92" s="1" t="s">
        <v>6</v>
      </c>
      <c r="E92" s="103">
        <v>2819.9005597918967</v>
      </c>
      <c r="F92" s="103">
        <v>1929.550889841297</v>
      </c>
      <c r="G92" s="103">
        <v>1213.482173232652</v>
      </c>
      <c r="H92" s="103">
        <v>421.5437177304745</v>
      </c>
      <c r="I92" s="103">
        <v>287.43432006836628</v>
      </c>
      <c r="J92" s="103">
        <v>182.19088878412825</v>
      </c>
      <c r="K92" s="103">
        <v>88.423403695885241</v>
      </c>
      <c r="L92" s="103">
        <v>77.457281612869494</v>
      </c>
      <c r="M92" s="103">
        <v>77.457281612869494</v>
      </c>
      <c r="N92" s="45"/>
    </row>
    <row r="93" spans="1:14" x14ac:dyDescent="0.25">
      <c r="A93" s="306"/>
      <c r="B93" s="323"/>
      <c r="C93" s="21" t="s">
        <v>107</v>
      </c>
      <c r="D93" s="1" t="s">
        <v>4</v>
      </c>
      <c r="E93" s="102"/>
      <c r="F93" s="102"/>
      <c r="G93" s="102"/>
      <c r="H93" s="102"/>
      <c r="I93" s="102"/>
      <c r="J93" s="102"/>
      <c r="K93" s="102"/>
      <c r="L93" s="102"/>
      <c r="M93" s="102"/>
      <c r="N93" s="45"/>
    </row>
    <row r="94" spans="1:14" ht="15" customHeight="1" x14ac:dyDescent="0.25">
      <c r="A94" s="306">
        <v>9</v>
      </c>
      <c r="B94" s="323" t="s">
        <v>108</v>
      </c>
      <c r="C94" s="21" t="s">
        <v>109</v>
      </c>
      <c r="D94" s="1" t="s">
        <v>19</v>
      </c>
      <c r="E94" s="102">
        <v>1</v>
      </c>
      <c r="F94" s="102">
        <v>1</v>
      </c>
      <c r="G94" s="102">
        <v>1</v>
      </c>
      <c r="H94" s="102">
        <v>1</v>
      </c>
      <c r="I94" s="102">
        <v>1</v>
      </c>
      <c r="J94" s="102">
        <v>1</v>
      </c>
      <c r="K94" s="102">
        <v>1</v>
      </c>
      <c r="L94" s="102">
        <v>1</v>
      </c>
      <c r="M94" s="102">
        <v>1</v>
      </c>
      <c r="N94" s="45"/>
    </row>
    <row r="95" spans="1:14" x14ac:dyDescent="0.25">
      <c r="A95" s="306"/>
      <c r="B95" s="323"/>
      <c r="C95" s="21" t="s">
        <v>21</v>
      </c>
      <c r="D95" s="1" t="s">
        <v>19</v>
      </c>
      <c r="E95" s="102">
        <v>0.35</v>
      </c>
      <c r="F95" s="102">
        <v>0.35</v>
      </c>
      <c r="G95" s="102">
        <v>0.35</v>
      </c>
      <c r="H95" s="102">
        <v>0.35</v>
      </c>
      <c r="I95" s="102">
        <v>0.35</v>
      </c>
      <c r="J95" s="102">
        <v>0.35</v>
      </c>
      <c r="K95" s="102">
        <v>0.35</v>
      </c>
      <c r="L95" s="102">
        <v>0.35</v>
      </c>
      <c r="M95" s="102">
        <v>0.35</v>
      </c>
      <c r="N95" s="45"/>
    </row>
    <row r="96" spans="1:14" x14ac:dyDescent="0.25">
      <c r="A96" s="306"/>
      <c r="B96" s="323"/>
      <c r="C96" s="21" t="s">
        <v>22</v>
      </c>
      <c r="D96" s="1" t="s">
        <v>4</v>
      </c>
      <c r="E96" s="102">
        <v>20</v>
      </c>
      <c r="F96" s="102">
        <v>20</v>
      </c>
      <c r="G96" s="102">
        <v>20</v>
      </c>
      <c r="H96" s="102">
        <v>20</v>
      </c>
      <c r="I96" s="102">
        <v>20</v>
      </c>
      <c r="J96" s="102">
        <v>20</v>
      </c>
      <c r="K96" s="102">
        <v>20</v>
      </c>
      <c r="L96" s="102">
        <v>20</v>
      </c>
      <c r="M96" s="102">
        <v>20</v>
      </c>
      <c r="N96" s="45"/>
    </row>
    <row r="97" spans="1:14" x14ac:dyDescent="0.25">
      <c r="A97" s="306"/>
      <c r="B97" s="323"/>
      <c r="C97" s="21" t="s">
        <v>23</v>
      </c>
      <c r="D97" s="1" t="s">
        <v>6</v>
      </c>
      <c r="E97" s="103">
        <v>202.65582041234001</v>
      </c>
      <c r="F97" s="103">
        <v>171.6776866187549</v>
      </c>
      <c r="G97" s="103">
        <v>133.81025064233</v>
      </c>
      <c r="H97" s="103">
        <v>107.89700245248551</v>
      </c>
      <c r="I97" s="103">
        <v>107.31263157894738</v>
      </c>
      <c r="J97" s="103">
        <v>107.00631578947369</v>
      </c>
      <c r="K97" s="103">
        <v>105.98526315789475</v>
      </c>
      <c r="L97" s="103">
        <v>103.84105263157896</v>
      </c>
      <c r="M97" s="103">
        <v>99.55263157894737</v>
      </c>
      <c r="N97" s="45"/>
    </row>
    <row r="98" spans="1:14" x14ac:dyDescent="0.25">
      <c r="A98" s="306"/>
      <c r="B98" s="323"/>
      <c r="C98" s="21" t="s">
        <v>173</v>
      </c>
      <c r="D98" s="1" t="s">
        <v>19</v>
      </c>
      <c r="E98" s="104">
        <v>0</v>
      </c>
      <c r="F98" s="104">
        <v>0</v>
      </c>
      <c r="G98" s="104">
        <v>0</v>
      </c>
      <c r="H98" s="104">
        <v>0</v>
      </c>
      <c r="I98" s="104">
        <v>0</v>
      </c>
      <c r="J98" s="104">
        <v>0</v>
      </c>
      <c r="K98" s="104">
        <v>0</v>
      </c>
      <c r="L98" s="104">
        <v>0</v>
      </c>
      <c r="M98" s="104">
        <v>0</v>
      </c>
      <c r="N98" s="45"/>
    </row>
    <row r="99" spans="1:14" x14ac:dyDescent="0.25">
      <c r="A99" s="306"/>
      <c r="B99" s="323"/>
      <c r="C99" s="21" t="s">
        <v>110</v>
      </c>
      <c r="D99" s="1" t="s">
        <v>8</v>
      </c>
      <c r="E99" s="102"/>
      <c r="F99" s="102"/>
      <c r="G99" s="102"/>
      <c r="H99" s="102"/>
      <c r="I99" s="102"/>
      <c r="J99" s="102"/>
      <c r="K99" s="102"/>
      <c r="L99" s="102"/>
      <c r="M99" s="102"/>
      <c r="N99" s="45"/>
    </row>
    <row r="100" spans="1:14" x14ac:dyDescent="0.25">
      <c r="A100" s="306"/>
      <c r="B100" s="323"/>
      <c r="C100" s="21" t="s">
        <v>111</v>
      </c>
      <c r="D100" s="1" t="s">
        <v>9</v>
      </c>
      <c r="E100" s="103">
        <v>6.0796746123701997</v>
      </c>
      <c r="F100" s="103">
        <v>5.1503305985626469</v>
      </c>
      <c r="G100" s="103">
        <v>4.0143075192698996</v>
      </c>
      <c r="H100" s="103">
        <v>3.2369100735745651</v>
      </c>
      <c r="I100" s="103">
        <v>2.0378947368421052</v>
      </c>
      <c r="J100" s="103">
        <v>2.0189473684210526</v>
      </c>
      <c r="K100" s="103">
        <v>1.9557894736842103</v>
      </c>
      <c r="L100" s="103">
        <v>1.8231578947368419</v>
      </c>
      <c r="M100" s="103">
        <v>1.557894736842105</v>
      </c>
      <c r="N100" s="45"/>
    </row>
    <row r="101" spans="1:14" x14ac:dyDescent="0.25">
      <c r="A101" s="306"/>
      <c r="B101" s="323"/>
      <c r="C101" s="21" t="s">
        <v>35</v>
      </c>
      <c r="D101" s="1" t="s">
        <v>10</v>
      </c>
      <c r="E101" s="103">
        <v>0</v>
      </c>
      <c r="F101" s="103">
        <v>0</v>
      </c>
      <c r="G101" s="103">
        <v>0</v>
      </c>
      <c r="H101" s="103">
        <v>0</v>
      </c>
      <c r="I101" s="103">
        <v>0</v>
      </c>
      <c r="J101" s="103">
        <v>0</v>
      </c>
      <c r="K101" s="103">
        <v>1.6666105263157894E-3</v>
      </c>
      <c r="L101" s="103">
        <v>1.5304421052631579E-3</v>
      </c>
      <c r="M101" s="103">
        <v>1.2581052631578946E-3</v>
      </c>
      <c r="N101" s="45"/>
    </row>
    <row r="102" spans="1:14" x14ac:dyDescent="0.25">
      <c r="A102" s="306"/>
      <c r="B102" s="323"/>
      <c r="C102" s="22" t="s">
        <v>24</v>
      </c>
      <c r="D102" s="23" t="s">
        <v>10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45"/>
    </row>
    <row r="103" spans="1:14" x14ac:dyDescent="0.25">
      <c r="A103" s="306"/>
      <c r="B103" s="323"/>
      <c r="C103" s="21" t="s">
        <v>25</v>
      </c>
      <c r="D103" s="1" t="s">
        <v>7</v>
      </c>
      <c r="E103" s="104">
        <v>0.98499999999999988</v>
      </c>
      <c r="F103" s="104">
        <v>0.98499999999999988</v>
      </c>
      <c r="G103" s="104">
        <v>0.98499999999999988</v>
      </c>
      <c r="H103" s="104">
        <v>0.98499999999999988</v>
      </c>
      <c r="I103" s="104">
        <v>0.98499999999999988</v>
      </c>
      <c r="J103" s="104">
        <v>0.98499999999999988</v>
      </c>
      <c r="K103" s="104">
        <v>0.99399999999999999</v>
      </c>
      <c r="L103" s="104">
        <v>0.99399999999999999</v>
      </c>
      <c r="M103" s="104">
        <v>0.99399999999999999</v>
      </c>
      <c r="N103" s="45"/>
    </row>
    <row r="104" spans="1:14" x14ac:dyDescent="0.25">
      <c r="A104" s="306"/>
      <c r="B104" s="323"/>
      <c r="C104" s="21" t="s">
        <v>26</v>
      </c>
      <c r="D104" s="1" t="s">
        <v>14</v>
      </c>
      <c r="E104" s="103">
        <v>1524.6</v>
      </c>
      <c r="F104" s="103">
        <v>1749.6</v>
      </c>
      <c r="G104" s="103">
        <v>2349.6</v>
      </c>
      <c r="H104" s="103">
        <v>3174.6</v>
      </c>
      <c r="I104" s="103">
        <v>4299.6000000000004</v>
      </c>
      <c r="J104" s="103">
        <v>14213</v>
      </c>
      <c r="K104" s="103">
        <v>21713</v>
      </c>
      <c r="L104" s="103">
        <v>37463</v>
      </c>
      <c r="M104" s="103">
        <v>68963</v>
      </c>
      <c r="N104" s="45"/>
    </row>
    <row r="105" spans="1:14" x14ac:dyDescent="0.25">
      <c r="A105" s="306"/>
      <c r="B105" s="323"/>
      <c r="C105" s="21" t="s">
        <v>27</v>
      </c>
      <c r="D105" s="1" t="s">
        <v>4</v>
      </c>
      <c r="E105" s="102">
        <v>40</v>
      </c>
      <c r="F105" s="102">
        <v>40</v>
      </c>
      <c r="G105" s="102">
        <v>40</v>
      </c>
      <c r="H105" s="102">
        <v>40</v>
      </c>
      <c r="I105" s="102">
        <v>40</v>
      </c>
      <c r="J105" s="102">
        <v>40</v>
      </c>
      <c r="K105" s="102">
        <v>40</v>
      </c>
      <c r="L105" s="102">
        <v>40</v>
      </c>
      <c r="M105" s="102">
        <v>40</v>
      </c>
      <c r="N105" s="45"/>
    </row>
    <row r="106" spans="1:14" x14ac:dyDescent="0.25">
      <c r="A106" s="306"/>
      <c r="B106" s="323"/>
      <c r="C106" s="21" t="s">
        <v>112</v>
      </c>
      <c r="D106" s="1" t="s">
        <v>19</v>
      </c>
      <c r="E106" s="102">
        <v>0.5</v>
      </c>
      <c r="F106" s="102">
        <v>0.5</v>
      </c>
      <c r="G106" s="102">
        <v>0.5</v>
      </c>
      <c r="H106" s="102">
        <v>0.5</v>
      </c>
      <c r="I106" s="102">
        <v>0.5</v>
      </c>
      <c r="J106" s="102">
        <v>0.5</v>
      </c>
      <c r="K106" s="102">
        <v>0.5</v>
      </c>
      <c r="L106" s="102">
        <v>0.5</v>
      </c>
      <c r="M106" s="102">
        <v>0.5</v>
      </c>
      <c r="N106" s="45"/>
    </row>
    <row r="107" spans="1:14" x14ac:dyDescent="0.25">
      <c r="A107" s="306"/>
      <c r="B107" s="323"/>
      <c r="C107" s="21" t="s">
        <v>28</v>
      </c>
      <c r="D107" s="1" t="s">
        <v>19</v>
      </c>
      <c r="E107" s="102">
        <v>1.3</v>
      </c>
      <c r="F107" s="102">
        <v>1.3</v>
      </c>
      <c r="G107" s="102">
        <v>1.3</v>
      </c>
      <c r="H107" s="102">
        <v>1.3</v>
      </c>
      <c r="I107" s="102">
        <v>1.3</v>
      </c>
      <c r="J107" s="102">
        <v>1.3</v>
      </c>
      <c r="K107" s="102">
        <v>1.3</v>
      </c>
      <c r="L107" s="102">
        <v>1.3</v>
      </c>
      <c r="M107" s="102">
        <v>1.3</v>
      </c>
      <c r="N107" s="45"/>
    </row>
    <row r="108" spans="1:14" x14ac:dyDescent="0.25">
      <c r="A108" s="306"/>
      <c r="B108" s="323"/>
      <c r="C108" s="21" t="s">
        <v>29</v>
      </c>
      <c r="D108" s="1" t="s">
        <v>4</v>
      </c>
      <c r="E108" s="102">
        <v>20</v>
      </c>
      <c r="F108" s="102">
        <v>20</v>
      </c>
      <c r="G108" s="102">
        <v>20</v>
      </c>
      <c r="H108" s="102">
        <v>20</v>
      </c>
      <c r="I108" s="102">
        <v>20</v>
      </c>
      <c r="J108" s="102">
        <v>20</v>
      </c>
      <c r="K108" s="102">
        <v>20</v>
      </c>
      <c r="L108" s="102">
        <v>20</v>
      </c>
      <c r="M108" s="102">
        <v>20</v>
      </c>
      <c r="N108" s="45"/>
    </row>
    <row r="109" spans="1:14" x14ac:dyDescent="0.25">
      <c r="A109" s="306"/>
      <c r="B109" s="323"/>
      <c r="C109" s="21" t="s">
        <v>30</v>
      </c>
      <c r="D109" s="1" t="s">
        <v>6</v>
      </c>
      <c r="E109" s="103">
        <v>1121.3946138315985</v>
      </c>
      <c r="F109" s="103">
        <v>800.77079092910083</v>
      </c>
      <c r="G109" s="103">
        <v>530.55820516118979</v>
      </c>
      <c r="H109" s="103">
        <v>446.14556901716315</v>
      </c>
      <c r="I109" s="103">
        <v>446.14556901716315</v>
      </c>
      <c r="J109" s="103">
        <v>446.14556901716315</v>
      </c>
      <c r="K109" s="103">
        <v>1273.5710477601447</v>
      </c>
      <c r="L109" s="103">
        <v>1107.916390593947</v>
      </c>
      <c r="M109" s="103">
        <v>973.86721871709995</v>
      </c>
      <c r="N109" s="45"/>
    </row>
    <row r="110" spans="1:14" x14ac:dyDescent="0.25">
      <c r="A110" s="306"/>
      <c r="B110" s="323"/>
      <c r="C110" s="21" t="s">
        <v>174</v>
      </c>
      <c r="D110" s="1" t="s">
        <v>19</v>
      </c>
      <c r="E110" s="104">
        <v>0</v>
      </c>
      <c r="F110" s="104">
        <v>0</v>
      </c>
      <c r="G110" s="104">
        <v>0</v>
      </c>
      <c r="H110" s="104">
        <v>0</v>
      </c>
      <c r="I110" s="104">
        <v>0</v>
      </c>
      <c r="J110" s="104">
        <v>0</v>
      </c>
      <c r="K110" s="104">
        <v>0</v>
      </c>
      <c r="L110" s="104">
        <v>0</v>
      </c>
      <c r="M110" s="104">
        <v>0</v>
      </c>
      <c r="N110" s="45"/>
    </row>
    <row r="111" spans="1:14" x14ac:dyDescent="0.25">
      <c r="A111" s="306"/>
      <c r="B111" s="323"/>
      <c r="C111" s="21" t="s">
        <v>113</v>
      </c>
      <c r="D111" s="1" t="s">
        <v>8</v>
      </c>
      <c r="E111" s="102"/>
      <c r="F111" s="102"/>
      <c r="G111" s="102"/>
      <c r="H111" s="102"/>
      <c r="I111" s="102"/>
      <c r="J111" s="102"/>
      <c r="K111" s="102"/>
      <c r="L111" s="102"/>
      <c r="M111" s="102"/>
      <c r="N111" s="45"/>
    </row>
    <row r="112" spans="1:14" x14ac:dyDescent="0.25">
      <c r="A112" s="306"/>
      <c r="B112" s="323"/>
      <c r="C112" s="21" t="s">
        <v>114</v>
      </c>
      <c r="D112" s="1" t="s">
        <v>9</v>
      </c>
      <c r="E112" s="102"/>
      <c r="F112" s="102"/>
      <c r="G112" s="102"/>
      <c r="H112" s="102"/>
      <c r="I112" s="102"/>
      <c r="J112" s="102"/>
      <c r="K112" s="102"/>
      <c r="L112" s="102"/>
      <c r="M112" s="102"/>
      <c r="N112" s="45"/>
    </row>
    <row r="113" spans="1:15" x14ac:dyDescent="0.25">
      <c r="A113" s="306"/>
      <c r="B113" s="323"/>
      <c r="C113" s="21" t="s">
        <v>115</v>
      </c>
      <c r="D113" s="1" t="s">
        <v>10</v>
      </c>
      <c r="E113" s="103">
        <v>0</v>
      </c>
      <c r="F113" s="103">
        <v>0</v>
      </c>
      <c r="G113" s="103">
        <v>0</v>
      </c>
      <c r="H113" s="103">
        <v>0</v>
      </c>
      <c r="I113" s="103">
        <v>0</v>
      </c>
      <c r="J113" s="103">
        <v>0</v>
      </c>
      <c r="K113" s="103">
        <v>0</v>
      </c>
      <c r="L113" s="103">
        <v>2.0599999999999998E-3</v>
      </c>
      <c r="M113" s="103">
        <v>2.0599999999999998E-3</v>
      </c>
      <c r="N113" s="48"/>
      <c r="O113" s="49"/>
    </row>
    <row r="114" spans="1:15" ht="18.75" x14ac:dyDescent="0.25">
      <c r="A114" s="306"/>
      <c r="B114" s="323"/>
      <c r="C114" s="22" t="s">
        <v>116</v>
      </c>
      <c r="D114" s="23" t="s">
        <v>17</v>
      </c>
      <c r="E114" s="103">
        <v>0</v>
      </c>
      <c r="F114" s="103">
        <v>0</v>
      </c>
      <c r="G114" s="103">
        <v>0</v>
      </c>
      <c r="H114" s="103">
        <v>0</v>
      </c>
      <c r="I114" s="103">
        <v>0</v>
      </c>
      <c r="J114" s="103">
        <v>0</v>
      </c>
      <c r="K114" s="103">
        <v>0</v>
      </c>
      <c r="L114" s="103">
        <v>0</v>
      </c>
      <c r="M114" s="103">
        <v>0</v>
      </c>
      <c r="N114" s="45"/>
    </row>
    <row r="115" spans="1:15" x14ac:dyDescent="0.25">
      <c r="A115" s="306"/>
      <c r="B115" s="323"/>
      <c r="C115" s="22" t="s">
        <v>31</v>
      </c>
      <c r="D115" s="23" t="s">
        <v>10</v>
      </c>
      <c r="E115" s="103">
        <v>0</v>
      </c>
      <c r="F115" s="103">
        <v>0</v>
      </c>
      <c r="G115" s="103">
        <v>0</v>
      </c>
      <c r="H115" s="103">
        <v>0</v>
      </c>
      <c r="I115" s="103">
        <v>0</v>
      </c>
      <c r="J115" s="103">
        <v>0</v>
      </c>
      <c r="K115" s="103">
        <v>0</v>
      </c>
      <c r="L115" s="103">
        <v>0</v>
      </c>
      <c r="M115" s="103">
        <v>0</v>
      </c>
      <c r="N115" s="45"/>
    </row>
    <row r="116" spans="1:15" x14ac:dyDescent="0.25">
      <c r="A116" s="306"/>
      <c r="B116" s="323"/>
      <c r="C116" s="21" t="s">
        <v>32</v>
      </c>
      <c r="D116" s="2" t="s">
        <v>19</v>
      </c>
      <c r="E116" s="102">
        <v>3.38</v>
      </c>
      <c r="F116" s="102">
        <v>3.38</v>
      </c>
      <c r="G116" s="102">
        <v>3.38</v>
      </c>
      <c r="H116" s="102">
        <v>3.38</v>
      </c>
      <c r="I116" s="102">
        <v>3.38</v>
      </c>
      <c r="J116" s="102">
        <v>3.38</v>
      </c>
      <c r="K116" s="102">
        <v>3.38</v>
      </c>
      <c r="L116" s="102">
        <v>3.38</v>
      </c>
      <c r="M116" s="102">
        <v>3.38</v>
      </c>
      <c r="N116" s="45"/>
    </row>
    <row r="117" spans="1:15" x14ac:dyDescent="0.25">
      <c r="A117" s="306"/>
      <c r="B117" s="323"/>
      <c r="C117" s="21" t="s">
        <v>33</v>
      </c>
      <c r="D117" s="2" t="s">
        <v>14</v>
      </c>
      <c r="E117" s="102"/>
      <c r="F117" s="102"/>
      <c r="G117" s="102"/>
      <c r="H117" s="102"/>
      <c r="I117" s="102"/>
      <c r="J117" s="102"/>
      <c r="K117" s="102"/>
      <c r="L117" s="102"/>
      <c r="M117" s="102"/>
      <c r="N117" s="45"/>
    </row>
    <row r="118" spans="1:15" x14ac:dyDescent="0.25">
      <c r="A118" s="306"/>
      <c r="B118" s="323"/>
      <c r="C118" s="21" t="s">
        <v>34</v>
      </c>
      <c r="D118" s="2" t="s">
        <v>4</v>
      </c>
      <c r="E118" s="102"/>
      <c r="F118" s="102"/>
      <c r="G118" s="102"/>
      <c r="H118" s="102"/>
      <c r="I118" s="102"/>
      <c r="J118" s="102"/>
      <c r="K118" s="102"/>
      <c r="L118" s="102"/>
      <c r="M118" s="102"/>
      <c r="N118" s="45"/>
    </row>
    <row r="119" spans="1:15" ht="15" customHeight="1" x14ac:dyDescent="0.25">
      <c r="A119" s="306">
        <v>10</v>
      </c>
      <c r="B119" s="323" t="s">
        <v>175</v>
      </c>
      <c r="C119" s="21" t="s">
        <v>109</v>
      </c>
      <c r="D119" s="1" t="s">
        <v>19</v>
      </c>
      <c r="E119" s="102">
        <v>1</v>
      </c>
      <c r="F119" s="102">
        <v>1</v>
      </c>
      <c r="G119" s="102">
        <v>1</v>
      </c>
      <c r="H119" s="102">
        <v>1</v>
      </c>
      <c r="I119" s="102">
        <v>1</v>
      </c>
      <c r="J119" s="102">
        <v>1</v>
      </c>
      <c r="K119" s="102">
        <v>1</v>
      </c>
      <c r="L119" s="102">
        <v>1</v>
      </c>
      <c r="M119" s="102">
        <v>1</v>
      </c>
      <c r="N119" s="45"/>
    </row>
    <row r="120" spans="1:15" x14ac:dyDescent="0.25">
      <c r="A120" s="306"/>
      <c r="B120" s="323"/>
      <c r="C120" s="21" t="s">
        <v>21</v>
      </c>
      <c r="D120" s="1" t="s">
        <v>19</v>
      </c>
      <c r="E120" s="102">
        <v>0.35</v>
      </c>
      <c r="F120" s="102">
        <v>0.35</v>
      </c>
      <c r="G120" s="102">
        <v>0.35</v>
      </c>
      <c r="H120" s="102">
        <v>0.35</v>
      </c>
      <c r="I120" s="102">
        <v>0.35</v>
      </c>
      <c r="J120" s="102">
        <v>0.35</v>
      </c>
      <c r="K120" s="102">
        <v>0.35</v>
      </c>
      <c r="L120" s="102">
        <v>0.35</v>
      </c>
      <c r="M120" s="102">
        <v>0.35</v>
      </c>
      <c r="N120" s="45"/>
    </row>
    <row r="121" spans="1:15" x14ac:dyDescent="0.25">
      <c r="A121" s="306"/>
      <c r="B121" s="323"/>
      <c r="C121" s="21" t="s">
        <v>22</v>
      </c>
      <c r="D121" s="1" t="s">
        <v>4</v>
      </c>
      <c r="E121" s="102">
        <v>20</v>
      </c>
      <c r="F121" s="102">
        <v>20</v>
      </c>
      <c r="G121" s="102">
        <v>20</v>
      </c>
      <c r="H121" s="102">
        <v>20</v>
      </c>
      <c r="I121" s="102">
        <v>20</v>
      </c>
      <c r="J121" s="102">
        <v>20</v>
      </c>
      <c r="K121" s="102">
        <v>20</v>
      </c>
      <c r="L121" s="102">
        <v>20</v>
      </c>
      <c r="M121" s="102">
        <v>20</v>
      </c>
      <c r="N121" s="45"/>
    </row>
    <row r="122" spans="1:15" x14ac:dyDescent="0.25">
      <c r="A122" s="306"/>
      <c r="B122" s="323"/>
      <c r="C122" s="21" t="s">
        <v>23</v>
      </c>
      <c r="D122" s="1" t="s">
        <v>6</v>
      </c>
      <c r="E122" s="103">
        <v>202.65582041234001</v>
      </c>
      <c r="F122" s="103">
        <v>171.6776866187549</v>
      </c>
      <c r="G122" s="103">
        <v>133.81025064233</v>
      </c>
      <c r="H122" s="103">
        <v>107.89700245248551</v>
      </c>
      <c r="I122" s="103">
        <v>107.31263157894738</v>
      </c>
      <c r="J122" s="103">
        <v>107.00631578947369</v>
      </c>
      <c r="K122" s="103">
        <v>105.98526315789475</v>
      </c>
      <c r="L122" s="103">
        <v>103.84105263157896</v>
      </c>
      <c r="M122" s="103">
        <v>99.55263157894737</v>
      </c>
      <c r="N122" s="45"/>
    </row>
    <row r="123" spans="1:15" x14ac:dyDescent="0.25">
      <c r="A123" s="306"/>
      <c r="B123" s="323"/>
      <c r="C123" s="21" t="s">
        <v>173</v>
      </c>
      <c r="D123" s="1" t="s">
        <v>19</v>
      </c>
      <c r="E123" s="104">
        <v>0</v>
      </c>
      <c r="F123" s="104">
        <v>0</v>
      </c>
      <c r="G123" s="104">
        <v>0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45"/>
    </row>
    <row r="124" spans="1:15" x14ac:dyDescent="0.25">
      <c r="A124" s="306"/>
      <c r="B124" s="323"/>
      <c r="C124" s="21" t="s">
        <v>110</v>
      </c>
      <c r="D124" s="1" t="s">
        <v>8</v>
      </c>
      <c r="E124" s="102"/>
      <c r="F124" s="102"/>
      <c r="G124" s="102"/>
      <c r="H124" s="102"/>
      <c r="I124" s="102"/>
      <c r="J124" s="102"/>
      <c r="K124" s="102"/>
      <c r="L124" s="102"/>
      <c r="M124" s="102"/>
      <c r="N124" s="45"/>
    </row>
    <row r="125" spans="1:15" x14ac:dyDescent="0.25">
      <c r="A125" s="306"/>
      <c r="B125" s="323"/>
      <c r="C125" s="21" t="s">
        <v>111</v>
      </c>
      <c r="D125" s="1" t="s">
        <v>9</v>
      </c>
      <c r="E125" s="103">
        <v>6.0796746123701997</v>
      </c>
      <c r="F125" s="103">
        <v>5.1503305985626469</v>
      </c>
      <c r="G125" s="103">
        <v>4.0143075192698996</v>
      </c>
      <c r="H125" s="103">
        <v>3.2369100735745651</v>
      </c>
      <c r="I125" s="103">
        <v>2.0378947368421052</v>
      </c>
      <c r="J125" s="103">
        <v>2.0189473684210526</v>
      </c>
      <c r="K125" s="103">
        <v>1.9557894736842103</v>
      </c>
      <c r="L125" s="103">
        <v>1.8231578947368419</v>
      </c>
      <c r="M125" s="103">
        <v>1.557894736842105</v>
      </c>
      <c r="N125" s="45"/>
    </row>
    <row r="126" spans="1:15" x14ac:dyDescent="0.25">
      <c r="A126" s="306"/>
      <c r="B126" s="323"/>
      <c r="C126" s="21" t="s">
        <v>35</v>
      </c>
      <c r="D126" s="1" t="s">
        <v>10</v>
      </c>
      <c r="E126" s="103">
        <v>0</v>
      </c>
      <c r="F126" s="103">
        <v>0</v>
      </c>
      <c r="G126" s="103">
        <v>0</v>
      </c>
      <c r="H126" s="103">
        <v>0</v>
      </c>
      <c r="I126" s="103">
        <v>0</v>
      </c>
      <c r="J126" s="103">
        <v>0</v>
      </c>
      <c r="K126" s="103">
        <v>1.6666105263157894E-3</v>
      </c>
      <c r="L126" s="103">
        <v>1.5304421052631579E-3</v>
      </c>
      <c r="M126" s="103">
        <v>1.2581052631578946E-3</v>
      </c>
      <c r="N126" s="45"/>
    </row>
    <row r="127" spans="1:15" x14ac:dyDescent="0.25">
      <c r="A127" s="306"/>
      <c r="B127" s="323"/>
      <c r="C127" s="22" t="s">
        <v>24</v>
      </c>
      <c r="D127" s="23" t="s">
        <v>10</v>
      </c>
      <c r="E127" s="103">
        <v>0</v>
      </c>
      <c r="F127" s="103">
        <v>0</v>
      </c>
      <c r="G127" s="103">
        <v>0</v>
      </c>
      <c r="H127" s="103">
        <v>0</v>
      </c>
      <c r="I127" s="103">
        <v>0</v>
      </c>
      <c r="J127" s="103">
        <v>0</v>
      </c>
      <c r="K127" s="103">
        <v>0</v>
      </c>
      <c r="L127" s="103">
        <v>0</v>
      </c>
      <c r="M127" s="103">
        <v>0</v>
      </c>
      <c r="N127" s="45"/>
    </row>
    <row r="128" spans="1:15" x14ac:dyDescent="0.25">
      <c r="A128" s="306"/>
      <c r="B128" s="323"/>
      <c r="C128" s="21" t="s">
        <v>25</v>
      </c>
      <c r="D128" s="1" t="s">
        <v>7</v>
      </c>
      <c r="E128" s="104">
        <v>0.98499999999999988</v>
      </c>
      <c r="F128" s="104">
        <v>0.98499999999999988</v>
      </c>
      <c r="G128" s="104">
        <v>0.98499999999999988</v>
      </c>
      <c r="H128" s="104">
        <v>0.98499999999999988</v>
      </c>
      <c r="I128" s="104">
        <v>0.98499999999999988</v>
      </c>
      <c r="J128" s="104">
        <v>0.98499999999999988</v>
      </c>
      <c r="K128" s="104">
        <v>0.99399999999999999</v>
      </c>
      <c r="L128" s="104">
        <v>0.99399999999999999</v>
      </c>
      <c r="M128" s="104">
        <v>0.99399999999999999</v>
      </c>
      <c r="N128" s="45"/>
    </row>
    <row r="129" spans="1:14" x14ac:dyDescent="0.25">
      <c r="A129" s="306"/>
      <c r="B129" s="323"/>
      <c r="C129" s="21" t="s">
        <v>26</v>
      </c>
      <c r="D129" s="1" t="s">
        <v>14</v>
      </c>
      <c r="E129" s="103">
        <v>1524.6</v>
      </c>
      <c r="F129" s="103">
        <v>1749.6</v>
      </c>
      <c r="G129" s="103">
        <v>2349.6</v>
      </c>
      <c r="H129" s="103">
        <v>3174.6</v>
      </c>
      <c r="I129" s="103">
        <v>4299.6000000000004</v>
      </c>
      <c r="J129" s="103">
        <v>14213</v>
      </c>
      <c r="K129" s="103">
        <v>21713</v>
      </c>
      <c r="L129" s="103">
        <v>37463</v>
      </c>
      <c r="M129" s="103">
        <v>68963</v>
      </c>
      <c r="N129" s="45"/>
    </row>
    <row r="130" spans="1:14" x14ac:dyDescent="0.25">
      <c r="A130" s="306"/>
      <c r="B130" s="323"/>
      <c r="C130" s="21" t="s">
        <v>27</v>
      </c>
      <c r="D130" s="1" t="s">
        <v>4</v>
      </c>
      <c r="E130" s="102">
        <v>40</v>
      </c>
      <c r="F130" s="102">
        <v>40</v>
      </c>
      <c r="G130" s="102">
        <v>40</v>
      </c>
      <c r="H130" s="102">
        <v>40</v>
      </c>
      <c r="I130" s="102">
        <v>40</v>
      </c>
      <c r="J130" s="102">
        <v>40</v>
      </c>
      <c r="K130" s="102">
        <v>40</v>
      </c>
      <c r="L130" s="102">
        <v>40</v>
      </c>
      <c r="M130" s="102">
        <v>40</v>
      </c>
      <c r="N130" s="45"/>
    </row>
    <row r="131" spans="1:14" x14ac:dyDescent="0.25">
      <c r="A131" s="306"/>
      <c r="B131" s="323"/>
      <c r="C131" s="21" t="s">
        <v>117</v>
      </c>
      <c r="D131" s="1" t="s">
        <v>19</v>
      </c>
      <c r="E131" s="102">
        <v>0.35</v>
      </c>
      <c r="F131" s="102">
        <v>0.35</v>
      </c>
      <c r="G131" s="102">
        <v>0.35</v>
      </c>
      <c r="H131" s="102">
        <v>0.35</v>
      </c>
      <c r="I131" s="102">
        <v>0.35</v>
      </c>
      <c r="J131" s="102">
        <v>0.35</v>
      </c>
      <c r="K131" s="102">
        <v>0.35</v>
      </c>
      <c r="L131" s="102">
        <v>0.35</v>
      </c>
      <c r="M131" s="102">
        <v>0.35</v>
      </c>
      <c r="N131" s="45"/>
    </row>
    <row r="132" spans="1:14" x14ac:dyDescent="0.25">
      <c r="A132" s="306"/>
      <c r="B132" s="323"/>
      <c r="C132" s="21" t="s">
        <v>36</v>
      </c>
      <c r="D132" s="1" t="s">
        <v>19</v>
      </c>
      <c r="E132" s="102">
        <v>1.8571428571428572</v>
      </c>
      <c r="F132" s="102">
        <v>1.8571428571428572</v>
      </c>
      <c r="G132" s="102">
        <v>1.8571428571428572</v>
      </c>
      <c r="H132" s="102">
        <v>1.8571428571428572</v>
      </c>
      <c r="I132" s="102">
        <v>1.8571428571428572</v>
      </c>
      <c r="J132" s="102">
        <v>1.8571428571428572</v>
      </c>
      <c r="K132" s="102">
        <v>1.8571428571428572</v>
      </c>
      <c r="L132" s="102">
        <v>1.8571428571428572</v>
      </c>
      <c r="M132" s="102">
        <v>1.8571428571428572</v>
      </c>
      <c r="N132" s="45"/>
    </row>
    <row r="133" spans="1:14" x14ac:dyDescent="0.25">
      <c r="A133" s="306"/>
      <c r="B133" s="323"/>
      <c r="C133" s="21" t="s">
        <v>37</v>
      </c>
      <c r="D133" s="1" t="s">
        <v>4</v>
      </c>
      <c r="E133" s="102">
        <v>20</v>
      </c>
      <c r="F133" s="102">
        <v>20</v>
      </c>
      <c r="G133" s="102">
        <v>20</v>
      </c>
      <c r="H133" s="102">
        <v>20</v>
      </c>
      <c r="I133" s="102">
        <v>20</v>
      </c>
      <c r="J133" s="102">
        <v>20</v>
      </c>
      <c r="K133" s="102">
        <v>20</v>
      </c>
      <c r="L133" s="102">
        <v>20</v>
      </c>
      <c r="M133" s="102">
        <v>20</v>
      </c>
      <c r="N133" s="45"/>
    </row>
    <row r="134" spans="1:14" x14ac:dyDescent="0.25">
      <c r="A134" s="306"/>
      <c r="B134" s="323"/>
      <c r="C134" s="21" t="s">
        <v>38</v>
      </c>
      <c r="D134" s="1" t="s">
        <v>6</v>
      </c>
      <c r="E134" s="103">
        <v>6304.5457437357918</v>
      </c>
      <c r="F134" s="103">
        <v>4255.2155768670527</v>
      </c>
      <c r="G134" s="103">
        <v>2631.5994039092525</v>
      </c>
      <c r="H134" s="103">
        <v>2072.3743483471271</v>
      </c>
      <c r="I134" s="103">
        <v>1733.2777911140615</v>
      </c>
      <c r="J134" s="103">
        <v>1392.7514739604958</v>
      </c>
      <c r="K134" s="103">
        <v>1092.1408151125991</v>
      </c>
      <c r="L134" s="103">
        <v>876.09845826756919</v>
      </c>
      <c r="M134" s="103">
        <v>714.42976829028339</v>
      </c>
      <c r="N134" s="45"/>
    </row>
    <row r="135" spans="1:14" x14ac:dyDescent="0.25">
      <c r="A135" s="306"/>
      <c r="B135" s="323"/>
      <c r="C135" s="21" t="s">
        <v>176</v>
      </c>
      <c r="D135" s="1" t="s">
        <v>19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45"/>
    </row>
    <row r="136" spans="1:14" x14ac:dyDescent="0.25">
      <c r="A136" s="306"/>
      <c r="B136" s="323"/>
      <c r="C136" s="21" t="s">
        <v>118</v>
      </c>
      <c r="D136" s="1" t="s">
        <v>8</v>
      </c>
      <c r="E136" s="102"/>
      <c r="F136" s="102"/>
      <c r="G136" s="102"/>
      <c r="H136" s="102"/>
      <c r="I136" s="102"/>
      <c r="J136" s="102"/>
      <c r="K136" s="102"/>
      <c r="L136" s="102"/>
      <c r="M136" s="102"/>
      <c r="N136" s="45"/>
    </row>
    <row r="137" spans="1:14" x14ac:dyDescent="0.25">
      <c r="A137" s="306"/>
      <c r="B137" s="323"/>
      <c r="C137" s="21" t="s">
        <v>119</v>
      </c>
      <c r="D137" s="1" t="s">
        <v>9</v>
      </c>
      <c r="E137" s="102"/>
      <c r="F137" s="102"/>
      <c r="G137" s="102"/>
      <c r="H137" s="102"/>
      <c r="I137" s="102"/>
      <c r="J137" s="102"/>
      <c r="K137" s="102"/>
      <c r="L137" s="102"/>
      <c r="M137" s="102"/>
      <c r="N137" s="45"/>
    </row>
    <row r="138" spans="1:14" x14ac:dyDescent="0.25">
      <c r="A138" s="306"/>
      <c r="B138" s="323"/>
      <c r="C138" s="21" t="s">
        <v>39</v>
      </c>
      <c r="D138" s="1" t="s">
        <v>10</v>
      </c>
      <c r="E138" s="103">
        <v>5.4632155805897732E-2</v>
      </c>
      <c r="F138" s="103">
        <v>6.9225169277652349E-2</v>
      </c>
      <c r="G138" s="103">
        <v>5.5072970988733948E-2</v>
      </c>
      <c r="H138" s="103">
        <v>4.6604222305577481E-2</v>
      </c>
      <c r="I138" s="103">
        <v>4.0289223212275231E-2</v>
      </c>
      <c r="J138" s="103">
        <v>2.4583755873341454E-2</v>
      </c>
      <c r="K138" s="103">
        <v>1.9104989606490121E-2</v>
      </c>
      <c r="L138" s="103">
        <v>1.5182594783541725E-2</v>
      </c>
      <c r="M138" s="103">
        <v>1.3307545040231683E-2</v>
      </c>
      <c r="N138" s="45"/>
    </row>
    <row r="139" spans="1:14" x14ac:dyDescent="0.25">
      <c r="A139" s="306"/>
      <c r="B139" s="323"/>
      <c r="C139" s="22" t="s">
        <v>40</v>
      </c>
      <c r="D139" s="23" t="s">
        <v>10</v>
      </c>
      <c r="E139" s="103">
        <v>0</v>
      </c>
      <c r="F139" s="103">
        <v>0</v>
      </c>
      <c r="G139" s="103">
        <v>0</v>
      </c>
      <c r="H139" s="103">
        <v>0</v>
      </c>
      <c r="I139" s="103">
        <v>0</v>
      </c>
      <c r="J139" s="103">
        <v>0</v>
      </c>
      <c r="K139" s="103">
        <v>0</v>
      </c>
      <c r="L139" s="103">
        <v>0</v>
      </c>
      <c r="M139" s="103">
        <v>0</v>
      </c>
      <c r="N139" s="45"/>
    </row>
    <row r="140" spans="1:14" x14ac:dyDescent="0.25">
      <c r="A140" s="306"/>
      <c r="B140" s="323"/>
      <c r="C140" s="21" t="s">
        <v>41</v>
      </c>
      <c r="D140" s="1" t="s">
        <v>14</v>
      </c>
      <c r="E140" s="102"/>
      <c r="F140" s="102"/>
      <c r="G140" s="102"/>
      <c r="H140" s="102"/>
      <c r="I140" s="102"/>
      <c r="J140" s="102"/>
      <c r="K140" s="102"/>
      <c r="L140" s="102"/>
      <c r="M140" s="102"/>
      <c r="N140" s="45"/>
    </row>
    <row r="141" spans="1:14" x14ac:dyDescent="0.25">
      <c r="A141" s="306"/>
      <c r="B141" s="323"/>
      <c r="C141" s="21" t="s">
        <v>42</v>
      </c>
      <c r="D141" s="1" t="s">
        <v>4</v>
      </c>
      <c r="E141" s="102"/>
      <c r="F141" s="102"/>
      <c r="G141" s="102"/>
      <c r="H141" s="102"/>
      <c r="I141" s="102"/>
      <c r="J141" s="102"/>
      <c r="K141" s="102"/>
      <c r="L141" s="102"/>
      <c r="M141" s="102"/>
      <c r="N141" s="45"/>
    </row>
    <row r="142" spans="1:14" x14ac:dyDescent="0.25">
      <c r="A142" s="306"/>
      <c r="B142" s="323"/>
      <c r="C142" s="21" t="s">
        <v>43</v>
      </c>
      <c r="D142" s="1" t="s">
        <v>7</v>
      </c>
      <c r="E142" s="105">
        <v>0.25</v>
      </c>
      <c r="F142" s="105">
        <v>0.25</v>
      </c>
      <c r="G142" s="105">
        <v>0.25</v>
      </c>
      <c r="H142" s="105">
        <v>0.25</v>
      </c>
      <c r="I142" s="105">
        <v>0.25</v>
      </c>
      <c r="J142" s="105">
        <v>0.25</v>
      </c>
      <c r="K142" s="105">
        <v>0.25</v>
      </c>
      <c r="L142" s="105">
        <v>0.25</v>
      </c>
      <c r="M142" s="105">
        <v>0.25</v>
      </c>
      <c r="N142" s="45"/>
    </row>
    <row r="143" spans="1:14" x14ac:dyDescent="0.25">
      <c r="A143" s="306"/>
      <c r="B143" s="323"/>
      <c r="C143" s="24" t="s">
        <v>44</v>
      </c>
      <c r="D143" s="1" t="s">
        <v>7</v>
      </c>
      <c r="E143" s="104">
        <v>0.66625430833964439</v>
      </c>
      <c r="F143" s="104">
        <v>0.66367464936796561</v>
      </c>
      <c r="G143" s="104">
        <v>0.65679555877682227</v>
      </c>
      <c r="H143" s="104">
        <v>0.64733680921400016</v>
      </c>
      <c r="I143" s="104">
        <v>0.63443851435560639</v>
      </c>
      <c r="J143" s="104">
        <v>0.4680070358050421</v>
      </c>
      <c r="K143" s="104">
        <v>0.46713859851464173</v>
      </c>
      <c r="L143" s="104">
        <v>0.46531488020480088</v>
      </c>
      <c r="M143" s="104">
        <v>0.47</v>
      </c>
      <c r="N143" s="45"/>
    </row>
    <row r="144" spans="1:14" x14ac:dyDescent="0.25">
      <c r="A144" s="306"/>
      <c r="B144" s="323"/>
      <c r="C144" s="24" t="s">
        <v>45</v>
      </c>
      <c r="D144" s="1" t="s">
        <v>7</v>
      </c>
      <c r="E144" s="104">
        <v>0.25092243745356524</v>
      </c>
      <c r="F144" s="104">
        <v>0.25657675134016689</v>
      </c>
      <c r="G144" s="104">
        <v>0.27165492170443795</v>
      </c>
      <c r="H144" s="104">
        <v>0.29238740595531065</v>
      </c>
      <c r="I144" s="104">
        <v>0.32065897538831889</v>
      </c>
      <c r="J144" s="104">
        <v>0.41290384467151914</v>
      </c>
      <c r="K144" s="104">
        <v>0.41363974384019625</v>
      </c>
      <c r="L144" s="104">
        <v>0.41518513209441815</v>
      </c>
      <c r="M144" s="104">
        <v>0.41599999999999998</v>
      </c>
      <c r="N144" s="45"/>
    </row>
    <row r="145" spans="1:14" x14ac:dyDescent="0.25">
      <c r="A145" s="306"/>
      <c r="B145" s="323"/>
      <c r="C145" s="25" t="s">
        <v>120</v>
      </c>
      <c r="D145" s="23" t="s">
        <v>10</v>
      </c>
      <c r="E145" s="103">
        <v>0</v>
      </c>
      <c r="F145" s="103">
        <v>0</v>
      </c>
      <c r="G145" s="103">
        <v>0</v>
      </c>
      <c r="H145" s="103">
        <v>0</v>
      </c>
      <c r="I145" s="103">
        <v>0</v>
      </c>
      <c r="J145" s="103">
        <v>0</v>
      </c>
      <c r="K145" s="103">
        <v>0</v>
      </c>
      <c r="L145" s="103">
        <v>0</v>
      </c>
      <c r="M145" s="103">
        <v>0</v>
      </c>
      <c r="N145" s="45"/>
    </row>
    <row r="146" spans="1:14" x14ac:dyDescent="0.25">
      <c r="A146" s="306"/>
      <c r="B146" s="323"/>
      <c r="C146" s="25" t="s">
        <v>121</v>
      </c>
      <c r="D146" s="23" t="s">
        <v>122</v>
      </c>
      <c r="E146" s="103">
        <v>0</v>
      </c>
      <c r="F146" s="103">
        <v>0</v>
      </c>
      <c r="G146" s="103">
        <v>0</v>
      </c>
      <c r="H146" s="103">
        <v>0</v>
      </c>
      <c r="I146" s="103">
        <v>0</v>
      </c>
      <c r="J146" s="103">
        <v>0</v>
      </c>
      <c r="K146" s="103">
        <v>0</v>
      </c>
      <c r="L146" s="103">
        <v>0</v>
      </c>
      <c r="M146" s="103">
        <v>0</v>
      </c>
      <c r="N146" s="45"/>
    </row>
    <row r="147" spans="1:14" x14ac:dyDescent="0.25">
      <c r="A147" s="306"/>
      <c r="B147" s="323"/>
      <c r="C147" s="25" t="s">
        <v>123</v>
      </c>
      <c r="D147" s="23" t="s">
        <v>124</v>
      </c>
      <c r="E147" s="102">
        <v>0</v>
      </c>
      <c r="F147" s="102">
        <v>0</v>
      </c>
      <c r="G147" s="102">
        <v>0</v>
      </c>
      <c r="H147" s="102">
        <v>0</v>
      </c>
      <c r="I147" s="102">
        <v>0</v>
      </c>
      <c r="J147" s="102">
        <v>0</v>
      </c>
      <c r="K147" s="102">
        <v>0</v>
      </c>
      <c r="L147" s="102">
        <v>0</v>
      </c>
      <c r="M147" s="102">
        <v>0</v>
      </c>
      <c r="N147" s="45"/>
    </row>
    <row r="148" spans="1:14" ht="15" customHeight="1" x14ac:dyDescent="0.25">
      <c r="A148" s="306">
        <v>11</v>
      </c>
      <c r="B148" s="323" t="s">
        <v>177</v>
      </c>
      <c r="C148" s="21" t="s">
        <v>109</v>
      </c>
      <c r="D148" s="1" t="s">
        <v>19</v>
      </c>
      <c r="E148" s="102">
        <v>1</v>
      </c>
      <c r="F148" s="102">
        <v>1</v>
      </c>
      <c r="G148" s="102">
        <v>1</v>
      </c>
      <c r="H148" s="102">
        <v>1</v>
      </c>
      <c r="I148" s="102">
        <v>1</v>
      </c>
      <c r="J148" s="102">
        <v>1</v>
      </c>
      <c r="K148" s="102">
        <v>1</v>
      </c>
      <c r="L148" s="102">
        <v>1</v>
      </c>
      <c r="M148" s="102">
        <v>1</v>
      </c>
      <c r="N148" s="45"/>
    </row>
    <row r="149" spans="1:14" x14ac:dyDescent="0.25">
      <c r="A149" s="306"/>
      <c r="B149" s="323"/>
      <c r="C149" s="21" t="s">
        <v>21</v>
      </c>
      <c r="D149" s="1" t="s">
        <v>19</v>
      </c>
      <c r="E149" s="102">
        <v>0.35</v>
      </c>
      <c r="F149" s="102">
        <v>0.35</v>
      </c>
      <c r="G149" s="102">
        <v>0.35</v>
      </c>
      <c r="H149" s="102">
        <v>0.35</v>
      </c>
      <c r="I149" s="102">
        <v>0.35</v>
      </c>
      <c r="J149" s="102">
        <v>0.35</v>
      </c>
      <c r="K149" s="102">
        <v>0.35</v>
      </c>
      <c r="L149" s="102">
        <v>0.35</v>
      </c>
      <c r="M149" s="102">
        <v>0.35</v>
      </c>
      <c r="N149" s="45"/>
    </row>
    <row r="150" spans="1:14" x14ac:dyDescent="0.25">
      <c r="A150" s="306"/>
      <c r="B150" s="323"/>
      <c r="C150" s="21" t="s">
        <v>22</v>
      </c>
      <c r="D150" s="1" t="s">
        <v>4</v>
      </c>
      <c r="E150" s="102">
        <v>20</v>
      </c>
      <c r="F150" s="102">
        <v>20</v>
      </c>
      <c r="G150" s="102">
        <v>20</v>
      </c>
      <c r="H150" s="102">
        <v>20</v>
      </c>
      <c r="I150" s="102">
        <v>20</v>
      </c>
      <c r="J150" s="102">
        <v>20</v>
      </c>
      <c r="K150" s="102">
        <v>20</v>
      </c>
      <c r="L150" s="102">
        <v>20</v>
      </c>
      <c r="M150" s="102">
        <v>20</v>
      </c>
      <c r="N150" s="45"/>
    </row>
    <row r="151" spans="1:14" x14ac:dyDescent="0.25">
      <c r="A151" s="306"/>
      <c r="B151" s="323"/>
      <c r="C151" s="21" t="s">
        <v>23</v>
      </c>
      <c r="D151" s="1" t="s">
        <v>6</v>
      </c>
      <c r="E151" s="103">
        <v>202.65582041234001</v>
      </c>
      <c r="F151" s="103">
        <v>171.6776866187549</v>
      </c>
      <c r="G151" s="103">
        <v>133.81025064233</v>
      </c>
      <c r="H151" s="103">
        <v>107.89700245248551</v>
      </c>
      <c r="I151" s="103">
        <v>107.31263157894738</v>
      </c>
      <c r="J151" s="103">
        <v>107.00631578947369</v>
      </c>
      <c r="K151" s="103">
        <v>105.98526315789475</v>
      </c>
      <c r="L151" s="103">
        <v>103.84105263157896</v>
      </c>
      <c r="M151" s="103">
        <v>99.55263157894737</v>
      </c>
      <c r="N151" s="45"/>
    </row>
    <row r="152" spans="1:14" x14ac:dyDescent="0.25">
      <c r="A152" s="306"/>
      <c r="B152" s="323"/>
      <c r="C152" s="21" t="s">
        <v>173</v>
      </c>
      <c r="D152" s="1" t="s">
        <v>19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45"/>
    </row>
    <row r="153" spans="1:14" x14ac:dyDescent="0.25">
      <c r="A153" s="306"/>
      <c r="B153" s="323"/>
      <c r="C153" s="21" t="s">
        <v>110</v>
      </c>
      <c r="D153" s="1" t="s">
        <v>8</v>
      </c>
      <c r="E153" s="102"/>
      <c r="F153" s="102"/>
      <c r="G153" s="102"/>
      <c r="H153" s="102"/>
      <c r="I153" s="102"/>
      <c r="J153" s="102"/>
      <c r="K153" s="102"/>
      <c r="L153" s="102"/>
      <c r="M153" s="102"/>
      <c r="N153" s="45"/>
    </row>
    <row r="154" spans="1:14" x14ac:dyDescent="0.25">
      <c r="A154" s="306"/>
      <c r="B154" s="323"/>
      <c r="C154" s="21" t="s">
        <v>111</v>
      </c>
      <c r="D154" s="1" t="s">
        <v>9</v>
      </c>
      <c r="E154" s="103">
        <v>6.0796746123701997</v>
      </c>
      <c r="F154" s="103">
        <v>5.1503305985626469</v>
      </c>
      <c r="G154" s="103">
        <v>4.0143075192698996</v>
      </c>
      <c r="H154" s="103">
        <v>3.2369100735745651</v>
      </c>
      <c r="I154" s="103">
        <v>2.0378947368421052</v>
      </c>
      <c r="J154" s="103">
        <v>2.0189473684210526</v>
      </c>
      <c r="K154" s="103">
        <v>1.9557894736842103</v>
      </c>
      <c r="L154" s="103">
        <v>1.8231578947368419</v>
      </c>
      <c r="M154" s="103">
        <v>1.557894736842105</v>
      </c>
      <c r="N154" s="45"/>
    </row>
    <row r="155" spans="1:14" x14ac:dyDescent="0.25">
      <c r="A155" s="306"/>
      <c r="B155" s="323"/>
      <c r="C155" s="21" t="s">
        <v>35</v>
      </c>
      <c r="D155" s="1" t="s">
        <v>10</v>
      </c>
      <c r="E155" s="103">
        <v>0</v>
      </c>
      <c r="F155" s="103">
        <v>0</v>
      </c>
      <c r="G155" s="103">
        <v>0</v>
      </c>
      <c r="H155" s="103">
        <v>0</v>
      </c>
      <c r="I155" s="103">
        <v>0</v>
      </c>
      <c r="J155" s="103">
        <v>0</v>
      </c>
      <c r="K155" s="103">
        <v>1.6666105263157894E-3</v>
      </c>
      <c r="L155" s="103">
        <v>1.5304421052631579E-3</v>
      </c>
      <c r="M155" s="103">
        <v>1.2581052631578946E-3</v>
      </c>
      <c r="N155" s="45"/>
    </row>
    <row r="156" spans="1:14" x14ac:dyDescent="0.25">
      <c r="A156" s="306"/>
      <c r="B156" s="323"/>
      <c r="C156" s="22" t="s">
        <v>24</v>
      </c>
      <c r="D156" s="23" t="s">
        <v>10</v>
      </c>
      <c r="E156" s="103">
        <v>0</v>
      </c>
      <c r="F156" s="103">
        <v>0</v>
      </c>
      <c r="G156" s="103">
        <v>0</v>
      </c>
      <c r="H156" s="103">
        <v>0</v>
      </c>
      <c r="I156" s="103">
        <v>0</v>
      </c>
      <c r="J156" s="103">
        <v>0</v>
      </c>
      <c r="K156" s="103">
        <v>0</v>
      </c>
      <c r="L156" s="103">
        <v>0</v>
      </c>
      <c r="M156" s="103">
        <v>0</v>
      </c>
      <c r="N156" s="45"/>
    </row>
    <row r="157" spans="1:14" x14ac:dyDescent="0.25">
      <c r="A157" s="306"/>
      <c r="B157" s="323"/>
      <c r="C157" s="21" t="s">
        <v>25</v>
      </c>
      <c r="D157" s="1" t="s">
        <v>7</v>
      </c>
      <c r="E157" s="102">
        <v>0.98499999999999988</v>
      </c>
      <c r="F157" s="102">
        <v>0.98499999999999988</v>
      </c>
      <c r="G157" s="102">
        <v>0.98499999999999988</v>
      </c>
      <c r="H157" s="102">
        <v>0.98499999999999988</v>
      </c>
      <c r="I157" s="102">
        <v>0.98499999999999988</v>
      </c>
      <c r="J157" s="102">
        <v>0.98499999999999988</v>
      </c>
      <c r="K157" s="102">
        <v>0.99399999999999999</v>
      </c>
      <c r="L157" s="102">
        <v>0.99399999999999999</v>
      </c>
      <c r="M157" s="102">
        <v>0.99399999999999999</v>
      </c>
      <c r="N157" s="45"/>
    </row>
    <row r="158" spans="1:14" x14ac:dyDescent="0.25">
      <c r="A158" s="306"/>
      <c r="B158" s="323"/>
      <c r="C158" s="21" t="s">
        <v>26</v>
      </c>
      <c r="D158" s="1" t="s">
        <v>14</v>
      </c>
      <c r="E158" s="103">
        <v>1524.6</v>
      </c>
      <c r="F158" s="103">
        <v>1749.6</v>
      </c>
      <c r="G158" s="103">
        <v>2349.6</v>
      </c>
      <c r="H158" s="103">
        <v>3174.6</v>
      </c>
      <c r="I158" s="103">
        <v>4299.6000000000004</v>
      </c>
      <c r="J158" s="103">
        <v>14213</v>
      </c>
      <c r="K158" s="103">
        <v>21713</v>
      </c>
      <c r="L158" s="103">
        <v>37463</v>
      </c>
      <c r="M158" s="103">
        <v>68963</v>
      </c>
      <c r="N158" s="45"/>
    </row>
    <row r="159" spans="1:14" x14ac:dyDescent="0.25">
      <c r="A159" s="306"/>
      <c r="B159" s="323"/>
      <c r="C159" s="21" t="s">
        <v>27</v>
      </c>
      <c r="D159" s="1" t="s">
        <v>4</v>
      </c>
      <c r="E159" s="102">
        <v>40</v>
      </c>
      <c r="F159" s="102">
        <v>40</v>
      </c>
      <c r="G159" s="102">
        <v>40</v>
      </c>
      <c r="H159" s="102">
        <v>40</v>
      </c>
      <c r="I159" s="102">
        <v>40</v>
      </c>
      <c r="J159" s="102">
        <v>40</v>
      </c>
      <c r="K159" s="102">
        <v>40</v>
      </c>
      <c r="L159" s="102">
        <v>40</v>
      </c>
      <c r="M159" s="102">
        <v>40</v>
      </c>
      <c r="N159" s="45"/>
    </row>
    <row r="160" spans="1:14" x14ac:dyDescent="0.25">
      <c r="A160" s="306"/>
      <c r="B160" s="323"/>
      <c r="C160" s="21" t="s">
        <v>117</v>
      </c>
      <c r="D160" s="1" t="s">
        <v>19</v>
      </c>
      <c r="E160" s="102">
        <v>0.35</v>
      </c>
      <c r="F160" s="102">
        <v>0.35</v>
      </c>
      <c r="G160" s="102">
        <v>0.35</v>
      </c>
      <c r="H160" s="102">
        <v>0.35</v>
      </c>
      <c r="I160" s="102">
        <v>0.35</v>
      </c>
      <c r="J160" s="102">
        <v>0.35</v>
      </c>
      <c r="K160" s="102">
        <v>0.35</v>
      </c>
      <c r="L160" s="102">
        <v>0.35</v>
      </c>
      <c r="M160" s="102">
        <v>0.35</v>
      </c>
      <c r="N160" s="45"/>
    </row>
    <row r="161" spans="1:14" x14ac:dyDescent="0.25">
      <c r="A161" s="306"/>
      <c r="B161" s="323"/>
      <c r="C161" s="21" t="s">
        <v>36</v>
      </c>
      <c r="D161" s="1" t="s">
        <v>19</v>
      </c>
      <c r="E161" s="102">
        <v>1.8571428571428572</v>
      </c>
      <c r="F161" s="102">
        <v>1.8571428571428572</v>
      </c>
      <c r="G161" s="102">
        <v>1.8571428571428572</v>
      </c>
      <c r="H161" s="102">
        <v>1.8571428571428572</v>
      </c>
      <c r="I161" s="102">
        <v>1.8571428571428572</v>
      </c>
      <c r="J161" s="102">
        <v>1.8571428571428572</v>
      </c>
      <c r="K161" s="102">
        <v>1.8571428571428572</v>
      </c>
      <c r="L161" s="102">
        <v>1.8571428571428572</v>
      </c>
      <c r="M161" s="102">
        <v>1.8571428571428572</v>
      </c>
      <c r="N161" s="45"/>
    </row>
    <row r="162" spans="1:14" x14ac:dyDescent="0.25">
      <c r="A162" s="306"/>
      <c r="B162" s="323"/>
      <c r="C162" s="21" t="s">
        <v>37</v>
      </c>
      <c r="D162" s="1" t="s">
        <v>4</v>
      </c>
      <c r="E162" s="102">
        <v>20</v>
      </c>
      <c r="F162" s="102">
        <v>20</v>
      </c>
      <c r="G162" s="102">
        <v>20</v>
      </c>
      <c r="H162" s="102">
        <v>20</v>
      </c>
      <c r="I162" s="102">
        <v>20</v>
      </c>
      <c r="J162" s="102">
        <v>20</v>
      </c>
      <c r="K162" s="102">
        <v>20</v>
      </c>
      <c r="L162" s="102">
        <v>20</v>
      </c>
      <c r="M162" s="102">
        <v>20</v>
      </c>
      <c r="N162" s="45"/>
    </row>
    <row r="163" spans="1:14" x14ac:dyDescent="0.25">
      <c r="A163" s="306"/>
      <c r="B163" s="323"/>
      <c r="C163" s="21" t="s">
        <v>38</v>
      </c>
      <c r="D163" s="1" t="s">
        <v>6</v>
      </c>
      <c r="E163" s="103">
        <v>6304.5457437357918</v>
      </c>
      <c r="F163" s="103">
        <v>4255.2155768670527</v>
      </c>
      <c r="G163" s="103">
        <v>2631.5994039092525</v>
      </c>
      <c r="H163" s="103">
        <v>2072.3743483471271</v>
      </c>
      <c r="I163" s="103">
        <v>1733.2777911140615</v>
      </c>
      <c r="J163" s="103">
        <v>1392.7514739604958</v>
      </c>
      <c r="K163" s="103">
        <v>1092.1408151125991</v>
      </c>
      <c r="L163" s="103">
        <v>876.09845826756919</v>
      </c>
      <c r="M163" s="103">
        <v>714.42976829028339</v>
      </c>
      <c r="N163" s="45"/>
    </row>
    <row r="164" spans="1:14" x14ac:dyDescent="0.25">
      <c r="A164" s="306"/>
      <c r="B164" s="323"/>
      <c r="C164" s="21" t="s">
        <v>176</v>
      </c>
      <c r="D164" s="1" t="s">
        <v>19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45"/>
    </row>
    <row r="165" spans="1:14" x14ac:dyDescent="0.25">
      <c r="A165" s="306"/>
      <c r="B165" s="323"/>
      <c r="C165" s="21" t="s">
        <v>118</v>
      </c>
      <c r="D165" s="1" t="s">
        <v>8</v>
      </c>
      <c r="E165" s="102"/>
      <c r="F165" s="102"/>
      <c r="G165" s="102"/>
      <c r="H165" s="102"/>
      <c r="I165" s="102"/>
      <c r="J165" s="102"/>
      <c r="K165" s="102"/>
      <c r="L165" s="102"/>
      <c r="M165" s="102"/>
      <c r="N165" s="45"/>
    </row>
    <row r="166" spans="1:14" x14ac:dyDescent="0.25">
      <c r="A166" s="306"/>
      <c r="B166" s="323"/>
      <c r="C166" s="21" t="s">
        <v>119</v>
      </c>
      <c r="D166" s="1" t="s">
        <v>9</v>
      </c>
      <c r="E166" s="102"/>
      <c r="F166" s="102"/>
      <c r="G166" s="102"/>
      <c r="H166" s="102"/>
      <c r="I166" s="102"/>
      <c r="J166" s="102"/>
      <c r="K166" s="102"/>
      <c r="L166" s="102"/>
      <c r="M166" s="102"/>
      <c r="N166" s="45"/>
    </row>
    <row r="167" spans="1:14" x14ac:dyDescent="0.25">
      <c r="A167" s="306"/>
      <c r="B167" s="323"/>
      <c r="C167" s="21" t="s">
        <v>39</v>
      </c>
      <c r="D167" s="1" t="s">
        <v>10</v>
      </c>
      <c r="E167" s="103">
        <v>5.4632155805897732E-2</v>
      </c>
      <c r="F167" s="103">
        <v>6.9225169277652349E-2</v>
      </c>
      <c r="G167" s="103">
        <v>5.5072970988733948E-2</v>
      </c>
      <c r="H167" s="103">
        <v>4.6604222305577481E-2</v>
      </c>
      <c r="I167" s="103">
        <v>4.0289223212275231E-2</v>
      </c>
      <c r="J167" s="103">
        <v>2.4583755873341454E-2</v>
      </c>
      <c r="K167" s="103">
        <v>1.9104989606490121E-2</v>
      </c>
      <c r="L167" s="103">
        <v>1.5182594783541725E-2</v>
      </c>
      <c r="M167" s="103">
        <v>1.3307545040231683E-2</v>
      </c>
      <c r="N167" s="45"/>
    </row>
    <row r="168" spans="1:14" x14ac:dyDescent="0.25">
      <c r="A168" s="306"/>
      <c r="B168" s="323"/>
      <c r="C168" s="22" t="s">
        <v>40</v>
      </c>
      <c r="D168" s="23" t="s">
        <v>10</v>
      </c>
      <c r="E168" s="103">
        <v>0</v>
      </c>
      <c r="F168" s="103">
        <v>0</v>
      </c>
      <c r="G168" s="103">
        <v>0</v>
      </c>
      <c r="H168" s="103">
        <v>0</v>
      </c>
      <c r="I168" s="103">
        <v>0</v>
      </c>
      <c r="J168" s="103">
        <v>0</v>
      </c>
      <c r="K168" s="103">
        <v>0</v>
      </c>
      <c r="L168" s="103">
        <v>0</v>
      </c>
      <c r="M168" s="103">
        <v>0</v>
      </c>
      <c r="N168" s="45"/>
    </row>
    <row r="169" spans="1:14" x14ac:dyDescent="0.25">
      <c r="A169" s="306"/>
      <c r="B169" s="323"/>
      <c r="C169" s="21" t="s">
        <v>41</v>
      </c>
      <c r="D169" s="1" t="s">
        <v>14</v>
      </c>
      <c r="E169" s="102"/>
      <c r="F169" s="102"/>
      <c r="G169" s="102"/>
      <c r="H169" s="102"/>
      <c r="I169" s="102"/>
      <c r="J169" s="102"/>
      <c r="K169" s="102"/>
      <c r="L169" s="102"/>
      <c r="M169" s="102"/>
      <c r="N169" s="45"/>
    </row>
    <row r="170" spans="1:14" x14ac:dyDescent="0.25">
      <c r="A170" s="306"/>
      <c r="B170" s="323"/>
      <c r="C170" s="21" t="s">
        <v>42</v>
      </c>
      <c r="D170" s="1" t="s">
        <v>4</v>
      </c>
      <c r="E170" s="102"/>
      <c r="F170" s="102"/>
      <c r="G170" s="102"/>
      <c r="H170" s="102"/>
      <c r="I170" s="102"/>
      <c r="J170" s="102"/>
      <c r="K170" s="102"/>
      <c r="L170" s="102"/>
      <c r="M170" s="102"/>
      <c r="N170" s="45"/>
    </row>
    <row r="171" spans="1:14" x14ac:dyDescent="0.25">
      <c r="A171" s="306"/>
      <c r="B171" s="323"/>
      <c r="C171" s="21" t="s">
        <v>43</v>
      </c>
      <c r="D171" s="1" t="s">
        <v>7</v>
      </c>
      <c r="E171" s="105">
        <v>0.5</v>
      </c>
      <c r="F171" s="105">
        <v>0.5</v>
      </c>
      <c r="G171" s="105">
        <v>0.5</v>
      </c>
      <c r="H171" s="105">
        <v>0.5</v>
      </c>
      <c r="I171" s="105">
        <v>0.5</v>
      </c>
      <c r="J171" s="105">
        <v>0.5</v>
      </c>
      <c r="K171" s="105">
        <v>0.5</v>
      </c>
      <c r="L171" s="105">
        <v>0.5</v>
      </c>
      <c r="M171" s="105">
        <v>0.5</v>
      </c>
      <c r="N171" s="45"/>
    </row>
    <row r="172" spans="1:14" ht="14.45" customHeight="1" x14ac:dyDescent="0.25">
      <c r="A172" s="306"/>
      <c r="B172" s="323"/>
      <c r="C172" s="24" t="s">
        <v>44</v>
      </c>
      <c r="D172" s="1" t="s">
        <v>7</v>
      </c>
      <c r="E172" s="104">
        <v>0.66625430833964439</v>
      </c>
      <c r="F172" s="104">
        <v>0.66367464936796561</v>
      </c>
      <c r="G172" s="104">
        <v>0.65679555877682227</v>
      </c>
      <c r="H172" s="104">
        <v>0.64733680921400016</v>
      </c>
      <c r="I172" s="104">
        <v>0.63443851435560639</v>
      </c>
      <c r="J172" s="104">
        <v>0.4680070358050421</v>
      </c>
      <c r="K172" s="104">
        <v>0.46713859851464173</v>
      </c>
      <c r="L172" s="104">
        <v>0.46531488020480088</v>
      </c>
      <c r="M172" s="104">
        <v>0.47</v>
      </c>
      <c r="N172" s="45"/>
    </row>
    <row r="173" spans="1:14" ht="14.45" customHeight="1" x14ac:dyDescent="0.25">
      <c r="A173" s="306"/>
      <c r="B173" s="323"/>
      <c r="C173" s="24" t="s">
        <v>45</v>
      </c>
      <c r="D173" s="1" t="s">
        <v>7</v>
      </c>
      <c r="E173" s="104">
        <v>0.25092243745356524</v>
      </c>
      <c r="F173" s="104">
        <v>0.25657675134016689</v>
      </c>
      <c r="G173" s="104">
        <v>0.27165492170443795</v>
      </c>
      <c r="H173" s="104">
        <v>0.29238740595531065</v>
      </c>
      <c r="I173" s="104">
        <v>0.32065897538831889</v>
      </c>
      <c r="J173" s="104">
        <v>0.41290384467151914</v>
      </c>
      <c r="K173" s="104">
        <v>0.41363974384019625</v>
      </c>
      <c r="L173" s="104">
        <v>0.41518513209441815</v>
      </c>
      <c r="M173" s="104">
        <v>0.41599999999999998</v>
      </c>
      <c r="N173" s="45"/>
    </row>
    <row r="174" spans="1:14" ht="14.45" customHeight="1" x14ac:dyDescent="0.25">
      <c r="A174" s="306"/>
      <c r="B174" s="323"/>
      <c r="C174" s="25" t="s">
        <v>120</v>
      </c>
      <c r="D174" s="23" t="s">
        <v>10</v>
      </c>
      <c r="E174" s="103">
        <v>0</v>
      </c>
      <c r="F174" s="103">
        <v>0</v>
      </c>
      <c r="G174" s="103">
        <v>0</v>
      </c>
      <c r="H174" s="103">
        <v>0</v>
      </c>
      <c r="I174" s="103">
        <v>0</v>
      </c>
      <c r="J174" s="103">
        <v>0</v>
      </c>
      <c r="K174" s="103">
        <v>0</v>
      </c>
      <c r="L174" s="103">
        <v>0</v>
      </c>
      <c r="M174" s="103">
        <v>0</v>
      </c>
      <c r="N174" s="45"/>
    </row>
    <row r="175" spans="1:14" ht="14.45" customHeight="1" x14ac:dyDescent="0.25">
      <c r="A175" s="306"/>
      <c r="B175" s="323"/>
      <c r="C175" s="25" t="s">
        <v>121</v>
      </c>
      <c r="D175" s="23" t="s">
        <v>122</v>
      </c>
      <c r="E175" s="103">
        <v>0</v>
      </c>
      <c r="F175" s="103">
        <v>0</v>
      </c>
      <c r="G175" s="103">
        <v>0</v>
      </c>
      <c r="H175" s="103">
        <v>0</v>
      </c>
      <c r="I175" s="103">
        <v>0</v>
      </c>
      <c r="J175" s="103">
        <v>0</v>
      </c>
      <c r="K175" s="103">
        <v>0</v>
      </c>
      <c r="L175" s="103">
        <v>0</v>
      </c>
      <c r="M175" s="103">
        <v>0</v>
      </c>
      <c r="N175" s="45"/>
    </row>
    <row r="176" spans="1:14" ht="14.45" customHeight="1" x14ac:dyDescent="0.25">
      <c r="A176" s="306"/>
      <c r="B176" s="323"/>
      <c r="C176" s="25" t="s">
        <v>123</v>
      </c>
      <c r="D176" s="23" t="s">
        <v>124</v>
      </c>
      <c r="E176" s="102">
        <v>0</v>
      </c>
      <c r="F176" s="102">
        <v>0</v>
      </c>
      <c r="G176" s="102">
        <v>0</v>
      </c>
      <c r="H176" s="102">
        <v>0</v>
      </c>
      <c r="I176" s="102">
        <v>0</v>
      </c>
      <c r="J176" s="102">
        <v>0</v>
      </c>
      <c r="K176" s="102">
        <v>0</v>
      </c>
      <c r="L176" s="102">
        <v>0</v>
      </c>
      <c r="M176" s="102">
        <v>0</v>
      </c>
      <c r="N176" s="45"/>
    </row>
    <row r="177" spans="1:14" ht="14.45" customHeight="1" x14ac:dyDescent="0.25">
      <c r="A177" s="306">
        <v>12</v>
      </c>
      <c r="B177" s="323" t="s">
        <v>178</v>
      </c>
      <c r="C177" s="21" t="s">
        <v>109</v>
      </c>
      <c r="D177" s="1" t="s">
        <v>19</v>
      </c>
      <c r="E177" s="106">
        <v>1</v>
      </c>
      <c r="F177" s="106">
        <v>1</v>
      </c>
      <c r="G177" s="106">
        <v>1</v>
      </c>
      <c r="H177" s="106">
        <v>1</v>
      </c>
      <c r="I177" s="106">
        <v>1</v>
      </c>
      <c r="J177" s="106">
        <v>1</v>
      </c>
      <c r="K177" s="106">
        <v>1</v>
      </c>
      <c r="L177" s="106">
        <v>1</v>
      </c>
      <c r="M177" s="106">
        <v>1</v>
      </c>
      <c r="N177" s="45"/>
    </row>
    <row r="178" spans="1:14" x14ac:dyDescent="0.25">
      <c r="A178" s="306"/>
      <c r="B178" s="323"/>
      <c r="C178" s="21" t="s">
        <v>21</v>
      </c>
      <c r="D178" s="1" t="s">
        <v>19</v>
      </c>
      <c r="E178" s="102">
        <v>0.8</v>
      </c>
      <c r="F178" s="102">
        <v>0.8</v>
      </c>
      <c r="G178" s="102">
        <v>0.8</v>
      </c>
      <c r="H178" s="102">
        <v>0.8</v>
      </c>
      <c r="I178" s="102">
        <v>0.8</v>
      </c>
      <c r="J178" s="102">
        <v>0.8</v>
      </c>
      <c r="K178" s="102">
        <v>0.8</v>
      </c>
      <c r="L178" s="102">
        <v>0.8</v>
      </c>
      <c r="M178" s="102">
        <v>0.8</v>
      </c>
      <c r="N178" s="45"/>
    </row>
    <row r="179" spans="1:14" x14ac:dyDescent="0.25">
      <c r="A179" s="306"/>
      <c r="B179" s="323"/>
      <c r="C179" s="21" t="s">
        <v>22</v>
      </c>
      <c r="D179" s="1" t="s">
        <v>4</v>
      </c>
      <c r="E179" s="102">
        <v>20</v>
      </c>
      <c r="F179" s="102">
        <v>20</v>
      </c>
      <c r="G179" s="102">
        <v>20</v>
      </c>
      <c r="H179" s="102">
        <v>20</v>
      </c>
      <c r="I179" s="102">
        <v>20</v>
      </c>
      <c r="J179" s="102">
        <v>20</v>
      </c>
      <c r="K179" s="102">
        <v>20</v>
      </c>
      <c r="L179" s="102">
        <v>20</v>
      </c>
      <c r="M179" s="102">
        <v>20</v>
      </c>
      <c r="N179" s="45"/>
    </row>
    <row r="180" spans="1:14" x14ac:dyDescent="0.25">
      <c r="A180" s="306"/>
      <c r="B180" s="323"/>
      <c r="C180" s="21" t="s">
        <v>23</v>
      </c>
      <c r="D180" s="1" t="s">
        <v>6</v>
      </c>
      <c r="E180" s="103">
        <v>202.65582041234001</v>
      </c>
      <c r="F180" s="103">
        <v>171.6776866187549</v>
      </c>
      <c r="G180" s="103">
        <v>133.81025064233</v>
      </c>
      <c r="H180" s="103">
        <v>107.89700245248551</v>
      </c>
      <c r="I180" s="103">
        <v>107.31263157894738</v>
      </c>
      <c r="J180" s="103">
        <v>107.00631578947369</v>
      </c>
      <c r="K180" s="103">
        <v>105.98526315789475</v>
      </c>
      <c r="L180" s="103">
        <v>103.84105263157896</v>
      </c>
      <c r="M180" s="103">
        <v>99.55263157894737</v>
      </c>
      <c r="N180" s="45"/>
    </row>
    <row r="181" spans="1:14" ht="14.45" customHeight="1" x14ac:dyDescent="0.25">
      <c r="A181" s="306"/>
      <c r="B181" s="323"/>
      <c r="C181" s="21" t="s">
        <v>173</v>
      </c>
      <c r="D181" s="1" t="s">
        <v>19</v>
      </c>
      <c r="E181" s="104">
        <v>0</v>
      </c>
      <c r="F181" s="104">
        <v>0</v>
      </c>
      <c r="G181" s="104">
        <v>0</v>
      </c>
      <c r="H181" s="104">
        <v>0</v>
      </c>
      <c r="I181" s="104">
        <v>0</v>
      </c>
      <c r="J181" s="104">
        <v>0</v>
      </c>
      <c r="K181" s="104">
        <v>0</v>
      </c>
      <c r="L181" s="104">
        <v>0</v>
      </c>
      <c r="M181" s="104">
        <v>0</v>
      </c>
      <c r="N181" s="45"/>
    </row>
    <row r="182" spans="1:14" x14ac:dyDescent="0.25">
      <c r="A182" s="306"/>
      <c r="B182" s="323"/>
      <c r="C182" s="21" t="s">
        <v>110</v>
      </c>
      <c r="D182" s="1" t="s">
        <v>8</v>
      </c>
      <c r="E182" s="102"/>
      <c r="F182" s="102"/>
      <c r="G182" s="102"/>
      <c r="H182" s="102"/>
      <c r="I182" s="102"/>
      <c r="J182" s="102"/>
      <c r="K182" s="102"/>
      <c r="L182" s="102"/>
      <c r="M182" s="102"/>
      <c r="N182" s="45"/>
    </row>
    <row r="183" spans="1:14" x14ac:dyDescent="0.25">
      <c r="A183" s="306"/>
      <c r="B183" s="323"/>
      <c r="C183" s="21" t="s">
        <v>111</v>
      </c>
      <c r="D183" s="1" t="s">
        <v>9</v>
      </c>
      <c r="E183" s="103">
        <v>6.0796746123701997</v>
      </c>
      <c r="F183" s="103">
        <v>5.1503305985626469</v>
      </c>
      <c r="G183" s="103">
        <v>4.0143075192698996</v>
      </c>
      <c r="H183" s="103">
        <v>3.2369100735745651</v>
      </c>
      <c r="I183" s="103">
        <v>2.0378947368421052</v>
      </c>
      <c r="J183" s="103">
        <v>2.0189473684210526</v>
      </c>
      <c r="K183" s="103">
        <v>1.9557894736842103</v>
      </c>
      <c r="L183" s="103">
        <v>1.8231578947368419</v>
      </c>
      <c r="M183" s="103">
        <v>1.557894736842105</v>
      </c>
      <c r="N183" s="45"/>
    </row>
    <row r="184" spans="1:14" x14ac:dyDescent="0.25">
      <c r="A184" s="306"/>
      <c r="B184" s="323"/>
      <c r="C184" s="21" t="s">
        <v>35</v>
      </c>
      <c r="D184" s="1" t="s">
        <v>10</v>
      </c>
      <c r="E184" s="103">
        <v>0</v>
      </c>
      <c r="F184" s="103">
        <v>0</v>
      </c>
      <c r="G184" s="103">
        <v>0</v>
      </c>
      <c r="H184" s="103">
        <v>0</v>
      </c>
      <c r="I184" s="103">
        <v>0</v>
      </c>
      <c r="J184" s="103">
        <v>0</v>
      </c>
      <c r="K184" s="103">
        <v>1.6666105263157894E-3</v>
      </c>
      <c r="L184" s="103">
        <v>1.5304421052631579E-3</v>
      </c>
      <c r="M184" s="103">
        <v>1.2581052631578946E-3</v>
      </c>
      <c r="N184" s="45"/>
    </row>
    <row r="185" spans="1:14" x14ac:dyDescent="0.25">
      <c r="A185" s="306"/>
      <c r="B185" s="323"/>
      <c r="C185" s="22" t="s">
        <v>24</v>
      </c>
      <c r="D185" s="23" t="s">
        <v>10</v>
      </c>
      <c r="E185" s="103">
        <v>0</v>
      </c>
      <c r="F185" s="103">
        <v>0</v>
      </c>
      <c r="G185" s="103">
        <v>0</v>
      </c>
      <c r="H185" s="103">
        <v>0</v>
      </c>
      <c r="I185" s="103">
        <v>0</v>
      </c>
      <c r="J185" s="103">
        <v>0</v>
      </c>
      <c r="K185" s="103">
        <v>0</v>
      </c>
      <c r="L185" s="103">
        <v>0</v>
      </c>
      <c r="M185" s="103">
        <v>0</v>
      </c>
      <c r="N185" s="45"/>
    </row>
    <row r="186" spans="1:14" x14ac:dyDescent="0.25">
      <c r="A186" s="306"/>
      <c r="B186" s="323"/>
      <c r="C186" s="21" t="s">
        <v>25</v>
      </c>
      <c r="D186" s="1" t="s">
        <v>7</v>
      </c>
      <c r="E186" s="102">
        <v>0.98499999999999988</v>
      </c>
      <c r="F186" s="102">
        <v>0.98499999999999988</v>
      </c>
      <c r="G186" s="102">
        <v>0.98499999999999988</v>
      </c>
      <c r="H186" s="102">
        <v>0.98499999999999988</v>
      </c>
      <c r="I186" s="102">
        <v>0.98499999999999988</v>
      </c>
      <c r="J186" s="102">
        <v>0.98499999999999988</v>
      </c>
      <c r="K186" s="102">
        <v>0.99399999999999999</v>
      </c>
      <c r="L186" s="102">
        <v>0.99399999999999999</v>
      </c>
      <c r="M186" s="102">
        <v>0.99399999999999999</v>
      </c>
      <c r="N186" s="45"/>
    </row>
    <row r="187" spans="1:14" x14ac:dyDescent="0.25">
      <c r="A187" s="306"/>
      <c r="B187" s="323"/>
      <c r="C187" s="21" t="s">
        <v>26</v>
      </c>
      <c r="D187" s="1" t="s">
        <v>14</v>
      </c>
      <c r="E187" s="103">
        <v>1524.6</v>
      </c>
      <c r="F187" s="103">
        <v>1749.6</v>
      </c>
      <c r="G187" s="103">
        <v>2349.6</v>
      </c>
      <c r="H187" s="103">
        <v>3174.6</v>
      </c>
      <c r="I187" s="103">
        <v>4299.6000000000004</v>
      </c>
      <c r="J187" s="103">
        <v>14213</v>
      </c>
      <c r="K187" s="103">
        <v>21713</v>
      </c>
      <c r="L187" s="103">
        <v>37463</v>
      </c>
      <c r="M187" s="103">
        <v>68963</v>
      </c>
      <c r="N187" s="45"/>
    </row>
    <row r="188" spans="1:14" x14ac:dyDescent="0.25">
      <c r="A188" s="306"/>
      <c r="B188" s="323"/>
      <c r="C188" s="21" t="s">
        <v>27</v>
      </c>
      <c r="D188" s="1" t="s">
        <v>4</v>
      </c>
      <c r="E188" s="102">
        <v>40</v>
      </c>
      <c r="F188" s="102">
        <v>40</v>
      </c>
      <c r="G188" s="102">
        <v>40</v>
      </c>
      <c r="H188" s="102">
        <v>40</v>
      </c>
      <c r="I188" s="102">
        <v>40</v>
      </c>
      <c r="J188" s="102">
        <v>40</v>
      </c>
      <c r="K188" s="102">
        <v>40</v>
      </c>
      <c r="L188" s="102">
        <v>40</v>
      </c>
      <c r="M188" s="102">
        <v>40</v>
      </c>
      <c r="N188" s="45"/>
    </row>
    <row r="189" spans="1:14" x14ac:dyDescent="0.25">
      <c r="A189" s="306"/>
      <c r="B189" s="323"/>
      <c r="C189" s="21" t="s">
        <v>125</v>
      </c>
      <c r="D189" s="1" t="s">
        <v>19</v>
      </c>
      <c r="E189" s="106">
        <v>0.3125</v>
      </c>
      <c r="F189" s="106">
        <v>0.3125</v>
      </c>
      <c r="G189" s="106">
        <v>0.3125</v>
      </c>
      <c r="H189" s="106">
        <v>0.3125</v>
      </c>
      <c r="I189" s="106">
        <v>0.3125</v>
      </c>
      <c r="J189" s="106">
        <v>0.3125</v>
      </c>
      <c r="K189" s="106">
        <v>0.3125</v>
      </c>
      <c r="L189" s="106">
        <v>0.3125</v>
      </c>
      <c r="M189" s="106">
        <v>0.3125</v>
      </c>
      <c r="N189" s="45"/>
    </row>
    <row r="190" spans="1:14" x14ac:dyDescent="0.25">
      <c r="A190" s="306"/>
      <c r="B190" s="323"/>
      <c r="C190" s="21" t="s">
        <v>126</v>
      </c>
      <c r="D190" s="1" t="s">
        <v>19</v>
      </c>
      <c r="E190" s="102">
        <v>0.64</v>
      </c>
      <c r="F190" s="102">
        <v>0.64</v>
      </c>
      <c r="G190" s="102">
        <v>0.64</v>
      </c>
      <c r="H190" s="102">
        <v>0.64</v>
      </c>
      <c r="I190" s="102">
        <v>0.64</v>
      </c>
      <c r="J190" s="102">
        <v>0.64</v>
      </c>
      <c r="K190" s="102">
        <v>0.64</v>
      </c>
      <c r="L190" s="102">
        <v>0.64</v>
      </c>
      <c r="M190" s="102">
        <v>0.64</v>
      </c>
      <c r="N190" s="45"/>
    </row>
    <row r="191" spans="1:14" ht="14.45" customHeight="1" x14ac:dyDescent="0.25">
      <c r="A191" s="306"/>
      <c r="B191" s="323"/>
      <c r="C191" s="24" t="s">
        <v>127</v>
      </c>
      <c r="D191" s="1" t="s">
        <v>4</v>
      </c>
      <c r="E191" s="102">
        <v>20</v>
      </c>
      <c r="F191" s="102">
        <v>20</v>
      </c>
      <c r="G191" s="102">
        <v>20</v>
      </c>
      <c r="H191" s="102">
        <v>20</v>
      </c>
      <c r="I191" s="102">
        <v>20</v>
      </c>
      <c r="J191" s="102">
        <v>20</v>
      </c>
      <c r="K191" s="102">
        <v>20</v>
      </c>
      <c r="L191" s="102">
        <v>20</v>
      </c>
      <c r="M191" s="102">
        <v>20</v>
      </c>
      <c r="N191" s="45"/>
    </row>
    <row r="192" spans="1:14" ht="14.45" customHeight="1" x14ac:dyDescent="0.25">
      <c r="A192" s="306"/>
      <c r="B192" s="323"/>
      <c r="C192" s="24" t="s">
        <v>128</v>
      </c>
      <c r="D192" s="1" t="s">
        <v>6</v>
      </c>
      <c r="E192" s="107">
        <v>900.49275895925371</v>
      </c>
      <c r="F192" s="103">
        <v>886.9158075601373</v>
      </c>
      <c r="G192" s="103">
        <v>850.71060382916039</v>
      </c>
      <c r="H192" s="103">
        <v>800.92844869906708</v>
      </c>
      <c r="I192" s="103">
        <v>733.04369170348536</v>
      </c>
      <c r="J192" s="103">
        <v>597.27417771232194</v>
      </c>
      <c r="K192" s="103">
        <v>508.57142857142856</v>
      </c>
      <c r="L192" s="103">
        <v>508.57142857142856</v>
      </c>
      <c r="M192" s="103">
        <v>508.57142857142856</v>
      </c>
      <c r="N192" s="45"/>
    </row>
    <row r="193" spans="1:14" ht="14.45" customHeight="1" x14ac:dyDescent="0.25">
      <c r="A193" s="306"/>
      <c r="B193" s="323"/>
      <c r="C193" s="21" t="s">
        <v>179</v>
      </c>
      <c r="D193" s="1" t="s">
        <v>19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45"/>
    </row>
    <row r="194" spans="1:14" x14ac:dyDescent="0.25">
      <c r="A194" s="306"/>
      <c r="B194" s="323"/>
      <c r="C194" s="21" t="s">
        <v>129</v>
      </c>
      <c r="D194" s="1" t="s">
        <v>8</v>
      </c>
      <c r="E194" s="103">
        <v>52.688365243004426</v>
      </c>
      <c r="F194" s="103">
        <v>69.477761413843893</v>
      </c>
      <c r="G194" s="103">
        <v>114.24948453608249</v>
      </c>
      <c r="H194" s="103">
        <v>175.81060382916056</v>
      </c>
      <c r="I194" s="103">
        <v>259.75758468335789</v>
      </c>
      <c r="J194" s="103">
        <v>427.65154639175262</v>
      </c>
      <c r="K194" s="103">
        <v>595.54550810014734</v>
      </c>
      <c r="L194" s="103">
        <v>595.54550810014734</v>
      </c>
      <c r="M194" s="103">
        <v>595.54550810014734</v>
      </c>
      <c r="N194" s="45"/>
    </row>
    <row r="195" spans="1:14" x14ac:dyDescent="0.25">
      <c r="A195" s="306"/>
      <c r="B195" s="323"/>
      <c r="C195" s="21" t="s">
        <v>130</v>
      </c>
      <c r="D195" s="1" t="s">
        <v>9</v>
      </c>
      <c r="E195" s="102"/>
      <c r="F195" s="102"/>
      <c r="G195" s="102"/>
      <c r="H195" s="102"/>
      <c r="I195" s="102"/>
      <c r="J195" s="102"/>
      <c r="K195" s="102"/>
      <c r="L195" s="102"/>
      <c r="M195" s="102"/>
    </row>
    <row r="196" spans="1:14" x14ac:dyDescent="0.25">
      <c r="A196" s="306"/>
      <c r="B196" s="323"/>
      <c r="C196" s="21" t="s">
        <v>131</v>
      </c>
      <c r="D196" s="1" t="s">
        <v>10</v>
      </c>
      <c r="E196" s="102"/>
      <c r="F196" s="102"/>
      <c r="G196" s="102"/>
      <c r="H196" s="102"/>
      <c r="I196" s="102"/>
      <c r="J196" s="102"/>
      <c r="K196" s="102"/>
      <c r="L196" s="102"/>
      <c r="M196" s="102"/>
    </row>
    <row r="197" spans="1:14" ht="18.75" x14ac:dyDescent="0.25">
      <c r="A197" s="306"/>
      <c r="B197" s="323"/>
      <c r="C197" s="53" t="s">
        <v>132</v>
      </c>
      <c r="D197" s="23" t="s">
        <v>17</v>
      </c>
      <c r="E197" s="102"/>
      <c r="F197" s="102"/>
      <c r="G197" s="102"/>
      <c r="H197" s="102"/>
      <c r="I197" s="102"/>
      <c r="J197" s="102"/>
      <c r="K197" s="102"/>
      <c r="L197" s="102"/>
      <c r="M197" s="102"/>
    </row>
    <row r="198" spans="1:14" ht="14.45" customHeight="1" x14ac:dyDescent="0.25">
      <c r="A198" s="306">
        <v>13</v>
      </c>
      <c r="B198" s="323" t="s">
        <v>180</v>
      </c>
      <c r="C198" s="21" t="s">
        <v>109</v>
      </c>
      <c r="D198" s="1" t="s">
        <v>19</v>
      </c>
      <c r="E198" s="102">
        <v>1</v>
      </c>
      <c r="F198" s="102">
        <v>1</v>
      </c>
      <c r="G198" s="102">
        <v>1</v>
      </c>
      <c r="H198" s="102">
        <v>1</v>
      </c>
      <c r="I198" s="102">
        <v>1</v>
      </c>
      <c r="J198" s="102">
        <v>1</v>
      </c>
      <c r="K198" s="102">
        <v>1</v>
      </c>
      <c r="L198" s="102">
        <v>1</v>
      </c>
      <c r="M198" s="102">
        <v>1</v>
      </c>
    </row>
    <row r="199" spans="1:14" x14ac:dyDescent="0.25">
      <c r="A199" s="306"/>
      <c r="B199" s="323"/>
      <c r="C199" s="21" t="s">
        <v>21</v>
      </c>
      <c r="D199" s="1" t="s">
        <v>19</v>
      </c>
      <c r="E199" s="102">
        <v>0.65</v>
      </c>
      <c r="F199" s="102">
        <v>0.65</v>
      </c>
      <c r="G199" s="102">
        <v>0.65</v>
      </c>
      <c r="H199" s="102">
        <v>0.65</v>
      </c>
      <c r="I199" s="102">
        <v>0.65</v>
      </c>
      <c r="J199" s="102">
        <v>0.65</v>
      </c>
      <c r="K199" s="102">
        <v>0.65</v>
      </c>
      <c r="L199" s="102">
        <v>0.65</v>
      </c>
      <c r="M199" s="102">
        <v>0.65</v>
      </c>
    </row>
    <row r="200" spans="1:14" x14ac:dyDescent="0.25">
      <c r="A200" s="306"/>
      <c r="B200" s="323"/>
      <c r="C200" s="21" t="s">
        <v>22</v>
      </c>
      <c r="D200" s="1" t="s">
        <v>4</v>
      </c>
      <c r="E200" s="102">
        <v>20</v>
      </c>
      <c r="F200" s="102">
        <v>20</v>
      </c>
      <c r="G200" s="102">
        <v>20</v>
      </c>
      <c r="H200" s="102">
        <v>20</v>
      </c>
      <c r="I200" s="102">
        <v>20</v>
      </c>
      <c r="J200" s="102">
        <v>20</v>
      </c>
      <c r="K200" s="102">
        <v>20</v>
      </c>
      <c r="L200" s="102">
        <v>20</v>
      </c>
      <c r="M200" s="102">
        <v>20</v>
      </c>
    </row>
    <row r="201" spans="1:14" x14ac:dyDescent="0.25">
      <c r="A201" s="306"/>
      <c r="B201" s="323"/>
      <c r="C201" s="21" t="s">
        <v>23</v>
      </c>
      <c r="D201" s="1" t="s">
        <v>6</v>
      </c>
      <c r="E201" s="103">
        <v>202.65582041234001</v>
      </c>
      <c r="F201" s="103">
        <v>171.6776866187549</v>
      </c>
      <c r="G201" s="103">
        <v>133.81025064233</v>
      </c>
      <c r="H201" s="103">
        <v>107.89700245248551</v>
      </c>
      <c r="I201" s="103">
        <v>107.31263157894738</v>
      </c>
      <c r="J201" s="103">
        <v>107.00631578947369</v>
      </c>
      <c r="K201" s="103">
        <v>105.98526315789475</v>
      </c>
      <c r="L201" s="103">
        <v>103.84105263157896</v>
      </c>
      <c r="M201" s="103">
        <v>99.55263157894737</v>
      </c>
    </row>
    <row r="202" spans="1:14" x14ac:dyDescent="0.25">
      <c r="A202" s="306"/>
      <c r="B202" s="323"/>
      <c r="C202" s="21" t="s">
        <v>173</v>
      </c>
      <c r="D202" s="1" t="s">
        <v>19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</row>
    <row r="203" spans="1:14" x14ac:dyDescent="0.25">
      <c r="A203" s="306"/>
      <c r="B203" s="323"/>
      <c r="C203" s="21" t="s">
        <v>110</v>
      </c>
      <c r="D203" s="1" t="s">
        <v>8</v>
      </c>
      <c r="E203" s="102"/>
      <c r="F203" s="102"/>
      <c r="G203" s="102"/>
      <c r="H203" s="102"/>
      <c r="I203" s="102"/>
      <c r="J203" s="102"/>
      <c r="K203" s="102"/>
      <c r="L203" s="102"/>
      <c r="M203" s="102"/>
    </row>
    <row r="204" spans="1:14" x14ac:dyDescent="0.25">
      <c r="A204" s="306"/>
      <c r="B204" s="323"/>
      <c r="C204" s="21" t="s">
        <v>111</v>
      </c>
      <c r="D204" s="1" t="s">
        <v>9</v>
      </c>
      <c r="E204" s="103">
        <v>6.0796746123701997</v>
      </c>
      <c r="F204" s="103">
        <v>5.1503305985626469</v>
      </c>
      <c r="G204" s="103">
        <v>4.0143075192698996</v>
      </c>
      <c r="H204" s="103">
        <v>3.2369100735745651</v>
      </c>
      <c r="I204" s="103">
        <v>2.0378947368421052</v>
      </c>
      <c r="J204" s="103">
        <v>2.0189473684210526</v>
      </c>
      <c r="K204" s="103">
        <v>1.9557894736842103</v>
      </c>
      <c r="L204" s="103">
        <v>1.8231578947368419</v>
      </c>
      <c r="M204" s="103">
        <v>1.557894736842105</v>
      </c>
    </row>
    <row r="205" spans="1:14" x14ac:dyDescent="0.25">
      <c r="A205" s="306"/>
      <c r="B205" s="323"/>
      <c r="C205" s="21" t="s">
        <v>35</v>
      </c>
      <c r="D205" s="1" t="s">
        <v>10</v>
      </c>
      <c r="E205" s="103">
        <v>0</v>
      </c>
      <c r="F205" s="103">
        <v>0</v>
      </c>
      <c r="G205" s="103">
        <v>0</v>
      </c>
      <c r="H205" s="103">
        <v>0</v>
      </c>
      <c r="I205" s="103">
        <v>0</v>
      </c>
      <c r="J205" s="103">
        <v>0</v>
      </c>
      <c r="K205" s="103">
        <v>1.6666105263157894E-3</v>
      </c>
      <c r="L205" s="103">
        <v>1.5304421052631579E-3</v>
      </c>
      <c r="M205" s="103">
        <v>1.2581052631578946E-3</v>
      </c>
    </row>
    <row r="206" spans="1:14" x14ac:dyDescent="0.25">
      <c r="A206" s="306"/>
      <c r="B206" s="323"/>
      <c r="C206" s="22" t="s">
        <v>24</v>
      </c>
      <c r="D206" s="23" t="s">
        <v>10</v>
      </c>
      <c r="E206" s="103">
        <v>0</v>
      </c>
      <c r="F206" s="103">
        <v>0</v>
      </c>
      <c r="G206" s="103">
        <v>0</v>
      </c>
      <c r="H206" s="103">
        <v>0</v>
      </c>
      <c r="I206" s="103">
        <v>0</v>
      </c>
      <c r="J206" s="103">
        <v>0</v>
      </c>
      <c r="K206" s="103">
        <v>0</v>
      </c>
      <c r="L206" s="103">
        <v>0</v>
      </c>
      <c r="M206" s="103">
        <v>0</v>
      </c>
    </row>
    <row r="207" spans="1:14" x14ac:dyDescent="0.25">
      <c r="A207" s="306"/>
      <c r="B207" s="323"/>
      <c r="C207" s="21" t="s">
        <v>25</v>
      </c>
      <c r="D207" s="1" t="s">
        <v>7</v>
      </c>
      <c r="E207" s="102">
        <v>0.98499999999999988</v>
      </c>
      <c r="F207" s="102">
        <v>0.98499999999999988</v>
      </c>
      <c r="G207" s="102">
        <v>0.98499999999999988</v>
      </c>
      <c r="H207" s="102">
        <v>0.98499999999999988</v>
      </c>
      <c r="I207" s="102">
        <v>0.98499999999999988</v>
      </c>
      <c r="J207" s="102">
        <v>0.98499999999999988</v>
      </c>
      <c r="K207" s="102">
        <v>0.99399999999999999</v>
      </c>
      <c r="L207" s="102">
        <v>0.99399999999999999</v>
      </c>
      <c r="M207" s="102">
        <v>0.99399999999999999</v>
      </c>
    </row>
    <row r="208" spans="1:14" x14ac:dyDescent="0.25">
      <c r="A208" s="306"/>
      <c r="B208" s="323"/>
      <c r="C208" s="21" t="s">
        <v>26</v>
      </c>
      <c r="D208" s="1" t="s">
        <v>14</v>
      </c>
      <c r="E208" s="103">
        <v>1524.6</v>
      </c>
      <c r="F208" s="103">
        <v>1749.6</v>
      </c>
      <c r="G208" s="103">
        <v>2349.6</v>
      </c>
      <c r="H208" s="103">
        <v>3174.6</v>
      </c>
      <c r="I208" s="103">
        <v>4299.6000000000004</v>
      </c>
      <c r="J208" s="103">
        <v>14213</v>
      </c>
      <c r="K208" s="103">
        <v>21713</v>
      </c>
      <c r="L208" s="103">
        <v>37463</v>
      </c>
      <c r="M208" s="103">
        <v>68963</v>
      </c>
    </row>
    <row r="209" spans="1:13" x14ac:dyDescent="0.25">
      <c r="A209" s="306"/>
      <c r="B209" s="323"/>
      <c r="C209" s="21" t="s">
        <v>27</v>
      </c>
      <c r="D209" s="1" t="s">
        <v>4</v>
      </c>
      <c r="E209" s="102">
        <v>40</v>
      </c>
      <c r="F209" s="102">
        <v>40</v>
      </c>
      <c r="G209" s="102">
        <v>40</v>
      </c>
      <c r="H209" s="102">
        <v>40</v>
      </c>
      <c r="I209" s="102">
        <v>40</v>
      </c>
      <c r="J209" s="102">
        <v>40</v>
      </c>
      <c r="K209" s="102">
        <v>40</v>
      </c>
      <c r="L209" s="102">
        <v>40</v>
      </c>
      <c r="M209" s="102">
        <v>40</v>
      </c>
    </row>
    <row r="210" spans="1:13" x14ac:dyDescent="0.25">
      <c r="A210" s="306"/>
      <c r="B210" s="323"/>
      <c r="C210" s="21" t="s">
        <v>125</v>
      </c>
      <c r="D210" s="1" t="s">
        <v>19</v>
      </c>
      <c r="E210" s="106">
        <v>0.546875</v>
      </c>
      <c r="F210" s="106">
        <v>0.546875</v>
      </c>
      <c r="G210" s="106">
        <v>0.54687499999999989</v>
      </c>
      <c r="H210" s="106">
        <v>0.546875</v>
      </c>
      <c r="I210" s="106">
        <v>0.546875</v>
      </c>
      <c r="J210" s="106">
        <v>0.546875</v>
      </c>
      <c r="K210" s="106">
        <v>0.546875</v>
      </c>
      <c r="L210" s="106">
        <v>0.546875</v>
      </c>
      <c r="M210" s="106">
        <v>0.546875</v>
      </c>
    </row>
    <row r="211" spans="1:13" x14ac:dyDescent="0.25">
      <c r="A211" s="306"/>
      <c r="B211" s="323"/>
      <c r="C211" s="21" t="s">
        <v>126</v>
      </c>
      <c r="D211" s="1" t="s">
        <v>19</v>
      </c>
      <c r="E211" s="102">
        <v>0.64</v>
      </c>
      <c r="F211" s="102">
        <v>0.64</v>
      </c>
      <c r="G211" s="102">
        <v>0.64</v>
      </c>
      <c r="H211" s="102">
        <v>0.64</v>
      </c>
      <c r="I211" s="102">
        <v>0.64</v>
      </c>
      <c r="J211" s="102">
        <v>0.64</v>
      </c>
      <c r="K211" s="102">
        <v>0.64</v>
      </c>
      <c r="L211" s="102">
        <v>0.64</v>
      </c>
      <c r="M211" s="102">
        <v>0.64</v>
      </c>
    </row>
    <row r="212" spans="1:13" x14ac:dyDescent="0.25">
      <c r="A212" s="306"/>
      <c r="B212" s="323"/>
      <c r="C212" s="24" t="s">
        <v>127</v>
      </c>
      <c r="D212" s="1" t="s">
        <v>4</v>
      </c>
      <c r="E212" s="102">
        <v>20</v>
      </c>
      <c r="F212" s="102">
        <v>20</v>
      </c>
      <c r="G212" s="102">
        <v>20</v>
      </c>
      <c r="H212" s="102">
        <v>20</v>
      </c>
      <c r="I212" s="102">
        <v>20</v>
      </c>
      <c r="J212" s="102">
        <v>20</v>
      </c>
      <c r="K212" s="102">
        <v>20</v>
      </c>
      <c r="L212" s="102">
        <v>20</v>
      </c>
      <c r="M212" s="102">
        <v>20</v>
      </c>
    </row>
    <row r="213" spans="1:13" x14ac:dyDescent="0.25">
      <c r="A213" s="306"/>
      <c r="B213" s="323"/>
      <c r="C213" s="24" t="s">
        <v>128</v>
      </c>
      <c r="D213" s="1" t="s">
        <v>6</v>
      </c>
      <c r="E213" s="107">
        <v>890.31004540991637</v>
      </c>
      <c r="F213" s="103">
        <v>866.55038046146274</v>
      </c>
      <c r="G213" s="103">
        <v>803.19127393225313</v>
      </c>
      <c r="H213" s="103">
        <v>716.07250245458999</v>
      </c>
      <c r="I213" s="103">
        <v>597.27417771232194</v>
      </c>
      <c r="J213" s="103">
        <v>508.57142857142856</v>
      </c>
      <c r="K213" s="103">
        <v>508.57142857142856</v>
      </c>
      <c r="L213" s="103">
        <v>508.57142857142856</v>
      </c>
      <c r="M213" s="103">
        <v>508.57142857142856</v>
      </c>
    </row>
    <row r="214" spans="1:13" x14ac:dyDescent="0.25">
      <c r="A214" s="306"/>
      <c r="B214" s="323"/>
      <c r="C214" s="21" t="s">
        <v>179</v>
      </c>
      <c r="D214" s="1" t="s">
        <v>19</v>
      </c>
      <c r="E214" s="104">
        <v>0</v>
      </c>
      <c r="F214" s="104">
        <v>0</v>
      </c>
      <c r="G214" s="104">
        <v>0</v>
      </c>
      <c r="H214" s="104">
        <v>0</v>
      </c>
      <c r="I214" s="104">
        <v>0</v>
      </c>
      <c r="J214" s="104">
        <v>0</v>
      </c>
      <c r="K214" s="104">
        <v>0</v>
      </c>
      <c r="L214" s="104">
        <v>0</v>
      </c>
      <c r="M214" s="104">
        <v>0</v>
      </c>
    </row>
    <row r="215" spans="1:13" x14ac:dyDescent="0.25">
      <c r="A215" s="306"/>
      <c r="B215" s="323"/>
      <c r="C215" s="21" t="s">
        <v>129</v>
      </c>
      <c r="D215" s="1" t="s">
        <v>8</v>
      </c>
      <c r="E215" s="103">
        <v>52.688365243004426</v>
      </c>
      <c r="F215" s="103">
        <v>69.477761413843893</v>
      </c>
      <c r="G215" s="103">
        <v>114.24948453608249</v>
      </c>
      <c r="H215" s="103">
        <v>175.81060382916056</v>
      </c>
      <c r="I215" s="103">
        <v>259.75758468335789</v>
      </c>
      <c r="J215" s="103">
        <v>427.65154639175262</v>
      </c>
      <c r="K215" s="103">
        <v>595.54550810014734</v>
      </c>
      <c r="L215" s="103">
        <v>595.54550810014734</v>
      </c>
      <c r="M215" s="103">
        <v>595.54550810014734</v>
      </c>
    </row>
    <row r="216" spans="1:13" x14ac:dyDescent="0.25">
      <c r="A216" s="306"/>
      <c r="B216" s="323"/>
      <c r="C216" s="21" t="s">
        <v>130</v>
      </c>
      <c r="D216" s="1" t="s">
        <v>9</v>
      </c>
      <c r="E216" s="102"/>
      <c r="F216" s="102"/>
      <c r="G216" s="102"/>
      <c r="H216" s="102"/>
      <c r="I216" s="102"/>
      <c r="J216" s="102"/>
      <c r="K216" s="102"/>
      <c r="L216" s="102"/>
      <c r="M216" s="102"/>
    </row>
    <row r="217" spans="1:13" x14ac:dyDescent="0.25">
      <c r="A217" s="306"/>
      <c r="B217" s="323"/>
      <c r="C217" s="21" t="s">
        <v>131</v>
      </c>
      <c r="D217" s="1" t="s">
        <v>10</v>
      </c>
      <c r="E217" s="102"/>
      <c r="F217" s="102"/>
      <c r="G217" s="102"/>
      <c r="H217" s="102"/>
      <c r="I217" s="102"/>
      <c r="J217" s="102"/>
      <c r="K217" s="102"/>
      <c r="L217" s="102"/>
      <c r="M217" s="102"/>
    </row>
    <row r="218" spans="1:13" ht="18.75" x14ac:dyDescent="0.25">
      <c r="A218" s="306"/>
      <c r="B218" s="323"/>
      <c r="C218" s="53" t="s">
        <v>132</v>
      </c>
      <c r="D218" s="23" t="s">
        <v>17</v>
      </c>
      <c r="E218" s="102"/>
      <c r="F218" s="102"/>
      <c r="G218" s="102"/>
      <c r="H218" s="102"/>
      <c r="I218" s="102"/>
      <c r="J218" s="102"/>
      <c r="K218" s="102"/>
      <c r="L218" s="102"/>
      <c r="M218" s="102"/>
    </row>
    <row r="219" spans="1:13" x14ac:dyDescent="0.25">
      <c r="A219" s="324">
        <v>14</v>
      </c>
      <c r="B219" s="327" t="s">
        <v>181</v>
      </c>
      <c r="C219" s="21" t="s">
        <v>112</v>
      </c>
      <c r="D219" s="1" t="s">
        <v>19</v>
      </c>
      <c r="E219" s="106">
        <v>1</v>
      </c>
      <c r="F219" s="106">
        <v>1</v>
      </c>
      <c r="G219" s="106">
        <v>1</v>
      </c>
      <c r="H219" s="106">
        <v>1</v>
      </c>
      <c r="I219" s="106">
        <v>1</v>
      </c>
      <c r="J219" s="106">
        <v>1</v>
      </c>
      <c r="K219" s="106">
        <v>1</v>
      </c>
      <c r="L219" s="106">
        <v>1</v>
      </c>
      <c r="M219" s="106">
        <v>1</v>
      </c>
    </row>
    <row r="220" spans="1:13" x14ac:dyDescent="0.25">
      <c r="A220" s="325"/>
      <c r="B220" s="328"/>
      <c r="C220" s="21" t="s">
        <v>28</v>
      </c>
      <c r="D220" s="1" t="s">
        <v>19</v>
      </c>
      <c r="E220" s="102">
        <v>0.8</v>
      </c>
      <c r="F220" s="102">
        <v>0.8</v>
      </c>
      <c r="G220" s="102">
        <v>0.8</v>
      </c>
      <c r="H220" s="102">
        <v>0.8</v>
      </c>
      <c r="I220" s="102">
        <v>0.8</v>
      </c>
      <c r="J220" s="102">
        <v>0.8</v>
      </c>
      <c r="K220" s="102">
        <v>0.8</v>
      </c>
      <c r="L220" s="102">
        <v>0.8</v>
      </c>
      <c r="M220" s="102">
        <v>0.8</v>
      </c>
    </row>
    <row r="221" spans="1:13" x14ac:dyDescent="0.25">
      <c r="A221" s="325"/>
      <c r="B221" s="328"/>
      <c r="C221" s="21" t="s">
        <v>29</v>
      </c>
      <c r="D221" s="1" t="s">
        <v>4</v>
      </c>
      <c r="E221" s="102">
        <v>20</v>
      </c>
      <c r="F221" s="102">
        <v>20</v>
      </c>
      <c r="G221" s="102">
        <v>20</v>
      </c>
      <c r="H221" s="102">
        <v>20</v>
      </c>
      <c r="I221" s="102">
        <v>20</v>
      </c>
      <c r="J221" s="102">
        <v>20</v>
      </c>
      <c r="K221" s="102">
        <v>20</v>
      </c>
      <c r="L221" s="102">
        <v>20</v>
      </c>
      <c r="M221" s="102">
        <v>20</v>
      </c>
    </row>
    <row r="222" spans="1:13" x14ac:dyDescent="0.25">
      <c r="A222" s="325"/>
      <c r="B222" s="328"/>
      <c r="C222" s="21" t="s">
        <v>30</v>
      </c>
      <c r="D222" s="1" t="s">
        <v>6</v>
      </c>
      <c r="E222" s="103">
        <v>800.77079092910083</v>
      </c>
      <c r="F222" s="103">
        <v>571.81820894808823</v>
      </c>
      <c r="G222" s="103">
        <v>446.14556901716315</v>
      </c>
      <c r="H222" s="103">
        <v>446.14556901716315</v>
      </c>
      <c r="I222" s="103">
        <v>446.14556901716315</v>
      </c>
      <c r="J222" s="103">
        <v>446.14556901716315</v>
      </c>
      <c r="K222" s="103">
        <v>1129.4706178785063</v>
      </c>
      <c r="L222" s="103">
        <v>982.55924743473179</v>
      </c>
      <c r="M222" s="103">
        <v>863.67730421521264</v>
      </c>
    </row>
    <row r="223" spans="1:13" x14ac:dyDescent="0.25">
      <c r="A223" s="325"/>
      <c r="B223" s="328"/>
      <c r="C223" s="21" t="s">
        <v>174</v>
      </c>
      <c r="D223" s="1" t="s">
        <v>19</v>
      </c>
      <c r="E223" s="104">
        <v>0</v>
      </c>
      <c r="F223" s="104">
        <v>0</v>
      </c>
      <c r="G223" s="104">
        <v>0</v>
      </c>
      <c r="H223" s="104">
        <v>0</v>
      </c>
      <c r="I223" s="104">
        <v>0</v>
      </c>
      <c r="J223" s="104">
        <v>0</v>
      </c>
      <c r="K223" s="104">
        <v>0</v>
      </c>
      <c r="L223" s="104">
        <v>0</v>
      </c>
      <c r="M223" s="104">
        <v>0</v>
      </c>
    </row>
    <row r="224" spans="1:13" x14ac:dyDescent="0.25">
      <c r="A224" s="325"/>
      <c r="B224" s="328"/>
      <c r="C224" s="21" t="s">
        <v>113</v>
      </c>
      <c r="D224" s="1" t="s">
        <v>8</v>
      </c>
      <c r="E224" s="102"/>
      <c r="F224" s="102"/>
      <c r="G224" s="102"/>
      <c r="H224" s="102"/>
      <c r="I224" s="102"/>
      <c r="J224" s="102"/>
      <c r="K224" s="102"/>
      <c r="L224" s="102"/>
      <c r="M224" s="102"/>
    </row>
    <row r="225" spans="1:13" x14ac:dyDescent="0.25">
      <c r="A225" s="325"/>
      <c r="B225" s="328"/>
      <c r="C225" s="21" t="s">
        <v>114</v>
      </c>
      <c r="D225" s="1" t="s">
        <v>9</v>
      </c>
      <c r="E225" s="102"/>
      <c r="F225" s="102"/>
      <c r="G225" s="102"/>
      <c r="H225" s="102"/>
      <c r="I225" s="102"/>
      <c r="J225" s="102"/>
      <c r="K225" s="102"/>
      <c r="L225" s="102"/>
      <c r="M225" s="102"/>
    </row>
    <row r="226" spans="1:13" x14ac:dyDescent="0.25">
      <c r="A226" s="325"/>
      <c r="B226" s="328"/>
      <c r="C226" s="21" t="s">
        <v>115</v>
      </c>
      <c r="D226" s="1" t="s">
        <v>10</v>
      </c>
      <c r="E226" s="103">
        <v>0</v>
      </c>
      <c r="F226" s="103">
        <v>0</v>
      </c>
      <c r="G226" s="103">
        <v>0</v>
      </c>
      <c r="H226" s="103">
        <v>0</v>
      </c>
      <c r="I226" s="103">
        <v>0</v>
      </c>
      <c r="J226" s="103">
        <v>0</v>
      </c>
      <c r="K226" s="103">
        <v>2.0599999999999998E-3</v>
      </c>
      <c r="L226" s="103">
        <v>2.0599999999999998E-3</v>
      </c>
      <c r="M226" s="103">
        <v>2.0599999999999998E-3</v>
      </c>
    </row>
    <row r="227" spans="1:13" ht="18.75" x14ac:dyDescent="0.25">
      <c r="A227" s="325"/>
      <c r="B227" s="328"/>
      <c r="C227" s="22" t="s">
        <v>116</v>
      </c>
      <c r="D227" s="23" t="s">
        <v>17</v>
      </c>
      <c r="E227" s="103">
        <v>0</v>
      </c>
      <c r="F227" s="103">
        <v>0</v>
      </c>
      <c r="G227" s="103">
        <v>0</v>
      </c>
      <c r="H227" s="103">
        <v>0</v>
      </c>
      <c r="I227" s="103">
        <v>0</v>
      </c>
      <c r="J227" s="103">
        <v>0</v>
      </c>
      <c r="K227" s="103">
        <v>0</v>
      </c>
      <c r="L227" s="103">
        <v>0</v>
      </c>
      <c r="M227" s="103">
        <v>0</v>
      </c>
    </row>
    <row r="228" spans="1:13" x14ac:dyDescent="0.25">
      <c r="A228" s="325"/>
      <c r="B228" s="328"/>
      <c r="C228" s="22" t="s">
        <v>31</v>
      </c>
      <c r="D228" s="23" t="s">
        <v>10</v>
      </c>
      <c r="E228" s="103">
        <v>0</v>
      </c>
      <c r="F228" s="103">
        <v>0</v>
      </c>
      <c r="G228" s="103">
        <v>0</v>
      </c>
      <c r="H228" s="103">
        <v>0</v>
      </c>
      <c r="I228" s="103">
        <v>0</v>
      </c>
      <c r="J228" s="103">
        <v>0</v>
      </c>
      <c r="K228" s="103">
        <v>0</v>
      </c>
      <c r="L228" s="103">
        <v>0</v>
      </c>
      <c r="M228" s="103">
        <v>0</v>
      </c>
    </row>
    <row r="229" spans="1:13" x14ac:dyDescent="0.25">
      <c r="A229" s="325"/>
      <c r="B229" s="328"/>
      <c r="C229" s="21" t="s">
        <v>32</v>
      </c>
      <c r="D229" s="2" t="s">
        <v>19</v>
      </c>
      <c r="E229" s="102">
        <v>3.38</v>
      </c>
      <c r="F229" s="102">
        <v>3.38</v>
      </c>
      <c r="G229" s="102">
        <v>3.38</v>
      </c>
      <c r="H229" s="102">
        <v>3.38</v>
      </c>
      <c r="I229" s="102">
        <v>3.38</v>
      </c>
      <c r="J229" s="102">
        <v>3.38</v>
      </c>
      <c r="K229" s="102">
        <v>3.38</v>
      </c>
      <c r="L229" s="102">
        <v>3.38</v>
      </c>
      <c r="M229" s="102">
        <v>3.38</v>
      </c>
    </row>
    <row r="230" spans="1:13" x14ac:dyDescent="0.25">
      <c r="A230" s="325"/>
      <c r="B230" s="328"/>
      <c r="C230" s="21" t="s">
        <v>33</v>
      </c>
      <c r="D230" s="2" t="s">
        <v>14</v>
      </c>
      <c r="E230" s="102"/>
      <c r="F230" s="102"/>
      <c r="G230" s="102"/>
      <c r="H230" s="102"/>
      <c r="I230" s="102"/>
      <c r="J230" s="102"/>
      <c r="K230" s="102"/>
      <c r="L230" s="102"/>
      <c r="M230" s="102"/>
    </row>
    <row r="231" spans="1:13" x14ac:dyDescent="0.25">
      <c r="A231" s="325"/>
      <c r="B231" s="328"/>
      <c r="C231" s="21" t="s">
        <v>34</v>
      </c>
      <c r="D231" s="2" t="s">
        <v>4</v>
      </c>
      <c r="E231" s="102"/>
      <c r="F231" s="102"/>
      <c r="G231" s="102"/>
      <c r="H231" s="102"/>
      <c r="I231" s="102"/>
      <c r="J231" s="102"/>
      <c r="K231" s="102"/>
      <c r="L231" s="102"/>
      <c r="M231" s="102"/>
    </row>
    <row r="232" spans="1:13" x14ac:dyDescent="0.25">
      <c r="A232" s="325"/>
      <c r="B232" s="328"/>
      <c r="C232" s="21" t="s">
        <v>125</v>
      </c>
      <c r="D232" s="1" t="s">
        <v>19</v>
      </c>
      <c r="E232" s="106">
        <v>0.3125</v>
      </c>
      <c r="F232" s="106">
        <v>0.3125</v>
      </c>
      <c r="G232" s="106">
        <v>0.3125</v>
      </c>
      <c r="H232" s="106">
        <v>0.3125</v>
      </c>
      <c r="I232" s="106">
        <v>0.3125</v>
      </c>
      <c r="J232" s="106">
        <v>0.3125</v>
      </c>
      <c r="K232" s="106">
        <v>0.3125</v>
      </c>
      <c r="L232" s="106">
        <v>0.3125</v>
      </c>
      <c r="M232" s="106">
        <v>0.3125</v>
      </c>
    </row>
    <row r="233" spans="1:13" x14ac:dyDescent="0.25">
      <c r="A233" s="325"/>
      <c r="B233" s="328"/>
      <c r="C233" s="21" t="s">
        <v>126</v>
      </c>
      <c r="D233" s="1" t="s">
        <v>19</v>
      </c>
      <c r="E233" s="102">
        <v>0.64</v>
      </c>
      <c r="F233" s="102">
        <v>0.64</v>
      </c>
      <c r="G233" s="102">
        <v>0.64</v>
      </c>
      <c r="H233" s="102">
        <v>0.64</v>
      </c>
      <c r="I233" s="102">
        <v>0.64</v>
      </c>
      <c r="J233" s="102">
        <v>0.64</v>
      </c>
      <c r="K233" s="102">
        <v>0.64</v>
      </c>
      <c r="L233" s="102">
        <v>0.64</v>
      </c>
      <c r="M233" s="102">
        <v>0.64</v>
      </c>
    </row>
    <row r="234" spans="1:13" x14ac:dyDescent="0.25">
      <c r="A234" s="325"/>
      <c r="B234" s="328"/>
      <c r="C234" s="24" t="s">
        <v>127</v>
      </c>
      <c r="D234" s="1" t="s">
        <v>4</v>
      </c>
      <c r="E234" s="102">
        <v>20</v>
      </c>
      <c r="F234" s="102">
        <v>20</v>
      </c>
      <c r="G234" s="102">
        <v>20</v>
      </c>
      <c r="H234" s="102">
        <v>20</v>
      </c>
      <c r="I234" s="102">
        <v>20</v>
      </c>
      <c r="J234" s="102">
        <v>20</v>
      </c>
      <c r="K234" s="102">
        <v>20</v>
      </c>
      <c r="L234" s="102">
        <v>20</v>
      </c>
      <c r="M234" s="102">
        <v>20</v>
      </c>
    </row>
    <row r="235" spans="1:13" x14ac:dyDescent="0.25">
      <c r="A235" s="325"/>
      <c r="B235" s="328"/>
      <c r="C235" s="24" t="s">
        <v>128</v>
      </c>
      <c r="D235" s="1" t="s">
        <v>6</v>
      </c>
      <c r="E235" s="107">
        <v>900.49275895925371</v>
      </c>
      <c r="F235" s="107">
        <v>886.9158075601373</v>
      </c>
      <c r="G235" s="107">
        <v>850.71060382916039</v>
      </c>
      <c r="H235" s="107">
        <v>800.92844869906708</v>
      </c>
      <c r="I235" s="107">
        <v>733.04369170348536</v>
      </c>
      <c r="J235" s="107">
        <v>597.27417771232194</v>
      </c>
      <c r="K235" s="107">
        <v>508.57142857142856</v>
      </c>
      <c r="L235" s="107">
        <v>508.57142857142856</v>
      </c>
      <c r="M235" s="107">
        <v>508.57142857142856</v>
      </c>
    </row>
    <row r="236" spans="1:13" x14ac:dyDescent="0.25">
      <c r="A236" s="325"/>
      <c r="B236" s="328"/>
      <c r="C236" s="24" t="s">
        <v>179</v>
      </c>
      <c r="D236" s="1" t="s">
        <v>19</v>
      </c>
      <c r="E236" s="104">
        <v>0</v>
      </c>
      <c r="F236" s="104">
        <v>0</v>
      </c>
      <c r="G236" s="104">
        <v>0</v>
      </c>
      <c r="H236" s="104">
        <v>0</v>
      </c>
      <c r="I236" s="104">
        <v>0</v>
      </c>
      <c r="J236" s="104">
        <v>0</v>
      </c>
      <c r="K236" s="104">
        <v>0</v>
      </c>
      <c r="L236" s="104">
        <v>0</v>
      </c>
      <c r="M236" s="104">
        <v>0</v>
      </c>
    </row>
    <row r="237" spans="1:13" x14ac:dyDescent="0.25">
      <c r="A237" s="325"/>
      <c r="B237" s="328"/>
      <c r="C237" s="21" t="s">
        <v>129</v>
      </c>
      <c r="D237" s="1" t="s">
        <v>8</v>
      </c>
      <c r="E237" s="103">
        <v>52.688365243004426</v>
      </c>
      <c r="F237" s="103">
        <v>69.477761413843893</v>
      </c>
      <c r="G237" s="103">
        <v>114.24948453608249</v>
      </c>
      <c r="H237" s="103">
        <v>175.81060382916056</v>
      </c>
      <c r="I237" s="103">
        <v>259.75758468335789</v>
      </c>
      <c r="J237" s="103">
        <v>427.65154639175262</v>
      </c>
      <c r="K237" s="103">
        <v>595.54550810014734</v>
      </c>
      <c r="L237" s="103">
        <v>595.54550810014734</v>
      </c>
      <c r="M237" s="103">
        <v>595.54550810014734</v>
      </c>
    </row>
    <row r="238" spans="1:13" x14ac:dyDescent="0.25">
      <c r="A238" s="325"/>
      <c r="B238" s="328"/>
      <c r="C238" s="21" t="s">
        <v>130</v>
      </c>
      <c r="D238" s="1" t="s">
        <v>9</v>
      </c>
      <c r="E238" s="102"/>
      <c r="F238" s="102"/>
      <c r="G238" s="102"/>
      <c r="H238" s="102"/>
      <c r="I238" s="102"/>
      <c r="J238" s="102"/>
      <c r="K238" s="102"/>
      <c r="L238" s="102"/>
      <c r="M238" s="102"/>
    </row>
    <row r="239" spans="1:13" x14ac:dyDescent="0.25">
      <c r="A239" s="325"/>
      <c r="B239" s="328"/>
      <c r="C239" s="21" t="s">
        <v>131</v>
      </c>
      <c r="D239" s="1" t="s">
        <v>10</v>
      </c>
      <c r="E239" s="102"/>
      <c r="F239" s="102"/>
      <c r="G239" s="102"/>
      <c r="H239" s="102"/>
      <c r="I239" s="102"/>
      <c r="J239" s="102"/>
      <c r="K239" s="102"/>
      <c r="L239" s="102"/>
      <c r="M239" s="102"/>
    </row>
    <row r="240" spans="1:13" ht="18.75" x14ac:dyDescent="0.25">
      <c r="A240" s="326"/>
      <c r="B240" s="329"/>
      <c r="C240" s="53" t="s">
        <v>132</v>
      </c>
      <c r="D240" s="23" t="s">
        <v>17</v>
      </c>
      <c r="E240" s="102"/>
      <c r="F240" s="102"/>
      <c r="G240" s="102"/>
      <c r="H240" s="102"/>
      <c r="I240" s="102"/>
      <c r="J240" s="102"/>
      <c r="K240" s="102"/>
      <c r="L240" s="102"/>
      <c r="M240" s="102"/>
    </row>
    <row r="241" spans="1:13" x14ac:dyDescent="0.25">
      <c r="A241" s="324">
        <v>15</v>
      </c>
      <c r="B241" s="327" t="s">
        <v>182</v>
      </c>
      <c r="C241" s="21" t="s">
        <v>112</v>
      </c>
      <c r="D241" s="1" t="s">
        <v>19</v>
      </c>
      <c r="E241" s="106">
        <v>1</v>
      </c>
      <c r="F241" s="106">
        <v>1</v>
      </c>
      <c r="G241" s="106">
        <v>1</v>
      </c>
      <c r="H241" s="106">
        <v>1</v>
      </c>
      <c r="I241" s="106">
        <v>1</v>
      </c>
      <c r="J241" s="106">
        <v>1</v>
      </c>
      <c r="K241" s="106">
        <v>1</v>
      </c>
      <c r="L241" s="106">
        <v>1</v>
      </c>
      <c r="M241" s="106">
        <v>1</v>
      </c>
    </row>
    <row r="242" spans="1:13" x14ac:dyDescent="0.25">
      <c r="A242" s="325"/>
      <c r="B242" s="328"/>
      <c r="C242" s="21" t="s">
        <v>28</v>
      </c>
      <c r="D242" s="1" t="s">
        <v>19</v>
      </c>
      <c r="E242" s="102">
        <v>0.65</v>
      </c>
      <c r="F242" s="102">
        <v>0.65</v>
      </c>
      <c r="G242" s="102">
        <v>0.65</v>
      </c>
      <c r="H242" s="102">
        <v>0.65</v>
      </c>
      <c r="I242" s="102">
        <v>0.65</v>
      </c>
      <c r="J242" s="102">
        <v>0.65</v>
      </c>
      <c r="K242" s="102">
        <v>0.65</v>
      </c>
      <c r="L242" s="102">
        <v>0.65</v>
      </c>
      <c r="M242" s="102">
        <v>0.65</v>
      </c>
    </row>
    <row r="243" spans="1:13" x14ac:dyDescent="0.25">
      <c r="A243" s="325"/>
      <c r="B243" s="328"/>
      <c r="C243" s="21" t="s">
        <v>29</v>
      </c>
      <c r="D243" s="1" t="s">
        <v>4</v>
      </c>
      <c r="E243" s="102">
        <v>20</v>
      </c>
      <c r="F243" s="102">
        <v>20</v>
      </c>
      <c r="G243" s="102">
        <v>20</v>
      </c>
      <c r="H243" s="102">
        <v>20</v>
      </c>
      <c r="I243" s="102">
        <v>20</v>
      </c>
      <c r="J243" s="102">
        <v>20</v>
      </c>
      <c r="K243" s="102">
        <v>20</v>
      </c>
      <c r="L243" s="102">
        <v>20</v>
      </c>
      <c r="M243" s="102">
        <v>20</v>
      </c>
    </row>
    <row r="244" spans="1:13" x14ac:dyDescent="0.25">
      <c r="A244" s="325"/>
      <c r="B244" s="328"/>
      <c r="C244" s="21" t="s">
        <v>30</v>
      </c>
      <c r="D244" s="1" t="s">
        <v>6</v>
      </c>
      <c r="E244" s="103">
        <v>800.77079092910083</v>
      </c>
      <c r="F244" s="103">
        <v>571.81820894808823</v>
      </c>
      <c r="G244" s="103">
        <v>446.14556901716315</v>
      </c>
      <c r="H244" s="103">
        <v>446.14556901716315</v>
      </c>
      <c r="I244" s="103">
        <v>446.14556901716315</v>
      </c>
      <c r="J244" s="103">
        <v>446.14556901716315</v>
      </c>
      <c r="K244" s="103">
        <v>1129.4706178785063</v>
      </c>
      <c r="L244" s="103">
        <v>982.55924743473179</v>
      </c>
      <c r="M244" s="103">
        <v>863.67730421521264</v>
      </c>
    </row>
    <row r="245" spans="1:13" x14ac:dyDescent="0.25">
      <c r="A245" s="325"/>
      <c r="B245" s="328"/>
      <c r="C245" s="21" t="s">
        <v>174</v>
      </c>
      <c r="D245" s="1" t="s">
        <v>19</v>
      </c>
      <c r="E245" s="104">
        <v>0</v>
      </c>
      <c r="F245" s="104">
        <v>0</v>
      </c>
      <c r="G245" s="104">
        <v>0</v>
      </c>
      <c r="H245" s="104">
        <v>0</v>
      </c>
      <c r="I245" s="104">
        <v>0</v>
      </c>
      <c r="J245" s="104">
        <v>0</v>
      </c>
      <c r="K245" s="104">
        <v>0</v>
      </c>
      <c r="L245" s="104">
        <v>0</v>
      </c>
      <c r="M245" s="104">
        <v>0</v>
      </c>
    </row>
    <row r="246" spans="1:13" x14ac:dyDescent="0.25">
      <c r="A246" s="325"/>
      <c r="B246" s="328"/>
      <c r="C246" s="21" t="s">
        <v>113</v>
      </c>
      <c r="D246" s="1" t="s">
        <v>8</v>
      </c>
      <c r="E246" s="102"/>
      <c r="F246" s="102"/>
      <c r="G246" s="102"/>
      <c r="H246" s="102"/>
      <c r="I246" s="102"/>
      <c r="J246" s="102"/>
      <c r="K246" s="102"/>
      <c r="L246" s="102"/>
      <c r="M246" s="102"/>
    </row>
    <row r="247" spans="1:13" x14ac:dyDescent="0.25">
      <c r="A247" s="325"/>
      <c r="B247" s="328"/>
      <c r="C247" s="21" t="s">
        <v>114</v>
      </c>
      <c r="D247" s="1" t="s">
        <v>9</v>
      </c>
      <c r="E247" s="102"/>
      <c r="F247" s="102"/>
      <c r="G247" s="102"/>
      <c r="H247" s="102"/>
      <c r="I247" s="102"/>
      <c r="J247" s="102"/>
      <c r="K247" s="102"/>
      <c r="L247" s="102"/>
      <c r="M247" s="102"/>
    </row>
    <row r="248" spans="1:13" x14ac:dyDescent="0.25">
      <c r="A248" s="325"/>
      <c r="B248" s="328"/>
      <c r="C248" s="21" t="s">
        <v>115</v>
      </c>
      <c r="D248" s="1" t="s">
        <v>10</v>
      </c>
      <c r="E248" s="103">
        <v>0</v>
      </c>
      <c r="F248" s="103">
        <v>0</v>
      </c>
      <c r="G248" s="103">
        <v>0</v>
      </c>
      <c r="H248" s="103">
        <v>0</v>
      </c>
      <c r="I248" s="103">
        <v>0</v>
      </c>
      <c r="J248" s="103">
        <v>0</v>
      </c>
      <c r="K248" s="103">
        <v>2.0599999999999998E-3</v>
      </c>
      <c r="L248" s="103">
        <v>2.0599999999999998E-3</v>
      </c>
      <c r="M248" s="103">
        <v>2.0599999999999998E-3</v>
      </c>
    </row>
    <row r="249" spans="1:13" ht="18.75" x14ac:dyDescent="0.25">
      <c r="A249" s="325"/>
      <c r="B249" s="328"/>
      <c r="C249" s="22" t="s">
        <v>116</v>
      </c>
      <c r="D249" s="23" t="s">
        <v>17</v>
      </c>
      <c r="E249" s="103">
        <v>0</v>
      </c>
      <c r="F249" s="103">
        <v>0</v>
      </c>
      <c r="G249" s="103">
        <v>0</v>
      </c>
      <c r="H249" s="103">
        <v>0</v>
      </c>
      <c r="I249" s="103">
        <v>0</v>
      </c>
      <c r="J249" s="103">
        <v>0</v>
      </c>
      <c r="K249" s="103">
        <v>0</v>
      </c>
      <c r="L249" s="103">
        <v>0</v>
      </c>
      <c r="M249" s="103">
        <v>0</v>
      </c>
    </row>
    <row r="250" spans="1:13" x14ac:dyDescent="0.25">
      <c r="A250" s="325"/>
      <c r="B250" s="328"/>
      <c r="C250" s="22" t="s">
        <v>31</v>
      </c>
      <c r="D250" s="23" t="s">
        <v>10</v>
      </c>
      <c r="E250" s="103">
        <v>0</v>
      </c>
      <c r="F250" s="103">
        <v>0</v>
      </c>
      <c r="G250" s="103">
        <v>0</v>
      </c>
      <c r="H250" s="103">
        <v>0</v>
      </c>
      <c r="I250" s="103">
        <v>0</v>
      </c>
      <c r="J250" s="103">
        <v>0</v>
      </c>
      <c r="K250" s="103">
        <v>0</v>
      </c>
      <c r="L250" s="103">
        <v>0</v>
      </c>
      <c r="M250" s="103">
        <v>0</v>
      </c>
    </row>
    <row r="251" spans="1:13" x14ac:dyDescent="0.25">
      <c r="A251" s="325"/>
      <c r="B251" s="328"/>
      <c r="C251" s="21" t="s">
        <v>32</v>
      </c>
      <c r="D251" s="2" t="s">
        <v>19</v>
      </c>
      <c r="E251" s="102">
        <v>3.38</v>
      </c>
      <c r="F251" s="102">
        <v>3.38</v>
      </c>
      <c r="G251" s="102">
        <v>3.38</v>
      </c>
      <c r="H251" s="102">
        <v>3.38</v>
      </c>
      <c r="I251" s="102">
        <v>3.38</v>
      </c>
      <c r="J251" s="102">
        <v>3.38</v>
      </c>
      <c r="K251" s="102">
        <v>3.38</v>
      </c>
      <c r="L251" s="102">
        <v>3.38</v>
      </c>
      <c r="M251" s="102">
        <v>3.38</v>
      </c>
    </row>
    <row r="252" spans="1:13" x14ac:dyDescent="0.25">
      <c r="A252" s="325"/>
      <c r="B252" s="328"/>
      <c r="C252" s="21" t="s">
        <v>33</v>
      </c>
      <c r="D252" s="2" t="s">
        <v>14</v>
      </c>
      <c r="E252" s="102"/>
      <c r="F252" s="102"/>
      <c r="G252" s="102"/>
      <c r="H252" s="102"/>
      <c r="I252" s="102"/>
      <c r="J252" s="102"/>
      <c r="K252" s="102"/>
      <c r="L252" s="102"/>
      <c r="M252" s="102"/>
    </row>
    <row r="253" spans="1:13" x14ac:dyDescent="0.25">
      <c r="A253" s="325"/>
      <c r="B253" s="328"/>
      <c r="C253" s="21" t="s">
        <v>34</v>
      </c>
      <c r="D253" s="2" t="s">
        <v>4</v>
      </c>
      <c r="E253" s="102"/>
      <c r="F253" s="102"/>
      <c r="G253" s="102"/>
      <c r="H253" s="102"/>
      <c r="I253" s="102"/>
      <c r="J253" s="102"/>
      <c r="K253" s="102"/>
      <c r="L253" s="102"/>
      <c r="M253" s="102"/>
    </row>
    <row r="254" spans="1:13" x14ac:dyDescent="0.25">
      <c r="A254" s="325"/>
      <c r="B254" s="328"/>
      <c r="C254" s="21" t="s">
        <v>125</v>
      </c>
      <c r="D254" s="1" t="s">
        <v>19</v>
      </c>
      <c r="E254" s="106">
        <v>0.546875</v>
      </c>
      <c r="F254" s="106">
        <v>0.546875</v>
      </c>
      <c r="G254" s="106">
        <v>0.54687499999999989</v>
      </c>
      <c r="H254" s="106">
        <v>0.546875</v>
      </c>
      <c r="I254" s="106">
        <v>0.546875</v>
      </c>
      <c r="J254" s="106">
        <v>0.546875</v>
      </c>
      <c r="K254" s="106">
        <v>0.546875</v>
      </c>
      <c r="L254" s="106">
        <v>0.546875</v>
      </c>
      <c r="M254" s="106">
        <v>0.546875</v>
      </c>
    </row>
    <row r="255" spans="1:13" x14ac:dyDescent="0.25">
      <c r="A255" s="325"/>
      <c r="B255" s="328"/>
      <c r="C255" s="21" t="s">
        <v>126</v>
      </c>
      <c r="D255" s="1" t="s">
        <v>19</v>
      </c>
      <c r="E255" s="102">
        <v>0.64</v>
      </c>
      <c r="F255" s="102">
        <v>0.64</v>
      </c>
      <c r="G255" s="102">
        <v>0.64</v>
      </c>
      <c r="H255" s="102">
        <v>0.64</v>
      </c>
      <c r="I255" s="102">
        <v>0.64</v>
      </c>
      <c r="J255" s="102">
        <v>0.64</v>
      </c>
      <c r="K255" s="102">
        <v>0.64</v>
      </c>
      <c r="L255" s="102">
        <v>0.64</v>
      </c>
      <c r="M255" s="102">
        <v>0.64</v>
      </c>
    </row>
    <row r="256" spans="1:13" x14ac:dyDescent="0.25">
      <c r="A256" s="325"/>
      <c r="B256" s="328"/>
      <c r="C256" s="24" t="s">
        <v>127</v>
      </c>
      <c r="D256" s="1" t="s">
        <v>4</v>
      </c>
      <c r="E256" s="102">
        <v>20</v>
      </c>
      <c r="F256" s="102">
        <v>20</v>
      </c>
      <c r="G256" s="102">
        <v>20</v>
      </c>
      <c r="H256" s="102">
        <v>20</v>
      </c>
      <c r="I256" s="102">
        <v>20</v>
      </c>
      <c r="J256" s="102">
        <v>20</v>
      </c>
      <c r="K256" s="102">
        <v>20</v>
      </c>
      <c r="L256" s="102">
        <v>20</v>
      </c>
      <c r="M256" s="102">
        <v>20</v>
      </c>
    </row>
    <row r="257" spans="1:13" x14ac:dyDescent="0.25">
      <c r="A257" s="325"/>
      <c r="B257" s="328"/>
      <c r="C257" s="24" t="s">
        <v>128</v>
      </c>
      <c r="D257" s="1" t="s">
        <v>6</v>
      </c>
      <c r="E257" s="107">
        <v>890.31004540991637</v>
      </c>
      <c r="F257" s="107">
        <v>866.55038046146274</v>
      </c>
      <c r="G257" s="107">
        <v>803.19127393225313</v>
      </c>
      <c r="H257" s="107">
        <v>716.07250245458999</v>
      </c>
      <c r="I257" s="107">
        <v>597.27417771232194</v>
      </c>
      <c r="J257" s="107">
        <v>508.57142857142856</v>
      </c>
      <c r="K257" s="107">
        <v>508.57142857142856</v>
      </c>
      <c r="L257" s="107">
        <v>508.57142857142856</v>
      </c>
      <c r="M257" s="107">
        <v>508.57142857142856</v>
      </c>
    </row>
    <row r="258" spans="1:13" x14ac:dyDescent="0.25">
      <c r="A258" s="325"/>
      <c r="B258" s="328"/>
      <c r="C258" s="24" t="s">
        <v>179</v>
      </c>
      <c r="D258" s="1" t="s">
        <v>19</v>
      </c>
      <c r="E258" s="104">
        <v>0</v>
      </c>
      <c r="F258" s="104">
        <v>0</v>
      </c>
      <c r="G258" s="104">
        <v>0</v>
      </c>
      <c r="H258" s="104">
        <v>0</v>
      </c>
      <c r="I258" s="104">
        <v>0</v>
      </c>
      <c r="J258" s="104">
        <v>0</v>
      </c>
      <c r="K258" s="104">
        <v>0</v>
      </c>
      <c r="L258" s="104">
        <v>0</v>
      </c>
      <c r="M258" s="104">
        <v>0</v>
      </c>
    </row>
    <row r="259" spans="1:13" x14ac:dyDescent="0.25">
      <c r="A259" s="325"/>
      <c r="B259" s="328"/>
      <c r="C259" s="21" t="s">
        <v>129</v>
      </c>
      <c r="D259" s="1" t="s">
        <v>8</v>
      </c>
      <c r="E259" s="103">
        <v>52.688365243004426</v>
      </c>
      <c r="F259" s="103">
        <v>69.477761413843893</v>
      </c>
      <c r="G259" s="103">
        <v>114.24948453608249</v>
      </c>
      <c r="H259" s="103">
        <v>175.81060382916056</v>
      </c>
      <c r="I259" s="103">
        <v>259.75758468335789</v>
      </c>
      <c r="J259" s="103">
        <v>427.65154639175262</v>
      </c>
      <c r="K259" s="103">
        <v>595.54550810014734</v>
      </c>
      <c r="L259" s="103">
        <v>595.54550810014734</v>
      </c>
      <c r="M259" s="103">
        <v>595.54550810014734</v>
      </c>
    </row>
    <row r="260" spans="1:13" x14ac:dyDescent="0.25">
      <c r="A260" s="325"/>
      <c r="B260" s="328"/>
      <c r="C260" s="21" t="s">
        <v>130</v>
      </c>
      <c r="D260" s="1" t="s">
        <v>9</v>
      </c>
      <c r="E260" s="102"/>
      <c r="F260" s="102"/>
      <c r="G260" s="102"/>
      <c r="H260" s="102"/>
      <c r="I260" s="102"/>
      <c r="J260" s="102"/>
      <c r="K260" s="102"/>
      <c r="L260" s="102"/>
      <c r="M260" s="102"/>
    </row>
    <row r="261" spans="1:13" x14ac:dyDescent="0.25">
      <c r="A261" s="325"/>
      <c r="B261" s="328"/>
      <c r="C261" s="21" t="s">
        <v>131</v>
      </c>
      <c r="D261" s="1" t="s">
        <v>10</v>
      </c>
      <c r="E261" s="102"/>
      <c r="F261" s="102"/>
      <c r="G261" s="102"/>
      <c r="H261" s="102"/>
      <c r="I261" s="102"/>
      <c r="J261" s="102"/>
      <c r="K261" s="102"/>
      <c r="L261" s="102"/>
      <c r="M261" s="102"/>
    </row>
    <row r="262" spans="1:13" ht="18.75" x14ac:dyDescent="0.25">
      <c r="A262" s="326"/>
      <c r="B262" s="329"/>
      <c r="C262" s="53" t="s">
        <v>132</v>
      </c>
      <c r="D262" s="23" t="s">
        <v>17</v>
      </c>
      <c r="E262" s="102"/>
      <c r="F262" s="102"/>
      <c r="G262" s="102"/>
      <c r="H262" s="102"/>
      <c r="I262" s="102"/>
      <c r="J262" s="102"/>
      <c r="K262" s="102"/>
      <c r="L262" s="102"/>
      <c r="M262" s="102"/>
    </row>
    <row r="263" spans="1:13" x14ac:dyDescent="0.25">
      <c r="A263" s="306">
        <v>16</v>
      </c>
      <c r="B263" s="323" t="s">
        <v>156</v>
      </c>
      <c r="C263" s="21" t="s">
        <v>101</v>
      </c>
      <c r="D263" s="1" t="s">
        <v>4</v>
      </c>
      <c r="E263" s="102">
        <v>40</v>
      </c>
      <c r="F263" s="102">
        <v>40</v>
      </c>
      <c r="G263" s="102">
        <v>40</v>
      </c>
      <c r="H263" s="102">
        <v>40</v>
      </c>
      <c r="I263" s="102">
        <v>40</v>
      </c>
      <c r="J263" s="102">
        <v>40</v>
      </c>
      <c r="K263" s="102">
        <v>40</v>
      </c>
      <c r="L263" s="102">
        <v>40</v>
      </c>
      <c r="M263" s="102">
        <v>40</v>
      </c>
    </row>
    <row r="264" spans="1:13" x14ac:dyDescent="0.25">
      <c r="A264" s="306"/>
      <c r="B264" s="323"/>
      <c r="C264" s="21" t="s">
        <v>5</v>
      </c>
      <c r="D264" s="1" t="s">
        <v>6</v>
      </c>
      <c r="E264" s="103">
        <v>300</v>
      </c>
      <c r="F264" s="103">
        <v>183.33333333333334</v>
      </c>
      <c r="G264" s="103">
        <v>100</v>
      </c>
      <c r="H264" s="103">
        <v>76</v>
      </c>
      <c r="I264" s="103">
        <v>60</v>
      </c>
      <c r="J264" s="103">
        <v>42.857142857142854</v>
      </c>
      <c r="K264" s="103">
        <v>27.058823529411764</v>
      </c>
      <c r="L264" s="103">
        <v>18.421052631578949</v>
      </c>
      <c r="M264" s="103">
        <v>13.75</v>
      </c>
    </row>
    <row r="265" spans="1:13" x14ac:dyDescent="0.25">
      <c r="A265" s="306"/>
      <c r="B265" s="323"/>
      <c r="C265" s="21" t="s">
        <v>172</v>
      </c>
      <c r="D265" s="1" t="s">
        <v>19</v>
      </c>
      <c r="E265" s="104">
        <v>0</v>
      </c>
      <c r="F265" s="104">
        <v>0</v>
      </c>
      <c r="G265" s="104">
        <v>0</v>
      </c>
      <c r="H265" s="104">
        <v>0</v>
      </c>
      <c r="I265" s="104">
        <v>0</v>
      </c>
      <c r="J265" s="104">
        <v>0</v>
      </c>
      <c r="K265" s="104">
        <v>0</v>
      </c>
      <c r="L265" s="104">
        <v>0</v>
      </c>
      <c r="M265" s="104">
        <v>0</v>
      </c>
    </row>
    <row r="266" spans="1:13" x14ac:dyDescent="0.25">
      <c r="A266" s="306"/>
      <c r="B266" s="323"/>
      <c r="C266" s="21" t="s">
        <v>102</v>
      </c>
      <c r="D266" s="1" t="s">
        <v>8</v>
      </c>
      <c r="E266" s="103">
        <v>0</v>
      </c>
      <c r="F266" s="103">
        <v>0</v>
      </c>
      <c r="G266" s="103">
        <v>0</v>
      </c>
      <c r="H266" s="103">
        <v>0</v>
      </c>
      <c r="I266" s="103">
        <v>0</v>
      </c>
      <c r="J266" s="103">
        <v>0</v>
      </c>
      <c r="K266" s="103">
        <v>0</v>
      </c>
      <c r="L266" s="103">
        <v>0</v>
      </c>
      <c r="M266" s="103">
        <v>0</v>
      </c>
    </row>
    <row r="267" spans="1:13" x14ac:dyDescent="0.25">
      <c r="A267" s="306"/>
      <c r="B267" s="323"/>
      <c r="C267" s="21" t="s">
        <v>103</v>
      </c>
      <c r="D267" s="1" t="s">
        <v>9</v>
      </c>
      <c r="E267" s="102"/>
      <c r="F267" s="102"/>
      <c r="G267" s="102"/>
      <c r="H267" s="102"/>
      <c r="I267" s="102"/>
      <c r="J267" s="102"/>
      <c r="K267" s="102"/>
      <c r="L267" s="102"/>
      <c r="M267" s="102"/>
    </row>
    <row r="268" spans="1:13" x14ac:dyDescent="0.25">
      <c r="A268" s="306"/>
      <c r="B268" s="323"/>
      <c r="C268" s="21" t="s">
        <v>104</v>
      </c>
      <c r="D268" s="1" t="s">
        <v>10</v>
      </c>
      <c r="E268" s="102"/>
      <c r="F268" s="102"/>
      <c r="G268" s="102"/>
      <c r="H268" s="102"/>
      <c r="I268" s="102"/>
      <c r="J268" s="102"/>
      <c r="K268" s="102"/>
      <c r="L268" s="102"/>
      <c r="M268" s="102"/>
    </row>
    <row r="269" spans="1:13" x14ac:dyDescent="0.25">
      <c r="A269" s="306"/>
      <c r="B269" s="323"/>
      <c r="C269" s="22" t="s">
        <v>11</v>
      </c>
      <c r="D269" s="23" t="s">
        <v>10</v>
      </c>
      <c r="E269" s="102"/>
      <c r="F269" s="102"/>
      <c r="G269" s="102"/>
      <c r="H269" s="102"/>
      <c r="I269" s="102"/>
      <c r="J269" s="102"/>
      <c r="K269" s="102"/>
      <c r="L269" s="102"/>
      <c r="M269" s="102"/>
    </row>
    <row r="270" spans="1:13" x14ac:dyDescent="0.25">
      <c r="A270" s="306"/>
      <c r="B270" s="323"/>
      <c r="C270" s="21" t="s">
        <v>12</v>
      </c>
      <c r="D270" s="1" t="s">
        <v>7</v>
      </c>
      <c r="E270" s="104">
        <v>1</v>
      </c>
      <c r="F270" s="104">
        <v>1</v>
      </c>
      <c r="G270" s="104">
        <v>1</v>
      </c>
      <c r="H270" s="104">
        <v>1</v>
      </c>
      <c r="I270" s="104">
        <v>1</v>
      </c>
      <c r="J270" s="104">
        <v>1</v>
      </c>
      <c r="K270" s="104">
        <v>1</v>
      </c>
      <c r="L270" s="104">
        <v>1</v>
      </c>
      <c r="M270" s="104">
        <v>1</v>
      </c>
    </row>
    <row r="271" spans="1:13" x14ac:dyDescent="0.25">
      <c r="A271" s="306"/>
      <c r="B271" s="323"/>
      <c r="C271" s="21" t="s">
        <v>13</v>
      </c>
      <c r="D271" s="1" t="s">
        <v>14</v>
      </c>
      <c r="E271" s="103">
        <v>31017</v>
      </c>
      <c r="F271" s="103">
        <v>31902</v>
      </c>
      <c r="G271" s="103">
        <v>34262</v>
      </c>
      <c r="H271" s="103">
        <v>37507</v>
      </c>
      <c r="I271" s="103">
        <v>41932</v>
      </c>
      <c r="J271" s="103">
        <v>50782</v>
      </c>
      <c r="K271" s="103">
        <v>80282</v>
      </c>
      <c r="L271" s="103">
        <v>151952</v>
      </c>
      <c r="M271" s="103">
        <v>292470.28399999999</v>
      </c>
    </row>
    <row r="272" spans="1:13" x14ac:dyDescent="0.25">
      <c r="A272" s="306"/>
      <c r="B272" s="323"/>
      <c r="C272" s="21" t="s">
        <v>15</v>
      </c>
      <c r="D272" s="1" t="s">
        <v>4</v>
      </c>
      <c r="E272" s="102">
        <v>40</v>
      </c>
      <c r="F272" s="102">
        <v>40</v>
      </c>
      <c r="G272" s="102">
        <v>40</v>
      </c>
      <c r="H272" s="102">
        <v>40</v>
      </c>
      <c r="I272" s="102">
        <v>40</v>
      </c>
      <c r="J272" s="102">
        <v>40</v>
      </c>
      <c r="K272" s="102">
        <v>40</v>
      </c>
      <c r="L272" s="102">
        <v>40</v>
      </c>
      <c r="M272" s="102">
        <v>40</v>
      </c>
    </row>
    <row r="273" spans="1:13" x14ac:dyDescent="0.25">
      <c r="A273" s="306">
        <v>17</v>
      </c>
      <c r="B273" s="323" t="s">
        <v>157</v>
      </c>
      <c r="C273" s="21" t="s">
        <v>101</v>
      </c>
      <c r="D273" s="1" t="s">
        <v>4</v>
      </c>
      <c r="E273" s="102">
        <v>40</v>
      </c>
      <c r="F273" s="102">
        <v>40</v>
      </c>
      <c r="G273" s="102">
        <v>40</v>
      </c>
      <c r="H273" s="102">
        <v>40</v>
      </c>
      <c r="I273" s="102">
        <v>40</v>
      </c>
      <c r="J273" s="102">
        <v>40</v>
      </c>
      <c r="K273" s="102">
        <v>40</v>
      </c>
      <c r="L273" s="102">
        <v>40</v>
      </c>
      <c r="M273" s="102">
        <v>40</v>
      </c>
    </row>
    <row r="274" spans="1:13" x14ac:dyDescent="0.25">
      <c r="A274" s="306"/>
      <c r="B274" s="323"/>
      <c r="C274" s="21" t="s">
        <v>5</v>
      </c>
      <c r="D274" s="1" t="s">
        <v>6</v>
      </c>
      <c r="E274" s="102"/>
      <c r="F274" s="102"/>
      <c r="G274" s="102"/>
      <c r="H274" s="102"/>
      <c r="I274" s="102"/>
      <c r="J274" s="102"/>
      <c r="K274" s="102"/>
      <c r="L274" s="102"/>
      <c r="M274" s="102"/>
    </row>
    <row r="275" spans="1:13" x14ac:dyDescent="0.25">
      <c r="A275" s="306"/>
      <c r="B275" s="323"/>
      <c r="C275" s="21" t="s">
        <v>172</v>
      </c>
      <c r="D275" s="1" t="s">
        <v>19</v>
      </c>
      <c r="E275" s="104">
        <v>0</v>
      </c>
      <c r="F275" s="104">
        <v>0</v>
      </c>
      <c r="G275" s="104">
        <v>0</v>
      </c>
      <c r="H275" s="104">
        <v>0</v>
      </c>
      <c r="I275" s="104">
        <v>0</v>
      </c>
      <c r="J275" s="104">
        <v>0</v>
      </c>
      <c r="K275" s="104">
        <v>0</v>
      </c>
      <c r="L275" s="104">
        <v>0</v>
      </c>
      <c r="M275" s="104">
        <v>0</v>
      </c>
    </row>
    <row r="276" spans="1:13" x14ac:dyDescent="0.25">
      <c r="A276" s="306"/>
      <c r="B276" s="323"/>
      <c r="C276" s="21" t="s">
        <v>102</v>
      </c>
      <c r="D276" s="1" t="s">
        <v>8</v>
      </c>
      <c r="E276" s="103">
        <v>0</v>
      </c>
      <c r="F276" s="103">
        <v>0</v>
      </c>
      <c r="G276" s="103">
        <v>0</v>
      </c>
      <c r="H276" s="103">
        <v>0</v>
      </c>
      <c r="I276" s="103">
        <v>0</v>
      </c>
      <c r="J276" s="103">
        <v>0</v>
      </c>
      <c r="K276" s="103">
        <v>0</v>
      </c>
      <c r="L276" s="103">
        <v>0</v>
      </c>
      <c r="M276" s="103">
        <v>0</v>
      </c>
    </row>
    <row r="277" spans="1:13" x14ac:dyDescent="0.25">
      <c r="A277" s="306"/>
      <c r="B277" s="323"/>
      <c r="C277" s="21" t="s">
        <v>103</v>
      </c>
      <c r="D277" s="1" t="s">
        <v>9</v>
      </c>
      <c r="E277" s="102"/>
      <c r="F277" s="102"/>
      <c r="G277" s="102"/>
      <c r="H277" s="102"/>
      <c r="I277" s="102"/>
      <c r="J277" s="102"/>
      <c r="K277" s="102"/>
      <c r="L277" s="102"/>
      <c r="M277" s="102"/>
    </row>
    <row r="278" spans="1:13" x14ac:dyDescent="0.25">
      <c r="A278" s="306"/>
      <c r="B278" s="323"/>
      <c r="C278" s="21" t="s">
        <v>104</v>
      </c>
      <c r="D278" s="1" t="s">
        <v>10</v>
      </c>
      <c r="E278" s="102"/>
      <c r="F278" s="102"/>
      <c r="G278" s="102"/>
      <c r="H278" s="102"/>
      <c r="I278" s="102"/>
      <c r="J278" s="102"/>
      <c r="K278" s="102"/>
      <c r="L278" s="102"/>
      <c r="M278" s="102"/>
    </row>
    <row r="279" spans="1:13" x14ac:dyDescent="0.25">
      <c r="A279" s="306"/>
      <c r="B279" s="323"/>
      <c r="C279" s="22" t="s">
        <v>11</v>
      </c>
      <c r="D279" s="23" t="s">
        <v>10</v>
      </c>
      <c r="E279" s="102"/>
      <c r="F279" s="102"/>
      <c r="G279" s="102"/>
      <c r="H279" s="102"/>
      <c r="I279" s="102"/>
      <c r="J279" s="102"/>
      <c r="K279" s="102"/>
      <c r="L279" s="102"/>
      <c r="M279" s="102"/>
    </row>
    <row r="280" spans="1:13" x14ac:dyDescent="0.25">
      <c r="A280" s="306"/>
      <c r="B280" s="323"/>
      <c r="C280" s="21" t="s">
        <v>12</v>
      </c>
      <c r="D280" s="1" t="s">
        <v>7</v>
      </c>
      <c r="E280" s="104">
        <v>1</v>
      </c>
      <c r="F280" s="104">
        <v>1</v>
      </c>
      <c r="G280" s="104">
        <v>1</v>
      </c>
      <c r="H280" s="104">
        <v>1</v>
      </c>
      <c r="I280" s="104">
        <v>1</v>
      </c>
      <c r="J280" s="104">
        <v>1</v>
      </c>
      <c r="K280" s="104">
        <v>1</v>
      </c>
      <c r="L280" s="104">
        <v>1</v>
      </c>
      <c r="M280" s="104">
        <v>1</v>
      </c>
    </row>
    <row r="281" spans="1:13" x14ac:dyDescent="0.25">
      <c r="A281" s="306"/>
      <c r="B281" s="323"/>
      <c r="C281" s="21" t="s">
        <v>13</v>
      </c>
      <c r="D281" s="1" t="s">
        <v>14</v>
      </c>
      <c r="E281" s="103">
        <v>92256.599999999991</v>
      </c>
      <c r="F281" s="103">
        <v>92691.599999999991</v>
      </c>
      <c r="G281" s="103">
        <v>93851.599999999991</v>
      </c>
      <c r="H281" s="103">
        <v>95446.599999999991</v>
      </c>
      <c r="I281" s="103">
        <v>97621.599999999991</v>
      </c>
      <c r="J281" s="103">
        <v>101971.59999999999</v>
      </c>
      <c r="K281" s="103">
        <v>116471.59999999999</v>
      </c>
      <c r="L281" s="103">
        <v>146921.59999999998</v>
      </c>
      <c r="M281" s="103">
        <v>207821.59999999998</v>
      </c>
    </row>
    <row r="282" spans="1:13" x14ac:dyDescent="0.25">
      <c r="A282" s="306"/>
      <c r="B282" s="323"/>
      <c r="C282" s="21" t="s">
        <v>15</v>
      </c>
      <c r="D282" s="1" t="s">
        <v>4</v>
      </c>
      <c r="E282" s="103">
        <v>40</v>
      </c>
      <c r="F282" s="103">
        <v>40</v>
      </c>
      <c r="G282" s="103">
        <v>40</v>
      </c>
      <c r="H282" s="103">
        <v>40</v>
      </c>
      <c r="I282" s="103">
        <v>40</v>
      </c>
      <c r="J282" s="103">
        <v>40</v>
      </c>
      <c r="K282" s="103">
        <v>40</v>
      </c>
      <c r="L282" s="103">
        <v>40</v>
      </c>
      <c r="M282" s="103">
        <v>40</v>
      </c>
    </row>
  </sheetData>
  <sheetProtection algorithmName="SHA-512" hashValue="kKna4F+kqrLkLDiq01yNZG0rk6t1XSgy7GDiJ7uNNT/I5QKeKE1rdTlI7bcejf/S8a5SmWwqgnlyQFGiIWgjLQ==" saltValue="PHdYPwGfTmnvuGuDOyslpQ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9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activeCell="F28" sqref="F28"/>
      <selection pane="bottomLeft" activeCell="E2" sqref="E2:M282"/>
    </sheetView>
  </sheetViews>
  <sheetFormatPr baseColWidth="10" defaultColWidth="10.85546875" defaultRowHeight="15" x14ac:dyDescent="0.25"/>
  <cols>
    <col min="1" max="1" width="4.7109375" style="30" customWidth="1"/>
    <col min="2" max="2" width="20.140625" style="30" bestFit="1" customWidth="1"/>
    <col min="3" max="3" width="45.42578125" style="26" customWidth="1"/>
    <col min="4" max="4" width="12.140625" style="27" customWidth="1"/>
    <col min="5" max="12" width="12.28515625" style="110" bestFit="1" customWidth="1"/>
    <col min="13" max="13" width="13.42578125" style="110" bestFit="1" customWidth="1"/>
    <col min="14" max="14" width="15" style="30" customWidth="1"/>
    <col min="15" max="16384" width="10.85546875" style="30"/>
  </cols>
  <sheetData>
    <row r="1" spans="1:14" ht="15.75" x14ac:dyDescent="0.25">
      <c r="A1" s="40"/>
      <c r="B1" s="41" t="s">
        <v>0</v>
      </c>
      <c r="C1" s="28" t="s">
        <v>1</v>
      </c>
      <c r="D1" s="29" t="s">
        <v>2</v>
      </c>
      <c r="E1" s="108">
        <v>15</v>
      </c>
      <c r="F1" s="109">
        <v>30</v>
      </c>
      <c r="G1" s="109">
        <v>70</v>
      </c>
      <c r="H1" s="109">
        <v>125</v>
      </c>
      <c r="I1" s="109">
        <v>200</v>
      </c>
      <c r="J1" s="109">
        <v>350</v>
      </c>
      <c r="K1" s="109">
        <v>850</v>
      </c>
      <c r="L1" s="109">
        <v>1900</v>
      </c>
      <c r="M1" s="109">
        <v>4000</v>
      </c>
    </row>
    <row r="2" spans="1:14" x14ac:dyDescent="0.25">
      <c r="A2" s="306">
        <v>1</v>
      </c>
      <c r="B2" s="322" t="s">
        <v>3</v>
      </c>
      <c r="C2" s="21" t="s">
        <v>101</v>
      </c>
      <c r="D2" s="1" t="s">
        <v>4</v>
      </c>
      <c r="E2" s="102">
        <v>20</v>
      </c>
      <c r="F2" s="102">
        <v>20</v>
      </c>
      <c r="G2" s="102">
        <v>20</v>
      </c>
      <c r="H2" s="102">
        <v>20</v>
      </c>
      <c r="I2" s="102">
        <v>20</v>
      </c>
      <c r="J2" s="102">
        <v>20</v>
      </c>
      <c r="K2" s="102">
        <v>20</v>
      </c>
      <c r="L2" s="102">
        <v>20</v>
      </c>
      <c r="M2" s="102">
        <v>20</v>
      </c>
      <c r="N2" s="45"/>
    </row>
    <row r="3" spans="1:14" x14ac:dyDescent="0.25">
      <c r="A3" s="306"/>
      <c r="B3" s="322"/>
      <c r="C3" s="21" t="s">
        <v>5</v>
      </c>
      <c r="D3" s="1" t="s">
        <v>6</v>
      </c>
      <c r="E3" s="103">
        <v>197.6111183946131</v>
      </c>
      <c r="F3" s="103">
        <v>167.43356959457475</v>
      </c>
      <c r="G3" s="103">
        <v>130.54476264689706</v>
      </c>
      <c r="H3" s="103">
        <v>105.30120481906971</v>
      </c>
      <c r="I3" s="103">
        <v>107.31263157894738</v>
      </c>
      <c r="J3" s="103">
        <v>107.00631578947369</v>
      </c>
      <c r="K3" s="103">
        <v>105.98526315789475</v>
      </c>
      <c r="L3" s="103">
        <v>103.84105263157896</v>
      </c>
      <c r="M3" s="103">
        <v>99.55263157894737</v>
      </c>
      <c r="N3" s="45"/>
    </row>
    <row r="4" spans="1:14" x14ac:dyDescent="0.25">
      <c r="A4" s="306"/>
      <c r="B4" s="322"/>
      <c r="C4" s="21" t="s">
        <v>172</v>
      </c>
      <c r="D4" s="1" t="s">
        <v>19</v>
      </c>
      <c r="E4" s="104">
        <v>0</v>
      </c>
      <c r="F4" s="104">
        <v>0</v>
      </c>
      <c r="G4" s="104">
        <v>0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45"/>
    </row>
    <row r="5" spans="1:14" x14ac:dyDescent="0.25">
      <c r="A5" s="306"/>
      <c r="B5" s="322"/>
      <c r="C5" s="21" t="s">
        <v>102</v>
      </c>
      <c r="D5" s="1" t="s">
        <v>8</v>
      </c>
      <c r="E5" s="102"/>
      <c r="F5" s="102"/>
      <c r="G5" s="102"/>
      <c r="H5" s="102"/>
      <c r="I5" s="102"/>
      <c r="J5" s="102"/>
      <c r="K5" s="102"/>
      <c r="L5" s="102"/>
      <c r="M5" s="102"/>
      <c r="N5" s="45"/>
    </row>
    <row r="6" spans="1:14" x14ac:dyDescent="0.25">
      <c r="A6" s="306"/>
      <c r="B6" s="322"/>
      <c r="C6" s="21" t="s">
        <v>103</v>
      </c>
      <c r="D6" s="1" t="s">
        <v>9</v>
      </c>
      <c r="E6" s="103">
        <v>5.9283335518383931</v>
      </c>
      <c r="F6" s="103">
        <v>5.0230070878372421</v>
      </c>
      <c r="G6" s="103">
        <v>3.9163428794069115</v>
      </c>
      <c r="H6" s="103">
        <v>3.1590361445720911</v>
      </c>
      <c r="I6" s="103">
        <v>2.0378947368421052</v>
      </c>
      <c r="J6" s="103">
        <v>2.0189473684210526</v>
      </c>
      <c r="K6" s="103">
        <v>1.9557894736842103</v>
      </c>
      <c r="L6" s="103">
        <v>1.8231578947368419</v>
      </c>
      <c r="M6" s="103">
        <v>1.557894736842105</v>
      </c>
      <c r="N6" s="45"/>
    </row>
    <row r="7" spans="1:14" x14ac:dyDescent="0.25">
      <c r="A7" s="306"/>
      <c r="B7" s="322"/>
      <c r="C7" s="21" t="s">
        <v>104</v>
      </c>
      <c r="D7" s="1" t="s">
        <v>10</v>
      </c>
      <c r="E7" s="103">
        <v>0</v>
      </c>
      <c r="F7" s="103">
        <v>0</v>
      </c>
      <c r="G7" s="103">
        <v>0</v>
      </c>
      <c r="H7" s="103">
        <v>0</v>
      </c>
      <c r="I7" s="103">
        <v>0</v>
      </c>
      <c r="J7" s="103">
        <v>0</v>
      </c>
      <c r="K7" s="103">
        <v>1.6858736842105264E-3</v>
      </c>
      <c r="L7" s="103">
        <v>1.5474947368421053E-3</v>
      </c>
      <c r="M7" s="103">
        <v>1.2707368421052633E-3</v>
      </c>
      <c r="N7" s="45"/>
    </row>
    <row r="8" spans="1:14" x14ac:dyDescent="0.25">
      <c r="A8" s="306"/>
      <c r="B8" s="322"/>
      <c r="C8" s="22" t="s">
        <v>11</v>
      </c>
      <c r="D8" s="23" t="s">
        <v>10</v>
      </c>
      <c r="E8" s="103">
        <v>0</v>
      </c>
      <c r="F8" s="102"/>
      <c r="G8" s="102"/>
      <c r="H8" s="102"/>
      <c r="I8" s="102"/>
      <c r="J8" s="102"/>
      <c r="K8" s="102"/>
      <c r="L8" s="102"/>
      <c r="M8" s="102"/>
      <c r="N8" s="45"/>
    </row>
    <row r="9" spans="1:14" x14ac:dyDescent="0.25">
      <c r="A9" s="306"/>
      <c r="B9" s="322"/>
      <c r="C9" s="21" t="s">
        <v>12</v>
      </c>
      <c r="D9" s="1" t="s">
        <v>7</v>
      </c>
      <c r="E9" s="104">
        <v>0.99124999999999996</v>
      </c>
      <c r="F9" s="104">
        <v>0.99124999999999996</v>
      </c>
      <c r="G9" s="104">
        <v>0.99124999999999996</v>
      </c>
      <c r="H9" s="104">
        <v>0.99124999999999996</v>
      </c>
      <c r="I9" s="104">
        <v>0.99124999999999996</v>
      </c>
      <c r="J9" s="104">
        <v>0.99124999999999996</v>
      </c>
      <c r="K9" s="104">
        <v>0.99649999999999994</v>
      </c>
      <c r="L9" s="104">
        <v>0.99649999999999994</v>
      </c>
      <c r="M9" s="104">
        <v>0.99649999999999994</v>
      </c>
      <c r="N9" s="45"/>
    </row>
    <row r="10" spans="1:14" x14ac:dyDescent="0.25">
      <c r="A10" s="306"/>
      <c r="B10" s="322"/>
      <c r="C10" s="21" t="s">
        <v>13</v>
      </c>
      <c r="D10" s="1" t="s">
        <v>14</v>
      </c>
      <c r="E10" s="103">
        <v>1524.6</v>
      </c>
      <c r="F10" s="103">
        <v>1749.6</v>
      </c>
      <c r="G10" s="103">
        <v>2349.6</v>
      </c>
      <c r="H10" s="103">
        <v>3174.6</v>
      </c>
      <c r="I10" s="103">
        <v>4299.6000000000004</v>
      </c>
      <c r="J10" s="103">
        <v>14213</v>
      </c>
      <c r="K10" s="103">
        <v>21713</v>
      </c>
      <c r="L10" s="103">
        <v>37463</v>
      </c>
      <c r="M10" s="103">
        <v>68963</v>
      </c>
      <c r="N10" s="45"/>
    </row>
    <row r="11" spans="1:14" x14ac:dyDescent="0.25">
      <c r="A11" s="306"/>
      <c r="B11" s="322"/>
      <c r="C11" s="21" t="s">
        <v>15</v>
      </c>
      <c r="D11" s="1" t="s">
        <v>4</v>
      </c>
      <c r="E11" s="102">
        <v>40</v>
      </c>
      <c r="F11" s="102">
        <v>40</v>
      </c>
      <c r="G11" s="102">
        <v>40</v>
      </c>
      <c r="H11" s="102">
        <v>40</v>
      </c>
      <c r="I11" s="102">
        <v>40</v>
      </c>
      <c r="J11" s="102">
        <v>40</v>
      </c>
      <c r="K11" s="102">
        <v>40</v>
      </c>
      <c r="L11" s="102">
        <v>40</v>
      </c>
      <c r="M11" s="102">
        <v>40</v>
      </c>
      <c r="N11" s="45"/>
    </row>
    <row r="12" spans="1:14" x14ac:dyDescent="0.25">
      <c r="A12" s="306">
        <v>2</v>
      </c>
      <c r="B12" s="322" t="s">
        <v>16</v>
      </c>
      <c r="C12" s="21" t="s">
        <v>101</v>
      </c>
      <c r="D12" s="1" t="s">
        <v>4</v>
      </c>
      <c r="E12" s="102">
        <v>20</v>
      </c>
      <c r="F12" s="102">
        <v>20</v>
      </c>
      <c r="G12" s="102">
        <v>20</v>
      </c>
      <c r="H12" s="102">
        <v>20</v>
      </c>
      <c r="I12" s="102">
        <v>20</v>
      </c>
      <c r="J12" s="102">
        <v>20</v>
      </c>
      <c r="K12" s="102">
        <v>20</v>
      </c>
      <c r="L12" s="102">
        <v>20</v>
      </c>
      <c r="M12" s="102">
        <v>20</v>
      </c>
      <c r="N12" s="45"/>
    </row>
    <row r="13" spans="1:14" x14ac:dyDescent="0.25">
      <c r="A13" s="306"/>
      <c r="B13" s="322"/>
      <c r="C13" s="21" t="s">
        <v>5</v>
      </c>
      <c r="D13" s="1" t="s">
        <v>6</v>
      </c>
      <c r="E13" s="103">
        <v>507.61727242819484</v>
      </c>
      <c r="F13" s="103">
        <v>320.51156293897873</v>
      </c>
      <c r="G13" s="103">
        <v>182.70097797005911</v>
      </c>
      <c r="H13" s="103">
        <v>124.36485973586129</v>
      </c>
      <c r="I13" s="103">
        <v>111.1</v>
      </c>
      <c r="J13" s="103">
        <v>111.1</v>
      </c>
      <c r="K13" s="103">
        <v>174.7702048892304</v>
      </c>
      <c r="L13" s="103">
        <v>258.33594101773554</v>
      </c>
      <c r="M13" s="103">
        <v>425.4674132747457</v>
      </c>
      <c r="N13" s="45"/>
    </row>
    <row r="14" spans="1:14" x14ac:dyDescent="0.25">
      <c r="A14" s="306"/>
      <c r="B14" s="322"/>
      <c r="C14" s="21" t="s">
        <v>172</v>
      </c>
      <c r="D14" s="1" t="s">
        <v>19</v>
      </c>
      <c r="E14" s="104">
        <v>0</v>
      </c>
      <c r="F14" s="104">
        <v>0</v>
      </c>
      <c r="G14" s="104">
        <v>0</v>
      </c>
      <c r="H14" s="104">
        <v>0</v>
      </c>
      <c r="I14" s="104">
        <v>0</v>
      </c>
      <c r="J14" s="104">
        <v>0</v>
      </c>
      <c r="K14" s="104">
        <v>0</v>
      </c>
      <c r="L14" s="104">
        <v>0</v>
      </c>
      <c r="M14" s="104">
        <v>0</v>
      </c>
      <c r="N14" s="45"/>
    </row>
    <row r="15" spans="1:14" x14ac:dyDescent="0.25">
      <c r="A15" s="306"/>
      <c r="B15" s="322"/>
      <c r="C15" s="21" t="s">
        <v>102</v>
      </c>
      <c r="D15" s="1" t="s">
        <v>8</v>
      </c>
      <c r="E15" s="102"/>
      <c r="F15" s="102"/>
      <c r="G15" s="102"/>
      <c r="H15" s="102"/>
      <c r="I15" s="102"/>
      <c r="J15" s="102"/>
      <c r="K15" s="102"/>
      <c r="L15" s="102"/>
      <c r="M15" s="102"/>
      <c r="N15" s="45"/>
    </row>
    <row r="16" spans="1:14" x14ac:dyDescent="0.25">
      <c r="A16" s="306"/>
      <c r="B16" s="322"/>
      <c r="C16" s="21" t="s">
        <v>103</v>
      </c>
      <c r="D16" s="1" t="s">
        <v>9</v>
      </c>
      <c r="E16" s="103">
        <v>30.457036345691673</v>
      </c>
      <c r="F16" s="103">
        <v>19.230693776338708</v>
      </c>
      <c r="G16" s="103">
        <v>10.962058678203539</v>
      </c>
      <c r="H16" s="103">
        <v>7.4618915841516733</v>
      </c>
      <c r="I16" s="103">
        <v>7.0406813381716651</v>
      </c>
      <c r="J16" s="103">
        <v>7.0406813381716651</v>
      </c>
      <c r="K16" s="103">
        <v>6.7014586460644257</v>
      </c>
      <c r="L16" s="103">
        <v>6.1534835280450384</v>
      </c>
      <c r="M16" s="103">
        <v>5.0575332920062639</v>
      </c>
      <c r="N16" s="45"/>
    </row>
    <row r="17" spans="1:14" x14ac:dyDescent="0.25">
      <c r="A17" s="306"/>
      <c r="B17" s="322"/>
      <c r="C17" s="21" t="s">
        <v>104</v>
      </c>
      <c r="D17" s="1" t="s">
        <v>10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2.4047861016365463E-3</v>
      </c>
      <c r="L17" s="103">
        <v>2.4047861016365463E-3</v>
      </c>
      <c r="M17" s="103">
        <v>2.4047861016365463E-3</v>
      </c>
      <c r="N17" s="45"/>
    </row>
    <row r="18" spans="1:14" x14ac:dyDescent="0.25">
      <c r="A18" s="306"/>
      <c r="B18" s="322"/>
      <c r="C18" s="22" t="s">
        <v>11</v>
      </c>
      <c r="D18" s="23" t="s">
        <v>10</v>
      </c>
      <c r="E18" s="103">
        <v>0</v>
      </c>
      <c r="F18" s="103">
        <v>0</v>
      </c>
      <c r="G18" s="103">
        <v>0</v>
      </c>
      <c r="H18" s="103">
        <v>0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45"/>
    </row>
    <row r="19" spans="1:14" x14ac:dyDescent="0.25">
      <c r="A19" s="306"/>
      <c r="B19" s="322"/>
      <c r="C19" s="21" t="s">
        <v>12</v>
      </c>
      <c r="D19" s="1" t="s">
        <v>7</v>
      </c>
      <c r="E19" s="104">
        <v>0.85200000000000031</v>
      </c>
      <c r="F19" s="104">
        <v>0.85200000000000031</v>
      </c>
      <c r="G19" s="104">
        <v>0.85200000000000031</v>
      </c>
      <c r="H19" s="104">
        <v>0.85200000000000031</v>
      </c>
      <c r="I19" s="104">
        <v>0.85200000000000031</v>
      </c>
      <c r="J19" s="104">
        <v>0.85200000000000031</v>
      </c>
      <c r="K19" s="104">
        <v>0.85200000000000031</v>
      </c>
      <c r="L19" s="104">
        <v>0.95558333333333323</v>
      </c>
      <c r="M19" s="104">
        <v>0.95558333333333323</v>
      </c>
      <c r="N19" s="45"/>
    </row>
    <row r="20" spans="1:14" x14ac:dyDescent="0.25">
      <c r="A20" s="306"/>
      <c r="B20" s="322"/>
      <c r="C20" s="21" t="s">
        <v>13</v>
      </c>
      <c r="D20" s="1" t="s">
        <v>14</v>
      </c>
      <c r="E20" s="102"/>
      <c r="F20" s="102"/>
      <c r="G20" s="102"/>
      <c r="H20" s="102"/>
      <c r="I20" s="102"/>
      <c r="J20" s="102"/>
      <c r="K20" s="102"/>
      <c r="L20" s="102"/>
      <c r="M20" s="102"/>
      <c r="N20" s="45"/>
    </row>
    <row r="21" spans="1:14" x14ac:dyDescent="0.25">
      <c r="A21" s="306"/>
      <c r="B21" s="322"/>
      <c r="C21" s="21" t="s">
        <v>15</v>
      </c>
      <c r="D21" s="1" t="s">
        <v>4</v>
      </c>
      <c r="E21" s="102"/>
      <c r="F21" s="102"/>
      <c r="G21" s="102"/>
      <c r="H21" s="102"/>
      <c r="I21" s="102"/>
      <c r="J21" s="102"/>
      <c r="K21" s="102"/>
      <c r="L21" s="102"/>
      <c r="M21" s="102"/>
      <c r="N21" s="45"/>
    </row>
    <row r="22" spans="1:14" ht="14.45" customHeight="1" x14ac:dyDescent="0.25">
      <c r="A22" s="306">
        <v>3</v>
      </c>
      <c r="B22" s="323" t="s">
        <v>144</v>
      </c>
      <c r="C22" s="21" t="s">
        <v>101</v>
      </c>
      <c r="D22" s="1" t="s">
        <v>4</v>
      </c>
      <c r="E22" s="102">
        <v>20</v>
      </c>
      <c r="F22" s="102">
        <v>20</v>
      </c>
      <c r="G22" s="102">
        <v>20</v>
      </c>
      <c r="H22" s="102">
        <v>20</v>
      </c>
      <c r="I22" s="102">
        <v>20</v>
      </c>
      <c r="J22" s="102">
        <v>20</v>
      </c>
      <c r="K22" s="102">
        <v>20</v>
      </c>
      <c r="L22" s="102">
        <v>20</v>
      </c>
      <c r="M22" s="102">
        <v>20</v>
      </c>
      <c r="N22" s="45"/>
    </row>
    <row r="23" spans="1:14" x14ac:dyDescent="0.25">
      <c r="A23" s="306"/>
      <c r="B23" s="323"/>
      <c r="C23" s="21" t="s">
        <v>5</v>
      </c>
      <c r="D23" s="1" t="s">
        <v>6</v>
      </c>
      <c r="E23" s="103">
        <v>778.63646317000416</v>
      </c>
      <c r="F23" s="103">
        <v>556.01242307421592</v>
      </c>
      <c r="G23" s="103">
        <v>433.81353547553391</v>
      </c>
      <c r="H23" s="103">
        <v>433.81353547553391</v>
      </c>
      <c r="I23" s="103">
        <v>433.81353547553391</v>
      </c>
      <c r="J23" s="103">
        <v>433.81353547553391</v>
      </c>
      <c r="K23" s="103">
        <v>1125.1890967142162</v>
      </c>
      <c r="L23" s="103">
        <v>978.8877535076831</v>
      </c>
      <c r="M23" s="103">
        <v>860.49325281850611</v>
      </c>
      <c r="N23" s="45"/>
    </row>
    <row r="24" spans="1:14" x14ac:dyDescent="0.25">
      <c r="A24" s="306"/>
      <c r="B24" s="323"/>
      <c r="C24" s="21" t="s">
        <v>172</v>
      </c>
      <c r="D24" s="1" t="s">
        <v>19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45"/>
    </row>
    <row r="25" spans="1:14" x14ac:dyDescent="0.25">
      <c r="A25" s="306"/>
      <c r="B25" s="323"/>
      <c r="C25" s="21" t="s">
        <v>102</v>
      </c>
      <c r="D25" s="1" t="s">
        <v>8</v>
      </c>
      <c r="E25" s="102"/>
      <c r="F25" s="102"/>
      <c r="G25" s="102"/>
      <c r="H25" s="102"/>
      <c r="I25" s="102"/>
      <c r="J25" s="102"/>
      <c r="K25" s="102"/>
      <c r="L25" s="102"/>
      <c r="M25" s="102"/>
      <c r="N25" s="45"/>
    </row>
    <row r="26" spans="1:14" x14ac:dyDescent="0.25">
      <c r="A26" s="306"/>
      <c r="B26" s="323"/>
      <c r="C26" s="21" t="s">
        <v>103</v>
      </c>
      <c r="D26" s="1" t="s">
        <v>9</v>
      </c>
      <c r="E26" s="103">
        <v>11.679546947550062</v>
      </c>
      <c r="F26" s="103">
        <v>8.3401863461132386</v>
      </c>
      <c r="G26" s="103">
        <v>6.5072030321330079</v>
      </c>
      <c r="H26" s="103">
        <v>6.5072030321330079</v>
      </c>
      <c r="I26" s="103">
        <v>6.5072030321330079</v>
      </c>
      <c r="J26" s="103">
        <v>6.5072030321330079</v>
      </c>
      <c r="K26" s="103">
        <v>1.583</v>
      </c>
      <c r="L26" s="103">
        <v>1.583</v>
      </c>
      <c r="M26" s="103">
        <v>1.583</v>
      </c>
      <c r="N26" s="45"/>
    </row>
    <row r="27" spans="1:14" x14ac:dyDescent="0.25">
      <c r="A27" s="306"/>
      <c r="B27" s="323"/>
      <c r="C27" s="21" t="s">
        <v>104</v>
      </c>
      <c r="D27" s="1" t="s">
        <v>10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  <c r="J27" s="103">
        <v>0</v>
      </c>
      <c r="K27" s="103">
        <v>2.0349999999999999E-3</v>
      </c>
      <c r="L27" s="103">
        <v>2.0349999999999999E-3</v>
      </c>
      <c r="M27" s="103">
        <v>2.0349999999999999E-3</v>
      </c>
      <c r="N27" s="45"/>
    </row>
    <row r="28" spans="1:14" ht="18.75" x14ac:dyDescent="0.25">
      <c r="A28" s="306"/>
      <c r="B28" s="323"/>
      <c r="C28" s="22" t="s">
        <v>105</v>
      </c>
      <c r="D28" s="23" t="s">
        <v>17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45"/>
    </row>
    <row r="29" spans="1:14" x14ac:dyDescent="0.25">
      <c r="A29" s="306"/>
      <c r="B29" s="323"/>
      <c r="C29" s="22" t="s">
        <v>11</v>
      </c>
      <c r="D29" s="23" t="s">
        <v>10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45"/>
    </row>
    <row r="30" spans="1:14" x14ac:dyDescent="0.25">
      <c r="A30" s="306"/>
      <c r="B30" s="323"/>
      <c r="C30" s="21" t="s">
        <v>18</v>
      </c>
      <c r="D30" s="2" t="s">
        <v>19</v>
      </c>
      <c r="E30" s="102">
        <v>3.9299999999999997</v>
      </c>
      <c r="F30" s="102">
        <v>3.9299999999999997</v>
      </c>
      <c r="G30" s="102">
        <v>3.9299999999999997</v>
      </c>
      <c r="H30" s="102">
        <v>3.9299999999999997</v>
      </c>
      <c r="I30" s="102">
        <v>3.9299999999999997</v>
      </c>
      <c r="J30" s="102">
        <v>3.9299999999999997</v>
      </c>
      <c r="K30" s="102">
        <v>3.9299999999999997</v>
      </c>
      <c r="L30" s="102">
        <v>3.9299999999999997</v>
      </c>
      <c r="M30" s="102">
        <v>3.9299999999999997</v>
      </c>
      <c r="N30" s="45"/>
    </row>
    <row r="31" spans="1:14" x14ac:dyDescent="0.25">
      <c r="A31" s="306"/>
      <c r="B31" s="323"/>
      <c r="C31" s="21" t="s">
        <v>13</v>
      </c>
      <c r="D31" s="1" t="s">
        <v>14</v>
      </c>
      <c r="E31" s="102"/>
      <c r="F31" s="102"/>
      <c r="G31" s="102"/>
      <c r="H31" s="102"/>
      <c r="I31" s="102"/>
      <c r="J31" s="102"/>
      <c r="K31" s="102"/>
      <c r="L31" s="102"/>
      <c r="M31" s="102"/>
      <c r="N31" s="45"/>
    </row>
    <row r="32" spans="1:14" x14ac:dyDescent="0.25">
      <c r="A32" s="306"/>
      <c r="B32" s="323"/>
      <c r="C32" s="21" t="s">
        <v>15</v>
      </c>
      <c r="D32" s="1" t="s">
        <v>4</v>
      </c>
      <c r="E32" s="102"/>
      <c r="F32" s="102"/>
      <c r="G32" s="102"/>
      <c r="H32" s="102"/>
      <c r="I32" s="102"/>
      <c r="J32" s="102"/>
      <c r="K32" s="102"/>
      <c r="L32" s="102"/>
      <c r="M32" s="102"/>
      <c r="N32" s="45"/>
    </row>
    <row r="33" spans="1:14" ht="14.45" customHeight="1" x14ac:dyDescent="0.25">
      <c r="A33" s="306">
        <v>4</v>
      </c>
      <c r="B33" s="323" t="s">
        <v>145</v>
      </c>
      <c r="C33" s="21" t="s">
        <v>101</v>
      </c>
      <c r="D33" s="1" t="s">
        <v>4</v>
      </c>
      <c r="E33" s="102">
        <v>20</v>
      </c>
      <c r="F33" s="102">
        <v>20</v>
      </c>
      <c r="G33" s="102">
        <v>20</v>
      </c>
      <c r="H33" s="102">
        <v>20</v>
      </c>
      <c r="I33" s="102">
        <v>20</v>
      </c>
      <c r="J33" s="102">
        <v>20</v>
      </c>
      <c r="K33" s="102">
        <v>20</v>
      </c>
      <c r="L33" s="102">
        <v>20</v>
      </c>
      <c r="M33" s="102">
        <v>20</v>
      </c>
      <c r="N33" s="45"/>
    </row>
    <row r="34" spans="1:14" x14ac:dyDescent="0.25">
      <c r="A34" s="306"/>
      <c r="B34" s="323"/>
      <c r="C34" s="21" t="s">
        <v>5</v>
      </c>
      <c r="D34" s="1" t="s">
        <v>6</v>
      </c>
      <c r="E34" s="103">
        <v>778.63646317000416</v>
      </c>
      <c r="F34" s="103">
        <v>556.01242307421592</v>
      </c>
      <c r="G34" s="103">
        <v>433.81353547553391</v>
      </c>
      <c r="H34" s="103">
        <v>433.81353547553391</v>
      </c>
      <c r="I34" s="103">
        <v>433.81353547553391</v>
      </c>
      <c r="J34" s="103">
        <v>433.81353547553391</v>
      </c>
      <c r="K34" s="103">
        <v>1125.1890967142162</v>
      </c>
      <c r="L34" s="103">
        <v>978.8877535076831</v>
      </c>
      <c r="M34" s="103">
        <v>860.49325281850611</v>
      </c>
      <c r="N34" s="45"/>
    </row>
    <row r="35" spans="1:14" x14ac:dyDescent="0.25">
      <c r="A35" s="306"/>
      <c r="B35" s="323"/>
      <c r="C35" s="21" t="s">
        <v>172</v>
      </c>
      <c r="D35" s="1" t="s">
        <v>19</v>
      </c>
      <c r="E35" s="104">
        <v>0</v>
      </c>
      <c r="F35" s="104">
        <v>0</v>
      </c>
      <c r="G35" s="104">
        <v>0</v>
      </c>
      <c r="H35" s="104">
        <v>0</v>
      </c>
      <c r="I35" s="104">
        <v>0</v>
      </c>
      <c r="J35" s="104">
        <v>0</v>
      </c>
      <c r="K35" s="104">
        <v>0</v>
      </c>
      <c r="L35" s="104">
        <v>0</v>
      </c>
      <c r="M35" s="104">
        <v>0</v>
      </c>
      <c r="N35" s="45"/>
    </row>
    <row r="36" spans="1:14" x14ac:dyDescent="0.25">
      <c r="A36" s="306"/>
      <c r="B36" s="323"/>
      <c r="C36" s="21" t="s">
        <v>102</v>
      </c>
      <c r="D36" s="1" t="s">
        <v>8</v>
      </c>
      <c r="E36" s="102"/>
      <c r="F36" s="102"/>
      <c r="G36" s="102"/>
      <c r="H36" s="102"/>
      <c r="I36" s="102"/>
      <c r="J36" s="102"/>
      <c r="K36" s="102"/>
      <c r="L36" s="102"/>
      <c r="M36" s="102"/>
      <c r="N36" s="45"/>
    </row>
    <row r="37" spans="1:14" x14ac:dyDescent="0.25">
      <c r="A37" s="306"/>
      <c r="B37" s="323"/>
      <c r="C37" s="21" t="s">
        <v>103</v>
      </c>
      <c r="D37" s="1" t="s">
        <v>9</v>
      </c>
      <c r="E37" s="103">
        <v>11.679546947550062</v>
      </c>
      <c r="F37" s="103">
        <v>8.3401863461132386</v>
      </c>
      <c r="G37" s="103">
        <v>6.5072030321330079</v>
      </c>
      <c r="H37" s="103">
        <v>6.5072030321330079</v>
      </c>
      <c r="I37" s="103">
        <v>6.5072030321330079</v>
      </c>
      <c r="J37" s="103">
        <v>6.5072030321330079</v>
      </c>
      <c r="K37" s="103">
        <v>1.583</v>
      </c>
      <c r="L37" s="103">
        <v>1.583</v>
      </c>
      <c r="M37" s="103">
        <v>1.583</v>
      </c>
      <c r="N37" s="45"/>
    </row>
    <row r="38" spans="1:14" x14ac:dyDescent="0.25">
      <c r="A38" s="306"/>
      <c r="B38" s="323"/>
      <c r="C38" s="21" t="s">
        <v>104</v>
      </c>
      <c r="D38" s="1" t="s">
        <v>10</v>
      </c>
      <c r="E38" s="103">
        <v>0</v>
      </c>
      <c r="F38" s="103">
        <v>0</v>
      </c>
      <c r="G38" s="103">
        <v>0</v>
      </c>
      <c r="H38" s="103">
        <v>0</v>
      </c>
      <c r="I38" s="103">
        <v>0</v>
      </c>
      <c r="J38" s="103">
        <v>0</v>
      </c>
      <c r="K38" s="103">
        <v>2.0349999999999999E-3</v>
      </c>
      <c r="L38" s="103">
        <v>2.0349999999999999E-3</v>
      </c>
      <c r="M38" s="103">
        <v>2.0349999999999999E-3</v>
      </c>
      <c r="N38" s="45"/>
    </row>
    <row r="39" spans="1:14" ht="18.75" x14ac:dyDescent="0.25">
      <c r="A39" s="306"/>
      <c r="B39" s="323"/>
      <c r="C39" s="22" t="s">
        <v>105</v>
      </c>
      <c r="D39" s="23" t="s">
        <v>17</v>
      </c>
      <c r="E39" s="103">
        <v>0</v>
      </c>
      <c r="F39" s="103">
        <v>0</v>
      </c>
      <c r="G39" s="103">
        <v>0</v>
      </c>
      <c r="H39" s="103">
        <v>0</v>
      </c>
      <c r="I39" s="103">
        <v>0</v>
      </c>
      <c r="J39" s="103">
        <v>0</v>
      </c>
      <c r="K39" s="103">
        <v>0</v>
      </c>
      <c r="L39" s="103">
        <v>0</v>
      </c>
      <c r="M39" s="103">
        <v>0</v>
      </c>
      <c r="N39" s="45"/>
    </row>
    <row r="40" spans="1:14" x14ac:dyDescent="0.25">
      <c r="A40" s="306"/>
      <c r="B40" s="323"/>
      <c r="C40" s="22" t="s">
        <v>11</v>
      </c>
      <c r="D40" s="23" t="s">
        <v>10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3">
        <v>0</v>
      </c>
      <c r="L40" s="103">
        <v>0</v>
      </c>
      <c r="M40" s="103">
        <v>0</v>
      </c>
      <c r="N40" s="45"/>
    </row>
    <row r="41" spans="1:14" x14ac:dyDescent="0.25">
      <c r="A41" s="306"/>
      <c r="B41" s="323"/>
      <c r="C41" s="21" t="s">
        <v>18</v>
      </c>
      <c r="D41" s="2" t="s">
        <v>19</v>
      </c>
      <c r="E41" s="102">
        <v>3.6799999999999997</v>
      </c>
      <c r="F41" s="102">
        <v>3.6799999999999997</v>
      </c>
      <c r="G41" s="102">
        <v>3.6799999999999997</v>
      </c>
      <c r="H41" s="102">
        <v>3.6799999999999997</v>
      </c>
      <c r="I41" s="102">
        <v>3.6799999999999997</v>
      </c>
      <c r="J41" s="102">
        <v>3.6799999999999997</v>
      </c>
      <c r="K41" s="102">
        <v>3.6799999999999997</v>
      </c>
      <c r="L41" s="102">
        <v>3.6799999999999997</v>
      </c>
      <c r="M41" s="102">
        <v>3.6799999999999997</v>
      </c>
      <c r="N41" s="45"/>
    </row>
    <row r="42" spans="1:14" x14ac:dyDescent="0.25">
      <c r="A42" s="306"/>
      <c r="B42" s="323"/>
      <c r="C42" s="21" t="s">
        <v>13</v>
      </c>
      <c r="D42" s="1" t="s">
        <v>14</v>
      </c>
      <c r="E42" s="102"/>
      <c r="F42" s="102"/>
      <c r="G42" s="102"/>
      <c r="H42" s="102"/>
      <c r="I42" s="102"/>
      <c r="J42" s="102"/>
      <c r="K42" s="102"/>
      <c r="L42" s="102"/>
      <c r="M42" s="102"/>
      <c r="N42" s="45"/>
    </row>
    <row r="43" spans="1:14" x14ac:dyDescent="0.25">
      <c r="A43" s="306"/>
      <c r="B43" s="323"/>
      <c r="C43" s="21" t="s">
        <v>15</v>
      </c>
      <c r="D43" s="1" t="s">
        <v>4</v>
      </c>
      <c r="E43" s="102"/>
      <c r="F43" s="102"/>
      <c r="G43" s="102"/>
      <c r="H43" s="102"/>
      <c r="I43" s="102"/>
      <c r="J43" s="102"/>
      <c r="K43" s="102"/>
      <c r="L43" s="102"/>
      <c r="M43" s="102"/>
      <c r="N43" s="45"/>
    </row>
    <row r="44" spans="1:14" ht="14.45" customHeight="1" x14ac:dyDescent="0.25">
      <c r="A44" s="306">
        <v>5</v>
      </c>
      <c r="B44" s="323" t="s">
        <v>146</v>
      </c>
      <c r="C44" s="21" t="s">
        <v>101</v>
      </c>
      <c r="D44" s="1" t="s">
        <v>4</v>
      </c>
      <c r="E44" s="102">
        <v>20</v>
      </c>
      <c r="F44" s="102">
        <v>20</v>
      </c>
      <c r="G44" s="102">
        <v>20</v>
      </c>
      <c r="H44" s="102">
        <v>20</v>
      </c>
      <c r="I44" s="102">
        <v>20</v>
      </c>
      <c r="J44" s="102">
        <v>20</v>
      </c>
      <c r="K44" s="102">
        <v>20</v>
      </c>
      <c r="L44" s="102">
        <v>20</v>
      </c>
      <c r="M44" s="102">
        <v>20</v>
      </c>
      <c r="N44" s="45"/>
    </row>
    <row r="45" spans="1:14" x14ac:dyDescent="0.25">
      <c r="A45" s="306"/>
      <c r="B45" s="323"/>
      <c r="C45" s="21" t="s">
        <v>20</v>
      </c>
      <c r="D45" s="1" t="s">
        <v>6</v>
      </c>
      <c r="E45" s="103">
        <v>778.63646317000416</v>
      </c>
      <c r="F45" s="103">
        <v>556.01242307421592</v>
      </c>
      <c r="G45" s="103">
        <v>433.81353547553391</v>
      </c>
      <c r="H45" s="103">
        <v>433.81353547553391</v>
      </c>
      <c r="I45" s="103">
        <v>433.81353547553391</v>
      </c>
      <c r="J45" s="103">
        <v>433.81353547553391</v>
      </c>
      <c r="K45" s="103">
        <v>1125.1890967142162</v>
      </c>
      <c r="L45" s="103">
        <v>978.8877535076831</v>
      </c>
      <c r="M45" s="103">
        <v>860.49325281850611</v>
      </c>
      <c r="N45" s="45"/>
    </row>
    <row r="46" spans="1:14" x14ac:dyDescent="0.25">
      <c r="A46" s="306"/>
      <c r="B46" s="323"/>
      <c r="C46" s="21" t="s">
        <v>172</v>
      </c>
      <c r="D46" s="1" t="s">
        <v>19</v>
      </c>
      <c r="E46" s="104">
        <v>0</v>
      </c>
      <c r="F46" s="104">
        <v>0</v>
      </c>
      <c r="G46" s="104">
        <v>0</v>
      </c>
      <c r="H46" s="104">
        <v>0</v>
      </c>
      <c r="I46" s="104">
        <v>0</v>
      </c>
      <c r="J46" s="104">
        <v>0</v>
      </c>
      <c r="K46" s="104">
        <v>0</v>
      </c>
      <c r="L46" s="104">
        <v>0</v>
      </c>
      <c r="M46" s="104">
        <v>0</v>
      </c>
      <c r="N46" s="45"/>
    </row>
    <row r="47" spans="1:14" x14ac:dyDescent="0.25">
      <c r="A47" s="306"/>
      <c r="B47" s="323"/>
      <c r="C47" s="21" t="s">
        <v>102</v>
      </c>
      <c r="D47" s="1" t="s">
        <v>8</v>
      </c>
      <c r="E47" s="102"/>
      <c r="F47" s="102"/>
      <c r="G47" s="102"/>
      <c r="H47" s="102"/>
      <c r="I47" s="102"/>
      <c r="J47" s="102"/>
      <c r="K47" s="102"/>
      <c r="L47" s="102"/>
      <c r="M47" s="102"/>
      <c r="N47" s="45"/>
    </row>
    <row r="48" spans="1:14" x14ac:dyDescent="0.25">
      <c r="A48" s="306"/>
      <c r="B48" s="323"/>
      <c r="C48" s="21" t="s">
        <v>103</v>
      </c>
      <c r="D48" s="1" t="s">
        <v>9</v>
      </c>
      <c r="E48" s="103">
        <v>11.679546947550062</v>
      </c>
      <c r="F48" s="103">
        <v>8.3401863461132386</v>
      </c>
      <c r="G48" s="103">
        <v>6.5072030321330079</v>
      </c>
      <c r="H48" s="103">
        <v>6.5072030321330079</v>
      </c>
      <c r="I48" s="103">
        <v>6.5072030321330079</v>
      </c>
      <c r="J48" s="103">
        <v>6.5072030321330079</v>
      </c>
      <c r="K48" s="103">
        <v>1.583</v>
      </c>
      <c r="L48" s="103">
        <v>1.583</v>
      </c>
      <c r="M48" s="103">
        <v>1.583</v>
      </c>
      <c r="N48" s="45"/>
    </row>
    <row r="49" spans="1:14" x14ac:dyDescent="0.25">
      <c r="A49" s="306"/>
      <c r="B49" s="323"/>
      <c r="C49" s="21" t="s">
        <v>104</v>
      </c>
      <c r="D49" s="1" t="s">
        <v>10</v>
      </c>
      <c r="E49" s="103">
        <v>0</v>
      </c>
      <c r="F49" s="103">
        <v>0</v>
      </c>
      <c r="G49" s="103">
        <v>0</v>
      </c>
      <c r="H49" s="103">
        <v>0</v>
      </c>
      <c r="I49" s="103">
        <v>0</v>
      </c>
      <c r="J49" s="103">
        <v>0</v>
      </c>
      <c r="K49" s="103">
        <v>2.0349999999999999E-3</v>
      </c>
      <c r="L49" s="103">
        <v>2.0349999999999999E-3</v>
      </c>
      <c r="M49" s="103">
        <v>2.0349999999999999E-3</v>
      </c>
      <c r="N49" s="45"/>
    </row>
    <row r="50" spans="1:14" ht="18.75" x14ac:dyDescent="0.25">
      <c r="A50" s="306"/>
      <c r="B50" s="323"/>
      <c r="C50" s="22" t="s">
        <v>105</v>
      </c>
      <c r="D50" s="23" t="s">
        <v>17</v>
      </c>
      <c r="E50" s="103">
        <v>0</v>
      </c>
      <c r="F50" s="103">
        <v>0</v>
      </c>
      <c r="G50" s="103">
        <v>0</v>
      </c>
      <c r="H50" s="103">
        <v>0</v>
      </c>
      <c r="I50" s="103">
        <v>0</v>
      </c>
      <c r="J50" s="103">
        <v>0</v>
      </c>
      <c r="K50" s="103">
        <v>0</v>
      </c>
      <c r="L50" s="103">
        <v>0</v>
      </c>
      <c r="M50" s="103">
        <v>0</v>
      </c>
      <c r="N50" s="45"/>
    </row>
    <row r="51" spans="1:14" x14ac:dyDescent="0.25">
      <c r="A51" s="306"/>
      <c r="B51" s="323"/>
      <c r="C51" s="22" t="s">
        <v>11</v>
      </c>
      <c r="D51" s="23" t="s">
        <v>10</v>
      </c>
      <c r="E51" s="103">
        <v>0</v>
      </c>
      <c r="F51" s="103">
        <v>0</v>
      </c>
      <c r="G51" s="103">
        <v>0</v>
      </c>
      <c r="H51" s="103">
        <v>0</v>
      </c>
      <c r="I51" s="103">
        <v>0</v>
      </c>
      <c r="J51" s="103">
        <v>0</v>
      </c>
      <c r="K51" s="103">
        <v>0</v>
      </c>
      <c r="L51" s="103">
        <v>0</v>
      </c>
      <c r="M51" s="103">
        <v>0</v>
      </c>
      <c r="N51" s="45"/>
    </row>
    <row r="52" spans="1:14" x14ac:dyDescent="0.25">
      <c r="A52" s="306"/>
      <c r="B52" s="323"/>
      <c r="C52" s="21" t="s">
        <v>18</v>
      </c>
      <c r="D52" s="2" t="s">
        <v>19</v>
      </c>
      <c r="E52" s="102">
        <v>3.4299999999999997</v>
      </c>
      <c r="F52" s="102">
        <v>3.4299999999999997</v>
      </c>
      <c r="G52" s="102">
        <v>3.4299999999999997</v>
      </c>
      <c r="H52" s="102">
        <v>3.4299999999999997</v>
      </c>
      <c r="I52" s="102">
        <v>3.4299999999999997</v>
      </c>
      <c r="J52" s="102">
        <v>3.4299999999999997</v>
      </c>
      <c r="K52" s="102">
        <v>3.4299999999999997</v>
      </c>
      <c r="L52" s="102">
        <v>3.4299999999999997</v>
      </c>
      <c r="M52" s="102">
        <v>3.4299999999999997</v>
      </c>
      <c r="N52" s="45"/>
    </row>
    <row r="53" spans="1:14" x14ac:dyDescent="0.25">
      <c r="A53" s="306"/>
      <c r="B53" s="323"/>
      <c r="C53" s="21" t="s">
        <v>13</v>
      </c>
      <c r="D53" s="2" t="s">
        <v>14</v>
      </c>
      <c r="E53" s="102"/>
      <c r="F53" s="102"/>
      <c r="G53" s="102"/>
      <c r="H53" s="102"/>
      <c r="I53" s="102"/>
      <c r="J53" s="102"/>
      <c r="K53" s="102"/>
      <c r="L53" s="102"/>
      <c r="M53" s="102"/>
      <c r="N53" s="45"/>
    </row>
    <row r="54" spans="1:14" x14ac:dyDescent="0.25">
      <c r="A54" s="306"/>
      <c r="B54" s="323"/>
      <c r="C54" s="21" t="s">
        <v>15</v>
      </c>
      <c r="D54" s="2" t="s">
        <v>4</v>
      </c>
      <c r="E54" s="102"/>
      <c r="F54" s="102"/>
      <c r="G54" s="102"/>
      <c r="H54" s="102"/>
      <c r="I54" s="102"/>
      <c r="J54" s="102"/>
      <c r="K54" s="102"/>
      <c r="L54" s="102"/>
      <c r="M54" s="102"/>
      <c r="N54" s="45"/>
    </row>
    <row r="55" spans="1:14" ht="14.45" customHeight="1" x14ac:dyDescent="0.25">
      <c r="A55" s="306">
        <v>6</v>
      </c>
      <c r="B55" s="323" t="s">
        <v>147</v>
      </c>
      <c r="C55" s="21" t="s">
        <v>101</v>
      </c>
      <c r="D55" s="1" t="s">
        <v>4</v>
      </c>
      <c r="E55" s="102">
        <v>20</v>
      </c>
      <c r="F55" s="102">
        <v>20</v>
      </c>
      <c r="G55" s="102">
        <v>20</v>
      </c>
      <c r="H55" s="102">
        <v>20</v>
      </c>
      <c r="I55" s="102">
        <v>20</v>
      </c>
      <c r="J55" s="102">
        <v>20</v>
      </c>
      <c r="K55" s="102">
        <v>20</v>
      </c>
      <c r="L55" s="102">
        <v>20</v>
      </c>
      <c r="M55" s="102">
        <v>20</v>
      </c>
      <c r="N55" s="45"/>
    </row>
    <row r="56" spans="1:14" x14ac:dyDescent="0.25">
      <c r="A56" s="306"/>
      <c r="B56" s="323"/>
      <c r="C56" s="21" t="s">
        <v>20</v>
      </c>
      <c r="D56" s="1" t="s">
        <v>6</v>
      </c>
      <c r="E56" s="103">
        <v>738.31610915879503</v>
      </c>
      <c r="F56" s="103">
        <v>515.77022112163911</v>
      </c>
      <c r="G56" s="103">
        <v>395.95632283937084</v>
      </c>
      <c r="H56" s="103">
        <v>395.95632283937084</v>
      </c>
      <c r="I56" s="103">
        <v>395.95632283937084</v>
      </c>
      <c r="J56" s="103">
        <v>395.95632283937084</v>
      </c>
      <c r="K56" s="103">
        <v>582.06399999999996</v>
      </c>
      <c r="L56" s="103">
        <v>582.06399999999996</v>
      </c>
      <c r="M56" s="103">
        <v>582.06399999999996</v>
      </c>
      <c r="N56" s="45"/>
    </row>
    <row r="57" spans="1:14" x14ac:dyDescent="0.25">
      <c r="A57" s="306"/>
      <c r="B57" s="323"/>
      <c r="C57" s="21" t="s">
        <v>172</v>
      </c>
      <c r="D57" s="1" t="s">
        <v>19</v>
      </c>
      <c r="E57" s="104">
        <v>0</v>
      </c>
      <c r="F57" s="104">
        <v>0</v>
      </c>
      <c r="G57" s="104">
        <v>0</v>
      </c>
      <c r="H57" s="104">
        <v>0</v>
      </c>
      <c r="I57" s="104">
        <v>0</v>
      </c>
      <c r="J57" s="104">
        <v>0</v>
      </c>
      <c r="K57" s="104">
        <v>0</v>
      </c>
      <c r="L57" s="104">
        <v>0</v>
      </c>
      <c r="M57" s="104">
        <v>0</v>
      </c>
      <c r="N57" s="45"/>
    </row>
    <row r="58" spans="1:14" x14ac:dyDescent="0.25">
      <c r="A58" s="306"/>
      <c r="B58" s="323"/>
      <c r="C58" s="21" t="s">
        <v>102</v>
      </c>
      <c r="D58" s="1" t="s">
        <v>8</v>
      </c>
      <c r="E58" s="102"/>
      <c r="F58" s="102"/>
      <c r="G58" s="102"/>
      <c r="H58" s="102"/>
      <c r="I58" s="102"/>
      <c r="J58" s="102"/>
      <c r="K58" s="102"/>
      <c r="L58" s="102"/>
      <c r="M58" s="102"/>
      <c r="N58" s="45"/>
    </row>
    <row r="59" spans="1:14" x14ac:dyDescent="0.25">
      <c r="A59" s="306"/>
      <c r="B59" s="323"/>
      <c r="C59" s="21" t="s">
        <v>103</v>
      </c>
      <c r="D59" s="1" t="s">
        <v>9</v>
      </c>
      <c r="E59" s="103">
        <v>11.074741637381925</v>
      </c>
      <c r="F59" s="103">
        <v>7.7365533168245868</v>
      </c>
      <c r="G59" s="103">
        <v>5.9393448425905628</v>
      </c>
      <c r="H59" s="103">
        <v>5.9393448425905628</v>
      </c>
      <c r="I59" s="103">
        <v>5.9393448425905628</v>
      </c>
      <c r="J59" s="103">
        <v>5.9393448425905628</v>
      </c>
      <c r="K59" s="103">
        <v>1.583</v>
      </c>
      <c r="L59" s="103">
        <v>1.583</v>
      </c>
      <c r="M59" s="103">
        <v>1.583</v>
      </c>
      <c r="N59" s="45"/>
    </row>
    <row r="60" spans="1:14" x14ac:dyDescent="0.25">
      <c r="A60" s="306"/>
      <c r="B60" s="323"/>
      <c r="C60" s="21" t="s">
        <v>104</v>
      </c>
      <c r="D60" s="1" t="s">
        <v>10</v>
      </c>
      <c r="E60" s="103">
        <v>0</v>
      </c>
      <c r="F60" s="103">
        <v>0</v>
      </c>
      <c r="G60" s="103">
        <v>0</v>
      </c>
      <c r="H60" s="103">
        <v>0</v>
      </c>
      <c r="I60" s="103">
        <v>0</v>
      </c>
      <c r="J60" s="103">
        <v>0</v>
      </c>
      <c r="K60" s="103">
        <v>2.0349999999999999E-3</v>
      </c>
      <c r="L60" s="103">
        <v>2.0349999999999999E-3</v>
      </c>
      <c r="M60" s="103">
        <v>2.0349999999999999E-3</v>
      </c>
      <c r="N60" s="45"/>
    </row>
    <row r="61" spans="1:14" ht="18.75" x14ac:dyDescent="0.25">
      <c r="A61" s="306"/>
      <c r="B61" s="323"/>
      <c r="C61" s="22" t="s">
        <v>105</v>
      </c>
      <c r="D61" s="23" t="s">
        <v>17</v>
      </c>
      <c r="E61" s="103">
        <v>0</v>
      </c>
      <c r="F61" s="103">
        <v>0</v>
      </c>
      <c r="G61" s="103">
        <v>0</v>
      </c>
      <c r="H61" s="103">
        <v>0</v>
      </c>
      <c r="I61" s="103">
        <v>0</v>
      </c>
      <c r="J61" s="103">
        <v>0</v>
      </c>
      <c r="K61" s="103">
        <v>0</v>
      </c>
      <c r="L61" s="103">
        <v>0</v>
      </c>
      <c r="M61" s="103">
        <v>0</v>
      </c>
      <c r="N61" s="45"/>
    </row>
    <row r="62" spans="1:14" x14ac:dyDescent="0.25">
      <c r="A62" s="306"/>
      <c r="B62" s="323"/>
      <c r="C62" s="22" t="s">
        <v>11</v>
      </c>
      <c r="D62" s="23" t="s">
        <v>10</v>
      </c>
      <c r="E62" s="103">
        <v>0</v>
      </c>
      <c r="F62" s="103">
        <v>0</v>
      </c>
      <c r="G62" s="103">
        <v>0</v>
      </c>
      <c r="H62" s="103">
        <v>0</v>
      </c>
      <c r="I62" s="103">
        <v>0</v>
      </c>
      <c r="J62" s="103">
        <v>0</v>
      </c>
      <c r="K62" s="103">
        <v>0</v>
      </c>
      <c r="L62" s="103">
        <v>0</v>
      </c>
      <c r="M62" s="103">
        <v>0</v>
      </c>
      <c r="N62" s="45"/>
    </row>
    <row r="63" spans="1:14" x14ac:dyDescent="0.25">
      <c r="A63" s="306"/>
      <c r="B63" s="323"/>
      <c r="C63" s="21" t="s">
        <v>18</v>
      </c>
      <c r="D63" s="2" t="s">
        <v>19</v>
      </c>
      <c r="E63" s="102">
        <v>5.0199999999999996</v>
      </c>
      <c r="F63" s="102">
        <v>5.0199999999999996</v>
      </c>
      <c r="G63" s="102">
        <v>5.0199999999999996</v>
      </c>
      <c r="H63" s="102">
        <v>5.0199999999999996</v>
      </c>
      <c r="I63" s="102">
        <v>5.0199999999999996</v>
      </c>
      <c r="J63" s="102">
        <v>5.0199999999999996</v>
      </c>
      <c r="K63" s="102">
        <v>5.0199999999999996</v>
      </c>
      <c r="L63" s="102">
        <v>5.0199999999999996</v>
      </c>
      <c r="M63" s="102">
        <v>5.0199999999999996</v>
      </c>
      <c r="N63" s="45"/>
    </row>
    <row r="64" spans="1:14" x14ac:dyDescent="0.25">
      <c r="A64" s="306"/>
      <c r="B64" s="323"/>
      <c r="C64" s="21" t="s">
        <v>13</v>
      </c>
      <c r="D64" s="1" t="s">
        <v>14</v>
      </c>
      <c r="E64" s="102"/>
      <c r="F64" s="102"/>
      <c r="G64" s="102"/>
      <c r="H64" s="102"/>
      <c r="I64" s="102"/>
      <c r="J64" s="102"/>
      <c r="K64" s="102"/>
      <c r="L64" s="102"/>
      <c r="M64" s="102"/>
      <c r="N64" s="45"/>
    </row>
    <row r="65" spans="1:14" x14ac:dyDescent="0.25">
      <c r="A65" s="306"/>
      <c r="B65" s="323"/>
      <c r="C65" s="21" t="s">
        <v>15</v>
      </c>
      <c r="D65" s="1" t="s">
        <v>4</v>
      </c>
      <c r="E65" s="102"/>
      <c r="F65" s="102"/>
      <c r="G65" s="102"/>
      <c r="H65" s="102"/>
      <c r="I65" s="102"/>
      <c r="J65" s="102"/>
      <c r="K65" s="102"/>
      <c r="L65" s="102"/>
      <c r="M65" s="102"/>
      <c r="N65" s="45"/>
    </row>
    <row r="66" spans="1:14" x14ac:dyDescent="0.25">
      <c r="A66" s="306"/>
      <c r="B66" s="323"/>
      <c r="C66" s="21" t="s">
        <v>106</v>
      </c>
      <c r="D66" s="1" t="s">
        <v>6</v>
      </c>
      <c r="E66" s="103">
        <v>2962.5638498082421</v>
      </c>
      <c r="F66" s="103">
        <v>2027.1699626993282</v>
      </c>
      <c r="G66" s="103">
        <v>1274.8741817587722</v>
      </c>
      <c r="H66" s="103">
        <v>442.87029020421795</v>
      </c>
      <c r="I66" s="103">
        <v>301.97608311819215</v>
      </c>
      <c r="J66" s="103">
        <v>191.40821792528925</v>
      </c>
      <c r="K66" s="103">
        <v>92.896885443989731</v>
      </c>
      <c r="L66" s="103">
        <v>81.375969664560998</v>
      </c>
      <c r="M66" s="103">
        <v>81.375969664560998</v>
      </c>
      <c r="N66" s="45"/>
    </row>
    <row r="67" spans="1:14" x14ac:dyDescent="0.25">
      <c r="A67" s="306"/>
      <c r="B67" s="323"/>
      <c r="C67" s="21" t="s">
        <v>107</v>
      </c>
      <c r="D67" s="1" t="s">
        <v>4</v>
      </c>
      <c r="E67" s="102"/>
      <c r="F67" s="102"/>
      <c r="G67" s="102"/>
      <c r="H67" s="102"/>
      <c r="I67" s="102"/>
      <c r="J67" s="102"/>
      <c r="K67" s="102"/>
      <c r="L67" s="102"/>
      <c r="M67" s="102"/>
      <c r="N67" s="45"/>
    </row>
    <row r="68" spans="1:14" ht="14.45" customHeight="1" x14ac:dyDescent="0.25">
      <c r="A68" s="306">
        <v>7</v>
      </c>
      <c r="B68" s="323" t="s">
        <v>148</v>
      </c>
      <c r="C68" s="21" t="s">
        <v>101</v>
      </c>
      <c r="D68" s="1" t="s">
        <v>4</v>
      </c>
      <c r="E68" s="102">
        <v>20</v>
      </c>
      <c r="F68" s="102">
        <v>20</v>
      </c>
      <c r="G68" s="102">
        <v>20</v>
      </c>
      <c r="H68" s="102">
        <v>20</v>
      </c>
      <c r="I68" s="102">
        <v>20</v>
      </c>
      <c r="J68" s="102">
        <v>20</v>
      </c>
      <c r="K68" s="102">
        <v>20</v>
      </c>
      <c r="L68" s="102">
        <v>20</v>
      </c>
      <c r="M68" s="102">
        <v>20</v>
      </c>
      <c r="N68" s="45"/>
    </row>
    <row r="69" spans="1:14" x14ac:dyDescent="0.25">
      <c r="A69" s="306"/>
      <c r="B69" s="323"/>
      <c r="C69" s="21" t="s">
        <v>20</v>
      </c>
      <c r="D69" s="1" t="s">
        <v>6</v>
      </c>
      <c r="E69" s="103">
        <v>738.31610915879503</v>
      </c>
      <c r="F69" s="103">
        <v>515.77022112163911</v>
      </c>
      <c r="G69" s="103">
        <v>395.95632283937084</v>
      </c>
      <c r="H69" s="103">
        <v>395.95632283937084</v>
      </c>
      <c r="I69" s="103">
        <v>395.95632283937084</v>
      </c>
      <c r="J69" s="103">
        <v>395.95632283937084</v>
      </c>
      <c r="K69" s="103">
        <v>582.06399999999996</v>
      </c>
      <c r="L69" s="103">
        <v>582.06399999999996</v>
      </c>
      <c r="M69" s="103">
        <v>582.06399999999996</v>
      </c>
      <c r="N69" s="45"/>
    </row>
    <row r="70" spans="1:14" x14ac:dyDescent="0.25">
      <c r="A70" s="306"/>
      <c r="B70" s="323"/>
      <c r="C70" s="21" t="s">
        <v>172</v>
      </c>
      <c r="D70" s="1" t="s">
        <v>19</v>
      </c>
      <c r="E70" s="104">
        <v>0</v>
      </c>
      <c r="F70" s="104">
        <v>0</v>
      </c>
      <c r="G70" s="104">
        <v>0</v>
      </c>
      <c r="H70" s="104">
        <v>0</v>
      </c>
      <c r="I70" s="104">
        <v>0</v>
      </c>
      <c r="J70" s="104">
        <v>0</v>
      </c>
      <c r="K70" s="104">
        <v>0</v>
      </c>
      <c r="L70" s="104">
        <v>0</v>
      </c>
      <c r="M70" s="104">
        <v>0</v>
      </c>
      <c r="N70" s="45"/>
    </row>
    <row r="71" spans="1:14" x14ac:dyDescent="0.25">
      <c r="A71" s="306"/>
      <c r="B71" s="323"/>
      <c r="C71" s="21" t="s">
        <v>102</v>
      </c>
      <c r="D71" s="1" t="s">
        <v>8</v>
      </c>
      <c r="E71" s="102"/>
      <c r="F71" s="102"/>
      <c r="G71" s="102"/>
      <c r="H71" s="102"/>
      <c r="I71" s="102"/>
      <c r="J71" s="102"/>
      <c r="K71" s="102"/>
      <c r="L71" s="102"/>
      <c r="M71" s="102"/>
      <c r="N71" s="45"/>
    </row>
    <row r="72" spans="1:14" x14ac:dyDescent="0.25">
      <c r="A72" s="306"/>
      <c r="B72" s="323"/>
      <c r="C72" s="21" t="s">
        <v>103</v>
      </c>
      <c r="D72" s="1" t="s">
        <v>9</v>
      </c>
      <c r="E72" s="103">
        <v>11.074741637381925</v>
      </c>
      <c r="F72" s="103">
        <v>7.7365533168245868</v>
      </c>
      <c r="G72" s="103">
        <v>5.9393448425905628</v>
      </c>
      <c r="H72" s="103">
        <v>5.9393448425905628</v>
      </c>
      <c r="I72" s="103">
        <v>5.9393448425905628</v>
      </c>
      <c r="J72" s="103">
        <v>5.9393448425905628</v>
      </c>
      <c r="K72" s="103">
        <v>1.583</v>
      </c>
      <c r="L72" s="103">
        <v>1.583</v>
      </c>
      <c r="M72" s="103">
        <v>1.583</v>
      </c>
      <c r="N72" s="45"/>
    </row>
    <row r="73" spans="1:14" x14ac:dyDescent="0.25">
      <c r="A73" s="306"/>
      <c r="B73" s="323"/>
      <c r="C73" s="21" t="s">
        <v>104</v>
      </c>
      <c r="D73" s="1" t="s">
        <v>10</v>
      </c>
      <c r="E73" s="103">
        <v>0</v>
      </c>
      <c r="F73" s="103">
        <v>0</v>
      </c>
      <c r="G73" s="103">
        <v>0</v>
      </c>
      <c r="H73" s="103">
        <v>0</v>
      </c>
      <c r="I73" s="103">
        <v>0</v>
      </c>
      <c r="J73" s="103">
        <v>0</v>
      </c>
      <c r="K73" s="103">
        <v>2.0349999999999999E-3</v>
      </c>
      <c r="L73" s="103">
        <v>2.0349999999999999E-3</v>
      </c>
      <c r="M73" s="103">
        <v>2.0349999999999999E-3</v>
      </c>
      <c r="N73" s="45"/>
    </row>
    <row r="74" spans="1:14" ht="18.75" x14ac:dyDescent="0.25">
      <c r="A74" s="306"/>
      <c r="B74" s="323"/>
      <c r="C74" s="22" t="s">
        <v>105</v>
      </c>
      <c r="D74" s="23" t="s">
        <v>17</v>
      </c>
      <c r="E74" s="103">
        <v>0</v>
      </c>
      <c r="F74" s="103">
        <v>0</v>
      </c>
      <c r="G74" s="103">
        <v>0</v>
      </c>
      <c r="H74" s="103">
        <v>0</v>
      </c>
      <c r="I74" s="103">
        <v>0</v>
      </c>
      <c r="J74" s="103">
        <v>0</v>
      </c>
      <c r="K74" s="103">
        <v>0</v>
      </c>
      <c r="L74" s="103">
        <v>0</v>
      </c>
      <c r="M74" s="103">
        <v>0</v>
      </c>
      <c r="N74" s="45"/>
    </row>
    <row r="75" spans="1:14" x14ac:dyDescent="0.25">
      <c r="A75" s="306"/>
      <c r="B75" s="323"/>
      <c r="C75" s="22" t="s">
        <v>11</v>
      </c>
      <c r="D75" s="23" t="s">
        <v>10</v>
      </c>
      <c r="E75" s="103">
        <v>0</v>
      </c>
      <c r="F75" s="103">
        <v>0</v>
      </c>
      <c r="G75" s="103">
        <v>0</v>
      </c>
      <c r="H75" s="103">
        <v>0</v>
      </c>
      <c r="I75" s="103">
        <v>0</v>
      </c>
      <c r="J75" s="103">
        <v>0</v>
      </c>
      <c r="K75" s="103">
        <v>0</v>
      </c>
      <c r="L75" s="103">
        <v>0</v>
      </c>
      <c r="M75" s="103">
        <v>0</v>
      </c>
      <c r="N75" s="45"/>
    </row>
    <row r="76" spans="1:14" x14ac:dyDescent="0.25">
      <c r="A76" s="306"/>
      <c r="B76" s="323"/>
      <c r="C76" s="21" t="s">
        <v>18</v>
      </c>
      <c r="D76" s="2" t="s">
        <v>19</v>
      </c>
      <c r="E76" s="102">
        <v>4.6875</v>
      </c>
      <c r="F76" s="102">
        <v>4.6875</v>
      </c>
      <c r="G76" s="102">
        <v>4.6875</v>
      </c>
      <c r="H76" s="102">
        <v>4.6875</v>
      </c>
      <c r="I76" s="102">
        <v>4.6875</v>
      </c>
      <c r="J76" s="102">
        <v>4.6875</v>
      </c>
      <c r="K76" s="102">
        <v>4.6875</v>
      </c>
      <c r="L76" s="102">
        <v>4.6875</v>
      </c>
      <c r="M76" s="102">
        <v>4.6875</v>
      </c>
      <c r="N76" s="45"/>
    </row>
    <row r="77" spans="1:14" x14ac:dyDescent="0.25">
      <c r="A77" s="306"/>
      <c r="B77" s="323"/>
      <c r="C77" s="21" t="s">
        <v>13</v>
      </c>
      <c r="D77" s="1" t="s">
        <v>14</v>
      </c>
      <c r="E77" s="102"/>
      <c r="F77" s="102"/>
      <c r="G77" s="102"/>
      <c r="H77" s="102"/>
      <c r="I77" s="102"/>
      <c r="J77" s="102"/>
      <c r="K77" s="102"/>
      <c r="L77" s="102"/>
      <c r="M77" s="102"/>
      <c r="N77" s="45"/>
    </row>
    <row r="78" spans="1:14" x14ac:dyDescent="0.25">
      <c r="A78" s="306"/>
      <c r="B78" s="323"/>
      <c r="C78" s="21" t="s">
        <v>15</v>
      </c>
      <c r="D78" s="1" t="s">
        <v>4</v>
      </c>
      <c r="E78" s="102"/>
      <c r="F78" s="102"/>
      <c r="G78" s="102"/>
      <c r="H78" s="102"/>
      <c r="I78" s="102"/>
      <c r="J78" s="102"/>
      <c r="K78" s="102"/>
      <c r="L78" s="102"/>
      <c r="M78" s="102"/>
      <c r="N78" s="45"/>
    </row>
    <row r="79" spans="1:14" x14ac:dyDescent="0.25">
      <c r="A79" s="306"/>
      <c r="B79" s="323"/>
      <c r="C79" s="21" t="s">
        <v>106</v>
      </c>
      <c r="D79" s="1" t="s">
        <v>6</v>
      </c>
      <c r="E79" s="103">
        <v>2962.5638498082421</v>
      </c>
      <c r="F79" s="103">
        <v>2027.1699626993282</v>
      </c>
      <c r="G79" s="103">
        <v>1274.8741817587722</v>
      </c>
      <c r="H79" s="103">
        <v>442.87029020421795</v>
      </c>
      <c r="I79" s="103">
        <v>301.97608311819215</v>
      </c>
      <c r="J79" s="103">
        <v>191.40821792528925</v>
      </c>
      <c r="K79" s="103">
        <v>92.896885443989731</v>
      </c>
      <c r="L79" s="103">
        <v>81.375969664560998</v>
      </c>
      <c r="M79" s="103">
        <v>81.375969664560998</v>
      </c>
      <c r="N79" s="45"/>
    </row>
    <row r="80" spans="1:14" x14ac:dyDescent="0.25">
      <c r="A80" s="306"/>
      <c r="B80" s="323"/>
      <c r="C80" s="21" t="s">
        <v>107</v>
      </c>
      <c r="D80" s="1" t="s">
        <v>4</v>
      </c>
      <c r="E80" s="102"/>
      <c r="F80" s="102"/>
      <c r="G80" s="102"/>
      <c r="H80" s="102"/>
      <c r="I80" s="102"/>
      <c r="J80" s="102"/>
      <c r="K80" s="102"/>
      <c r="L80" s="102"/>
      <c r="M80" s="102"/>
      <c r="N80" s="45"/>
    </row>
    <row r="81" spans="1:14" ht="14.45" customHeight="1" x14ac:dyDescent="0.25">
      <c r="A81" s="306">
        <v>8</v>
      </c>
      <c r="B81" s="323" t="s">
        <v>149</v>
      </c>
      <c r="C81" s="21" t="s">
        <v>101</v>
      </c>
      <c r="D81" s="1" t="s">
        <v>4</v>
      </c>
      <c r="E81" s="102">
        <v>20</v>
      </c>
      <c r="F81" s="102">
        <v>20</v>
      </c>
      <c r="G81" s="102">
        <v>20</v>
      </c>
      <c r="H81" s="102">
        <v>20</v>
      </c>
      <c r="I81" s="102">
        <v>20</v>
      </c>
      <c r="J81" s="102">
        <v>20</v>
      </c>
      <c r="K81" s="102">
        <v>20</v>
      </c>
      <c r="L81" s="102">
        <v>20</v>
      </c>
      <c r="M81" s="102">
        <v>20</v>
      </c>
      <c r="N81" s="45"/>
    </row>
    <row r="82" spans="1:14" x14ac:dyDescent="0.25">
      <c r="A82" s="306"/>
      <c r="B82" s="323"/>
      <c r="C82" s="21" t="s">
        <v>20</v>
      </c>
      <c r="D82" s="1" t="s">
        <v>6</v>
      </c>
      <c r="E82" s="103">
        <v>738.31610915879503</v>
      </c>
      <c r="F82" s="103">
        <v>515.77022112163911</v>
      </c>
      <c r="G82" s="103">
        <v>395.95632283937084</v>
      </c>
      <c r="H82" s="103">
        <v>395.95632283937084</v>
      </c>
      <c r="I82" s="103">
        <v>395.95632283937084</v>
      </c>
      <c r="J82" s="103">
        <v>395.95632283937084</v>
      </c>
      <c r="K82" s="103">
        <v>582.06399999999996</v>
      </c>
      <c r="L82" s="103">
        <v>582.06399999999996</v>
      </c>
      <c r="M82" s="103">
        <v>582.06399999999996</v>
      </c>
      <c r="N82" s="45"/>
    </row>
    <row r="83" spans="1:14" x14ac:dyDescent="0.25">
      <c r="A83" s="306"/>
      <c r="B83" s="323"/>
      <c r="C83" s="21" t="s">
        <v>172</v>
      </c>
      <c r="D83" s="1" t="s">
        <v>19</v>
      </c>
      <c r="E83" s="104">
        <v>0</v>
      </c>
      <c r="F83" s="104">
        <v>0</v>
      </c>
      <c r="G83" s="104">
        <v>0</v>
      </c>
      <c r="H83" s="104">
        <v>0</v>
      </c>
      <c r="I83" s="104">
        <v>0</v>
      </c>
      <c r="J83" s="104">
        <v>0</v>
      </c>
      <c r="K83" s="104">
        <v>0</v>
      </c>
      <c r="L83" s="104">
        <v>0</v>
      </c>
      <c r="M83" s="104">
        <v>0</v>
      </c>
      <c r="N83" s="45"/>
    </row>
    <row r="84" spans="1:14" x14ac:dyDescent="0.25">
      <c r="A84" s="306"/>
      <c r="B84" s="323"/>
      <c r="C84" s="21" t="s">
        <v>102</v>
      </c>
      <c r="D84" s="1" t="s">
        <v>8</v>
      </c>
      <c r="E84" s="102"/>
      <c r="F84" s="102"/>
      <c r="G84" s="102"/>
      <c r="H84" s="102"/>
      <c r="I84" s="102"/>
      <c r="J84" s="102"/>
      <c r="K84" s="102"/>
      <c r="L84" s="102"/>
      <c r="M84" s="102"/>
      <c r="N84" s="45"/>
    </row>
    <row r="85" spans="1:14" x14ac:dyDescent="0.25">
      <c r="A85" s="306"/>
      <c r="B85" s="323"/>
      <c r="C85" s="21" t="s">
        <v>103</v>
      </c>
      <c r="D85" s="1" t="s">
        <v>9</v>
      </c>
      <c r="E85" s="103">
        <v>11.074741637381925</v>
      </c>
      <c r="F85" s="103">
        <v>7.7365533168245868</v>
      </c>
      <c r="G85" s="103">
        <v>5.9393448425905628</v>
      </c>
      <c r="H85" s="103">
        <v>5.9393448425905628</v>
      </c>
      <c r="I85" s="103">
        <v>5.9393448425905628</v>
      </c>
      <c r="J85" s="103">
        <v>5.9393448425905628</v>
      </c>
      <c r="K85" s="103">
        <v>1.583</v>
      </c>
      <c r="L85" s="103">
        <v>1.583</v>
      </c>
      <c r="M85" s="103">
        <v>1.583</v>
      </c>
      <c r="N85" s="45"/>
    </row>
    <row r="86" spans="1:14" x14ac:dyDescent="0.25">
      <c r="A86" s="306"/>
      <c r="B86" s="323"/>
      <c r="C86" s="21" t="s">
        <v>104</v>
      </c>
      <c r="D86" s="1" t="s">
        <v>10</v>
      </c>
      <c r="E86" s="103">
        <v>0</v>
      </c>
      <c r="F86" s="103">
        <v>0</v>
      </c>
      <c r="G86" s="103">
        <v>0</v>
      </c>
      <c r="H86" s="103">
        <v>0</v>
      </c>
      <c r="I86" s="103">
        <v>0</v>
      </c>
      <c r="J86" s="103">
        <v>0</v>
      </c>
      <c r="K86" s="103">
        <v>2.0349999999999999E-3</v>
      </c>
      <c r="L86" s="103">
        <v>2.0349999999999999E-3</v>
      </c>
      <c r="M86" s="103">
        <v>2.0349999999999999E-3</v>
      </c>
      <c r="N86" s="45"/>
    </row>
    <row r="87" spans="1:14" ht="18.75" x14ac:dyDescent="0.25">
      <c r="A87" s="306"/>
      <c r="B87" s="323"/>
      <c r="C87" s="22" t="s">
        <v>105</v>
      </c>
      <c r="D87" s="23" t="s">
        <v>17</v>
      </c>
      <c r="E87" s="103">
        <v>0</v>
      </c>
      <c r="F87" s="103">
        <v>0</v>
      </c>
      <c r="G87" s="103">
        <v>0</v>
      </c>
      <c r="H87" s="103">
        <v>0</v>
      </c>
      <c r="I87" s="103">
        <v>0</v>
      </c>
      <c r="J87" s="103">
        <v>0</v>
      </c>
      <c r="K87" s="103">
        <v>0</v>
      </c>
      <c r="L87" s="103">
        <v>0</v>
      </c>
      <c r="M87" s="103">
        <v>0</v>
      </c>
      <c r="N87" s="45"/>
    </row>
    <row r="88" spans="1:14" x14ac:dyDescent="0.25">
      <c r="A88" s="306"/>
      <c r="B88" s="323"/>
      <c r="C88" s="22" t="s">
        <v>11</v>
      </c>
      <c r="D88" s="23" t="s">
        <v>10</v>
      </c>
      <c r="E88" s="103">
        <v>0</v>
      </c>
      <c r="F88" s="103">
        <v>0</v>
      </c>
      <c r="G88" s="103">
        <v>0</v>
      </c>
      <c r="H88" s="103">
        <v>0</v>
      </c>
      <c r="I88" s="103">
        <v>0</v>
      </c>
      <c r="J88" s="103">
        <v>0</v>
      </c>
      <c r="K88" s="103">
        <v>0</v>
      </c>
      <c r="L88" s="103">
        <v>0</v>
      </c>
      <c r="M88" s="103">
        <v>0</v>
      </c>
      <c r="N88" s="45"/>
    </row>
    <row r="89" spans="1:14" x14ac:dyDescent="0.25">
      <c r="A89" s="306"/>
      <c r="B89" s="323"/>
      <c r="C89" s="21" t="s">
        <v>18</v>
      </c>
      <c r="D89" s="2" t="s">
        <v>19</v>
      </c>
      <c r="E89" s="102">
        <v>4.3549999999999995</v>
      </c>
      <c r="F89" s="102">
        <v>4.3549999999999995</v>
      </c>
      <c r="G89" s="102">
        <v>4.3549999999999995</v>
      </c>
      <c r="H89" s="102">
        <v>4.3549999999999995</v>
      </c>
      <c r="I89" s="102">
        <v>4.3549999999999995</v>
      </c>
      <c r="J89" s="102">
        <v>4.3549999999999995</v>
      </c>
      <c r="K89" s="102">
        <v>4.3549999999999995</v>
      </c>
      <c r="L89" s="102">
        <v>4.3549999999999995</v>
      </c>
      <c r="M89" s="102">
        <v>4.3549999999999995</v>
      </c>
      <c r="N89" s="45"/>
    </row>
    <row r="90" spans="1:14" x14ac:dyDescent="0.25">
      <c r="A90" s="306"/>
      <c r="B90" s="323"/>
      <c r="C90" s="21" t="s">
        <v>13</v>
      </c>
      <c r="D90" s="2" t="s">
        <v>14</v>
      </c>
      <c r="E90" s="102"/>
      <c r="F90" s="102"/>
      <c r="G90" s="102"/>
      <c r="H90" s="102"/>
      <c r="I90" s="102"/>
      <c r="J90" s="102"/>
      <c r="K90" s="102"/>
      <c r="L90" s="102"/>
      <c r="M90" s="102"/>
      <c r="N90" s="45"/>
    </row>
    <row r="91" spans="1:14" x14ac:dyDescent="0.25">
      <c r="A91" s="306"/>
      <c r="B91" s="323"/>
      <c r="C91" s="21" t="s">
        <v>15</v>
      </c>
      <c r="D91" s="1" t="s">
        <v>4</v>
      </c>
      <c r="E91" s="102"/>
      <c r="F91" s="102"/>
      <c r="G91" s="102"/>
      <c r="H91" s="102"/>
      <c r="I91" s="102"/>
      <c r="J91" s="102"/>
      <c r="K91" s="102"/>
      <c r="L91" s="102"/>
      <c r="M91" s="102"/>
      <c r="N91" s="45"/>
    </row>
    <row r="92" spans="1:14" x14ac:dyDescent="0.25">
      <c r="A92" s="306"/>
      <c r="B92" s="323"/>
      <c r="C92" s="21" t="s">
        <v>106</v>
      </c>
      <c r="D92" s="1" t="s">
        <v>6</v>
      </c>
      <c r="E92" s="103">
        <v>2962.5638498082421</v>
      </c>
      <c r="F92" s="103">
        <v>2027.1699626993282</v>
      </c>
      <c r="G92" s="103">
        <v>1274.8741817587722</v>
      </c>
      <c r="H92" s="103">
        <v>442.87029020421795</v>
      </c>
      <c r="I92" s="103">
        <v>301.97608311819215</v>
      </c>
      <c r="J92" s="103">
        <v>191.40821792528925</v>
      </c>
      <c r="K92" s="103">
        <v>92.896885443989731</v>
      </c>
      <c r="L92" s="103">
        <v>81.375969664560998</v>
      </c>
      <c r="M92" s="103">
        <v>81.375969664560998</v>
      </c>
      <c r="N92" s="45"/>
    </row>
    <row r="93" spans="1:14" x14ac:dyDescent="0.25">
      <c r="A93" s="306"/>
      <c r="B93" s="323"/>
      <c r="C93" s="21" t="s">
        <v>107</v>
      </c>
      <c r="D93" s="1" t="s">
        <v>4</v>
      </c>
      <c r="E93" s="102"/>
      <c r="F93" s="102"/>
      <c r="G93" s="102"/>
      <c r="H93" s="102"/>
      <c r="I93" s="102"/>
      <c r="J93" s="102"/>
      <c r="K93" s="102"/>
      <c r="L93" s="102"/>
      <c r="M93" s="102"/>
      <c r="N93" s="45"/>
    </row>
    <row r="94" spans="1:14" ht="15" customHeight="1" x14ac:dyDescent="0.25">
      <c r="A94" s="306">
        <v>9</v>
      </c>
      <c r="B94" s="323" t="s">
        <v>108</v>
      </c>
      <c r="C94" s="21" t="s">
        <v>109</v>
      </c>
      <c r="D94" s="1" t="s">
        <v>19</v>
      </c>
      <c r="E94" s="102">
        <v>1</v>
      </c>
      <c r="F94" s="102">
        <v>1</v>
      </c>
      <c r="G94" s="102">
        <v>1</v>
      </c>
      <c r="H94" s="102">
        <v>1</v>
      </c>
      <c r="I94" s="102">
        <v>1</v>
      </c>
      <c r="J94" s="102">
        <v>1</v>
      </c>
      <c r="K94" s="102">
        <v>1</v>
      </c>
      <c r="L94" s="102">
        <v>1</v>
      </c>
      <c r="M94" s="102">
        <v>1</v>
      </c>
      <c r="N94" s="45"/>
    </row>
    <row r="95" spans="1:14" x14ac:dyDescent="0.25">
      <c r="A95" s="306"/>
      <c r="B95" s="323"/>
      <c r="C95" s="21" t="s">
        <v>21</v>
      </c>
      <c r="D95" s="1" t="s">
        <v>19</v>
      </c>
      <c r="E95" s="102">
        <v>0.35</v>
      </c>
      <c r="F95" s="102">
        <v>0.35</v>
      </c>
      <c r="G95" s="102">
        <v>0.35</v>
      </c>
      <c r="H95" s="102">
        <v>0.35</v>
      </c>
      <c r="I95" s="102">
        <v>0.35</v>
      </c>
      <c r="J95" s="102">
        <v>0.35</v>
      </c>
      <c r="K95" s="102">
        <v>0.35</v>
      </c>
      <c r="L95" s="102">
        <v>0.35</v>
      </c>
      <c r="M95" s="102">
        <v>0.35</v>
      </c>
      <c r="N95" s="45"/>
    </row>
    <row r="96" spans="1:14" x14ac:dyDescent="0.25">
      <c r="A96" s="306"/>
      <c r="B96" s="323"/>
      <c r="C96" s="21" t="s">
        <v>22</v>
      </c>
      <c r="D96" s="1" t="s">
        <v>4</v>
      </c>
      <c r="E96" s="102">
        <v>20</v>
      </c>
      <c r="F96" s="102">
        <v>20</v>
      </c>
      <c r="G96" s="102">
        <v>20</v>
      </c>
      <c r="H96" s="102">
        <v>20</v>
      </c>
      <c r="I96" s="102">
        <v>20</v>
      </c>
      <c r="J96" s="102">
        <v>20</v>
      </c>
      <c r="K96" s="102">
        <v>20</v>
      </c>
      <c r="L96" s="102">
        <v>20</v>
      </c>
      <c r="M96" s="102">
        <v>20</v>
      </c>
      <c r="N96" s="45"/>
    </row>
    <row r="97" spans="1:14" x14ac:dyDescent="0.25">
      <c r="A97" s="306"/>
      <c r="B97" s="323"/>
      <c r="C97" s="21" t="s">
        <v>23</v>
      </c>
      <c r="D97" s="1" t="s">
        <v>6</v>
      </c>
      <c r="E97" s="103">
        <v>197.6111183946131</v>
      </c>
      <c r="F97" s="103">
        <v>167.43356959457475</v>
      </c>
      <c r="G97" s="103">
        <v>130.54476264689706</v>
      </c>
      <c r="H97" s="103">
        <v>105.30120481906971</v>
      </c>
      <c r="I97" s="103">
        <v>107.31263157894738</v>
      </c>
      <c r="J97" s="103">
        <v>107.00631578947369</v>
      </c>
      <c r="K97" s="103">
        <v>105.98526315789475</v>
      </c>
      <c r="L97" s="103">
        <v>103.84105263157896</v>
      </c>
      <c r="M97" s="103">
        <v>99.55263157894737</v>
      </c>
      <c r="N97" s="45"/>
    </row>
    <row r="98" spans="1:14" x14ac:dyDescent="0.25">
      <c r="A98" s="306"/>
      <c r="B98" s="323"/>
      <c r="C98" s="21" t="s">
        <v>173</v>
      </c>
      <c r="D98" s="1" t="s">
        <v>19</v>
      </c>
      <c r="E98" s="104">
        <v>0</v>
      </c>
      <c r="F98" s="104">
        <v>0</v>
      </c>
      <c r="G98" s="104">
        <v>0</v>
      </c>
      <c r="H98" s="104">
        <v>0</v>
      </c>
      <c r="I98" s="104">
        <v>0</v>
      </c>
      <c r="J98" s="104">
        <v>0</v>
      </c>
      <c r="K98" s="104">
        <v>0</v>
      </c>
      <c r="L98" s="104">
        <v>0</v>
      </c>
      <c r="M98" s="104">
        <v>0</v>
      </c>
      <c r="N98" s="45"/>
    </row>
    <row r="99" spans="1:14" x14ac:dyDescent="0.25">
      <c r="A99" s="306"/>
      <c r="B99" s="323"/>
      <c r="C99" s="21" t="s">
        <v>110</v>
      </c>
      <c r="D99" s="1" t="s">
        <v>8</v>
      </c>
      <c r="E99" s="102"/>
      <c r="F99" s="102"/>
      <c r="G99" s="102"/>
      <c r="H99" s="102"/>
      <c r="I99" s="102"/>
      <c r="J99" s="102"/>
      <c r="K99" s="102"/>
      <c r="L99" s="102"/>
      <c r="M99" s="102"/>
      <c r="N99" s="45"/>
    </row>
    <row r="100" spans="1:14" x14ac:dyDescent="0.25">
      <c r="A100" s="306"/>
      <c r="B100" s="323"/>
      <c r="C100" s="21" t="s">
        <v>111</v>
      </c>
      <c r="D100" s="1" t="s">
        <v>9</v>
      </c>
      <c r="E100" s="103">
        <v>5.9283335518383931</v>
      </c>
      <c r="F100" s="103">
        <v>5.0230070878372421</v>
      </c>
      <c r="G100" s="103">
        <v>3.9163428794069115</v>
      </c>
      <c r="H100" s="103">
        <v>3.1590361445720911</v>
      </c>
      <c r="I100" s="103">
        <v>2.0378947368421052</v>
      </c>
      <c r="J100" s="103">
        <v>2.0189473684210526</v>
      </c>
      <c r="K100" s="103">
        <v>1.9557894736842103</v>
      </c>
      <c r="L100" s="103">
        <v>1.8231578947368419</v>
      </c>
      <c r="M100" s="103">
        <v>1.557894736842105</v>
      </c>
      <c r="N100" s="45"/>
    </row>
    <row r="101" spans="1:14" x14ac:dyDescent="0.25">
      <c r="A101" s="306"/>
      <c r="B101" s="323"/>
      <c r="C101" s="21" t="s">
        <v>35</v>
      </c>
      <c r="D101" s="1" t="s">
        <v>10</v>
      </c>
      <c r="E101" s="103">
        <v>0</v>
      </c>
      <c r="F101" s="103">
        <v>0</v>
      </c>
      <c r="G101" s="103">
        <v>0</v>
      </c>
      <c r="H101" s="103">
        <v>0</v>
      </c>
      <c r="I101" s="103">
        <v>0</v>
      </c>
      <c r="J101" s="103">
        <v>0</v>
      </c>
      <c r="K101" s="103">
        <v>1.6858736842105264E-3</v>
      </c>
      <c r="L101" s="103">
        <v>1.5474947368421053E-3</v>
      </c>
      <c r="M101" s="103">
        <v>1.2707368421052633E-3</v>
      </c>
      <c r="N101" s="45"/>
    </row>
    <row r="102" spans="1:14" x14ac:dyDescent="0.25">
      <c r="A102" s="306"/>
      <c r="B102" s="323"/>
      <c r="C102" s="22" t="s">
        <v>24</v>
      </c>
      <c r="D102" s="23" t="s">
        <v>10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45"/>
    </row>
    <row r="103" spans="1:14" x14ac:dyDescent="0.25">
      <c r="A103" s="306"/>
      <c r="B103" s="323"/>
      <c r="C103" s="21" t="s">
        <v>25</v>
      </c>
      <c r="D103" s="1" t="s">
        <v>7</v>
      </c>
      <c r="E103" s="104">
        <v>0.99124999999999996</v>
      </c>
      <c r="F103" s="104">
        <v>0.99124999999999996</v>
      </c>
      <c r="G103" s="104">
        <v>0.99124999999999996</v>
      </c>
      <c r="H103" s="104">
        <v>0.99124999999999996</v>
      </c>
      <c r="I103" s="104">
        <v>0.99124999999999996</v>
      </c>
      <c r="J103" s="104">
        <v>0.99124999999999996</v>
      </c>
      <c r="K103" s="104">
        <v>0.99649999999999994</v>
      </c>
      <c r="L103" s="104">
        <v>0.99649999999999994</v>
      </c>
      <c r="M103" s="104">
        <v>0.99649999999999994</v>
      </c>
      <c r="N103" s="45"/>
    </row>
    <row r="104" spans="1:14" x14ac:dyDescent="0.25">
      <c r="A104" s="306"/>
      <c r="B104" s="323"/>
      <c r="C104" s="21" t="s">
        <v>26</v>
      </c>
      <c r="D104" s="1" t="s">
        <v>14</v>
      </c>
      <c r="E104" s="103">
        <v>1524.6</v>
      </c>
      <c r="F104" s="103">
        <v>1749.6</v>
      </c>
      <c r="G104" s="103">
        <v>2349.6</v>
      </c>
      <c r="H104" s="103">
        <v>3174.6</v>
      </c>
      <c r="I104" s="103">
        <v>4299.6000000000004</v>
      </c>
      <c r="J104" s="103">
        <v>14213</v>
      </c>
      <c r="K104" s="103">
        <v>21713</v>
      </c>
      <c r="L104" s="103">
        <v>37463</v>
      </c>
      <c r="M104" s="103">
        <v>68963</v>
      </c>
      <c r="N104" s="45"/>
    </row>
    <row r="105" spans="1:14" x14ac:dyDescent="0.25">
      <c r="A105" s="306"/>
      <c r="B105" s="323"/>
      <c r="C105" s="21" t="s">
        <v>27</v>
      </c>
      <c r="D105" s="1" t="s">
        <v>4</v>
      </c>
      <c r="E105" s="102">
        <v>40</v>
      </c>
      <c r="F105" s="102">
        <v>40</v>
      </c>
      <c r="G105" s="102">
        <v>40</v>
      </c>
      <c r="H105" s="102">
        <v>40</v>
      </c>
      <c r="I105" s="102">
        <v>40</v>
      </c>
      <c r="J105" s="102">
        <v>40</v>
      </c>
      <c r="K105" s="102">
        <v>40</v>
      </c>
      <c r="L105" s="102">
        <v>40</v>
      </c>
      <c r="M105" s="102">
        <v>40</v>
      </c>
      <c r="N105" s="45"/>
    </row>
    <row r="106" spans="1:14" x14ac:dyDescent="0.25">
      <c r="A106" s="306"/>
      <c r="B106" s="323"/>
      <c r="C106" s="21" t="s">
        <v>112</v>
      </c>
      <c r="D106" s="1" t="s">
        <v>19</v>
      </c>
      <c r="E106" s="102">
        <v>0.5</v>
      </c>
      <c r="F106" s="102">
        <v>0.5</v>
      </c>
      <c r="G106" s="102">
        <v>0.5</v>
      </c>
      <c r="H106" s="102">
        <v>0.5</v>
      </c>
      <c r="I106" s="102">
        <v>0.5</v>
      </c>
      <c r="J106" s="102">
        <v>0.5</v>
      </c>
      <c r="K106" s="102">
        <v>0.5</v>
      </c>
      <c r="L106" s="102">
        <v>0.5</v>
      </c>
      <c r="M106" s="102">
        <v>0.5</v>
      </c>
      <c r="N106" s="45"/>
    </row>
    <row r="107" spans="1:14" x14ac:dyDescent="0.25">
      <c r="A107" s="306"/>
      <c r="B107" s="323"/>
      <c r="C107" s="21" t="s">
        <v>28</v>
      </c>
      <c r="D107" s="1" t="s">
        <v>19</v>
      </c>
      <c r="E107" s="102">
        <v>1.3</v>
      </c>
      <c r="F107" s="102">
        <v>1.3</v>
      </c>
      <c r="G107" s="102">
        <v>1.3</v>
      </c>
      <c r="H107" s="102">
        <v>1.3</v>
      </c>
      <c r="I107" s="102">
        <v>1.3</v>
      </c>
      <c r="J107" s="102">
        <v>1.3</v>
      </c>
      <c r="K107" s="102">
        <v>1.3</v>
      </c>
      <c r="L107" s="102">
        <v>1.3</v>
      </c>
      <c r="M107" s="102">
        <v>1.3</v>
      </c>
      <c r="N107" s="45"/>
    </row>
    <row r="108" spans="1:14" x14ac:dyDescent="0.25">
      <c r="A108" s="306"/>
      <c r="B108" s="323"/>
      <c r="C108" s="21" t="s">
        <v>29</v>
      </c>
      <c r="D108" s="1" t="s">
        <v>4</v>
      </c>
      <c r="E108" s="102">
        <v>20</v>
      </c>
      <c r="F108" s="102">
        <v>20</v>
      </c>
      <c r="G108" s="102">
        <v>20</v>
      </c>
      <c r="H108" s="102">
        <v>20</v>
      </c>
      <c r="I108" s="102">
        <v>20</v>
      </c>
      <c r="J108" s="102">
        <v>20</v>
      </c>
      <c r="K108" s="102">
        <v>20</v>
      </c>
      <c r="L108" s="102">
        <v>20</v>
      </c>
      <c r="M108" s="102">
        <v>20</v>
      </c>
      <c r="N108" s="45"/>
    </row>
    <row r="109" spans="1:14" x14ac:dyDescent="0.25">
      <c r="A109" s="306"/>
      <c r="B109" s="323"/>
      <c r="C109" s="21" t="s">
        <v>30</v>
      </c>
      <c r="D109" s="1" t="s">
        <v>6</v>
      </c>
      <c r="E109" s="103">
        <v>1090.397833965246</v>
      </c>
      <c r="F109" s="103">
        <v>778.63646317000416</v>
      </c>
      <c r="G109" s="103">
        <v>515.89289850747139</v>
      </c>
      <c r="H109" s="103">
        <v>433.81353547553391</v>
      </c>
      <c r="I109" s="103">
        <v>433.81353547553391</v>
      </c>
      <c r="J109" s="103">
        <v>433.81353547553391</v>
      </c>
      <c r="K109" s="103">
        <v>1268.6839450200719</v>
      </c>
      <c r="L109" s="103">
        <v>1103.7248587624642</v>
      </c>
      <c r="M109" s="103">
        <v>970.23156182094863</v>
      </c>
      <c r="N109" s="45"/>
    </row>
    <row r="110" spans="1:14" x14ac:dyDescent="0.25">
      <c r="A110" s="306"/>
      <c r="B110" s="323"/>
      <c r="C110" s="21" t="s">
        <v>174</v>
      </c>
      <c r="D110" s="1" t="s">
        <v>19</v>
      </c>
      <c r="E110" s="104">
        <v>0</v>
      </c>
      <c r="F110" s="104">
        <v>0</v>
      </c>
      <c r="G110" s="104">
        <v>0</v>
      </c>
      <c r="H110" s="104">
        <v>0</v>
      </c>
      <c r="I110" s="104">
        <v>0</v>
      </c>
      <c r="J110" s="104">
        <v>0</v>
      </c>
      <c r="K110" s="104">
        <v>0</v>
      </c>
      <c r="L110" s="104">
        <v>0</v>
      </c>
      <c r="M110" s="104">
        <v>0</v>
      </c>
      <c r="N110" s="45"/>
    </row>
    <row r="111" spans="1:14" x14ac:dyDescent="0.25">
      <c r="A111" s="306"/>
      <c r="B111" s="323"/>
      <c r="C111" s="21" t="s">
        <v>113</v>
      </c>
      <c r="D111" s="1" t="s">
        <v>8</v>
      </c>
      <c r="E111" s="102"/>
      <c r="F111" s="102"/>
      <c r="G111" s="102"/>
      <c r="H111" s="102"/>
      <c r="I111" s="102"/>
      <c r="J111" s="102"/>
      <c r="K111" s="102"/>
      <c r="L111" s="102"/>
      <c r="M111" s="102"/>
      <c r="N111" s="45"/>
    </row>
    <row r="112" spans="1:14" x14ac:dyDescent="0.25">
      <c r="A112" s="306"/>
      <c r="B112" s="323"/>
      <c r="C112" s="21" t="s">
        <v>114</v>
      </c>
      <c r="D112" s="1" t="s">
        <v>9</v>
      </c>
      <c r="E112" s="102"/>
      <c r="F112" s="102"/>
      <c r="G112" s="102"/>
      <c r="H112" s="102"/>
      <c r="I112" s="102"/>
      <c r="J112" s="102"/>
      <c r="K112" s="102"/>
      <c r="L112" s="102"/>
      <c r="M112" s="102"/>
      <c r="N112" s="45"/>
    </row>
    <row r="113" spans="1:15" x14ac:dyDescent="0.25">
      <c r="A113" s="306"/>
      <c r="B113" s="323"/>
      <c r="C113" s="21" t="s">
        <v>115</v>
      </c>
      <c r="D113" s="1" t="s">
        <v>10</v>
      </c>
      <c r="E113" s="103">
        <v>0</v>
      </c>
      <c r="F113" s="103">
        <v>0</v>
      </c>
      <c r="G113" s="103">
        <v>0</v>
      </c>
      <c r="H113" s="103">
        <v>0</v>
      </c>
      <c r="I113" s="103">
        <v>0</v>
      </c>
      <c r="J113" s="103">
        <v>0</v>
      </c>
      <c r="K113" s="103">
        <v>0</v>
      </c>
      <c r="L113" s="103">
        <v>2.0349999999999999E-3</v>
      </c>
      <c r="M113" s="103">
        <v>2.0349999999999999E-3</v>
      </c>
      <c r="N113" s="48"/>
      <c r="O113" s="49"/>
    </row>
    <row r="114" spans="1:15" ht="18.75" x14ac:dyDescent="0.25">
      <c r="A114" s="306"/>
      <c r="B114" s="323"/>
      <c r="C114" s="22" t="s">
        <v>116</v>
      </c>
      <c r="D114" s="23" t="s">
        <v>17</v>
      </c>
      <c r="E114" s="103">
        <v>0</v>
      </c>
      <c r="F114" s="103">
        <v>0</v>
      </c>
      <c r="G114" s="103">
        <v>0</v>
      </c>
      <c r="H114" s="103">
        <v>0</v>
      </c>
      <c r="I114" s="103">
        <v>0</v>
      </c>
      <c r="J114" s="103">
        <v>0</v>
      </c>
      <c r="K114" s="103">
        <v>0</v>
      </c>
      <c r="L114" s="103">
        <v>0</v>
      </c>
      <c r="M114" s="103">
        <v>0</v>
      </c>
      <c r="N114" s="45"/>
    </row>
    <row r="115" spans="1:15" x14ac:dyDescent="0.25">
      <c r="A115" s="306"/>
      <c r="B115" s="323"/>
      <c r="C115" s="22" t="s">
        <v>31</v>
      </c>
      <c r="D115" s="23" t="s">
        <v>10</v>
      </c>
      <c r="E115" s="103">
        <v>0</v>
      </c>
      <c r="F115" s="103">
        <v>0</v>
      </c>
      <c r="G115" s="103">
        <v>0</v>
      </c>
      <c r="H115" s="103">
        <v>0</v>
      </c>
      <c r="I115" s="103">
        <v>0</v>
      </c>
      <c r="J115" s="103">
        <v>0</v>
      </c>
      <c r="K115" s="103">
        <v>0</v>
      </c>
      <c r="L115" s="103">
        <v>0</v>
      </c>
      <c r="M115" s="103">
        <v>0</v>
      </c>
      <c r="N115" s="45"/>
    </row>
    <row r="116" spans="1:15" x14ac:dyDescent="0.25">
      <c r="A116" s="306"/>
      <c r="B116" s="323"/>
      <c r="C116" s="21" t="s">
        <v>32</v>
      </c>
      <c r="D116" s="2" t="s">
        <v>19</v>
      </c>
      <c r="E116" s="102">
        <v>3.4299999999999997</v>
      </c>
      <c r="F116" s="102">
        <v>3.4299999999999997</v>
      </c>
      <c r="G116" s="102">
        <v>3.4299999999999997</v>
      </c>
      <c r="H116" s="102">
        <v>3.4299999999999997</v>
      </c>
      <c r="I116" s="102">
        <v>3.4299999999999997</v>
      </c>
      <c r="J116" s="102">
        <v>3.4299999999999997</v>
      </c>
      <c r="K116" s="102">
        <v>3.4299999999999997</v>
      </c>
      <c r="L116" s="102">
        <v>3.4299999999999997</v>
      </c>
      <c r="M116" s="102">
        <v>3.4299999999999997</v>
      </c>
      <c r="N116" s="45"/>
    </row>
    <row r="117" spans="1:15" x14ac:dyDescent="0.25">
      <c r="A117" s="306"/>
      <c r="B117" s="323"/>
      <c r="C117" s="21" t="s">
        <v>33</v>
      </c>
      <c r="D117" s="2" t="s">
        <v>14</v>
      </c>
      <c r="E117" s="102"/>
      <c r="F117" s="102"/>
      <c r="G117" s="102"/>
      <c r="H117" s="102"/>
      <c r="I117" s="102"/>
      <c r="J117" s="102"/>
      <c r="K117" s="102"/>
      <c r="L117" s="102"/>
      <c r="M117" s="102"/>
      <c r="N117" s="45"/>
    </row>
    <row r="118" spans="1:15" x14ac:dyDescent="0.25">
      <c r="A118" s="306"/>
      <c r="B118" s="323"/>
      <c r="C118" s="21" t="s">
        <v>34</v>
      </c>
      <c r="D118" s="2" t="s">
        <v>4</v>
      </c>
      <c r="E118" s="102"/>
      <c r="F118" s="102"/>
      <c r="G118" s="102"/>
      <c r="H118" s="102"/>
      <c r="I118" s="102"/>
      <c r="J118" s="102"/>
      <c r="K118" s="102"/>
      <c r="L118" s="102"/>
      <c r="M118" s="102"/>
      <c r="N118" s="45"/>
    </row>
    <row r="119" spans="1:15" ht="15" customHeight="1" x14ac:dyDescent="0.25">
      <c r="A119" s="306">
        <v>10</v>
      </c>
      <c r="B119" s="323" t="s">
        <v>175</v>
      </c>
      <c r="C119" s="21" t="s">
        <v>109</v>
      </c>
      <c r="D119" s="1" t="s">
        <v>19</v>
      </c>
      <c r="E119" s="102">
        <v>1</v>
      </c>
      <c r="F119" s="102">
        <v>1</v>
      </c>
      <c r="G119" s="102">
        <v>1</v>
      </c>
      <c r="H119" s="102">
        <v>1</v>
      </c>
      <c r="I119" s="102">
        <v>1</v>
      </c>
      <c r="J119" s="102">
        <v>1</v>
      </c>
      <c r="K119" s="102">
        <v>1</v>
      </c>
      <c r="L119" s="102">
        <v>1</v>
      </c>
      <c r="M119" s="102">
        <v>1</v>
      </c>
      <c r="N119" s="45"/>
    </row>
    <row r="120" spans="1:15" x14ac:dyDescent="0.25">
      <c r="A120" s="306"/>
      <c r="B120" s="323"/>
      <c r="C120" s="21" t="s">
        <v>21</v>
      </c>
      <c r="D120" s="1" t="s">
        <v>19</v>
      </c>
      <c r="E120" s="102">
        <v>0.35</v>
      </c>
      <c r="F120" s="102">
        <v>0.35</v>
      </c>
      <c r="G120" s="102">
        <v>0.35</v>
      </c>
      <c r="H120" s="102">
        <v>0.35</v>
      </c>
      <c r="I120" s="102">
        <v>0.35</v>
      </c>
      <c r="J120" s="102">
        <v>0.35</v>
      </c>
      <c r="K120" s="102">
        <v>0.35</v>
      </c>
      <c r="L120" s="102">
        <v>0.35</v>
      </c>
      <c r="M120" s="102">
        <v>0.35</v>
      </c>
      <c r="N120" s="45"/>
    </row>
    <row r="121" spans="1:15" x14ac:dyDescent="0.25">
      <c r="A121" s="306"/>
      <c r="B121" s="323"/>
      <c r="C121" s="21" t="s">
        <v>22</v>
      </c>
      <c r="D121" s="1" t="s">
        <v>4</v>
      </c>
      <c r="E121" s="102">
        <v>20</v>
      </c>
      <c r="F121" s="102">
        <v>20</v>
      </c>
      <c r="G121" s="102">
        <v>20</v>
      </c>
      <c r="H121" s="102">
        <v>20</v>
      </c>
      <c r="I121" s="102">
        <v>20</v>
      </c>
      <c r="J121" s="102">
        <v>20</v>
      </c>
      <c r="K121" s="102">
        <v>20</v>
      </c>
      <c r="L121" s="102">
        <v>20</v>
      </c>
      <c r="M121" s="102">
        <v>20</v>
      </c>
      <c r="N121" s="45"/>
    </row>
    <row r="122" spans="1:15" x14ac:dyDescent="0.25">
      <c r="A122" s="306"/>
      <c r="B122" s="323"/>
      <c r="C122" s="21" t="s">
        <v>23</v>
      </c>
      <c r="D122" s="1" t="s">
        <v>6</v>
      </c>
      <c r="E122" s="103">
        <v>197.6111183946131</v>
      </c>
      <c r="F122" s="103">
        <v>167.43356959457475</v>
      </c>
      <c r="G122" s="103">
        <v>130.54476264689706</v>
      </c>
      <c r="H122" s="103">
        <v>105.30120481906971</v>
      </c>
      <c r="I122" s="103">
        <v>107.31263157894738</v>
      </c>
      <c r="J122" s="103">
        <v>107.00631578947369</v>
      </c>
      <c r="K122" s="103">
        <v>105.98526315789475</v>
      </c>
      <c r="L122" s="103">
        <v>103.84105263157896</v>
      </c>
      <c r="M122" s="103">
        <v>99.55263157894737</v>
      </c>
      <c r="N122" s="45"/>
    </row>
    <row r="123" spans="1:15" x14ac:dyDescent="0.25">
      <c r="A123" s="306"/>
      <c r="B123" s="323"/>
      <c r="C123" s="21" t="s">
        <v>173</v>
      </c>
      <c r="D123" s="1" t="s">
        <v>19</v>
      </c>
      <c r="E123" s="104">
        <v>0</v>
      </c>
      <c r="F123" s="104">
        <v>0</v>
      </c>
      <c r="G123" s="104">
        <v>0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45"/>
    </row>
    <row r="124" spans="1:15" x14ac:dyDescent="0.25">
      <c r="A124" s="306"/>
      <c r="B124" s="323"/>
      <c r="C124" s="21" t="s">
        <v>110</v>
      </c>
      <c r="D124" s="1" t="s">
        <v>8</v>
      </c>
      <c r="E124" s="102"/>
      <c r="F124" s="102"/>
      <c r="G124" s="102"/>
      <c r="H124" s="102"/>
      <c r="I124" s="102"/>
      <c r="J124" s="102"/>
      <c r="K124" s="102"/>
      <c r="L124" s="102"/>
      <c r="M124" s="102"/>
      <c r="N124" s="45"/>
    </row>
    <row r="125" spans="1:15" x14ac:dyDescent="0.25">
      <c r="A125" s="306"/>
      <c r="B125" s="323"/>
      <c r="C125" s="21" t="s">
        <v>111</v>
      </c>
      <c r="D125" s="1" t="s">
        <v>9</v>
      </c>
      <c r="E125" s="103">
        <v>5.9283335518383931</v>
      </c>
      <c r="F125" s="103">
        <v>5.0230070878372421</v>
      </c>
      <c r="G125" s="103">
        <v>3.9163428794069115</v>
      </c>
      <c r="H125" s="103">
        <v>3.1590361445720911</v>
      </c>
      <c r="I125" s="103">
        <v>2.0378947368421052</v>
      </c>
      <c r="J125" s="103">
        <v>2.0189473684210526</v>
      </c>
      <c r="K125" s="103">
        <v>1.9557894736842103</v>
      </c>
      <c r="L125" s="103">
        <v>1.8231578947368419</v>
      </c>
      <c r="M125" s="103">
        <v>1.557894736842105</v>
      </c>
      <c r="N125" s="45"/>
    </row>
    <row r="126" spans="1:15" x14ac:dyDescent="0.25">
      <c r="A126" s="306"/>
      <c r="B126" s="323"/>
      <c r="C126" s="21" t="s">
        <v>35</v>
      </c>
      <c r="D126" s="1" t="s">
        <v>10</v>
      </c>
      <c r="E126" s="103">
        <v>0</v>
      </c>
      <c r="F126" s="103">
        <v>0</v>
      </c>
      <c r="G126" s="103">
        <v>0</v>
      </c>
      <c r="H126" s="103">
        <v>0</v>
      </c>
      <c r="I126" s="103">
        <v>0</v>
      </c>
      <c r="J126" s="103">
        <v>0</v>
      </c>
      <c r="K126" s="103">
        <v>1.6858736842105264E-3</v>
      </c>
      <c r="L126" s="103">
        <v>1.5474947368421053E-3</v>
      </c>
      <c r="M126" s="103">
        <v>1.2707368421052633E-3</v>
      </c>
      <c r="N126" s="45"/>
    </row>
    <row r="127" spans="1:15" x14ac:dyDescent="0.25">
      <c r="A127" s="306"/>
      <c r="B127" s="323"/>
      <c r="C127" s="22" t="s">
        <v>24</v>
      </c>
      <c r="D127" s="23" t="s">
        <v>10</v>
      </c>
      <c r="E127" s="103">
        <v>0</v>
      </c>
      <c r="F127" s="103">
        <v>0</v>
      </c>
      <c r="G127" s="103">
        <v>0</v>
      </c>
      <c r="H127" s="103">
        <v>0</v>
      </c>
      <c r="I127" s="103">
        <v>0</v>
      </c>
      <c r="J127" s="103">
        <v>0</v>
      </c>
      <c r="K127" s="103">
        <v>0</v>
      </c>
      <c r="L127" s="103">
        <v>0</v>
      </c>
      <c r="M127" s="103">
        <v>0</v>
      </c>
      <c r="N127" s="45"/>
    </row>
    <row r="128" spans="1:15" x14ac:dyDescent="0.25">
      <c r="A128" s="306"/>
      <c r="B128" s="323"/>
      <c r="C128" s="21" t="s">
        <v>25</v>
      </c>
      <c r="D128" s="1" t="s">
        <v>7</v>
      </c>
      <c r="E128" s="104">
        <v>0.99124999999999996</v>
      </c>
      <c r="F128" s="104">
        <v>0.99124999999999996</v>
      </c>
      <c r="G128" s="104">
        <v>0.99124999999999996</v>
      </c>
      <c r="H128" s="104">
        <v>0.99124999999999996</v>
      </c>
      <c r="I128" s="104">
        <v>0.99124999999999996</v>
      </c>
      <c r="J128" s="104">
        <v>0.99124999999999996</v>
      </c>
      <c r="K128" s="104">
        <v>0.99649999999999994</v>
      </c>
      <c r="L128" s="104">
        <v>0.99649999999999994</v>
      </c>
      <c r="M128" s="104">
        <v>0.99649999999999994</v>
      </c>
      <c r="N128" s="45"/>
    </row>
    <row r="129" spans="1:14" x14ac:dyDescent="0.25">
      <c r="A129" s="306"/>
      <c r="B129" s="323"/>
      <c r="C129" s="21" t="s">
        <v>26</v>
      </c>
      <c r="D129" s="1" t="s">
        <v>14</v>
      </c>
      <c r="E129" s="103">
        <v>1524.6</v>
      </c>
      <c r="F129" s="103">
        <v>1749.6</v>
      </c>
      <c r="G129" s="103">
        <v>2349.6</v>
      </c>
      <c r="H129" s="103">
        <v>3174.6</v>
      </c>
      <c r="I129" s="103">
        <v>4299.6000000000004</v>
      </c>
      <c r="J129" s="103">
        <v>14213</v>
      </c>
      <c r="K129" s="103">
        <v>21713</v>
      </c>
      <c r="L129" s="103">
        <v>37463</v>
      </c>
      <c r="M129" s="103">
        <v>68963</v>
      </c>
      <c r="N129" s="45"/>
    </row>
    <row r="130" spans="1:14" x14ac:dyDescent="0.25">
      <c r="A130" s="306"/>
      <c r="B130" s="323"/>
      <c r="C130" s="21" t="s">
        <v>27</v>
      </c>
      <c r="D130" s="1" t="s">
        <v>4</v>
      </c>
      <c r="E130" s="102">
        <v>40</v>
      </c>
      <c r="F130" s="102">
        <v>40</v>
      </c>
      <c r="G130" s="102">
        <v>40</v>
      </c>
      <c r="H130" s="102">
        <v>40</v>
      </c>
      <c r="I130" s="102">
        <v>40</v>
      </c>
      <c r="J130" s="102">
        <v>40</v>
      </c>
      <c r="K130" s="102">
        <v>40</v>
      </c>
      <c r="L130" s="102">
        <v>40</v>
      </c>
      <c r="M130" s="102">
        <v>40</v>
      </c>
      <c r="N130" s="45"/>
    </row>
    <row r="131" spans="1:14" x14ac:dyDescent="0.25">
      <c r="A131" s="306"/>
      <c r="B131" s="323"/>
      <c r="C131" s="21" t="s">
        <v>117</v>
      </c>
      <c r="D131" s="1" t="s">
        <v>19</v>
      </c>
      <c r="E131" s="102">
        <v>0.35</v>
      </c>
      <c r="F131" s="102">
        <v>0.35</v>
      </c>
      <c r="G131" s="102">
        <v>0.35</v>
      </c>
      <c r="H131" s="102">
        <v>0.35</v>
      </c>
      <c r="I131" s="102">
        <v>0.35</v>
      </c>
      <c r="J131" s="102">
        <v>0.35</v>
      </c>
      <c r="K131" s="102">
        <v>0.35</v>
      </c>
      <c r="L131" s="102">
        <v>0.35</v>
      </c>
      <c r="M131" s="102">
        <v>0.35</v>
      </c>
      <c r="N131" s="45"/>
    </row>
    <row r="132" spans="1:14" x14ac:dyDescent="0.25">
      <c r="A132" s="306"/>
      <c r="B132" s="323"/>
      <c r="C132" s="21" t="s">
        <v>36</v>
      </c>
      <c r="D132" s="1" t="s">
        <v>19</v>
      </c>
      <c r="E132" s="102">
        <v>1.8571428571428572</v>
      </c>
      <c r="F132" s="102">
        <v>1.8571428571428572</v>
      </c>
      <c r="G132" s="102">
        <v>1.8571428571428572</v>
      </c>
      <c r="H132" s="102">
        <v>1.8571428571428572</v>
      </c>
      <c r="I132" s="102">
        <v>1.8571428571428572</v>
      </c>
      <c r="J132" s="102">
        <v>1.8571428571428572</v>
      </c>
      <c r="K132" s="102">
        <v>1.8571428571428572</v>
      </c>
      <c r="L132" s="102">
        <v>1.8571428571428572</v>
      </c>
      <c r="M132" s="102">
        <v>1.8571428571428572</v>
      </c>
      <c r="N132" s="45"/>
    </row>
    <row r="133" spans="1:14" x14ac:dyDescent="0.25">
      <c r="A133" s="306"/>
      <c r="B133" s="323"/>
      <c r="C133" s="21" t="s">
        <v>37</v>
      </c>
      <c r="D133" s="1" t="s">
        <v>4</v>
      </c>
      <c r="E133" s="102">
        <v>20</v>
      </c>
      <c r="F133" s="102">
        <v>20</v>
      </c>
      <c r="G133" s="102">
        <v>20</v>
      </c>
      <c r="H133" s="102">
        <v>20</v>
      </c>
      <c r="I133" s="102">
        <v>20</v>
      </c>
      <c r="J133" s="102">
        <v>20</v>
      </c>
      <c r="K133" s="102">
        <v>20</v>
      </c>
      <c r="L133" s="102">
        <v>20</v>
      </c>
      <c r="M133" s="102">
        <v>20</v>
      </c>
      <c r="N133" s="45"/>
    </row>
    <row r="134" spans="1:14" x14ac:dyDescent="0.25">
      <c r="A134" s="306"/>
      <c r="B134" s="323"/>
      <c r="C134" s="21" t="s">
        <v>38</v>
      </c>
      <c r="D134" s="1" t="s">
        <v>6</v>
      </c>
      <c r="E134" s="103">
        <v>6164.6383832423717</v>
      </c>
      <c r="F134" s="103">
        <v>4148.5230456644149</v>
      </c>
      <c r="G134" s="103">
        <v>2556.3762612328273</v>
      </c>
      <c r="H134" s="103">
        <v>2029.3996454702053</v>
      </c>
      <c r="I134" s="103">
        <v>1711.4923611115926</v>
      </c>
      <c r="J134" s="103">
        <v>1355.2644648583628</v>
      </c>
      <c r="K134" s="103">
        <v>1064.4923090556324</v>
      </c>
      <c r="L134" s="103">
        <v>855.19192060813634</v>
      </c>
      <c r="M134" s="103">
        <v>698.34303740823668</v>
      </c>
      <c r="N134" s="45"/>
    </row>
    <row r="135" spans="1:14" x14ac:dyDescent="0.25">
      <c r="A135" s="306"/>
      <c r="B135" s="323"/>
      <c r="C135" s="21" t="s">
        <v>176</v>
      </c>
      <c r="D135" s="1" t="s">
        <v>19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45"/>
    </row>
    <row r="136" spans="1:14" x14ac:dyDescent="0.25">
      <c r="A136" s="306"/>
      <c r="B136" s="323"/>
      <c r="C136" s="21" t="s">
        <v>118</v>
      </c>
      <c r="D136" s="1" t="s">
        <v>8</v>
      </c>
      <c r="E136" s="102"/>
      <c r="F136" s="102"/>
      <c r="G136" s="102"/>
      <c r="H136" s="102"/>
      <c r="I136" s="102"/>
      <c r="J136" s="102"/>
      <c r="K136" s="102"/>
      <c r="L136" s="102"/>
      <c r="M136" s="102"/>
      <c r="N136" s="45"/>
    </row>
    <row r="137" spans="1:14" x14ac:dyDescent="0.25">
      <c r="A137" s="306"/>
      <c r="B137" s="323"/>
      <c r="C137" s="21" t="s">
        <v>119</v>
      </c>
      <c r="D137" s="1" t="s">
        <v>9</v>
      </c>
      <c r="E137" s="102"/>
      <c r="F137" s="102"/>
      <c r="G137" s="102"/>
      <c r="H137" s="102"/>
      <c r="I137" s="102"/>
      <c r="J137" s="102"/>
      <c r="K137" s="102"/>
      <c r="L137" s="102"/>
      <c r="M137" s="102"/>
      <c r="N137" s="45"/>
    </row>
    <row r="138" spans="1:14" x14ac:dyDescent="0.25">
      <c r="A138" s="306"/>
      <c r="B138" s="323"/>
      <c r="C138" s="21" t="s">
        <v>39</v>
      </c>
      <c r="D138" s="1" t="s">
        <v>10</v>
      </c>
      <c r="E138" s="103">
        <v>5.4632155805897732E-2</v>
      </c>
      <c r="F138" s="103">
        <v>6.9225169277652349E-2</v>
      </c>
      <c r="G138" s="103">
        <v>5.5072970988733948E-2</v>
      </c>
      <c r="H138" s="103">
        <v>4.6604222305577481E-2</v>
      </c>
      <c r="I138" s="103">
        <v>4.0289223212275231E-2</v>
      </c>
      <c r="J138" s="103">
        <v>2.4583755873341454E-2</v>
      </c>
      <c r="K138" s="103">
        <v>1.9104989606490121E-2</v>
      </c>
      <c r="L138" s="103">
        <v>1.5182594783541725E-2</v>
      </c>
      <c r="M138" s="103">
        <v>1.3307545040231683E-2</v>
      </c>
      <c r="N138" s="45"/>
    </row>
    <row r="139" spans="1:14" x14ac:dyDescent="0.25">
      <c r="A139" s="306"/>
      <c r="B139" s="323"/>
      <c r="C139" s="22" t="s">
        <v>40</v>
      </c>
      <c r="D139" s="23" t="s">
        <v>10</v>
      </c>
      <c r="E139" s="103">
        <v>0</v>
      </c>
      <c r="F139" s="103">
        <v>0</v>
      </c>
      <c r="G139" s="103">
        <v>0</v>
      </c>
      <c r="H139" s="103">
        <v>0</v>
      </c>
      <c r="I139" s="103">
        <v>0</v>
      </c>
      <c r="J139" s="103">
        <v>0</v>
      </c>
      <c r="K139" s="103">
        <v>0</v>
      </c>
      <c r="L139" s="103">
        <v>0</v>
      </c>
      <c r="M139" s="103">
        <v>0</v>
      </c>
      <c r="N139" s="45"/>
    </row>
    <row r="140" spans="1:14" x14ac:dyDescent="0.25">
      <c r="A140" s="306"/>
      <c r="B140" s="323"/>
      <c r="C140" s="21" t="s">
        <v>41</v>
      </c>
      <c r="D140" s="1" t="s">
        <v>14</v>
      </c>
      <c r="E140" s="102"/>
      <c r="F140" s="102"/>
      <c r="G140" s="102"/>
      <c r="H140" s="102"/>
      <c r="I140" s="102"/>
      <c r="J140" s="102"/>
      <c r="K140" s="102"/>
      <c r="L140" s="102"/>
      <c r="M140" s="102"/>
      <c r="N140" s="45"/>
    </row>
    <row r="141" spans="1:14" x14ac:dyDescent="0.25">
      <c r="A141" s="306"/>
      <c r="B141" s="323"/>
      <c r="C141" s="21" t="s">
        <v>42</v>
      </c>
      <c r="D141" s="1" t="s">
        <v>4</v>
      </c>
      <c r="E141" s="102"/>
      <c r="F141" s="102"/>
      <c r="G141" s="102"/>
      <c r="H141" s="102"/>
      <c r="I141" s="102"/>
      <c r="J141" s="102"/>
      <c r="K141" s="102"/>
      <c r="L141" s="102"/>
      <c r="M141" s="102"/>
      <c r="N141" s="45"/>
    </row>
    <row r="142" spans="1:14" x14ac:dyDescent="0.25">
      <c r="A142" s="306"/>
      <c r="B142" s="323"/>
      <c r="C142" s="21" t="s">
        <v>43</v>
      </c>
      <c r="D142" s="1" t="s">
        <v>7</v>
      </c>
      <c r="E142" s="105">
        <v>0.25</v>
      </c>
      <c r="F142" s="105">
        <v>0.25</v>
      </c>
      <c r="G142" s="105">
        <v>0.25</v>
      </c>
      <c r="H142" s="105">
        <v>0.25</v>
      </c>
      <c r="I142" s="105">
        <v>0.25</v>
      </c>
      <c r="J142" s="105">
        <v>0.25</v>
      </c>
      <c r="K142" s="105">
        <v>0.25</v>
      </c>
      <c r="L142" s="105">
        <v>0.25</v>
      </c>
      <c r="M142" s="105">
        <v>0.25</v>
      </c>
      <c r="N142" s="45"/>
    </row>
    <row r="143" spans="1:14" x14ac:dyDescent="0.25">
      <c r="A143" s="306"/>
      <c r="B143" s="323"/>
      <c r="C143" s="24" t="s">
        <v>44</v>
      </c>
      <c r="D143" s="1" t="s">
        <v>7</v>
      </c>
      <c r="E143" s="104">
        <v>0.66625430833964439</v>
      </c>
      <c r="F143" s="104">
        <v>0.66367464936796561</v>
      </c>
      <c r="G143" s="104">
        <v>0.65679555877682227</v>
      </c>
      <c r="H143" s="104">
        <v>0.64733680921400016</v>
      </c>
      <c r="I143" s="104">
        <v>0.63443851435560639</v>
      </c>
      <c r="J143" s="104">
        <v>0.4680070358050421</v>
      </c>
      <c r="K143" s="104">
        <v>0.46713859851464173</v>
      </c>
      <c r="L143" s="104">
        <v>0.46531488020480088</v>
      </c>
      <c r="M143" s="104">
        <v>0.47</v>
      </c>
      <c r="N143" s="45"/>
    </row>
    <row r="144" spans="1:14" x14ac:dyDescent="0.25">
      <c r="A144" s="306"/>
      <c r="B144" s="323"/>
      <c r="C144" s="24" t="s">
        <v>45</v>
      </c>
      <c r="D144" s="1" t="s">
        <v>7</v>
      </c>
      <c r="E144" s="104">
        <v>0.25092243745356524</v>
      </c>
      <c r="F144" s="104">
        <v>0.25657675134016689</v>
      </c>
      <c r="G144" s="104">
        <v>0.27165492170443795</v>
      </c>
      <c r="H144" s="104">
        <v>0.29238740595531065</v>
      </c>
      <c r="I144" s="104">
        <v>0.32065897538831889</v>
      </c>
      <c r="J144" s="104">
        <v>0.41290384467151914</v>
      </c>
      <c r="K144" s="104">
        <v>0.41363974384019625</v>
      </c>
      <c r="L144" s="104">
        <v>0.41518513209441815</v>
      </c>
      <c r="M144" s="104">
        <v>0.41599999999999998</v>
      </c>
      <c r="N144" s="45"/>
    </row>
    <row r="145" spans="1:14" x14ac:dyDescent="0.25">
      <c r="A145" s="306"/>
      <c r="B145" s="323"/>
      <c r="C145" s="25" t="s">
        <v>120</v>
      </c>
      <c r="D145" s="23" t="s">
        <v>10</v>
      </c>
      <c r="E145" s="103">
        <v>0</v>
      </c>
      <c r="F145" s="103">
        <v>0</v>
      </c>
      <c r="G145" s="103">
        <v>0</v>
      </c>
      <c r="H145" s="103">
        <v>0</v>
      </c>
      <c r="I145" s="103">
        <v>0</v>
      </c>
      <c r="J145" s="103">
        <v>0</v>
      </c>
      <c r="K145" s="103">
        <v>0</v>
      </c>
      <c r="L145" s="103">
        <v>0</v>
      </c>
      <c r="M145" s="103">
        <v>0</v>
      </c>
      <c r="N145" s="45"/>
    </row>
    <row r="146" spans="1:14" x14ac:dyDescent="0.25">
      <c r="A146" s="306"/>
      <c r="B146" s="323"/>
      <c r="C146" s="25" t="s">
        <v>121</v>
      </c>
      <c r="D146" s="23" t="s">
        <v>122</v>
      </c>
      <c r="E146" s="103">
        <v>0</v>
      </c>
      <c r="F146" s="103">
        <v>0</v>
      </c>
      <c r="G146" s="103">
        <v>0</v>
      </c>
      <c r="H146" s="103">
        <v>0</v>
      </c>
      <c r="I146" s="103">
        <v>0</v>
      </c>
      <c r="J146" s="103">
        <v>0</v>
      </c>
      <c r="K146" s="103">
        <v>0</v>
      </c>
      <c r="L146" s="103">
        <v>0</v>
      </c>
      <c r="M146" s="103">
        <v>0</v>
      </c>
      <c r="N146" s="45"/>
    </row>
    <row r="147" spans="1:14" x14ac:dyDescent="0.25">
      <c r="A147" s="306"/>
      <c r="B147" s="323"/>
      <c r="C147" s="25" t="s">
        <v>123</v>
      </c>
      <c r="D147" s="23" t="s">
        <v>124</v>
      </c>
      <c r="E147" s="102">
        <v>0</v>
      </c>
      <c r="F147" s="102">
        <v>0</v>
      </c>
      <c r="G147" s="102">
        <v>0</v>
      </c>
      <c r="H147" s="102">
        <v>0</v>
      </c>
      <c r="I147" s="102">
        <v>0</v>
      </c>
      <c r="J147" s="102">
        <v>0</v>
      </c>
      <c r="K147" s="102">
        <v>0</v>
      </c>
      <c r="L147" s="102">
        <v>0</v>
      </c>
      <c r="M147" s="102">
        <v>0</v>
      </c>
      <c r="N147" s="45"/>
    </row>
    <row r="148" spans="1:14" ht="15" customHeight="1" x14ac:dyDescent="0.25">
      <c r="A148" s="306">
        <v>11</v>
      </c>
      <c r="B148" s="323" t="s">
        <v>177</v>
      </c>
      <c r="C148" s="21" t="s">
        <v>109</v>
      </c>
      <c r="D148" s="1" t="s">
        <v>19</v>
      </c>
      <c r="E148" s="102">
        <v>1</v>
      </c>
      <c r="F148" s="102">
        <v>1</v>
      </c>
      <c r="G148" s="102">
        <v>1</v>
      </c>
      <c r="H148" s="102">
        <v>1</v>
      </c>
      <c r="I148" s="102">
        <v>1</v>
      </c>
      <c r="J148" s="102">
        <v>1</v>
      </c>
      <c r="K148" s="102">
        <v>1</v>
      </c>
      <c r="L148" s="102">
        <v>1</v>
      </c>
      <c r="M148" s="102">
        <v>1</v>
      </c>
      <c r="N148" s="45"/>
    </row>
    <row r="149" spans="1:14" x14ac:dyDescent="0.25">
      <c r="A149" s="306"/>
      <c r="B149" s="323"/>
      <c r="C149" s="21" t="s">
        <v>21</v>
      </c>
      <c r="D149" s="1" t="s">
        <v>19</v>
      </c>
      <c r="E149" s="102">
        <v>0.35</v>
      </c>
      <c r="F149" s="102">
        <v>0.35</v>
      </c>
      <c r="G149" s="102">
        <v>0.35</v>
      </c>
      <c r="H149" s="102">
        <v>0.35</v>
      </c>
      <c r="I149" s="102">
        <v>0.35</v>
      </c>
      <c r="J149" s="102">
        <v>0.35</v>
      </c>
      <c r="K149" s="102">
        <v>0.35</v>
      </c>
      <c r="L149" s="102">
        <v>0.35</v>
      </c>
      <c r="M149" s="102">
        <v>0.35</v>
      </c>
      <c r="N149" s="45"/>
    </row>
    <row r="150" spans="1:14" x14ac:dyDescent="0.25">
      <c r="A150" s="306"/>
      <c r="B150" s="323"/>
      <c r="C150" s="21" t="s">
        <v>22</v>
      </c>
      <c r="D150" s="1" t="s">
        <v>4</v>
      </c>
      <c r="E150" s="102">
        <v>20</v>
      </c>
      <c r="F150" s="102">
        <v>20</v>
      </c>
      <c r="G150" s="102">
        <v>20</v>
      </c>
      <c r="H150" s="102">
        <v>20</v>
      </c>
      <c r="I150" s="102">
        <v>20</v>
      </c>
      <c r="J150" s="102">
        <v>20</v>
      </c>
      <c r="K150" s="102">
        <v>20</v>
      </c>
      <c r="L150" s="102">
        <v>20</v>
      </c>
      <c r="M150" s="102">
        <v>20</v>
      </c>
      <c r="N150" s="45"/>
    </row>
    <row r="151" spans="1:14" x14ac:dyDescent="0.25">
      <c r="A151" s="306"/>
      <c r="B151" s="323"/>
      <c r="C151" s="21" t="s">
        <v>23</v>
      </c>
      <c r="D151" s="1" t="s">
        <v>6</v>
      </c>
      <c r="E151" s="103">
        <v>197.6111183946131</v>
      </c>
      <c r="F151" s="103">
        <v>167.43356959457475</v>
      </c>
      <c r="G151" s="103">
        <v>130.54476264689706</v>
      </c>
      <c r="H151" s="103">
        <v>105.30120481906971</v>
      </c>
      <c r="I151" s="103">
        <v>107.31263157894738</v>
      </c>
      <c r="J151" s="103">
        <v>107.00631578947369</v>
      </c>
      <c r="K151" s="103">
        <v>105.98526315789475</v>
      </c>
      <c r="L151" s="103">
        <v>103.84105263157896</v>
      </c>
      <c r="M151" s="103">
        <v>99.55263157894737</v>
      </c>
      <c r="N151" s="45"/>
    </row>
    <row r="152" spans="1:14" x14ac:dyDescent="0.25">
      <c r="A152" s="306"/>
      <c r="B152" s="323"/>
      <c r="C152" s="21" t="s">
        <v>173</v>
      </c>
      <c r="D152" s="1" t="s">
        <v>19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45"/>
    </row>
    <row r="153" spans="1:14" x14ac:dyDescent="0.25">
      <c r="A153" s="306"/>
      <c r="B153" s="323"/>
      <c r="C153" s="21" t="s">
        <v>110</v>
      </c>
      <c r="D153" s="1" t="s">
        <v>8</v>
      </c>
      <c r="E153" s="102"/>
      <c r="F153" s="102"/>
      <c r="G153" s="102"/>
      <c r="H153" s="102"/>
      <c r="I153" s="102"/>
      <c r="J153" s="102"/>
      <c r="K153" s="102"/>
      <c r="L153" s="102"/>
      <c r="M153" s="102"/>
      <c r="N153" s="45"/>
    </row>
    <row r="154" spans="1:14" x14ac:dyDescent="0.25">
      <c r="A154" s="306"/>
      <c r="B154" s="323"/>
      <c r="C154" s="21" t="s">
        <v>111</v>
      </c>
      <c r="D154" s="1" t="s">
        <v>9</v>
      </c>
      <c r="E154" s="103">
        <v>5.9283335518383931</v>
      </c>
      <c r="F154" s="103">
        <v>5.0230070878372421</v>
      </c>
      <c r="G154" s="103">
        <v>3.9163428794069115</v>
      </c>
      <c r="H154" s="103">
        <v>3.1590361445720911</v>
      </c>
      <c r="I154" s="103">
        <v>2.0378947368421052</v>
      </c>
      <c r="J154" s="103">
        <v>2.0189473684210526</v>
      </c>
      <c r="K154" s="103">
        <v>1.9557894736842103</v>
      </c>
      <c r="L154" s="103">
        <v>1.8231578947368419</v>
      </c>
      <c r="M154" s="103">
        <v>1.557894736842105</v>
      </c>
      <c r="N154" s="45"/>
    </row>
    <row r="155" spans="1:14" x14ac:dyDescent="0.25">
      <c r="A155" s="306"/>
      <c r="B155" s="323"/>
      <c r="C155" s="21" t="s">
        <v>35</v>
      </c>
      <c r="D155" s="1" t="s">
        <v>10</v>
      </c>
      <c r="E155" s="103">
        <v>0</v>
      </c>
      <c r="F155" s="103">
        <v>0</v>
      </c>
      <c r="G155" s="103">
        <v>0</v>
      </c>
      <c r="H155" s="103">
        <v>0</v>
      </c>
      <c r="I155" s="103">
        <v>0</v>
      </c>
      <c r="J155" s="103">
        <v>0</v>
      </c>
      <c r="K155" s="103">
        <v>1.6858736842105264E-3</v>
      </c>
      <c r="L155" s="103">
        <v>1.5474947368421053E-3</v>
      </c>
      <c r="M155" s="103">
        <v>1.2707368421052633E-3</v>
      </c>
      <c r="N155" s="45"/>
    </row>
    <row r="156" spans="1:14" x14ac:dyDescent="0.25">
      <c r="A156" s="306"/>
      <c r="B156" s="323"/>
      <c r="C156" s="22" t="s">
        <v>24</v>
      </c>
      <c r="D156" s="23" t="s">
        <v>10</v>
      </c>
      <c r="E156" s="103">
        <v>0</v>
      </c>
      <c r="F156" s="103">
        <v>0</v>
      </c>
      <c r="G156" s="103">
        <v>0</v>
      </c>
      <c r="H156" s="103">
        <v>0</v>
      </c>
      <c r="I156" s="103">
        <v>0</v>
      </c>
      <c r="J156" s="103">
        <v>0</v>
      </c>
      <c r="K156" s="103">
        <v>0</v>
      </c>
      <c r="L156" s="103">
        <v>0</v>
      </c>
      <c r="M156" s="103">
        <v>0</v>
      </c>
      <c r="N156" s="45"/>
    </row>
    <row r="157" spans="1:14" x14ac:dyDescent="0.25">
      <c r="A157" s="306"/>
      <c r="B157" s="323"/>
      <c r="C157" s="21" t="s">
        <v>25</v>
      </c>
      <c r="D157" s="1" t="s">
        <v>7</v>
      </c>
      <c r="E157" s="102">
        <v>0.99124999999999996</v>
      </c>
      <c r="F157" s="102">
        <v>0.99124999999999996</v>
      </c>
      <c r="G157" s="102">
        <v>0.99124999999999996</v>
      </c>
      <c r="H157" s="102">
        <v>0.99124999999999996</v>
      </c>
      <c r="I157" s="102">
        <v>0.99124999999999996</v>
      </c>
      <c r="J157" s="102">
        <v>0.99124999999999996</v>
      </c>
      <c r="K157" s="102">
        <v>0.99649999999999994</v>
      </c>
      <c r="L157" s="102">
        <v>0.99649999999999994</v>
      </c>
      <c r="M157" s="102">
        <v>0.99649999999999994</v>
      </c>
      <c r="N157" s="45"/>
    </row>
    <row r="158" spans="1:14" x14ac:dyDescent="0.25">
      <c r="A158" s="306"/>
      <c r="B158" s="323"/>
      <c r="C158" s="21" t="s">
        <v>26</v>
      </c>
      <c r="D158" s="1" t="s">
        <v>14</v>
      </c>
      <c r="E158" s="103">
        <v>1524.6</v>
      </c>
      <c r="F158" s="103">
        <v>1749.6</v>
      </c>
      <c r="G158" s="103">
        <v>2349.6</v>
      </c>
      <c r="H158" s="103">
        <v>3174.6</v>
      </c>
      <c r="I158" s="103">
        <v>4299.6000000000004</v>
      </c>
      <c r="J158" s="103">
        <v>14213</v>
      </c>
      <c r="K158" s="103">
        <v>21713</v>
      </c>
      <c r="L158" s="103">
        <v>37463</v>
      </c>
      <c r="M158" s="103">
        <v>68963</v>
      </c>
      <c r="N158" s="45"/>
    </row>
    <row r="159" spans="1:14" x14ac:dyDescent="0.25">
      <c r="A159" s="306"/>
      <c r="B159" s="323"/>
      <c r="C159" s="21" t="s">
        <v>27</v>
      </c>
      <c r="D159" s="1" t="s">
        <v>4</v>
      </c>
      <c r="E159" s="102">
        <v>40</v>
      </c>
      <c r="F159" s="102">
        <v>40</v>
      </c>
      <c r="G159" s="102">
        <v>40</v>
      </c>
      <c r="H159" s="102">
        <v>40</v>
      </c>
      <c r="I159" s="102">
        <v>40</v>
      </c>
      <c r="J159" s="102">
        <v>40</v>
      </c>
      <c r="K159" s="102">
        <v>40</v>
      </c>
      <c r="L159" s="102">
        <v>40</v>
      </c>
      <c r="M159" s="102">
        <v>40</v>
      </c>
      <c r="N159" s="45"/>
    </row>
    <row r="160" spans="1:14" x14ac:dyDescent="0.25">
      <c r="A160" s="306"/>
      <c r="B160" s="323"/>
      <c r="C160" s="21" t="s">
        <v>117</v>
      </c>
      <c r="D160" s="1" t="s">
        <v>19</v>
      </c>
      <c r="E160" s="102">
        <v>0.35</v>
      </c>
      <c r="F160" s="102">
        <v>0.35</v>
      </c>
      <c r="G160" s="102">
        <v>0.35</v>
      </c>
      <c r="H160" s="102">
        <v>0.35</v>
      </c>
      <c r="I160" s="102">
        <v>0.35</v>
      </c>
      <c r="J160" s="102">
        <v>0.35</v>
      </c>
      <c r="K160" s="102">
        <v>0.35</v>
      </c>
      <c r="L160" s="102">
        <v>0.35</v>
      </c>
      <c r="M160" s="102">
        <v>0.35</v>
      </c>
      <c r="N160" s="45"/>
    </row>
    <row r="161" spans="1:14" x14ac:dyDescent="0.25">
      <c r="A161" s="306"/>
      <c r="B161" s="323"/>
      <c r="C161" s="21" t="s">
        <v>36</v>
      </c>
      <c r="D161" s="1" t="s">
        <v>19</v>
      </c>
      <c r="E161" s="102">
        <v>1.8571428571428572</v>
      </c>
      <c r="F161" s="102">
        <v>1.8571428571428572</v>
      </c>
      <c r="G161" s="102">
        <v>1.8571428571428572</v>
      </c>
      <c r="H161" s="102">
        <v>1.8571428571428572</v>
      </c>
      <c r="I161" s="102">
        <v>1.8571428571428572</v>
      </c>
      <c r="J161" s="102">
        <v>1.8571428571428572</v>
      </c>
      <c r="K161" s="102">
        <v>1.8571428571428572</v>
      </c>
      <c r="L161" s="102">
        <v>1.8571428571428572</v>
      </c>
      <c r="M161" s="102">
        <v>1.8571428571428572</v>
      </c>
      <c r="N161" s="45"/>
    </row>
    <row r="162" spans="1:14" x14ac:dyDescent="0.25">
      <c r="A162" s="306"/>
      <c r="B162" s="323"/>
      <c r="C162" s="21" t="s">
        <v>37</v>
      </c>
      <c r="D162" s="1" t="s">
        <v>4</v>
      </c>
      <c r="E162" s="102">
        <v>20</v>
      </c>
      <c r="F162" s="102">
        <v>20</v>
      </c>
      <c r="G162" s="102">
        <v>20</v>
      </c>
      <c r="H162" s="102">
        <v>20</v>
      </c>
      <c r="I162" s="102">
        <v>20</v>
      </c>
      <c r="J162" s="102">
        <v>20</v>
      </c>
      <c r="K162" s="102">
        <v>20</v>
      </c>
      <c r="L162" s="102">
        <v>20</v>
      </c>
      <c r="M162" s="102">
        <v>20</v>
      </c>
      <c r="N162" s="45"/>
    </row>
    <row r="163" spans="1:14" x14ac:dyDescent="0.25">
      <c r="A163" s="306"/>
      <c r="B163" s="323"/>
      <c r="C163" s="21" t="s">
        <v>38</v>
      </c>
      <c r="D163" s="1" t="s">
        <v>6</v>
      </c>
      <c r="E163" s="103">
        <v>6164.6383832423717</v>
      </c>
      <c r="F163" s="103">
        <v>4148.5230456644149</v>
      </c>
      <c r="G163" s="103">
        <v>2556.3762612328273</v>
      </c>
      <c r="H163" s="103">
        <v>2029.3996454702053</v>
      </c>
      <c r="I163" s="103">
        <v>1711.4923611115926</v>
      </c>
      <c r="J163" s="103">
        <v>1355.2644648583628</v>
      </c>
      <c r="K163" s="103">
        <v>1064.4923090556324</v>
      </c>
      <c r="L163" s="103">
        <v>855.19192060813634</v>
      </c>
      <c r="M163" s="103">
        <v>698.34303740823668</v>
      </c>
      <c r="N163" s="45"/>
    </row>
    <row r="164" spans="1:14" x14ac:dyDescent="0.25">
      <c r="A164" s="306"/>
      <c r="B164" s="323"/>
      <c r="C164" s="21" t="s">
        <v>176</v>
      </c>
      <c r="D164" s="1" t="s">
        <v>19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45"/>
    </row>
    <row r="165" spans="1:14" x14ac:dyDescent="0.25">
      <c r="A165" s="306"/>
      <c r="B165" s="323"/>
      <c r="C165" s="21" t="s">
        <v>118</v>
      </c>
      <c r="D165" s="1" t="s">
        <v>8</v>
      </c>
      <c r="E165" s="102"/>
      <c r="F165" s="102"/>
      <c r="G165" s="102"/>
      <c r="H165" s="102"/>
      <c r="I165" s="102"/>
      <c r="J165" s="102"/>
      <c r="K165" s="102"/>
      <c r="L165" s="102"/>
      <c r="M165" s="102"/>
      <c r="N165" s="45"/>
    </row>
    <row r="166" spans="1:14" x14ac:dyDescent="0.25">
      <c r="A166" s="306"/>
      <c r="B166" s="323"/>
      <c r="C166" s="21" t="s">
        <v>119</v>
      </c>
      <c r="D166" s="1" t="s">
        <v>9</v>
      </c>
      <c r="E166" s="102"/>
      <c r="F166" s="102"/>
      <c r="G166" s="102"/>
      <c r="H166" s="102"/>
      <c r="I166" s="102"/>
      <c r="J166" s="102"/>
      <c r="K166" s="102"/>
      <c r="L166" s="102"/>
      <c r="M166" s="102"/>
      <c r="N166" s="45"/>
    </row>
    <row r="167" spans="1:14" x14ac:dyDescent="0.25">
      <c r="A167" s="306"/>
      <c r="B167" s="323"/>
      <c r="C167" s="21" t="s">
        <v>39</v>
      </c>
      <c r="D167" s="1" t="s">
        <v>10</v>
      </c>
      <c r="E167" s="103">
        <v>5.4632155805897732E-2</v>
      </c>
      <c r="F167" s="103">
        <v>6.9225169277652349E-2</v>
      </c>
      <c r="G167" s="103">
        <v>5.5072970988733948E-2</v>
      </c>
      <c r="H167" s="103">
        <v>4.6604222305577481E-2</v>
      </c>
      <c r="I167" s="103">
        <v>4.0289223212275231E-2</v>
      </c>
      <c r="J167" s="103">
        <v>2.4583755873341454E-2</v>
      </c>
      <c r="K167" s="103">
        <v>1.9104989606490121E-2</v>
      </c>
      <c r="L167" s="103">
        <v>1.5182594783541725E-2</v>
      </c>
      <c r="M167" s="103">
        <v>1.3307545040231683E-2</v>
      </c>
      <c r="N167" s="45"/>
    </row>
    <row r="168" spans="1:14" x14ac:dyDescent="0.25">
      <c r="A168" s="306"/>
      <c r="B168" s="323"/>
      <c r="C168" s="22" t="s">
        <v>40</v>
      </c>
      <c r="D168" s="23" t="s">
        <v>10</v>
      </c>
      <c r="E168" s="103">
        <v>0</v>
      </c>
      <c r="F168" s="103">
        <v>0</v>
      </c>
      <c r="G168" s="103">
        <v>0</v>
      </c>
      <c r="H168" s="103">
        <v>0</v>
      </c>
      <c r="I168" s="103">
        <v>0</v>
      </c>
      <c r="J168" s="103">
        <v>0</v>
      </c>
      <c r="K168" s="103">
        <v>0</v>
      </c>
      <c r="L168" s="103">
        <v>0</v>
      </c>
      <c r="M168" s="103">
        <v>0</v>
      </c>
      <c r="N168" s="45"/>
    </row>
    <row r="169" spans="1:14" x14ac:dyDescent="0.25">
      <c r="A169" s="306"/>
      <c r="B169" s="323"/>
      <c r="C169" s="21" t="s">
        <v>41</v>
      </c>
      <c r="D169" s="1" t="s">
        <v>14</v>
      </c>
      <c r="E169" s="102"/>
      <c r="F169" s="102"/>
      <c r="G169" s="102"/>
      <c r="H169" s="102"/>
      <c r="I169" s="102"/>
      <c r="J169" s="102"/>
      <c r="K169" s="102"/>
      <c r="L169" s="102"/>
      <c r="M169" s="102"/>
      <c r="N169" s="45"/>
    </row>
    <row r="170" spans="1:14" x14ac:dyDescent="0.25">
      <c r="A170" s="306"/>
      <c r="B170" s="323"/>
      <c r="C170" s="21" t="s">
        <v>42</v>
      </c>
      <c r="D170" s="1" t="s">
        <v>4</v>
      </c>
      <c r="E170" s="102"/>
      <c r="F170" s="102"/>
      <c r="G170" s="102"/>
      <c r="H170" s="102"/>
      <c r="I170" s="102"/>
      <c r="J170" s="102"/>
      <c r="K170" s="102"/>
      <c r="L170" s="102"/>
      <c r="M170" s="102"/>
      <c r="N170" s="45"/>
    </row>
    <row r="171" spans="1:14" x14ac:dyDescent="0.25">
      <c r="A171" s="306"/>
      <c r="B171" s="323"/>
      <c r="C171" s="21" t="s">
        <v>43</v>
      </c>
      <c r="D171" s="1" t="s">
        <v>7</v>
      </c>
      <c r="E171" s="105">
        <v>0.5</v>
      </c>
      <c r="F171" s="105">
        <v>0.5</v>
      </c>
      <c r="G171" s="105">
        <v>0.5</v>
      </c>
      <c r="H171" s="105">
        <v>0.5</v>
      </c>
      <c r="I171" s="105">
        <v>0.5</v>
      </c>
      <c r="J171" s="105">
        <v>0.5</v>
      </c>
      <c r="K171" s="105">
        <v>0.5</v>
      </c>
      <c r="L171" s="105">
        <v>0.5</v>
      </c>
      <c r="M171" s="105">
        <v>0.5</v>
      </c>
      <c r="N171" s="45"/>
    </row>
    <row r="172" spans="1:14" ht="14.45" customHeight="1" x14ac:dyDescent="0.25">
      <c r="A172" s="306"/>
      <c r="B172" s="323"/>
      <c r="C172" s="24" t="s">
        <v>44</v>
      </c>
      <c r="D172" s="1" t="s">
        <v>7</v>
      </c>
      <c r="E172" s="104">
        <v>0.66625430833964439</v>
      </c>
      <c r="F172" s="104">
        <v>0.66367464936796561</v>
      </c>
      <c r="G172" s="104">
        <v>0.65679555877682227</v>
      </c>
      <c r="H172" s="104">
        <v>0.64733680921400016</v>
      </c>
      <c r="I172" s="104">
        <v>0.63443851435560639</v>
      </c>
      <c r="J172" s="104">
        <v>0.4680070358050421</v>
      </c>
      <c r="K172" s="104">
        <v>0.46713859851464173</v>
      </c>
      <c r="L172" s="104">
        <v>0.46531488020480088</v>
      </c>
      <c r="M172" s="104">
        <v>0.47</v>
      </c>
      <c r="N172" s="45"/>
    </row>
    <row r="173" spans="1:14" ht="14.45" customHeight="1" x14ac:dyDescent="0.25">
      <c r="A173" s="306"/>
      <c r="B173" s="323"/>
      <c r="C173" s="24" t="s">
        <v>45</v>
      </c>
      <c r="D173" s="1" t="s">
        <v>7</v>
      </c>
      <c r="E173" s="104">
        <v>0.25092243745356524</v>
      </c>
      <c r="F173" s="104">
        <v>0.25657675134016689</v>
      </c>
      <c r="G173" s="104">
        <v>0.27165492170443795</v>
      </c>
      <c r="H173" s="104">
        <v>0.29238740595531065</v>
      </c>
      <c r="I173" s="104">
        <v>0.32065897538831889</v>
      </c>
      <c r="J173" s="104">
        <v>0.41290384467151914</v>
      </c>
      <c r="K173" s="104">
        <v>0.41363974384019625</v>
      </c>
      <c r="L173" s="104">
        <v>0.41518513209441815</v>
      </c>
      <c r="M173" s="104">
        <v>0.41599999999999998</v>
      </c>
      <c r="N173" s="45"/>
    </row>
    <row r="174" spans="1:14" ht="14.45" customHeight="1" x14ac:dyDescent="0.25">
      <c r="A174" s="306"/>
      <c r="B174" s="323"/>
      <c r="C174" s="25" t="s">
        <v>120</v>
      </c>
      <c r="D174" s="23" t="s">
        <v>10</v>
      </c>
      <c r="E174" s="103">
        <v>0</v>
      </c>
      <c r="F174" s="103">
        <v>0</v>
      </c>
      <c r="G174" s="103">
        <v>0</v>
      </c>
      <c r="H174" s="103">
        <v>0</v>
      </c>
      <c r="I174" s="103">
        <v>0</v>
      </c>
      <c r="J174" s="103">
        <v>0</v>
      </c>
      <c r="K174" s="103">
        <v>0</v>
      </c>
      <c r="L174" s="103">
        <v>0</v>
      </c>
      <c r="M174" s="103">
        <v>0</v>
      </c>
      <c r="N174" s="45"/>
    </row>
    <row r="175" spans="1:14" ht="14.45" customHeight="1" x14ac:dyDescent="0.25">
      <c r="A175" s="306"/>
      <c r="B175" s="323"/>
      <c r="C175" s="25" t="s">
        <v>121</v>
      </c>
      <c r="D175" s="23" t="s">
        <v>122</v>
      </c>
      <c r="E175" s="103">
        <v>0</v>
      </c>
      <c r="F175" s="103">
        <v>0</v>
      </c>
      <c r="G175" s="103">
        <v>0</v>
      </c>
      <c r="H175" s="103">
        <v>0</v>
      </c>
      <c r="I175" s="103">
        <v>0</v>
      </c>
      <c r="J175" s="103">
        <v>0</v>
      </c>
      <c r="K175" s="103">
        <v>0</v>
      </c>
      <c r="L175" s="103">
        <v>0</v>
      </c>
      <c r="M175" s="103">
        <v>0</v>
      </c>
      <c r="N175" s="45"/>
    </row>
    <row r="176" spans="1:14" ht="14.45" customHeight="1" x14ac:dyDescent="0.25">
      <c r="A176" s="306"/>
      <c r="B176" s="323"/>
      <c r="C176" s="25" t="s">
        <v>123</v>
      </c>
      <c r="D176" s="23" t="s">
        <v>124</v>
      </c>
      <c r="E176" s="102">
        <v>0</v>
      </c>
      <c r="F176" s="102">
        <v>0</v>
      </c>
      <c r="G176" s="102">
        <v>0</v>
      </c>
      <c r="H176" s="102">
        <v>0</v>
      </c>
      <c r="I176" s="102">
        <v>0</v>
      </c>
      <c r="J176" s="102">
        <v>0</v>
      </c>
      <c r="K176" s="102">
        <v>0</v>
      </c>
      <c r="L176" s="102">
        <v>0</v>
      </c>
      <c r="M176" s="102">
        <v>0</v>
      </c>
      <c r="N176" s="45"/>
    </row>
    <row r="177" spans="1:14" ht="14.45" customHeight="1" x14ac:dyDescent="0.25">
      <c r="A177" s="306">
        <v>12</v>
      </c>
      <c r="B177" s="323" t="s">
        <v>178</v>
      </c>
      <c r="C177" s="21" t="s">
        <v>109</v>
      </c>
      <c r="D177" s="1" t="s">
        <v>19</v>
      </c>
      <c r="E177" s="106">
        <v>1</v>
      </c>
      <c r="F177" s="106">
        <v>1</v>
      </c>
      <c r="G177" s="106">
        <v>1</v>
      </c>
      <c r="H177" s="106">
        <v>1</v>
      </c>
      <c r="I177" s="106">
        <v>1</v>
      </c>
      <c r="J177" s="106">
        <v>1</v>
      </c>
      <c r="K177" s="106">
        <v>1</v>
      </c>
      <c r="L177" s="106">
        <v>1</v>
      </c>
      <c r="M177" s="106">
        <v>1</v>
      </c>
      <c r="N177" s="45"/>
    </row>
    <row r="178" spans="1:14" x14ac:dyDescent="0.25">
      <c r="A178" s="306"/>
      <c r="B178" s="323"/>
      <c r="C178" s="21" t="s">
        <v>21</v>
      </c>
      <c r="D178" s="1" t="s">
        <v>19</v>
      </c>
      <c r="E178" s="102">
        <v>0.8</v>
      </c>
      <c r="F178" s="102">
        <v>0.8</v>
      </c>
      <c r="G178" s="102">
        <v>0.8</v>
      </c>
      <c r="H178" s="102">
        <v>0.8</v>
      </c>
      <c r="I178" s="102">
        <v>0.8</v>
      </c>
      <c r="J178" s="102">
        <v>0.8</v>
      </c>
      <c r="K178" s="102">
        <v>0.8</v>
      </c>
      <c r="L178" s="102">
        <v>0.8</v>
      </c>
      <c r="M178" s="102">
        <v>0.8</v>
      </c>
      <c r="N178" s="45"/>
    </row>
    <row r="179" spans="1:14" x14ac:dyDescent="0.25">
      <c r="A179" s="306"/>
      <c r="B179" s="323"/>
      <c r="C179" s="21" t="s">
        <v>22</v>
      </c>
      <c r="D179" s="1" t="s">
        <v>4</v>
      </c>
      <c r="E179" s="102">
        <v>20</v>
      </c>
      <c r="F179" s="102">
        <v>20</v>
      </c>
      <c r="G179" s="102">
        <v>20</v>
      </c>
      <c r="H179" s="102">
        <v>20</v>
      </c>
      <c r="I179" s="102">
        <v>20</v>
      </c>
      <c r="J179" s="102">
        <v>20</v>
      </c>
      <c r="K179" s="102">
        <v>20</v>
      </c>
      <c r="L179" s="102">
        <v>20</v>
      </c>
      <c r="M179" s="102">
        <v>20</v>
      </c>
      <c r="N179" s="45"/>
    </row>
    <row r="180" spans="1:14" x14ac:dyDescent="0.25">
      <c r="A180" s="306"/>
      <c r="B180" s="323"/>
      <c r="C180" s="21" t="s">
        <v>23</v>
      </c>
      <c r="D180" s="1" t="s">
        <v>6</v>
      </c>
      <c r="E180" s="103">
        <v>197.6111183946131</v>
      </c>
      <c r="F180" s="103">
        <v>167.43356959457475</v>
      </c>
      <c r="G180" s="103">
        <v>130.54476264689706</v>
      </c>
      <c r="H180" s="103">
        <v>105.30120481906971</v>
      </c>
      <c r="I180" s="103">
        <v>107.31263157894738</v>
      </c>
      <c r="J180" s="103">
        <v>107.00631578947369</v>
      </c>
      <c r="K180" s="103">
        <v>105.98526315789475</v>
      </c>
      <c r="L180" s="103">
        <v>103.84105263157896</v>
      </c>
      <c r="M180" s="103">
        <v>99.55263157894737</v>
      </c>
      <c r="N180" s="45"/>
    </row>
    <row r="181" spans="1:14" ht="14.45" customHeight="1" x14ac:dyDescent="0.25">
      <c r="A181" s="306"/>
      <c r="B181" s="323"/>
      <c r="C181" s="21" t="s">
        <v>173</v>
      </c>
      <c r="D181" s="1" t="s">
        <v>19</v>
      </c>
      <c r="E181" s="104">
        <v>0</v>
      </c>
      <c r="F181" s="104">
        <v>0</v>
      </c>
      <c r="G181" s="104">
        <v>0</v>
      </c>
      <c r="H181" s="104">
        <v>0</v>
      </c>
      <c r="I181" s="104">
        <v>0</v>
      </c>
      <c r="J181" s="104">
        <v>0</v>
      </c>
      <c r="K181" s="104">
        <v>0</v>
      </c>
      <c r="L181" s="104">
        <v>0</v>
      </c>
      <c r="M181" s="104">
        <v>0</v>
      </c>
      <c r="N181" s="45"/>
    </row>
    <row r="182" spans="1:14" x14ac:dyDescent="0.25">
      <c r="A182" s="306"/>
      <c r="B182" s="323"/>
      <c r="C182" s="21" t="s">
        <v>110</v>
      </c>
      <c r="D182" s="1" t="s">
        <v>8</v>
      </c>
      <c r="E182" s="102"/>
      <c r="F182" s="102"/>
      <c r="G182" s="102"/>
      <c r="H182" s="102"/>
      <c r="I182" s="102"/>
      <c r="J182" s="102"/>
      <c r="K182" s="102"/>
      <c r="L182" s="102"/>
      <c r="M182" s="102"/>
      <c r="N182" s="45"/>
    </row>
    <row r="183" spans="1:14" x14ac:dyDescent="0.25">
      <c r="A183" s="306"/>
      <c r="B183" s="323"/>
      <c r="C183" s="21" t="s">
        <v>111</v>
      </c>
      <c r="D183" s="1" t="s">
        <v>9</v>
      </c>
      <c r="E183" s="103">
        <v>5.9283335518383931</v>
      </c>
      <c r="F183" s="103">
        <v>5.0230070878372421</v>
      </c>
      <c r="G183" s="103">
        <v>3.9163428794069115</v>
      </c>
      <c r="H183" s="103">
        <v>3.1590361445720911</v>
      </c>
      <c r="I183" s="103">
        <v>2.0378947368421052</v>
      </c>
      <c r="J183" s="103">
        <v>2.0189473684210526</v>
      </c>
      <c r="K183" s="103">
        <v>1.9557894736842103</v>
      </c>
      <c r="L183" s="103">
        <v>1.8231578947368419</v>
      </c>
      <c r="M183" s="103">
        <v>1.557894736842105</v>
      </c>
      <c r="N183" s="45"/>
    </row>
    <row r="184" spans="1:14" x14ac:dyDescent="0.25">
      <c r="A184" s="306"/>
      <c r="B184" s="323"/>
      <c r="C184" s="21" t="s">
        <v>35</v>
      </c>
      <c r="D184" s="1" t="s">
        <v>10</v>
      </c>
      <c r="E184" s="103">
        <v>0</v>
      </c>
      <c r="F184" s="103">
        <v>0</v>
      </c>
      <c r="G184" s="103">
        <v>0</v>
      </c>
      <c r="H184" s="103">
        <v>0</v>
      </c>
      <c r="I184" s="103">
        <v>0</v>
      </c>
      <c r="J184" s="103">
        <v>0</v>
      </c>
      <c r="K184" s="103">
        <v>1.6858736842105264E-3</v>
      </c>
      <c r="L184" s="103">
        <v>1.5474947368421053E-3</v>
      </c>
      <c r="M184" s="103">
        <v>1.2707368421052633E-3</v>
      </c>
      <c r="N184" s="45"/>
    </row>
    <row r="185" spans="1:14" x14ac:dyDescent="0.25">
      <c r="A185" s="306"/>
      <c r="B185" s="323"/>
      <c r="C185" s="22" t="s">
        <v>24</v>
      </c>
      <c r="D185" s="23" t="s">
        <v>10</v>
      </c>
      <c r="E185" s="103">
        <v>0</v>
      </c>
      <c r="F185" s="103">
        <v>0</v>
      </c>
      <c r="G185" s="103">
        <v>0</v>
      </c>
      <c r="H185" s="103">
        <v>0</v>
      </c>
      <c r="I185" s="103">
        <v>0</v>
      </c>
      <c r="J185" s="103">
        <v>0</v>
      </c>
      <c r="K185" s="103">
        <v>0</v>
      </c>
      <c r="L185" s="103">
        <v>0</v>
      </c>
      <c r="M185" s="103">
        <v>0</v>
      </c>
      <c r="N185" s="45"/>
    </row>
    <row r="186" spans="1:14" x14ac:dyDescent="0.25">
      <c r="A186" s="306"/>
      <c r="B186" s="323"/>
      <c r="C186" s="21" t="s">
        <v>25</v>
      </c>
      <c r="D186" s="1" t="s">
        <v>7</v>
      </c>
      <c r="E186" s="102">
        <v>0.99124999999999996</v>
      </c>
      <c r="F186" s="102">
        <v>0.99124999999999996</v>
      </c>
      <c r="G186" s="102">
        <v>0.99124999999999996</v>
      </c>
      <c r="H186" s="102">
        <v>0.99124999999999996</v>
      </c>
      <c r="I186" s="102">
        <v>0.99124999999999996</v>
      </c>
      <c r="J186" s="102">
        <v>0.99124999999999996</v>
      </c>
      <c r="K186" s="102">
        <v>0.99649999999999994</v>
      </c>
      <c r="L186" s="102">
        <v>0.99649999999999994</v>
      </c>
      <c r="M186" s="102">
        <v>0.99649999999999994</v>
      </c>
      <c r="N186" s="45"/>
    </row>
    <row r="187" spans="1:14" x14ac:dyDescent="0.25">
      <c r="A187" s="306"/>
      <c r="B187" s="323"/>
      <c r="C187" s="21" t="s">
        <v>26</v>
      </c>
      <c r="D187" s="1" t="s">
        <v>14</v>
      </c>
      <c r="E187" s="103">
        <v>1524.6</v>
      </c>
      <c r="F187" s="103">
        <v>1749.6</v>
      </c>
      <c r="G187" s="103">
        <v>2349.6</v>
      </c>
      <c r="H187" s="103">
        <v>3174.6</v>
      </c>
      <c r="I187" s="103">
        <v>4299.6000000000004</v>
      </c>
      <c r="J187" s="103">
        <v>14213</v>
      </c>
      <c r="K187" s="103">
        <v>21713</v>
      </c>
      <c r="L187" s="103">
        <v>37463</v>
      </c>
      <c r="M187" s="103">
        <v>68963</v>
      </c>
      <c r="N187" s="45"/>
    </row>
    <row r="188" spans="1:14" x14ac:dyDescent="0.25">
      <c r="A188" s="306"/>
      <c r="B188" s="323"/>
      <c r="C188" s="21" t="s">
        <v>27</v>
      </c>
      <c r="D188" s="1" t="s">
        <v>4</v>
      </c>
      <c r="E188" s="102">
        <v>40</v>
      </c>
      <c r="F188" s="102">
        <v>40</v>
      </c>
      <c r="G188" s="102">
        <v>40</v>
      </c>
      <c r="H188" s="102">
        <v>40</v>
      </c>
      <c r="I188" s="102">
        <v>40</v>
      </c>
      <c r="J188" s="102">
        <v>40</v>
      </c>
      <c r="K188" s="102">
        <v>40</v>
      </c>
      <c r="L188" s="102">
        <v>40</v>
      </c>
      <c r="M188" s="102">
        <v>40</v>
      </c>
      <c r="N188" s="45"/>
    </row>
    <row r="189" spans="1:14" x14ac:dyDescent="0.25">
      <c r="A189" s="306"/>
      <c r="B189" s="323"/>
      <c r="C189" s="21" t="s">
        <v>125</v>
      </c>
      <c r="D189" s="1" t="s">
        <v>19</v>
      </c>
      <c r="E189" s="106">
        <v>0.3125</v>
      </c>
      <c r="F189" s="106">
        <v>0.3125</v>
      </c>
      <c r="G189" s="106">
        <v>0.3125</v>
      </c>
      <c r="H189" s="106">
        <v>0.3125</v>
      </c>
      <c r="I189" s="106">
        <v>0.3125</v>
      </c>
      <c r="J189" s="106">
        <v>0.3125</v>
      </c>
      <c r="K189" s="106">
        <v>0.3125</v>
      </c>
      <c r="L189" s="106">
        <v>0.3125</v>
      </c>
      <c r="M189" s="106">
        <v>0.3125</v>
      </c>
      <c r="N189" s="45"/>
    </row>
    <row r="190" spans="1:14" x14ac:dyDescent="0.25">
      <c r="A190" s="306"/>
      <c r="B190" s="323"/>
      <c r="C190" s="21" t="s">
        <v>126</v>
      </c>
      <c r="D190" s="1" t="s">
        <v>19</v>
      </c>
      <c r="E190" s="102">
        <v>0.64</v>
      </c>
      <c r="F190" s="102">
        <v>0.64</v>
      </c>
      <c r="G190" s="102">
        <v>0.64</v>
      </c>
      <c r="H190" s="102">
        <v>0.64</v>
      </c>
      <c r="I190" s="102">
        <v>0.64</v>
      </c>
      <c r="J190" s="102">
        <v>0.64</v>
      </c>
      <c r="K190" s="102">
        <v>0.64</v>
      </c>
      <c r="L190" s="102">
        <v>0.64</v>
      </c>
      <c r="M190" s="102">
        <v>0.64</v>
      </c>
      <c r="N190" s="45"/>
    </row>
    <row r="191" spans="1:14" ht="14.45" customHeight="1" x14ac:dyDescent="0.25">
      <c r="A191" s="306"/>
      <c r="B191" s="323"/>
      <c r="C191" s="24" t="s">
        <v>127</v>
      </c>
      <c r="D191" s="1" t="s">
        <v>4</v>
      </c>
      <c r="E191" s="102">
        <v>20</v>
      </c>
      <c r="F191" s="102">
        <v>20</v>
      </c>
      <c r="G191" s="102">
        <v>20</v>
      </c>
      <c r="H191" s="102">
        <v>20</v>
      </c>
      <c r="I191" s="102">
        <v>20</v>
      </c>
      <c r="J191" s="102">
        <v>20</v>
      </c>
      <c r="K191" s="102">
        <v>20</v>
      </c>
      <c r="L191" s="102">
        <v>20</v>
      </c>
      <c r="M191" s="102">
        <v>20</v>
      </c>
      <c r="N191" s="45"/>
    </row>
    <row r="192" spans="1:14" ht="14.45" customHeight="1" x14ac:dyDescent="0.25">
      <c r="A192" s="306"/>
      <c r="B192" s="323"/>
      <c r="C192" s="24" t="s">
        <v>128</v>
      </c>
      <c r="D192" s="1" t="s">
        <v>6</v>
      </c>
      <c r="E192" s="107">
        <v>877.91003708184292</v>
      </c>
      <c r="F192" s="103">
        <v>864.68237166000415</v>
      </c>
      <c r="G192" s="103">
        <v>829.40859720176718</v>
      </c>
      <c r="H192" s="103">
        <v>780.90715732169144</v>
      </c>
      <c r="I192" s="103">
        <v>714.76883021249728</v>
      </c>
      <c r="J192" s="103">
        <v>582.49217599410895</v>
      </c>
      <c r="K192" s="103">
        <v>496.07142857142856</v>
      </c>
      <c r="L192" s="103">
        <v>496.07142857142856</v>
      </c>
      <c r="M192" s="103">
        <v>496.07142857142856</v>
      </c>
      <c r="N192" s="45"/>
    </row>
    <row r="193" spans="1:14" ht="14.45" customHeight="1" x14ac:dyDescent="0.25">
      <c r="A193" s="306"/>
      <c r="B193" s="323"/>
      <c r="C193" s="21" t="s">
        <v>179</v>
      </c>
      <c r="D193" s="1" t="s">
        <v>19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45"/>
    </row>
    <row r="194" spans="1:14" x14ac:dyDescent="0.25">
      <c r="A194" s="306"/>
      <c r="B194" s="323"/>
      <c r="C194" s="21" t="s">
        <v>129</v>
      </c>
      <c r="D194" s="1" t="s">
        <v>8</v>
      </c>
      <c r="E194" s="103">
        <v>50.989543446244483</v>
      </c>
      <c r="F194" s="103">
        <v>67.502798232695142</v>
      </c>
      <c r="G194" s="103">
        <v>111.53814432989691</v>
      </c>
      <c r="H194" s="103">
        <v>172.08674521354934</v>
      </c>
      <c r="I194" s="103">
        <v>254.65301914580263</v>
      </c>
      <c r="J194" s="103">
        <v>419.78556701030925</v>
      </c>
      <c r="K194" s="103">
        <v>584.91811487481596</v>
      </c>
      <c r="L194" s="103">
        <v>584.91811487481596</v>
      </c>
      <c r="M194" s="103">
        <v>584.91811487481596</v>
      </c>
      <c r="N194" s="45"/>
    </row>
    <row r="195" spans="1:14" x14ac:dyDescent="0.25">
      <c r="A195" s="306"/>
      <c r="B195" s="323"/>
      <c r="C195" s="21" t="s">
        <v>130</v>
      </c>
      <c r="D195" s="1" t="s">
        <v>9</v>
      </c>
      <c r="E195" s="102"/>
      <c r="F195" s="102"/>
      <c r="G195" s="102"/>
      <c r="H195" s="102"/>
      <c r="I195" s="102"/>
      <c r="J195" s="102"/>
      <c r="K195" s="102"/>
      <c r="L195" s="102"/>
      <c r="M195" s="102"/>
    </row>
    <row r="196" spans="1:14" x14ac:dyDescent="0.25">
      <c r="A196" s="306"/>
      <c r="B196" s="323"/>
      <c r="C196" s="21" t="s">
        <v>131</v>
      </c>
      <c r="D196" s="1" t="s">
        <v>10</v>
      </c>
      <c r="E196" s="102"/>
      <c r="F196" s="102"/>
      <c r="G196" s="102"/>
      <c r="H196" s="102"/>
      <c r="I196" s="102"/>
      <c r="J196" s="102"/>
      <c r="K196" s="102"/>
      <c r="L196" s="102"/>
      <c r="M196" s="102"/>
    </row>
    <row r="197" spans="1:14" ht="18.75" x14ac:dyDescent="0.25">
      <c r="A197" s="306"/>
      <c r="B197" s="323"/>
      <c r="C197" s="53" t="s">
        <v>132</v>
      </c>
      <c r="D197" s="23" t="s">
        <v>17</v>
      </c>
      <c r="E197" s="102"/>
      <c r="F197" s="102"/>
      <c r="G197" s="102"/>
      <c r="H197" s="102"/>
      <c r="I197" s="102"/>
      <c r="J197" s="102"/>
      <c r="K197" s="102"/>
      <c r="L197" s="102"/>
      <c r="M197" s="102"/>
    </row>
    <row r="198" spans="1:14" ht="14.45" customHeight="1" x14ac:dyDescent="0.25">
      <c r="A198" s="306">
        <v>13</v>
      </c>
      <c r="B198" s="323" t="s">
        <v>180</v>
      </c>
      <c r="C198" s="21" t="s">
        <v>109</v>
      </c>
      <c r="D198" s="1" t="s">
        <v>19</v>
      </c>
      <c r="E198" s="102">
        <v>1</v>
      </c>
      <c r="F198" s="102">
        <v>1</v>
      </c>
      <c r="G198" s="102">
        <v>1</v>
      </c>
      <c r="H198" s="102">
        <v>1</v>
      </c>
      <c r="I198" s="102">
        <v>1</v>
      </c>
      <c r="J198" s="102">
        <v>1</v>
      </c>
      <c r="K198" s="102">
        <v>1</v>
      </c>
      <c r="L198" s="102">
        <v>1</v>
      </c>
      <c r="M198" s="102">
        <v>1</v>
      </c>
    </row>
    <row r="199" spans="1:14" x14ac:dyDescent="0.25">
      <c r="A199" s="306"/>
      <c r="B199" s="323"/>
      <c r="C199" s="21" t="s">
        <v>21</v>
      </c>
      <c r="D199" s="1" t="s">
        <v>19</v>
      </c>
      <c r="E199" s="102">
        <v>0.65</v>
      </c>
      <c r="F199" s="102">
        <v>0.65</v>
      </c>
      <c r="G199" s="102">
        <v>0.65</v>
      </c>
      <c r="H199" s="102">
        <v>0.65</v>
      </c>
      <c r="I199" s="102">
        <v>0.65</v>
      </c>
      <c r="J199" s="102">
        <v>0.65</v>
      </c>
      <c r="K199" s="102">
        <v>0.65</v>
      </c>
      <c r="L199" s="102">
        <v>0.65</v>
      </c>
      <c r="M199" s="102">
        <v>0.65</v>
      </c>
    </row>
    <row r="200" spans="1:14" x14ac:dyDescent="0.25">
      <c r="A200" s="306"/>
      <c r="B200" s="323"/>
      <c r="C200" s="21" t="s">
        <v>22</v>
      </c>
      <c r="D200" s="1" t="s">
        <v>4</v>
      </c>
      <c r="E200" s="102">
        <v>20</v>
      </c>
      <c r="F200" s="102">
        <v>20</v>
      </c>
      <c r="G200" s="102">
        <v>20</v>
      </c>
      <c r="H200" s="102">
        <v>20</v>
      </c>
      <c r="I200" s="102">
        <v>20</v>
      </c>
      <c r="J200" s="102">
        <v>20</v>
      </c>
      <c r="K200" s="102">
        <v>20</v>
      </c>
      <c r="L200" s="102">
        <v>20</v>
      </c>
      <c r="M200" s="102">
        <v>20</v>
      </c>
    </row>
    <row r="201" spans="1:14" x14ac:dyDescent="0.25">
      <c r="A201" s="306"/>
      <c r="B201" s="323"/>
      <c r="C201" s="21" t="s">
        <v>23</v>
      </c>
      <c r="D201" s="1" t="s">
        <v>6</v>
      </c>
      <c r="E201" s="103">
        <v>197.6111183946131</v>
      </c>
      <c r="F201" s="103">
        <v>167.43356959457475</v>
      </c>
      <c r="G201" s="103">
        <v>130.54476264689706</v>
      </c>
      <c r="H201" s="103">
        <v>105.30120481906971</v>
      </c>
      <c r="I201" s="103">
        <v>107.31263157894738</v>
      </c>
      <c r="J201" s="103">
        <v>107.00631578947369</v>
      </c>
      <c r="K201" s="103">
        <v>105.98526315789475</v>
      </c>
      <c r="L201" s="103">
        <v>103.84105263157896</v>
      </c>
      <c r="M201" s="103">
        <v>99.55263157894737</v>
      </c>
    </row>
    <row r="202" spans="1:14" x14ac:dyDescent="0.25">
      <c r="A202" s="306"/>
      <c r="B202" s="323"/>
      <c r="C202" s="21" t="s">
        <v>173</v>
      </c>
      <c r="D202" s="1" t="s">
        <v>19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</row>
    <row r="203" spans="1:14" x14ac:dyDescent="0.25">
      <c r="A203" s="306"/>
      <c r="B203" s="323"/>
      <c r="C203" s="21" t="s">
        <v>110</v>
      </c>
      <c r="D203" s="1" t="s">
        <v>8</v>
      </c>
      <c r="E203" s="102"/>
      <c r="F203" s="102"/>
      <c r="G203" s="102"/>
      <c r="H203" s="102"/>
      <c r="I203" s="102"/>
      <c r="J203" s="102"/>
      <c r="K203" s="102"/>
      <c r="L203" s="102"/>
      <c r="M203" s="102"/>
    </row>
    <row r="204" spans="1:14" x14ac:dyDescent="0.25">
      <c r="A204" s="306"/>
      <c r="B204" s="323"/>
      <c r="C204" s="21" t="s">
        <v>111</v>
      </c>
      <c r="D204" s="1" t="s">
        <v>9</v>
      </c>
      <c r="E204" s="103">
        <v>5.9283335518383931</v>
      </c>
      <c r="F204" s="103">
        <v>5.0230070878372421</v>
      </c>
      <c r="G204" s="103">
        <v>3.9163428794069115</v>
      </c>
      <c r="H204" s="103">
        <v>3.1590361445720911</v>
      </c>
      <c r="I204" s="103">
        <v>2.0378947368421052</v>
      </c>
      <c r="J204" s="103">
        <v>2.0189473684210526</v>
      </c>
      <c r="K204" s="103">
        <v>1.9557894736842103</v>
      </c>
      <c r="L204" s="103">
        <v>1.8231578947368419</v>
      </c>
      <c r="M204" s="103">
        <v>1.557894736842105</v>
      </c>
    </row>
    <row r="205" spans="1:14" x14ac:dyDescent="0.25">
      <c r="A205" s="306"/>
      <c r="B205" s="323"/>
      <c r="C205" s="21" t="s">
        <v>35</v>
      </c>
      <c r="D205" s="1" t="s">
        <v>10</v>
      </c>
      <c r="E205" s="103">
        <v>0</v>
      </c>
      <c r="F205" s="103">
        <v>0</v>
      </c>
      <c r="G205" s="103">
        <v>0</v>
      </c>
      <c r="H205" s="103">
        <v>0</v>
      </c>
      <c r="I205" s="103">
        <v>0</v>
      </c>
      <c r="J205" s="103">
        <v>0</v>
      </c>
      <c r="K205" s="103">
        <v>1.6858736842105264E-3</v>
      </c>
      <c r="L205" s="103">
        <v>1.5474947368421053E-3</v>
      </c>
      <c r="M205" s="103">
        <v>1.2707368421052633E-3</v>
      </c>
    </row>
    <row r="206" spans="1:14" x14ac:dyDescent="0.25">
      <c r="A206" s="306"/>
      <c r="B206" s="323"/>
      <c r="C206" s="22" t="s">
        <v>24</v>
      </c>
      <c r="D206" s="23" t="s">
        <v>10</v>
      </c>
      <c r="E206" s="103">
        <v>0</v>
      </c>
      <c r="F206" s="103">
        <v>0</v>
      </c>
      <c r="G206" s="103">
        <v>0</v>
      </c>
      <c r="H206" s="103">
        <v>0</v>
      </c>
      <c r="I206" s="103">
        <v>0</v>
      </c>
      <c r="J206" s="103">
        <v>0</v>
      </c>
      <c r="K206" s="103">
        <v>0</v>
      </c>
      <c r="L206" s="103">
        <v>0</v>
      </c>
      <c r="M206" s="103">
        <v>0</v>
      </c>
    </row>
    <row r="207" spans="1:14" x14ac:dyDescent="0.25">
      <c r="A207" s="306"/>
      <c r="B207" s="323"/>
      <c r="C207" s="21" t="s">
        <v>25</v>
      </c>
      <c r="D207" s="1" t="s">
        <v>7</v>
      </c>
      <c r="E207" s="102">
        <v>0.99124999999999996</v>
      </c>
      <c r="F207" s="102">
        <v>0.99124999999999996</v>
      </c>
      <c r="G207" s="102">
        <v>0.99124999999999996</v>
      </c>
      <c r="H207" s="102">
        <v>0.99124999999999996</v>
      </c>
      <c r="I207" s="102">
        <v>0.99124999999999996</v>
      </c>
      <c r="J207" s="102">
        <v>0.99124999999999996</v>
      </c>
      <c r="K207" s="102">
        <v>0.99649999999999994</v>
      </c>
      <c r="L207" s="102">
        <v>0.99649999999999994</v>
      </c>
      <c r="M207" s="102">
        <v>0.99649999999999994</v>
      </c>
    </row>
    <row r="208" spans="1:14" x14ac:dyDescent="0.25">
      <c r="A208" s="306"/>
      <c r="B208" s="323"/>
      <c r="C208" s="21" t="s">
        <v>26</v>
      </c>
      <c r="D208" s="1" t="s">
        <v>14</v>
      </c>
      <c r="E208" s="103">
        <v>1524.6</v>
      </c>
      <c r="F208" s="103">
        <v>1749.6</v>
      </c>
      <c r="G208" s="103">
        <v>2349.6</v>
      </c>
      <c r="H208" s="103">
        <v>3174.6</v>
      </c>
      <c r="I208" s="103">
        <v>4299.6000000000004</v>
      </c>
      <c r="J208" s="103">
        <v>14213</v>
      </c>
      <c r="K208" s="103">
        <v>21713</v>
      </c>
      <c r="L208" s="103">
        <v>37463</v>
      </c>
      <c r="M208" s="103">
        <v>68963</v>
      </c>
    </row>
    <row r="209" spans="1:13" x14ac:dyDescent="0.25">
      <c r="A209" s="306"/>
      <c r="B209" s="323"/>
      <c r="C209" s="21" t="s">
        <v>27</v>
      </c>
      <c r="D209" s="1" t="s">
        <v>4</v>
      </c>
      <c r="E209" s="102">
        <v>40</v>
      </c>
      <c r="F209" s="102">
        <v>40</v>
      </c>
      <c r="G209" s="102">
        <v>40</v>
      </c>
      <c r="H209" s="102">
        <v>40</v>
      </c>
      <c r="I209" s="102">
        <v>40</v>
      </c>
      <c r="J209" s="102">
        <v>40</v>
      </c>
      <c r="K209" s="102">
        <v>40</v>
      </c>
      <c r="L209" s="102">
        <v>40</v>
      </c>
      <c r="M209" s="102">
        <v>40</v>
      </c>
    </row>
    <row r="210" spans="1:13" x14ac:dyDescent="0.25">
      <c r="A210" s="306"/>
      <c r="B210" s="323"/>
      <c r="C210" s="21" t="s">
        <v>125</v>
      </c>
      <c r="D210" s="1" t="s">
        <v>19</v>
      </c>
      <c r="E210" s="106">
        <v>0.546875</v>
      </c>
      <c r="F210" s="106">
        <v>0.546875</v>
      </c>
      <c r="G210" s="106">
        <v>0.54687499999999989</v>
      </c>
      <c r="H210" s="106">
        <v>0.546875</v>
      </c>
      <c r="I210" s="106">
        <v>0.546875</v>
      </c>
      <c r="J210" s="106">
        <v>0.546875</v>
      </c>
      <c r="K210" s="106">
        <v>0.546875</v>
      </c>
      <c r="L210" s="106">
        <v>0.546875</v>
      </c>
      <c r="M210" s="106">
        <v>0.546875</v>
      </c>
    </row>
    <row r="211" spans="1:13" x14ac:dyDescent="0.25">
      <c r="A211" s="306"/>
      <c r="B211" s="323"/>
      <c r="C211" s="21" t="s">
        <v>126</v>
      </c>
      <c r="D211" s="1" t="s">
        <v>19</v>
      </c>
      <c r="E211" s="102">
        <v>0.64</v>
      </c>
      <c r="F211" s="102">
        <v>0.64</v>
      </c>
      <c r="G211" s="102">
        <v>0.64</v>
      </c>
      <c r="H211" s="102">
        <v>0.64</v>
      </c>
      <c r="I211" s="102">
        <v>0.64</v>
      </c>
      <c r="J211" s="102">
        <v>0.64</v>
      </c>
      <c r="K211" s="102">
        <v>0.64</v>
      </c>
      <c r="L211" s="102">
        <v>0.64</v>
      </c>
      <c r="M211" s="102">
        <v>0.64</v>
      </c>
    </row>
    <row r="212" spans="1:13" x14ac:dyDescent="0.25">
      <c r="A212" s="306"/>
      <c r="B212" s="323"/>
      <c r="C212" s="24" t="s">
        <v>127</v>
      </c>
      <c r="D212" s="1" t="s">
        <v>4</v>
      </c>
      <c r="E212" s="102">
        <v>20</v>
      </c>
      <c r="F212" s="102">
        <v>20</v>
      </c>
      <c r="G212" s="102">
        <v>20</v>
      </c>
      <c r="H212" s="102">
        <v>20</v>
      </c>
      <c r="I212" s="102">
        <v>20</v>
      </c>
      <c r="J212" s="102">
        <v>20</v>
      </c>
      <c r="K212" s="102">
        <v>20</v>
      </c>
      <c r="L212" s="102">
        <v>20</v>
      </c>
      <c r="M212" s="102">
        <v>20</v>
      </c>
    </row>
    <row r="213" spans="1:13" x14ac:dyDescent="0.25">
      <c r="A213" s="306"/>
      <c r="B213" s="323"/>
      <c r="C213" s="24" t="s">
        <v>128</v>
      </c>
      <c r="D213" s="1" t="s">
        <v>6</v>
      </c>
      <c r="E213" s="107">
        <v>867.98928801546379</v>
      </c>
      <c r="F213" s="103">
        <v>844.84087352724589</v>
      </c>
      <c r="G213" s="103">
        <v>783.11176822533128</v>
      </c>
      <c r="H213" s="103">
        <v>698.23424843519865</v>
      </c>
      <c r="I213" s="103">
        <v>582.49217599410895</v>
      </c>
      <c r="J213" s="103">
        <v>496.07142857142856</v>
      </c>
      <c r="K213" s="103">
        <v>496.07142857142856</v>
      </c>
      <c r="L213" s="103">
        <v>496.07142857142856</v>
      </c>
      <c r="M213" s="103">
        <v>496.07142857142856</v>
      </c>
    </row>
    <row r="214" spans="1:13" x14ac:dyDescent="0.25">
      <c r="A214" s="306"/>
      <c r="B214" s="323"/>
      <c r="C214" s="21" t="s">
        <v>179</v>
      </c>
      <c r="D214" s="1" t="s">
        <v>19</v>
      </c>
      <c r="E214" s="104">
        <v>0</v>
      </c>
      <c r="F214" s="104">
        <v>0</v>
      </c>
      <c r="G214" s="104">
        <v>0</v>
      </c>
      <c r="H214" s="104">
        <v>0</v>
      </c>
      <c r="I214" s="104">
        <v>0</v>
      </c>
      <c r="J214" s="104">
        <v>0</v>
      </c>
      <c r="K214" s="104">
        <v>0</v>
      </c>
      <c r="L214" s="104">
        <v>0</v>
      </c>
      <c r="M214" s="104">
        <v>0</v>
      </c>
    </row>
    <row r="215" spans="1:13" x14ac:dyDescent="0.25">
      <c r="A215" s="306"/>
      <c r="B215" s="323"/>
      <c r="C215" s="21" t="s">
        <v>129</v>
      </c>
      <c r="D215" s="1" t="s">
        <v>8</v>
      </c>
      <c r="E215" s="103">
        <v>50.989543446244483</v>
      </c>
      <c r="F215" s="103">
        <v>67.502798232695142</v>
      </c>
      <c r="G215" s="103">
        <v>111.53814432989691</v>
      </c>
      <c r="H215" s="103">
        <v>172.08674521354934</v>
      </c>
      <c r="I215" s="103">
        <v>254.65301914580263</v>
      </c>
      <c r="J215" s="103">
        <v>419.78556701030925</v>
      </c>
      <c r="K215" s="103">
        <v>584.91811487481596</v>
      </c>
      <c r="L215" s="103">
        <v>584.91811487481596</v>
      </c>
      <c r="M215" s="103">
        <v>584.91811487481596</v>
      </c>
    </row>
    <row r="216" spans="1:13" x14ac:dyDescent="0.25">
      <c r="A216" s="306"/>
      <c r="B216" s="323"/>
      <c r="C216" s="21" t="s">
        <v>130</v>
      </c>
      <c r="D216" s="1" t="s">
        <v>9</v>
      </c>
      <c r="E216" s="102"/>
      <c r="F216" s="102"/>
      <c r="G216" s="102"/>
      <c r="H216" s="102"/>
      <c r="I216" s="102"/>
      <c r="J216" s="102"/>
      <c r="K216" s="102"/>
      <c r="L216" s="102"/>
      <c r="M216" s="102"/>
    </row>
    <row r="217" spans="1:13" x14ac:dyDescent="0.25">
      <c r="A217" s="306"/>
      <c r="B217" s="323"/>
      <c r="C217" s="21" t="s">
        <v>131</v>
      </c>
      <c r="D217" s="1" t="s">
        <v>10</v>
      </c>
      <c r="E217" s="102"/>
      <c r="F217" s="102"/>
      <c r="G217" s="102"/>
      <c r="H217" s="102"/>
      <c r="I217" s="102"/>
      <c r="J217" s="102"/>
      <c r="K217" s="102"/>
      <c r="L217" s="102"/>
      <c r="M217" s="102"/>
    </row>
    <row r="218" spans="1:13" ht="18.75" x14ac:dyDescent="0.25">
      <c r="A218" s="306"/>
      <c r="B218" s="323"/>
      <c r="C218" s="53" t="s">
        <v>132</v>
      </c>
      <c r="D218" s="23" t="s">
        <v>17</v>
      </c>
      <c r="E218" s="102"/>
      <c r="F218" s="102"/>
      <c r="G218" s="102"/>
      <c r="H218" s="102"/>
      <c r="I218" s="102"/>
      <c r="J218" s="102"/>
      <c r="K218" s="102"/>
      <c r="L218" s="102"/>
      <c r="M218" s="102"/>
    </row>
    <row r="219" spans="1:13" x14ac:dyDescent="0.25">
      <c r="A219" s="324">
        <v>14</v>
      </c>
      <c r="B219" s="327" t="s">
        <v>181</v>
      </c>
      <c r="C219" s="21" t="s">
        <v>112</v>
      </c>
      <c r="D219" s="1" t="s">
        <v>19</v>
      </c>
      <c r="E219" s="106">
        <v>1</v>
      </c>
      <c r="F219" s="106">
        <v>1</v>
      </c>
      <c r="G219" s="106">
        <v>1</v>
      </c>
      <c r="H219" s="106">
        <v>1</v>
      </c>
      <c r="I219" s="106">
        <v>1</v>
      </c>
      <c r="J219" s="106">
        <v>1</v>
      </c>
      <c r="K219" s="106">
        <v>1</v>
      </c>
      <c r="L219" s="106">
        <v>1</v>
      </c>
      <c r="M219" s="106">
        <v>1</v>
      </c>
    </row>
    <row r="220" spans="1:13" x14ac:dyDescent="0.25">
      <c r="A220" s="325"/>
      <c r="B220" s="328"/>
      <c r="C220" s="21" t="s">
        <v>28</v>
      </c>
      <c r="D220" s="1" t="s">
        <v>19</v>
      </c>
      <c r="E220" s="102">
        <v>0.8</v>
      </c>
      <c r="F220" s="102">
        <v>0.8</v>
      </c>
      <c r="G220" s="102">
        <v>0.8</v>
      </c>
      <c r="H220" s="102">
        <v>0.8</v>
      </c>
      <c r="I220" s="102">
        <v>0.8</v>
      </c>
      <c r="J220" s="102">
        <v>0.8</v>
      </c>
      <c r="K220" s="102">
        <v>0.8</v>
      </c>
      <c r="L220" s="102">
        <v>0.8</v>
      </c>
      <c r="M220" s="102">
        <v>0.8</v>
      </c>
    </row>
    <row r="221" spans="1:13" x14ac:dyDescent="0.25">
      <c r="A221" s="325"/>
      <c r="B221" s="328"/>
      <c r="C221" s="21" t="s">
        <v>29</v>
      </c>
      <c r="D221" s="1" t="s">
        <v>4</v>
      </c>
      <c r="E221" s="102">
        <v>20</v>
      </c>
      <c r="F221" s="102">
        <v>20</v>
      </c>
      <c r="G221" s="102">
        <v>20</v>
      </c>
      <c r="H221" s="102">
        <v>20</v>
      </c>
      <c r="I221" s="102">
        <v>20</v>
      </c>
      <c r="J221" s="102">
        <v>20</v>
      </c>
      <c r="K221" s="102">
        <v>20</v>
      </c>
      <c r="L221" s="102">
        <v>20</v>
      </c>
      <c r="M221" s="102">
        <v>20</v>
      </c>
    </row>
    <row r="222" spans="1:13" x14ac:dyDescent="0.25">
      <c r="A222" s="325"/>
      <c r="B222" s="328"/>
      <c r="C222" s="21" t="s">
        <v>30</v>
      </c>
      <c r="D222" s="1" t="s">
        <v>6</v>
      </c>
      <c r="E222" s="103">
        <v>778.63646317000416</v>
      </c>
      <c r="F222" s="103">
        <v>556.01242307421592</v>
      </c>
      <c r="G222" s="103">
        <v>433.81353547553391</v>
      </c>
      <c r="H222" s="103">
        <v>433.81353547553391</v>
      </c>
      <c r="I222" s="103">
        <v>433.81353547553391</v>
      </c>
      <c r="J222" s="103">
        <v>433.81353547553391</v>
      </c>
      <c r="K222" s="103">
        <v>1125.1890967142162</v>
      </c>
      <c r="L222" s="103">
        <v>978.8877535076831</v>
      </c>
      <c r="M222" s="103">
        <v>860.49325281850611</v>
      </c>
    </row>
    <row r="223" spans="1:13" x14ac:dyDescent="0.25">
      <c r="A223" s="325"/>
      <c r="B223" s="328"/>
      <c r="C223" s="21" t="s">
        <v>174</v>
      </c>
      <c r="D223" s="1" t="s">
        <v>19</v>
      </c>
      <c r="E223" s="104">
        <v>0</v>
      </c>
      <c r="F223" s="104">
        <v>0</v>
      </c>
      <c r="G223" s="104">
        <v>0</v>
      </c>
      <c r="H223" s="104">
        <v>0</v>
      </c>
      <c r="I223" s="104">
        <v>0</v>
      </c>
      <c r="J223" s="104">
        <v>0</v>
      </c>
      <c r="K223" s="104">
        <v>0</v>
      </c>
      <c r="L223" s="104">
        <v>0</v>
      </c>
      <c r="M223" s="104">
        <v>0</v>
      </c>
    </row>
    <row r="224" spans="1:13" x14ac:dyDescent="0.25">
      <c r="A224" s="325"/>
      <c r="B224" s="328"/>
      <c r="C224" s="21" t="s">
        <v>113</v>
      </c>
      <c r="D224" s="1" t="s">
        <v>8</v>
      </c>
      <c r="E224" s="102"/>
      <c r="F224" s="102"/>
      <c r="G224" s="102"/>
      <c r="H224" s="102"/>
      <c r="I224" s="102"/>
      <c r="J224" s="102"/>
      <c r="K224" s="102"/>
      <c r="L224" s="102"/>
      <c r="M224" s="102"/>
    </row>
    <row r="225" spans="1:13" x14ac:dyDescent="0.25">
      <c r="A225" s="325"/>
      <c r="B225" s="328"/>
      <c r="C225" s="21" t="s">
        <v>114</v>
      </c>
      <c r="D225" s="1" t="s">
        <v>9</v>
      </c>
      <c r="E225" s="102"/>
      <c r="F225" s="102"/>
      <c r="G225" s="102"/>
      <c r="H225" s="102"/>
      <c r="I225" s="102"/>
      <c r="J225" s="102"/>
      <c r="K225" s="102"/>
      <c r="L225" s="102"/>
      <c r="M225" s="102"/>
    </row>
    <row r="226" spans="1:13" x14ac:dyDescent="0.25">
      <c r="A226" s="325"/>
      <c r="B226" s="328"/>
      <c r="C226" s="21" t="s">
        <v>115</v>
      </c>
      <c r="D226" s="1" t="s">
        <v>10</v>
      </c>
      <c r="E226" s="103">
        <v>0</v>
      </c>
      <c r="F226" s="103">
        <v>0</v>
      </c>
      <c r="G226" s="103">
        <v>0</v>
      </c>
      <c r="H226" s="103">
        <v>0</v>
      </c>
      <c r="I226" s="103">
        <v>0</v>
      </c>
      <c r="J226" s="103">
        <v>0</v>
      </c>
      <c r="K226" s="103">
        <v>2.0349999999999999E-3</v>
      </c>
      <c r="L226" s="103">
        <v>2.0349999999999999E-3</v>
      </c>
      <c r="M226" s="103">
        <v>2.0349999999999999E-3</v>
      </c>
    </row>
    <row r="227" spans="1:13" ht="18.75" x14ac:dyDescent="0.25">
      <c r="A227" s="325"/>
      <c r="B227" s="328"/>
      <c r="C227" s="22" t="s">
        <v>116</v>
      </c>
      <c r="D227" s="23" t="s">
        <v>17</v>
      </c>
      <c r="E227" s="103">
        <v>0</v>
      </c>
      <c r="F227" s="103">
        <v>0</v>
      </c>
      <c r="G227" s="103">
        <v>0</v>
      </c>
      <c r="H227" s="103">
        <v>0</v>
      </c>
      <c r="I227" s="103">
        <v>0</v>
      </c>
      <c r="J227" s="103">
        <v>0</v>
      </c>
      <c r="K227" s="103">
        <v>0</v>
      </c>
      <c r="L227" s="103">
        <v>0</v>
      </c>
      <c r="M227" s="103">
        <v>0</v>
      </c>
    </row>
    <row r="228" spans="1:13" x14ac:dyDescent="0.25">
      <c r="A228" s="325"/>
      <c r="B228" s="328"/>
      <c r="C228" s="22" t="s">
        <v>31</v>
      </c>
      <c r="D228" s="23" t="s">
        <v>10</v>
      </c>
      <c r="E228" s="103">
        <v>0</v>
      </c>
      <c r="F228" s="103">
        <v>0</v>
      </c>
      <c r="G228" s="103">
        <v>0</v>
      </c>
      <c r="H228" s="103">
        <v>0</v>
      </c>
      <c r="I228" s="103">
        <v>0</v>
      </c>
      <c r="J228" s="103">
        <v>0</v>
      </c>
      <c r="K228" s="103">
        <v>0</v>
      </c>
      <c r="L228" s="103">
        <v>0</v>
      </c>
      <c r="M228" s="103">
        <v>0</v>
      </c>
    </row>
    <row r="229" spans="1:13" x14ac:dyDescent="0.25">
      <c r="A229" s="325"/>
      <c r="B229" s="328"/>
      <c r="C229" s="21" t="s">
        <v>32</v>
      </c>
      <c r="D229" s="2" t="s">
        <v>19</v>
      </c>
      <c r="E229" s="102">
        <v>3.4299999999999997</v>
      </c>
      <c r="F229" s="102">
        <v>3.4299999999999997</v>
      </c>
      <c r="G229" s="102">
        <v>3.4299999999999997</v>
      </c>
      <c r="H229" s="102">
        <v>3.4299999999999997</v>
      </c>
      <c r="I229" s="102">
        <v>3.4299999999999997</v>
      </c>
      <c r="J229" s="102">
        <v>3.4299999999999997</v>
      </c>
      <c r="K229" s="102">
        <v>3.4299999999999997</v>
      </c>
      <c r="L229" s="102">
        <v>3.4299999999999997</v>
      </c>
      <c r="M229" s="102">
        <v>3.4299999999999997</v>
      </c>
    </row>
    <row r="230" spans="1:13" x14ac:dyDescent="0.25">
      <c r="A230" s="325"/>
      <c r="B230" s="328"/>
      <c r="C230" s="21" t="s">
        <v>33</v>
      </c>
      <c r="D230" s="2" t="s">
        <v>14</v>
      </c>
      <c r="E230" s="102"/>
      <c r="F230" s="102"/>
      <c r="G230" s="102"/>
      <c r="H230" s="102"/>
      <c r="I230" s="102"/>
      <c r="J230" s="102"/>
      <c r="K230" s="102"/>
      <c r="L230" s="102"/>
      <c r="M230" s="102"/>
    </row>
    <row r="231" spans="1:13" x14ac:dyDescent="0.25">
      <c r="A231" s="325"/>
      <c r="B231" s="328"/>
      <c r="C231" s="21" t="s">
        <v>34</v>
      </c>
      <c r="D231" s="2" t="s">
        <v>4</v>
      </c>
      <c r="E231" s="102"/>
      <c r="F231" s="102"/>
      <c r="G231" s="102"/>
      <c r="H231" s="102"/>
      <c r="I231" s="102"/>
      <c r="J231" s="102"/>
      <c r="K231" s="102"/>
      <c r="L231" s="102"/>
      <c r="M231" s="102"/>
    </row>
    <row r="232" spans="1:13" x14ac:dyDescent="0.25">
      <c r="A232" s="325"/>
      <c r="B232" s="328"/>
      <c r="C232" s="21" t="s">
        <v>125</v>
      </c>
      <c r="D232" s="1" t="s">
        <v>19</v>
      </c>
      <c r="E232" s="106">
        <v>0.3125</v>
      </c>
      <c r="F232" s="106">
        <v>0.3125</v>
      </c>
      <c r="G232" s="106">
        <v>0.3125</v>
      </c>
      <c r="H232" s="106">
        <v>0.3125</v>
      </c>
      <c r="I232" s="106">
        <v>0.3125</v>
      </c>
      <c r="J232" s="106">
        <v>0.3125</v>
      </c>
      <c r="K232" s="106">
        <v>0.3125</v>
      </c>
      <c r="L232" s="106">
        <v>0.3125</v>
      </c>
      <c r="M232" s="106">
        <v>0.3125</v>
      </c>
    </row>
    <row r="233" spans="1:13" x14ac:dyDescent="0.25">
      <c r="A233" s="325"/>
      <c r="B233" s="328"/>
      <c r="C233" s="21" t="s">
        <v>126</v>
      </c>
      <c r="D233" s="1" t="s">
        <v>19</v>
      </c>
      <c r="E233" s="102">
        <v>0.64</v>
      </c>
      <c r="F233" s="102">
        <v>0.64</v>
      </c>
      <c r="G233" s="102">
        <v>0.64</v>
      </c>
      <c r="H233" s="102">
        <v>0.64</v>
      </c>
      <c r="I233" s="102">
        <v>0.64</v>
      </c>
      <c r="J233" s="102">
        <v>0.64</v>
      </c>
      <c r="K233" s="102">
        <v>0.64</v>
      </c>
      <c r="L233" s="102">
        <v>0.64</v>
      </c>
      <c r="M233" s="102">
        <v>0.64</v>
      </c>
    </row>
    <row r="234" spans="1:13" x14ac:dyDescent="0.25">
      <c r="A234" s="325"/>
      <c r="B234" s="328"/>
      <c r="C234" s="24" t="s">
        <v>127</v>
      </c>
      <c r="D234" s="1" t="s">
        <v>4</v>
      </c>
      <c r="E234" s="102">
        <v>20</v>
      </c>
      <c r="F234" s="102">
        <v>20</v>
      </c>
      <c r="G234" s="102">
        <v>20</v>
      </c>
      <c r="H234" s="102">
        <v>20</v>
      </c>
      <c r="I234" s="102">
        <v>20</v>
      </c>
      <c r="J234" s="102">
        <v>20</v>
      </c>
      <c r="K234" s="102">
        <v>20</v>
      </c>
      <c r="L234" s="102">
        <v>20</v>
      </c>
      <c r="M234" s="102">
        <v>20</v>
      </c>
    </row>
    <row r="235" spans="1:13" x14ac:dyDescent="0.25">
      <c r="A235" s="325"/>
      <c r="B235" s="328"/>
      <c r="C235" s="24" t="s">
        <v>128</v>
      </c>
      <c r="D235" s="1" t="s">
        <v>6</v>
      </c>
      <c r="E235" s="107">
        <v>877.91003708184292</v>
      </c>
      <c r="F235" s="107">
        <v>864.68237166000415</v>
      </c>
      <c r="G235" s="107">
        <v>829.40859720176718</v>
      </c>
      <c r="H235" s="107">
        <v>780.90715732169144</v>
      </c>
      <c r="I235" s="107">
        <v>714.76883021249728</v>
      </c>
      <c r="J235" s="107">
        <v>582.49217599410895</v>
      </c>
      <c r="K235" s="107">
        <v>496.07142857142856</v>
      </c>
      <c r="L235" s="107">
        <v>496.07142857142856</v>
      </c>
      <c r="M235" s="107">
        <v>496.07142857142856</v>
      </c>
    </row>
    <row r="236" spans="1:13" x14ac:dyDescent="0.25">
      <c r="A236" s="325"/>
      <c r="B236" s="328"/>
      <c r="C236" s="24" t="s">
        <v>179</v>
      </c>
      <c r="D236" s="1" t="s">
        <v>19</v>
      </c>
      <c r="E236" s="104">
        <v>0</v>
      </c>
      <c r="F236" s="104">
        <v>0</v>
      </c>
      <c r="G236" s="104">
        <v>0</v>
      </c>
      <c r="H236" s="104">
        <v>0</v>
      </c>
      <c r="I236" s="104">
        <v>0</v>
      </c>
      <c r="J236" s="104">
        <v>0</v>
      </c>
      <c r="K236" s="104">
        <v>0</v>
      </c>
      <c r="L236" s="104">
        <v>0</v>
      </c>
      <c r="M236" s="104">
        <v>0</v>
      </c>
    </row>
    <row r="237" spans="1:13" x14ac:dyDescent="0.25">
      <c r="A237" s="325"/>
      <c r="B237" s="328"/>
      <c r="C237" s="21" t="s">
        <v>129</v>
      </c>
      <c r="D237" s="1" t="s">
        <v>8</v>
      </c>
      <c r="E237" s="103">
        <v>50.989543446244483</v>
      </c>
      <c r="F237" s="103">
        <v>67.502798232695142</v>
      </c>
      <c r="G237" s="103">
        <v>111.53814432989691</v>
      </c>
      <c r="H237" s="103">
        <v>172.08674521354934</v>
      </c>
      <c r="I237" s="103">
        <v>254.65301914580263</v>
      </c>
      <c r="J237" s="103">
        <v>419.78556701030925</v>
      </c>
      <c r="K237" s="103">
        <v>584.91811487481596</v>
      </c>
      <c r="L237" s="103">
        <v>584.91811487481596</v>
      </c>
      <c r="M237" s="103">
        <v>584.91811487481596</v>
      </c>
    </row>
    <row r="238" spans="1:13" x14ac:dyDescent="0.25">
      <c r="A238" s="325"/>
      <c r="B238" s="328"/>
      <c r="C238" s="21" t="s">
        <v>130</v>
      </c>
      <c r="D238" s="1" t="s">
        <v>9</v>
      </c>
      <c r="E238" s="102"/>
      <c r="F238" s="102"/>
      <c r="G238" s="102"/>
      <c r="H238" s="102"/>
      <c r="I238" s="102"/>
      <c r="J238" s="102"/>
      <c r="K238" s="102"/>
      <c r="L238" s="102"/>
      <c r="M238" s="102"/>
    </row>
    <row r="239" spans="1:13" x14ac:dyDescent="0.25">
      <c r="A239" s="325"/>
      <c r="B239" s="328"/>
      <c r="C239" s="21" t="s">
        <v>131</v>
      </c>
      <c r="D239" s="1" t="s">
        <v>10</v>
      </c>
      <c r="E239" s="102"/>
      <c r="F239" s="102"/>
      <c r="G239" s="102"/>
      <c r="H239" s="102"/>
      <c r="I239" s="102"/>
      <c r="J239" s="102"/>
      <c r="K239" s="102"/>
      <c r="L239" s="102"/>
      <c r="M239" s="102"/>
    </row>
    <row r="240" spans="1:13" ht="18.75" x14ac:dyDescent="0.25">
      <c r="A240" s="326"/>
      <c r="B240" s="329"/>
      <c r="C240" s="53" t="s">
        <v>132</v>
      </c>
      <c r="D240" s="23" t="s">
        <v>17</v>
      </c>
      <c r="E240" s="102"/>
      <c r="F240" s="102"/>
      <c r="G240" s="102"/>
      <c r="H240" s="102"/>
      <c r="I240" s="102"/>
      <c r="J240" s="102"/>
      <c r="K240" s="102"/>
      <c r="L240" s="102"/>
      <c r="M240" s="102"/>
    </row>
    <row r="241" spans="1:13" x14ac:dyDescent="0.25">
      <c r="A241" s="324">
        <v>15</v>
      </c>
      <c r="B241" s="327" t="s">
        <v>182</v>
      </c>
      <c r="C241" s="21" t="s">
        <v>112</v>
      </c>
      <c r="D241" s="1" t="s">
        <v>19</v>
      </c>
      <c r="E241" s="106">
        <v>1</v>
      </c>
      <c r="F241" s="106">
        <v>1</v>
      </c>
      <c r="G241" s="106">
        <v>1</v>
      </c>
      <c r="H241" s="106">
        <v>1</v>
      </c>
      <c r="I241" s="106">
        <v>1</v>
      </c>
      <c r="J241" s="106">
        <v>1</v>
      </c>
      <c r="K241" s="106">
        <v>1</v>
      </c>
      <c r="L241" s="106">
        <v>1</v>
      </c>
      <c r="M241" s="106">
        <v>1</v>
      </c>
    </row>
    <row r="242" spans="1:13" x14ac:dyDescent="0.25">
      <c r="A242" s="325"/>
      <c r="B242" s="328"/>
      <c r="C242" s="21" t="s">
        <v>28</v>
      </c>
      <c r="D242" s="1" t="s">
        <v>19</v>
      </c>
      <c r="E242" s="102">
        <v>0.65</v>
      </c>
      <c r="F242" s="102">
        <v>0.65</v>
      </c>
      <c r="G242" s="102">
        <v>0.65</v>
      </c>
      <c r="H242" s="102">
        <v>0.65</v>
      </c>
      <c r="I242" s="102">
        <v>0.65</v>
      </c>
      <c r="J242" s="102">
        <v>0.65</v>
      </c>
      <c r="K242" s="102">
        <v>0.65</v>
      </c>
      <c r="L242" s="102">
        <v>0.65</v>
      </c>
      <c r="M242" s="102">
        <v>0.65</v>
      </c>
    </row>
    <row r="243" spans="1:13" x14ac:dyDescent="0.25">
      <c r="A243" s="325"/>
      <c r="B243" s="328"/>
      <c r="C243" s="21" t="s">
        <v>29</v>
      </c>
      <c r="D243" s="1" t="s">
        <v>4</v>
      </c>
      <c r="E243" s="102">
        <v>20</v>
      </c>
      <c r="F243" s="102">
        <v>20</v>
      </c>
      <c r="G243" s="102">
        <v>20</v>
      </c>
      <c r="H243" s="102">
        <v>20</v>
      </c>
      <c r="I243" s="102">
        <v>20</v>
      </c>
      <c r="J243" s="102">
        <v>20</v>
      </c>
      <c r="K243" s="102">
        <v>20</v>
      </c>
      <c r="L243" s="102">
        <v>20</v>
      </c>
      <c r="M243" s="102">
        <v>20</v>
      </c>
    </row>
    <row r="244" spans="1:13" x14ac:dyDescent="0.25">
      <c r="A244" s="325"/>
      <c r="B244" s="328"/>
      <c r="C244" s="21" t="s">
        <v>30</v>
      </c>
      <c r="D244" s="1" t="s">
        <v>6</v>
      </c>
      <c r="E244" s="103">
        <v>778.63646317000416</v>
      </c>
      <c r="F244" s="103">
        <v>556.01242307421592</v>
      </c>
      <c r="G244" s="103">
        <v>433.81353547553391</v>
      </c>
      <c r="H244" s="103">
        <v>433.81353547553391</v>
      </c>
      <c r="I244" s="103">
        <v>433.81353547553391</v>
      </c>
      <c r="J244" s="103">
        <v>433.81353547553391</v>
      </c>
      <c r="K244" s="103">
        <v>1125.1890967142162</v>
      </c>
      <c r="L244" s="103">
        <v>978.8877535076831</v>
      </c>
      <c r="M244" s="103">
        <v>860.49325281850611</v>
      </c>
    </row>
    <row r="245" spans="1:13" x14ac:dyDescent="0.25">
      <c r="A245" s="325"/>
      <c r="B245" s="328"/>
      <c r="C245" s="21" t="s">
        <v>174</v>
      </c>
      <c r="D245" s="1" t="s">
        <v>19</v>
      </c>
      <c r="E245" s="104">
        <v>0</v>
      </c>
      <c r="F245" s="104">
        <v>0</v>
      </c>
      <c r="G245" s="104">
        <v>0</v>
      </c>
      <c r="H245" s="104">
        <v>0</v>
      </c>
      <c r="I245" s="104">
        <v>0</v>
      </c>
      <c r="J245" s="104">
        <v>0</v>
      </c>
      <c r="K245" s="104">
        <v>0</v>
      </c>
      <c r="L245" s="104">
        <v>0</v>
      </c>
      <c r="M245" s="104">
        <v>0</v>
      </c>
    </row>
    <row r="246" spans="1:13" x14ac:dyDescent="0.25">
      <c r="A246" s="325"/>
      <c r="B246" s="328"/>
      <c r="C246" s="21" t="s">
        <v>113</v>
      </c>
      <c r="D246" s="1" t="s">
        <v>8</v>
      </c>
      <c r="E246" s="102"/>
      <c r="F246" s="102"/>
      <c r="G246" s="102"/>
      <c r="H246" s="102"/>
      <c r="I246" s="102"/>
      <c r="J246" s="102"/>
      <c r="K246" s="102"/>
      <c r="L246" s="102"/>
      <c r="M246" s="102"/>
    </row>
    <row r="247" spans="1:13" x14ac:dyDescent="0.25">
      <c r="A247" s="325"/>
      <c r="B247" s="328"/>
      <c r="C247" s="21" t="s">
        <v>114</v>
      </c>
      <c r="D247" s="1" t="s">
        <v>9</v>
      </c>
      <c r="E247" s="102"/>
      <c r="F247" s="102"/>
      <c r="G247" s="102"/>
      <c r="H247" s="102"/>
      <c r="I247" s="102"/>
      <c r="J247" s="102"/>
      <c r="K247" s="102"/>
      <c r="L247" s="102"/>
      <c r="M247" s="102"/>
    </row>
    <row r="248" spans="1:13" x14ac:dyDescent="0.25">
      <c r="A248" s="325"/>
      <c r="B248" s="328"/>
      <c r="C248" s="21" t="s">
        <v>115</v>
      </c>
      <c r="D248" s="1" t="s">
        <v>10</v>
      </c>
      <c r="E248" s="103">
        <v>0</v>
      </c>
      <c r="F248" s="103">
        <v>0</v>
      </c>
      <c r="G248" s="103">
        <v>0</v>
      </c>
      <c r="H248" s="103">
        <v>0</v>
      </c>
      <c r="I248" s="103">
        <v>0</v>
      </c>
      <c r="J248" s="103">
        <v>0</v>
      </c>
      <c r="K248" s="103">
        <v>2.0349999999999999E-3</v>
      </c>
      <c r="L248" s="103">
        <v>2.0349999999999999E-3</v>
      </c>
      <c r="M248" s="103">
        <v>2.0349999999999999E-3</v>
      </c>
    </row>
    <row r="249" spans="1:13" ht="18.75" x14ac:dyDescent="0.25">
      <c r="A249" s="325"/>
      <c r="B249" s="328"/>
      <c r="C249" s="22" t="s">
        <v>116</v>
      </c>
      <c r="D249" s="23" t="s">
        <v>17</v>
      </c>
      <c r="E249" s="103">
        <v>0</v>
      </c>
      <c r="F249" s="103">
        <v>0</v>
      </c>
      <c r="G249" s="103">
        <v>0</v>
      </c>
      <c r="H249" s="103">
        <v>0</v>
      </c>
      <c r="I249" s="103">
        <v>0</v>
      </c>
      <c r="J249" s="103">
        <v>0</v>
      </c>
      <c r="K249" s="103">
        <v>0</v>
      </c>
      <c r="L249" s="103">
        <v>0</v>
      </c>
      <c r="M249" s="103">
        <v>0</v>
      </c>
    </row>
    <row r="250" spans="1:13" x14ac:dyDescent="0.25">
      <c r="A250" s="325"/>
      <c r="B250" s="328"/>
      <c r="C250" s="22" t="s">
        <v>31</v>
      </c>
      <c r="D250" s="23" t="s">
        <v>10</v>
      </c>
      <c r="E250" s="103">
        <v>0</v>
      </c>
      <c r="F250" s="103">
        <v>0</v>
      </c>
      <c r="G250" s="103">
        <v>0</v>
      </c>
      <c r="H250" s="103">
        <v>0</v>
      </c>
      <c r="I250" s="103">
        <v>0</v>
      </c>
      <c r="J250" s="103">
        <v>0</v>
      </c>
      <c r="K250" s="103">
        <v>0</v>
      </c>
      <c r="L250" s="103">
        <v>0</v>
      </c>
      <c r="M250" s="103">
        <v>0</v>
      </c>
    </row>
    <row r="251" spans="1:13" x14ac:dyDescent="0.25">
      <c r="A251" s="325"/>
      <c r="B251" s="328"/>
      <c r="C251" s="21" t="s">
        <v>32</v>
      </c>
      <c r="D251" s="2" t="s">
        <v>19</v>
      </c>
      <c r="E251" s="102">
        <v>3.4299999999999997</v>
      </c>
      <c r="F251" s="102">
        <v>3.4299999999999997</v>
      </c>
      <c r="G251" s="102">
        <v>3.4299999999999997</v>
      </c>
      <c r="H251" s="102">
        <v>3.4299999999999997</v>
      </c>
      <c r="I251" s="102">
        <v>3.4299999999999997</v>
      </c>
      <c r="J251" s="102">
        <v>3.4299999999999997</v>
      </c>
      <c r="K251" s="102">
        <v>3.4299999999999997</v>
      </c>
      <c r="L251" s="102">
        <v>3.4299999999999997</v>
      </c>
      <c r="M251" s="102">
        <v>3.4299999999999997</v>
      </c>
    </row>
    <row r="252" spans="1:13" x14ac:dyDescent="0.25">
      <c r="A252" s="325"/>
      <c r="B252" s="328"/>
      <c r="C252" s="21" t="s">
        <v>33</v>
      </c>
      <c r="D252" s="2" t="s">
        <v>14</v>
      </c>
      <c r="E252" s="102"/>
      <c r="F252" s="102"/>
      <c r="G252" s="102"/>
      <c r="H252" s="102"/>
      <c r="I252" s="102"/>
      <c r="J252" s="102"/>
      <c r="K252" s="102"/>
      <c r="L252" s="102"/>
      <c r="M252" s="102"/>
    </row>
    <row r="253" spans="1:13" x14ac:dyDescent="0.25">
      <c r="A253" s="325"/>
      <c r="B253" s="328"/>
      <c r="C253" s="21" t="s">
        <v>34</v>
      </c>
      <c r="D253" s="2" t="s">
        <v>4</v>
      </c>
      <c r="E253" s="102"/>
      <c r="F253" s="102"/>
      <c r="G253" s="102"/>
      <c r="H253" s="102"/>
      <c r="I253" s="102"/>
      <c r="J253" s="102"/>
      <c r="K253" s="102"/>
      <c r="L253" s="102"/>
      <c r="M253" s="102"/>
    </row>
    <row r="254" spans="1:13" x14ac:dyDescent="0.25">
      <c r="A254" s="325"/>
      <c r="B254" s="328"/>
      <c r="C254" s="21" t="s">
        <v>125</v>
      </c>
      <c r="D254" s="1" t="s">
        <v>19</v>
      </c>
      <c r="E254" s="106">
        <v>0.546875</v>
      </c>
      <c r="F254" s="106">
        <v>0.546875</v>
      </c>
      <c r="G254" s="106">
        <v>0.54687499999999989</v>
      </c>
      <c r="H254" s="106">
        <v>0.546875</v>
      </c>
      <c r="I254" s="106">
        <v>0.546875</v>
      </c>
      <c r="J254" s="106">
        <v>0.546875</v>
      </c>
      <c r="K254" s="106">
        <v>0.546875</v>
      </c>
      <c r="L254" s="106">
        <v>0.546875</v>
      </c>
      <c r="M254" s="106">
        <v>0.546875</v>
      </c>
    </row>
    <row r="255" spans="1:13" x14ac:dyDescent="0.25">
      <c r="A255" s="325"/>
      <c r="B255" s="328"/>
      <c r="C255" s="21" t="s">
        <v>126</v>
      </c>
      <c r="D255" s="1" t="s">
        <v>19</v>
      </c>
      <c r="E255" s="102">
        <v>0.64</v>
      </c>
      <c r="F255" s="102">
        <v>0.64</v>
      </c>
      <c r="G255" s="102">
        <v>0.64</v>
      </c>
      <c r="H255" s="102">
        <v>0.64</v>
      </c>
      <c r="I255" s="102">
        <v>0.64</v>
      </c>
      <c r="J255" s="102">
        <v>0.64</v>
      </c>
      <c r="K255" s="102">
        <v>0.64</v>
      </c>
      <c r="L255" s="102">
        <v>0.64</v>
      </c>
      <c r="M255" s="102">
        <v>0.64</v>
      </c>
    </row>
    <row r="256" spans="1:13" x14ac:dyDescent="0.25">
      <c r="A256" s="325"/>
      <c r="B256" s="328"/>
      <c r="C256" s="24" t="s">
        <v>127</v>
      </c>
      <c r="D256" s="1" t="s">
        <v>4</v>
      </c>
      <c r="E256" s="102">
        <v>20</v>
      </c>
      <c r="F256" s="102">
        <v>20</v>
      </c>
      <c r="G256" s="102">
        <v>20</v>
      </c>
      <c r="H256" s="102">
        <v>20</v>
      </c>
      <c r="I256" s="102">
        <v>20</v>
      </c>
      <c r="J256" s="102">
        <v>20</v>
      </c>
      <c r="K256" s="102">
        <v>20</v>
      </c>
      <c r="L256" s="102">
        <v>20</v>
      </c>
      <c r="M256" s="102">
        <v>20</v>
      </c>
    </row>
    <row r="257" spans="1:13" x14ac:dyDescent="0.25">
      <c r="A257" s="325"/>
      <c r="B257" s="328"/>
      <c r="C257" s="24" t="s">
        <v>128</v>
      </c>
      <c r="D257" s="1" t="s">
        <v>6</v>
      </c>
      <c r="E257" s="107">
        <v>867.98928801546379</v>
      </c>
      <c r="F257" s="107">
        <v>844.84087352724589</v>
      </c>
      <c r="G257" s="107">
        <v>783.11176822533128</v>
      </c>
      <c r="H257" s="107">
        <v>698.23424843519865</v>
      </c>
      <c r="I257" s="107">
        <v>582.49217599410895</v>
      </c>
      <c r="J257" s="107">
        <v>496.07142857142856</v>
      </c>
      <c r="K257" s="107">
        <v>496.07142857142856</v>
      </c>
      <c r="L257" s="107">
        <v>496.07142857142856</v>
      </c>
      <c r="M257" s="107">
        <v>496.07142857142856</v>
      </c>
    </row>
    <row r="258" spans="1:13" x14ac:dyDescent="0.25">
      <c r="A258" s="325"/>
      <c r="B258" s="328"/>
      <c r="C258" s="24" t="s">
        <v>179</v>
      </c>
      <c r="D258" s="1" t="s">
        <v>19</v>
      </c>
      <c r="E258" s="104">
        <v>0</v>
      </c>
      <c r="F258" s="104">
        <v>0</v>
      </c>
      <c r="G258" s="104">
        <v>0</v>
      </c>
      <c r="H258" s="104">
        <v>0</v>
      </c>
      <c r="I258" s="104">
        <v>0</v>
      </c>
      <c r="J258" s="104">
        <v>0</v>
      </c>
      <c r="K258" s="104">
        <v>0</v>
      </c>
      <c r="L258" s="104">
        <v>0</v>
      </c>
      <c r="M258" s="104">
        <v>0</v>
      </c>
    </row>
    <row r="259" spans="1:13" x14ac:dyDescent="0.25">
      <c r="A259" s="325"/>
      <c r="B259" s="328"/>
      <c r="C259" s="21" t="s">
        <v>129</v>
      </c>
      <c r="D259" s="1" t="s">
        <v>8</v>
      </c>
      <c r="E259" s="103">
        <v>50.989543446244483</v>
      </c>
      <c r="F259" s="103">
        <v>67.502798232695142</v>
      </c>
      <c r="G259" s="103">
        <v>111.53814432989691</v>
      </c>
      <c r="H259" s="103">
        <v>172.08674521354934</v>
      </c>
      <c r="I259" s="103">
        <v>254.65301914580263</v>
      </c>
      <c r="J259" s="103">
        <v>419.78556701030925</v>
      </c>
      <c r="K259" s="103">
        <v>584.91811487481596</v>
      </c>
      <c r="L259" s="103">
        <v>584.91811487481596</v>
      </c>
      <c r="M259" s="103">
        <v>584.91811487481596</v>
      </c>
    </row>
    <row r="260" spans="1:13" x14ac:dyDescent="0.25">
      <c r="A260" s="325"/>
      <c r="B260" s="328"/>
      <c r="C260" s="21" t="s">
        <v>130</v>
      </c>
      <c r="D260" s="1" t="s">
        <v>9</v>
      </c>
      <c r="E260" s="102"/>
      <c r="F260" s="102"/>
      <c r="G260" s="102"/>
      <c r="H260" s="102"/>
      <c r="I260" s="102"/>
      <c r="J260" s="102"/>
      <c r="K260" s="102"/>
      <c r="L260" s="102"/>
      <c r="M260" s="102"/>
    </row>
    <row r="261" spans="1:13" x14ac:dyDescent="0.25">
      <c r="A261" s="325"/>
      <c r="B261" s="328"/>
      <c r="C261" s="21" t="s">
        <v>131</v>
      </c>
      <c r="D261" s="1" t="s">
        <v>10</v>
      </c>
      <c r="E261" s="102"/>
      <c r="F261" s="102"/>
      <c r="G261" s="102"/>
      <c r="H261" s="102"/>
      <c r="I261" s="102"/>
      <c r="J261" s="102"/>
      <c r="K261" s="102"/>
      <c r="L261" s="102"/>
      <c r="M261" s="102"/>
    </row>
    <row r="262" spans="1:13" ht="18.75" x14ac:dyDescent="0.25">
      <c r="A262" s="326"/>
      <c r="B262" s="329"/>
      <c r="C262" s="53" t="s">
        <v>132</v>
      </c>
      <c r="D262" s="23" t="s">
        <v>17</v>
      </c>
      <c r="E262" s="102"/>
      <c r="F262" s="102"/>
      <c r="G262" s="102"/>
      <c r="H262" s="102"/>
      <c r="I262" s="102"/>
      <c r="J262" s="102"/>
      <c r="K262" s="102"/>
      <c r="L262" s="102"/>
      <c r="M262" s="102"/>
    </row>
    <row r="263" spans="1:13" x14ac:dyDescent="0.25">
      <c r="A263" s="306">
        <v>16</v>
      </c>
      <c r="B263" s="323" t="s">
        <v>156</v>
      </c>
      <c r="C263" s="21" t="s">
        <v>101</v>
      </c>
      <c r="D263" s="1" t="s">
        <v>4</v>
      </c>
      <c r="E263" s="102">
        <v>40</v>
      </c>
      <c r="F263" s="102">
        <v>40</v>
      </c>
      <c r="G263" s="102">
        <v>40</v>
      </c>
      <c r="H263" s="102">
        <v>40</v>
      </c>
      <c r="I263" s="102">
        <v>40</v>
      </c>
      <c r="J263" s="102">
        <v>40</v>
      </c>
      <c r="K263" s="102">
        <v>40</v>
      </c>
      <c r="L263" s="102">
        <v>40</v>
      </c>
      <c r="M263" s="102">
        <v>40</v>
      </c>
    </row>
    <row r="264" spans="1:13" x14ac:dyDescent="0.25">
      <c r="A264" s="306"/>
      <c r="B264" s="323"/>
      <c r="C264" s="21" t="s">
        <v>5</v>
      </c>
      <c r="D264" s="1" t="s">
        <v>6</v>
      </c>
      <c r="E264" s="103">
        <v>300</v>
      </c>
      <c r="F264" s="103">
        <v>183.33333333333334</v>
      </c>
      <c r="G264" s="103">
        <v>100</v>
      </c>
      <c r="H264" s="103">
        <v>76</v>
      </c>
      <c r="I264" s="103">
        <v>60</v>
      </c>
      <c r="J264" s="103">
        <v>42.857142857142854</v>
      </c>
      <c r="K264" s="103">
        <v>27.058823529411764</v>
      </c>
      <c r="L264" s="103">
        <v>18.421052631578949</v>
      </c>
      <c r="M264" s="103">
        <v>13.75</v>
      </c>
    </row>
    <row r="265" spans="1:13" x14ac:dyDescent="0.25">
      <c r="A265" s="306"/>
      <c r="B265" s="323"/>
      <c r="C265" s="21" t="s">
        <v>172</v>
      </c>
      <c r="D265" s="1" t="s">
        <v>19</v>
      </c>
      <c r="E265" s="104">
        <v>0</v>
      </c>
      <c r="F265" s="104">
        <v>0</v>
      </c>
      <c r="G265" s="104">
        <v>0</v>
      </c>
      <c r="H265" s="104">
        <v>0</v>
      </c>
      <c r="I265" s="104">
        <v>0</v>
      </c>
      <c r="J265" s="104">
        <v>0</v>
      </c>
      <c r="K265" s="104">
        <v>0</v>
      </c>
      <c r="L265" s="104">
        <v>0</v>
      </c>
      <c r="M265" s="104">
        <v>0</v>
      </c>
    </row>
    <row r="266" spans="1:13" x14ac:dyDescent="0.25">
      <c r="A266" s="306"/>
      <c r="B266" s="323"/>
      <c r="C266" s="21" t="s">
        <v>102</v>
      </c>
      <c r="D266" s="1" t="s">
        <v>8</v>
      </c>
      <c r="E266" s="103">
        <v>0</v>
      </c>
      <c r="F266" s="103">
        <v>0</v>
      </c>
      <c r="G266" s="103">
        <v>0</v>
      </c>
      <c r="H266" s="103">
        <v>0</v>
      </c>
      <c r="I266" s="103">
        <v>0</v>
      </c>
      <c r="J266" s="103">
        <v>0</v>
      </c>
      <c r="K266" s="103">
        <v>0</v>
      </c>
      <c r="L266" s="103">
        <v>0</v>
      </c>
      <c r="M266" s="103">
        <v>0</v>
      </c>
    </row>
    <row r="267" spans="1:13" x14ac:dyDescent="0.25">
      <c r="A267" s="306"/>
      <c r="B267" s="323"/>
      <c r="C267" s="21" t="s">
        <v>103</v>
      </c>
      <c r="D267" s="1" t="s">
        <v>9</v>
      </c>
      <c r="E267" s="102"/>
      <c r="F267" s="102"/>
      <c r="G267" s="102"/>
      <c r="H267" s="102"/>
      <c r="I267" s="102"/>
      <c r="J267" s="102"/>
      <c r="K267" s="102"/>
      <c r="L267" s="102"/>
      <c r="M267" s="102"/>
    </row>
    <row r="268" spans="1:13" x14ac:dyDescent="0.25">
      <c r="A268" s="306"/>
      <c r="B268" s="323"/>
      <c r="C268" s="21" t="s">
        <v>104</v>
      </c>
      <c r="D268" s="1" t="s">
        <v>10</v>
      </c>
      <c r="E268" s="102"/>
      <c r="F268" s="102"/>
      <c r="G268" s="102"/>
      <c r="H268" s="102"/>
      <c r="I268" s="102"/>
      <c r="J268" s="102"/>
      <c r="K268" s="102"/>
      <c r="L268" s="102"/>
      <c r="M268" s="102"/>
    </row>
    <row r="269" spans="1:13" x14ac:dyDescent="0.25">
      <c r="A269" s="306"/>
      <c r="B269" s="323"/>
      <c r="C269" s="22" t="s">
        <v>11</v>
      </c>
      <c r="D269" s="23" t="s">
        <v>10</v>
      </c>
      <c r="E269" s="102"/>
      <c r="F269" s="102"/>
      <c r="G269" s="102"/>
      <c r="H269" s="102"/>
      <c r="I269" s="102"/>
      <c r="J269" s="102"/>
      <c r="K269" s="102"/>
      <c r="L269" s="102"/>
      <c r="M269" s="102"/>
    </row>
    <row r="270" spans="1:13" x14ac:dyDescent="0.25">
      <c r="A270" s="306"/>
      <c r="B270" s="323"/>
      <c r="C270" s="21" t="s">
        <v>12</v>
      </c>
      <c r="D270" s="1" t="s">
        <v>7</v>
      </c>
      <c r="E270" s="104">
        <v>1</v>
      </c>
      <c r="F270" s="104">
        <v>1</v>
      </c>
      <c r="G270" s="104">
        <v>1</v>
      </c>
      <c r="H270" s="104">
        <v>1</v>
      </c>
      <c r="I270" s="104">
        <v>1</v>
      </c>
      <c r="J270" s="104">
        <v>1</v>
      </c>
      <c r="K270" s="104">
        <v>1</v>
      </c>
      <c r="L270" s="104">
        <v>1</v>
      </c>
      <c r="M270" s="104">
        <v>1</v>
      </c>
    </row>
    <row r="271" spans="1:13" x14ac:dyDescent="0.25">
      <c r="A271" s="306"/>
      <c r="B271" s="323"/>
      <c r="C271" s="21" t="s">
        <v>13</v>
      </c>
      <c r="D271" s="1" t="s">
        <v>14</v>
      </c>
      <c r="E271" s="103">
        <v>31017</v>
      </c>
      <c r="F271" s="103">
        <v>31902</v>
      </c>
      <c r="G271" s="103">
        <v>34262</v>
      </c>
      <c r="H271" s="103">
        <v>37507</v>
      </c>
      <c r="I271" s="103">
        <v>41932</v>
      </c>
      <c r="J271" s="103">
        <v>50782</v>
      </c>
      <c r="K271" s="103">
        <v>80282</v>
      </c>
      <c r="L271" s="103">
        <v>151952</v>
      </c>
      <c r="M271" s="103">
        <v>292470.28399999999</v>
      </c>
    </row>
    <row r="272" spans="1:13" x14ac:dyDescent="0.25">
      <c r="A272" s="306"/>
      <c r="B272" s="323"/>
      <c r="C272" s="21" t="s">
        <v>15</v>
      </c>
      <c r="D272" s="1" t="s">
        <v>4</v>
      </c>
      <c r="E272" s="102">
        <v>40</v>
      </c>
      <c r="F272" s="102">
        <v>40</v>
      </c>
      <c r="G272" s="102">
        <v>40</v>
      </c>
      <c r="H272" s="102">
        <v>40</v>
      </c>
      <c r="I272" s="102">
        <v>40</v>
      </c>
      <c r="J272" s="102">
        <v>40</v>
      </c>
      <c r="K272" s="102">
        <v>40</v>
      </c>
      <c r="L272" s="102">
        <v>40</v>
      </c>
      <c r="M272" s="102">
        <v>40</v>
      </c>
    </row>
    <row r="273" spans="1:13" x14ac:dyDescent="0.25">
      <c r="A273" s="306">
        <v>17</v>
      </c>
      <c r="B273" s="323" t="s">
        <v>157</v>
      </c>
      <c r="C273" s="21" t="s">
        <v>101</v>
      </c>
      <c r="D273" s="1" t="s">
        <v>4</v>
      </c>
      <c r="E273" s="102">
        <v>40</v>
      </c>
      <c r="F273" s="102">
        <v>40</v>
      </c>
      <c r="G273" s="102">
        <v>40</v>
      </c>
      <c r="H273" s="102">
        <v>40</v>
      </c>
      <c r="I273" s="102">
        <v>40</v>
      </c>
      <c r="J273" s="102">
        <v>40</v>
      </c>
      <c r="K273" s="102">
        <v>40</v>
      </c>
      <c r="L273" s="102">
        <v>40</v>
      </c>
      <c r="M273" s="102">
        <v>40</v>
      </c>
    </row>
    <row r="274" spans="1:13" x14ac:dyDescent="0.25">
      <c r="A274" s="306"/>
      <c r="B274" s="323"/>
      <c r="C274" s="21" t="s">
        <v>5</v>
      </c>
      <c r="D274" s="1" t="s">
        <v>6</v>
      </c>
      <c r="E274" s="102"/>
      <c r="F274" s="102"/>
      <c r="G274" s="102"/>
      <c r="H274" s="102"/>
      <c r="I274" s="102"/>
      <c r="J274" s="102"/>
      <c r="K274" s="102"/>
      <c r="L274" s="102"/>
      <c r="M274" s="102"/>
    </row>
    <row r="275" spans="1:13" x14ac:dyDescent="0.25">
      <c r="A275" s="306"/>
      <c r="B275" s="323"/>
      <c r="C275" s="21" t="s">
        <v>172</v>
      </c>
      <c r="D275" s="1" t="s">
        <v>19</v>
      </c>
      <c r="E275" s="104">
        <v>0</v>
      </c>
      <c r="F275" s="104">
        <v>0</v>
      </c>
      <c r="G275" s="104">
        <v>0</v>
      </c>
      <c r="H275" s="104">
        <v>0</v>
      </c>
      <c r="I275" s="104">
        <v>0</v>
      </c>
      <c r="J275" s="104">
        <v>0</v>
      </c>
      <c r="K275" s="104">
        <v>0</v>
      </c>
      <c r="L275" s="104">
        <v>0</v>
      </c>
      <c r="M275" s="104">
        <v>0</v>
      </c>
    </row>
    <row r="276" spans="1:13" x14ac:dyDescent="0.25">
      <c r="A276" s="306"/>
      <c r="B276" s="323"/>
      <c r="C276" s="21" t="s">
        <v>102</v>
      </c>
      <c r="D276" s="1" t="s">
        <v>8</v>
      </c>
      <c r="E276" s="103">
        <v>0</v>
      </c>
      <c r="F276" s="103">
        <v>0</v>
      </c>
      <c r="G276" s="103">
        <v>0</v>
      </c>
      <c r="H276" s="103">
        <v>0</v>
      </c>
      <c r="I276" s="103">
        <v>0</v>
      </c>
      <c r="J276" s="103">
        <v>0</v>
      </c>
      <c r="K276" s="103">
        <v>0</v>
      </c>
      <c r="L276" s="103">
        <v>0</v>
      </c>
      <c r="M276" s="103">
        <v>0</v>
      </c>
    </row>
    <row r="277" spans="1:13" x14ac:dyDescent="0.25">
      <c r="A277" s="306"/>
      <c r="B277" s="323"/>
      <c r="C277" s="21" t="s">
        <v>103</v>
      </c>
      <c r="D277" s="1" t="s">
        <v>9</v>
      </c>
      <c r="E277" s="102"/>
      <c r="F277" s="102"/>
      <c r="G277" s="102"/>
      <c r="H277" s="102"/>
      <c r="I277" s="102"/>
      <c r="J277" s="102"/>
      <c r="K277" s="102"/>
      <c r="L277" s="102"/>
      <c r="M277" s="102"/>
    </row>
    <row r="278" spans="1:13" x14ac:dyDescent="0.25">
      <c r="A278" s="306"/>
      <c r="B278" s="323"/>
      <c r="C278" s="21" t="s">
        <v>104</v>
      </c>
      <c r="D278" s="1" t="s">
        <v>10</v>
      </c>
      <c r="E278" s="102"/>
      <c r="F278" s="102"/>
      <c r="G278" s="102"/>
      <c r="H278" s="102"/>
      <c r="I278" s="102"/>
      <c r="J278" s="102"/>
      <c r="K278" s="102"/>
      <c r="L278" s="102"/>
      <c r="M278" s="102"/>
    </row>
    <row r="279" spans="1:13" x14ac:dyDescent="0.25">
      <c r="A279" s="306"/>
      <c r="B279" s="323"/>
      <c r="C279" s="22" t="s">
        <v>11</v>
      </c>
      <c r="D279" s="23" t="s">
        <v>10</v>
      </c>
      <c r="E279" s="102"/>
      <c r="F279" s="102"/>
      <c r="G279" s="102"/>
      <c r="H279" s="102"/>
      <c r="I279" s="102"/>
      <c r="J279" s="102"/>
      <c r="K279" s="102"/>
      <c r="L279" s="102"/>
      <c r="M279" s="102"/>
    </row>
    <row r="280" spans="1:13" x14ac:dyDescent="0.25">
      <c r="A280" s="306"/>
      <c r="B280" s="323"/>
      <c r="C280" s="21" t="s">
        <v>12</v>
      </c>
      <c r="D280" s="1" t="s">
        <v>7</v>
      </c>
      <c r="E280" s="104">
        <v>1</v>
      </c>
      <c r="F280" s="104">
        <v>1</v>
      </c>
      <c r="G280" s="104">
        <v>1</v>
      </c>
      <c r="H280" s="104">
        <v>1</v>
      </c>
      <c r="I280" s="104">
        <v>1</v>
      </c>
      <c r="J280" s="104">
        <v>1</v>
      </c>
      <c r="K280" s="104">
        <v>1</v>
      </c>
      <c r="L280" s="104">
        <v>1</v>
      </c>
      <c r="M280" s="104">
        <v>1</v>
      </c>
    </row>
    <row r="281" spans="1:13" x14ac:dyDescent="0.25">
      <c r="A281" s="306"/>
      <c r="B281" s="323"/>
      <c r="C281" s="21" t="s">
        <v>13</v>
      </c>
      <c r="D281" s="1" t="s">
        <v>14</v>
      </c>
      <c r="E281" s="103">
        <v>92256.599999999991</v>
      </c>
      <c r="F281" s="103">
        <v>92691.599999999991</v>
      </c>
      <c r="G281" s="103">
        <v>93851.599999999991</v>
      </c>
      <c r="H281" s="103">
        <v>95446.599999999991</v>
      </c>
      <c r="I281" s="103">
        <v>97621.599999999991</v>
      </c>
      <c r="J281" s="103">
        <v>101971.59999999999</v>
      </c>
      <c r="K281" s="103">
        <v>116471.59999999999</v>
      </c>
      <c r="L281" s="103">
        <v>146921.59999999998</v>
      </c>
      <c r="M281" s="103">
        <v>207821.59999999998</v>
      </c>
    </row>
    <row r="282" spans="1:13" x14ac:dyDescent="0.25">
      <c r="A282" s="306"/>
      <c r="B282" s="323"/>
      <c r="C282" s="21" t="s">
        <v>15</v>
      </c>
      <c r="D282" s="1" t="s">
        <v>4</v>
      </c>
      <c r="E282" s="103">
        <v>40</v>
      </c>
      <c r="F282" s="103">
        <v>40</v>
      </c>
      <c r="G282" s="103">
        <v>40</v>
      </c>
      <c r="H282" s="103">
        <v>40</v>
      </c>
      <c r="I282" s="103">
        <v>40</v>
      </c>
      <c r="J282" s="103">
        <v>40</v>
      </c>
      <c r="K282" s="103">
        <v>40</v>
      </c>
      <c r="L282" s="103">
        <v>40</v>
      </c>
      <c r="M282" s="103">
        <v>40</v>
      </c>
    </row>
  </sheetData>
  <sheetProtection algorithmName="SHA-512" hashValue="2G7sSaUCstoswwLvTIhnMD36O5iw4VfMTccaKlapUKRIkGG0OXfEMvQnh7nzzJ1ImMp+ZX5JOKGGwy9zN4umag==" saltValue="nS3q5nvHdxRsYDHK2R466g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20">
    <tabColor theme="7" tint="0.79998168889431442"/>
  </sheetPr>
  <dimension ref="A1:O282"/>
  <sheetViews>
    <sheetView zoomScale="85" zoomScaleNormal="85" workbookViewId="0">
      <pane ySplit="1" topLeftCell="A2" activePane="bottomLeft" state="frozen"/>
      <selection activeCell="F28" sqref="F28"/>
      <selection pane="bottomLeft" activeCell="E2" sqref="E2:M282"/>
    </sheetView>
  </sheetViews>
  <sheetFormatPr baseColWidth="10" defaultColWidth="10.85546875" defaultRowHeight="15" x14ac:dyDescent="0.25"/>
  <cols>
    <col min="1" max="1" width="4.7109375" style="30" customWidth="1"/>
    <col min="2" max="2" width="20.140625" style="30" bestFit="1" customWidth="1"/>
    <col min="3" max="3" width="45.42578125" style="26" customWidth="1"/>
    <col min="4" max="4" width="12.140625" style="27" customWidth="1"/>
    <col min="5" max="12" width="12.28515625" style="110" bestFit="1" customWidth="1"/>
    <col min="13" max="13" width="13.42578125" style="110" bestFit="1" customWidth="1"/>
    <col min="14" max="14" width="15" style="30" customWidth="1"/>
    <col min="15" max="16384" width="10.85546875" style="30"/>
  </cols>
  <sheetData>
    <row r="1" spans="1:14" ht="15.75" x14ac:dyDescent="0.25">
      <c r="A1" s="40"/>
      <c r="B1" s="41" t="s">
        <v>0</v>
      </c>
      <c r="C1" s="28" t="s">
        <v>1</v>
      </c>
      <c r="D1" s="29" t="s">
        <v>2</v>
      </c>
      <c r="E1" s="108">
        <v>15</v>
      </c>
      <c r="F1" s="109">
        <v>30</v>
      </c>
      <c r="G1" s="109">
        <v>70</v>
      </c>
      <c r="H1" s="109">
        <v>125</v>
      </c>
      <c r="I1" s="109">
        <v>200</v>
      </c>
      <c r="J1" s="109">
        <v>350</v>
      </c>
      <c r="K1" s="109">
        <v>850</v>
      </c>
      <c r="L1" s="109">
        <v>1900</v>
      </c>
      <c r="M1" s="109">
        <v>4000</v>
      </c>
    </row>
    <row r="2" spans="1:14" x14ac:dyDescent="0.25">
      <c r="A2" s="306">
        <v>1</v>
      </c>
      <c r="B2" s="322" t="s">
        <v>3</v>
      </c>
      <c r="C2" s="21" t="s">
        <v>101</v>
      </c>
      <c r="D2" s="1" t="s">
        <v>4</v>
      </c>
      <c r="E2" s="102">
        <v>20</v>
      </c>
      <c r="F2" s="102">
        <v>20</v>
      </c>
      <c r="G2" s="102">
        <v>20</v>
      </c>
      <c r="H2" s="102">
        <v>20</v>
      </c>
      <c r="I2" s="102">
        <v>20</v>
      </c>
      <c r="J2" s="102">
        <v>20</v>
      </c>
      <c r="K2" s="102">
        <v>20</v>
      </c>
      <c r="L2" s="102">
        <v>20</v>
      </c>
      <c r="M2" s="102">
        <v>20</v>
      </c>
      <c r="N2" s="45"/>
    </row>
    <row r="3" spans="1:14" x14ac:dyDescent="0.25">
      <c r="A3" s="306"/>
      <c r="B3" s="322"/>
      <c r="C3" s="21" t="s">
        <v>5</v>
      </c>
      <c r="D3" s="1" t="s">
        <v>6</v>
      </c>
      <c r="E3" s="103">
        <v>192.56641637688614</v>
      </c>
      <c r="F3" s="103">
        <v>163.18945257039451</v>
      </c>
      <c r="G3" s="103">
        <v>127.27927465146402</v>
      </c>
      <c r="H3" s="103">
        <v>102.70540718565383</v>
      </c>
      <c r="I3" s="103">
        <v>107.31263157894738</v>
      </c>
      <c r="J3" s="103">
        <v>107.00631578947369</v>
      </c>
      <c r="K3" s="103">
        <v>105.98526315789475</v>
      </c>
      <c r="L3" s="103">
        <v>103.84105263157896</v>
      </c>
      <c r="M3" s="103">
        <v>99.55263157894737</v>
      </c>
      <c r="N3" s="45"/>
    </row>
    <row r="4" spans="1:14" x14ac:dyDescent="0.25">
      <c r="A4" s="306"/>
      <c r="B4" s="322"/>
      <c r="C4" s="21" t="s">
        <v>172</v>
      </c>
      <c r="D4" s="1" t="s">
        <v>19</v>
      </c>
      <c r="E4" s="104">
        <v>0</v>
      </c>
      <c r="F4" s="104">
        <v>0</v>
      </c>
      <c r="G4" s="104">
        <v>0</v>
      </c>
      <c r="H4" s="104">
        <v>0</v>
      </c>
      <c r="I4" s="104">
        <v>0</v>
      </c>
      <c r="J4" s="104">
        <v>0</v>
      </c>
      <c r="K4" s="104">
        <v>0</v>
      </c>
      <c r="L4" s="104">
        <v>0</v>
      </c>
      <c r="M4" s="104">
        <v>0</v>
      </c>
      <c r="N4" s="45"/>
    </row>
    <row r="5" spans="1:14" x14ac:dyDescent="0.25">
      <c r="A5" s="306"/>
      <c r="B5" s="322"/>
      <c r="C5" s="21" t="s">
        <v>102</v>
      </c>
      <c r="D5" s="1" t="s">
        <v>8</v>
      </c>
      <c r="E5" s="102"/>
      <c r="F5" s="102"/>
      <c r="G5" s="102"/>
      <c r="H5" s="102"/>
      <c r="I5" s="102"/>
      <c r="J5" s="102"/>
      <c r="K5" s="102"/>
      <c r="L5" s="102"/>
      <c r="M5" s="102"/>
      <c r="N5" s="45"/>
    </row>
    <row r="6" spans="1:14" x14ac:dyDescent="0.25">
      <c r="A6" s="306"/>
      <c r="B6" s="322"/>
      <c r="C6" s="21" t="s">
        <v>103</v>
      </c>
      <c r="D6" s="1" t="s">
        <v>9</v>
      </c>
      <c r="E6" s="103">
        <v>5.7769924913065838</v>
      </c>
      <c r="F6" s="103">
        <v>4.8956835771118348</v>
      </c>
      <c r="G6" s="103">
        <v>3.8183782395439203</v>
      </c>
      <c r="H6" s="103">
        <v>3.0811622155696146</v>
      </c>
      <c r="I6" s="103">
        <v>2.0378947368421052</v>
      </c>
      <c r="J6" s="103">
        <v>2.0189473684210526</v>
      </c>
      <c r="K6" s="103">
        <v>1.9557894736842103</v>
      </c>
      <c r="L6" s="103">
        <v>1.8231578947368419</v>
      </c>
      <c r="M6" s="103">
        <v>1.557894736842105</v>
      </c>
      <c r="N6" s="45"/>
    </row>
    <row r="7" spans="1:14" x14ac:dyDescent="0.25">
      <c r="A7" s="306"/>
      <c r="B7" s="322"/>
      <c r="C7" s="21" t="s">
        <v>104</v>
      </c>
      <c r="D7" s="1" t="s">
        <v>10</v>
      </c>
      <c r="E7" s="103">
        <v>0</v>
      </c>
      <c r="F7" s="103">
        <v>0</v>
      </c>
      <c r="G7" s="103">
        <v>0</v>
      </c>
      <c r="H7" s="103">
        <v>0</v>
      </c>
      <c r="I7" s="103">
        <v>0</v>
      </c>
      <c r="J7" s="103">
        <v>0</v>
      </c>
      <c r="K7" s="103">
        <v>1.7051368421052632E-3</v>
      </c>
      <c r="L7" s="103">
        <v>1.5645473684210527E-3</v>
      </c>
      <c r="M7" s="103">
        <v>1.2833684210526316E-3</v>
      </c>
      <c r="N7" s="45"/>
    </row>
    <row r="8" spans="1:14" x14ac:dyDescent="0.25">
      <c r="A8" s="306"/>
      <c r="B8" s="322"/>
      <c r="C8" s="22" t="s">
        <v>11</v>
      </c>
      <c r="D8" s="23" t="s">
        <v>10</v>
      </c>
      <c r="E8" s="103">
        <v>0</v>
      </c>
      <c r="F8" s="102"/>
      <c r="G8" s="102"/>
      <c r="H8" s="102"/>
      <c r="I8" s="102"/>
      <c r="J8" s="102"/>
      <c r="K8" s="102"/>
      <c r="L8" s="102"/>
      <c r="M8" s="102"/>
      <c r="N8" s="45"/>
    </row>
    <row r="9" spans="1:14" x14ac:dyDescent="0.25">
      <c r="A9" s="306"/>
      <c r="B9" s="322"/>
      <c r="C9" s="21" t="s">
        <v>12</v>
      </c>
      <c r="D9" s="1" t="s">
        <v>7</v>
      </c>
      <c r="E9" s="104">
        <v>0.99749999999999994</v>
      </c>
      <c r="F9" s="104">
        <v>0.99749999999999994</v>
      </c>
      <c r="G9" s="104">
        <v>0.99749999999999994</v>
      </c>
      <c r="H9" s="104">
        <v>0.99749999999999994</v>
      </c>
      <c r="I9" s="104">
        <v>0.99749999999999994</v>
      </c>
      <c r="J9" s="104">
        <v>0.99749999999999994</v>
      </c>
      <c r="K9" s="104">
        <v>0.999</v>
      </c>
      <c r="L9" s="104">
        <v>0.999</v>
      </c>
      <c r="M9" s="104">
        <v>0.999</v>
      </c>
      <c r="N9" s="45"/>
    </row>
    <row r="10" spans="1:14" x14ac:dyDescent="0.25">
      <c r="A10" s="306"/>
      <c r="B10" s="322"/>
      <c r="C10" s="21" t="s">
        <v>13</v>
      </c>
      <c r="D10" s="1" t="s">
        <v>14</v>
      </c>
      <c r="E10" s="103">
        <v>1524.6</v>
      </c>
      <c r="F10" s="103">
        <v>1749.6</v>
      </c>
      <c r="G10" s="103">
        <v>2349.6</v>
      </c>
      <c r="H10" s="103">
        <v>3174.6</v>
      </c>
      <c r="I10" s="103">
        <v>4299.6000000000004</v>
      </c>
      <c r="J10" s="103">
        <v>14213</v>
      </c>
      <c r="K10" s="103">
        <v>21713</v>
      </c>
      <c r="L10" s="103">
        <v>37463</v>
      </c>
      <c r="M10" s="103">
        <v>68963</v>
      </c>
      <c r="N10" s="45"/>
    </row>
    <row r="11" spans="1:14" x14ac:dyDescent="0.25">
      <c r="A11" s="306"/>
      <c r="B11" s="322"/>
      <c r="C11" s="21" t="s">
        <v>15</v>
      </c>
      <c r="D11" s="1" t="s">
        <v>4</v>
      </c>
      <c r="E11" s="102">
        <v>40</v>
      </c>
      <c r="F11" s="102">
        <v>40</v>
      </c>
      <c r="G11" s="102">
        <v>40</v>
      </c>
      <c r="H11" s="102">
        <v>40</v>
      </c>
      <c r="I11" s="102">
        <v>40</v>
      </c>
      <c r="J11" s="102">
        <v>40</v>
      </c>
      <c r="K11" s="102">
        <v>40</v>
      </c>
      <c r="L11" s="102">
        <v>40</v>
      </c>
      <c r="M11" s="102">
        <v>40</v>
      </c>
      <c r="N11" s="45"/>
    </row>
    <row r="12" spans="1:14" x14ac:dyDescent="0.25">
      <c r="A12" s="306">
        <v>2</v>
      </c>
      <c r="B12" s="322" t="s">
        <v>16</v>
      </c>
      <c r="C12" s="21" t="s">
        <v>101</v>
      </c>
      <c r="D12" s="1" t="s">
        <v>4</v>
      </c>
      <c r="E12" s="102">
        <v>20</v>
      </c>
      <c r="F12" s="102">
        <v>20</v>
      </c>
      <c r="G12" s="102">
        <v>20</v>
      </c>
      <c r="H12" s="102">
        <v>20</v>
      </c>
      <c r="I12" s="102">
        <v>20</v>
      </c>
      <c r="J12" s="102">
        <v>20</v>
      </c>
      <c r="K12" s="102">
        <v>20</v>
      </c>
      <c r="L12" s="102">
        <v>20</v>
      </c>
      <c r="M12" s="102">
        <v>20</v>
      </c>
      <c r="N12" s="45"/>
    </row>
    <row r="13" spans="1:14" x14ac:dyDescent="0.25">
      <c r="A13" s="306"/>
      <c r="B13" s="322"/>
      <c r="C13" s="21" t="s">
        <v>5</v>
      </c>
      <c r="D13" s="1" t="s">
        <v>6</v>
      </c>
      <c r="E13" s="103">
        <v>494.71174673968642</v>
      </c>
      <c r="F13" s="103">
        <v>312.36296273633667</v>
      </c>
      <c r="G13" s="103">
        <v>178.05603719956605</v>
      </c>
      <c r="H13" s="103">
        <v>121.20304082376755</v>
      </c>
      <c r="I13" s="103">
        <v>109.6</v>
      </c>
      <c r="J13" s="103">
        <v>109.6</v>
      </c>
      <c r="K13" s="103">
        <v>171.91447304854711</v>
      </c>
      <c r="L13" s="103">
        <v>255.68869759648467</v>
      </c>
      <c r="M13" s="103">
        <v>423.23714669235983</v>
      </c>
      <c r="N13" s="45"/>
    </row>
    <row r="14" spans="1:14" x14ac:dyDescent="0.25">
      <c r="A14" s="306"/>
      <c r="B14" s="322"/>
      <c r="C14" s="21" t="s">
        <v>172</v>
      </c>
      <c r="D14" s="1" t="s">
        <v>19</v>
      </c>
      <c r="E14" s="104">
        <v>0</v>
      </c>
      <c r="F14" s="104">
        <v>0</v>
      </c>
      <c r="G14" s="104">
        <v>0</v>
      </c>
      <c r="H14" s="104">
        <v>0</v>
      </c>
      <c r="I14" s="104">
        <v>0</v>
      </c>
      <c r="J14" s="104">
        <v>0</v>
      </c>
      <c r="K14" s="104">
        <v>0</v>
      </c>
      <c r="L14" s="104">
        <v>0</v>
      </c>
      <c r="M14" s="104">
        <v>0</v>
      </c>
      <c r="N14" s="45"/>
    </row>
    <row r="15" spans="1:14" x14ac:dyDescent="0.25">
      <c r="A15" s="306"/>
      <c r="B15" s="322"/>
      <c r="C15" s="21" t="s">
        <v>102</v>
      </c>
      <c r="D15" s="1" t="s">
        <v>8</v>
      </c>
      <c r="E15" s="102"/>
      <c r="F15" s="102"/>
      <c r="G15" s="102"/>
      <c r="H15" s="102"/>
      <c r="I15" s="102"/>
      <c r="J15" s="102"/>
      <c r="K15" s="102"/>
      <c r="L15" s="102"/>
      <c r="M15" s="102"/>
      <c r="N15" s="45"/>
    </row>
    <row r="16" spans="1:14" x14ac:dyDescent="0.25">
      <c r="A16" s="306"/>
      <c r="B16" s="322"/>
      <c r="C16" s="21" t="s">
        <v>103</v>
      </c>
      <c r="D16" s="1" t="s">
        <v>9</v>
      </c>
      <c r="E16" s="103">
        <v>29.682704804381178</v>
      </c>
      <c r="F16" s="103">
        <v>18.741777764180195</v>
      </c>
      <c r="G16" s="103">
        <v>10.683362231973959</v>
      </c>
      <c r="H16" s="103">
        <v>7.2721824494260519</v>
      </c>
      <c r="I16" s="103">
        <v>6.8624146125191272</v>
      </c>
      <c r="J16" s="103">
        <v>6.8624146125191272</v>
      </c>
      <c r="K16" s="103">
        <v>6.5392098262047078</v>
      </c>
      <c r="L16" s="103">
        <v>6.0171097867737213</v>
      </c>
      <c r="M16" s="103">
        <v>4.9729097079117501</v>
      </c>
      <c r="N16" s="45"/>
    </row>
    <row r="17" spans="1:14" x14ac:dyDescent="0.25">
      <c r="A17" s="306"/>
      <c r="B17" s="322"/>
      <c r="C17" s="21" t="s">
        <v>104</v>
      </c>
      <c r="D17" s="1" t="s">
        <v>10</v>
      </c>
      <c r="E17" s="103">
        <v>0</v>
      </c>
      <c r="F17" s="103">
        <v>0</v>
      </c>
      <c r="G17" s="103">
        <v>0</v>
      </c>
      <c r="H17" s="103">
        <v>0</v>
      </c>
      <c r="I17" s="103">
        <v>0</v>
      </c>
      <c r="J17" s="103">
        <v>0</v>
      </c>
      <c r="K17" s="103">
        <v>2.4763769947298963E-3</v>
      </c>
      <c r="L17" s="103">
        <v>2.4763769947298963E-3</v>
      </c>
      <c r="M17" s="103">
        <v>2.4763769947298963E-3</v>
      </c>
      <c r="N17" s="45"/>
    </row>
    <row r="18" spans="1:14" x14ac:dyDescent="0.25">
      <c r="A18" s="306"/>
      <c r="B18" s="322"/>
      <c r="C18" s="22" t="s">
        <v>11</v>
      </c>
      <c r="D18" s="23" t="s">
        <v>10</v>
      </c>
      <c r="E18" s="103">
        <v>0</v>
      </c>
      <c r="F18" s="103">
        <v>0</v>
      </c>
      <c r="G18" s="103">
        <v>0</v>
      </c>
      <c r="H18" s="103">
        <v>0</v>
      </c>
      <c r="I18" s="103">
        <v>0</v>
      </c>
      <c r="J18" s="103">
        <v>0</v>
      </c>
      <c r="K18" s="103">
        <v>0</v>
      </c>
      <c r="L18" s="103">
        <v>0</v>
      </c>
      <c r="M18" s="103">
        <v>0</v>
      </c>
      <c r="N18" s="45"/>
    </row>
    <row r="19" spans="1:14" x14ac:dyDescent="0.25">
      <c r="A19" s="306"/>
      <c r="B19" s="322"/>
      <c r="C19" s="21" t="s">
        <v>12</v>
      </c>
      <c r="D19" s="1" t="s">
        <v>7</v>
      </c>
      <c r="E19" s="104">
        <v>0.87200000000000033</v>
      </c>
      <c r="F19" s="104">
        <v>0.87200000000000033</v>
      </c>
      <c r="G19" s="104">
        <v>0.87200000000000033</v>
      </c>
      <c r="H19" s="104">
        <v>0.87200000000000033</v>
      </c>
      <c r="I19" s="104">
        <v>0.87200000000000033</v>
      </c>
      <c r="J19" s="104">
        <v>0.87200000000000033</v>
      </c>
      <c r="K19" s="104">
        <v>0.87200000000000033</v>
      </c>
      <c r="L19" s="104">
        <v>0.95516666666666661</v>
      </c>
      <c r="M19" s="104">
        <v>0.95516666666666661</v>
      </c>
      <c r="N19" s="45"/>
    </row>
    <row r="20" spans="1:14" x14ac:dyDescent="0.25">
      <c r="A20" s="306"/>
      <c r="B20" s="322"/>
      <c r="C20" s="21" t="s">
        <v>13</v>
      </c>
      <c r="D20" s="1" t="s">
        <v>14</v>
      </c>
      <c r="E20" s="102"/>
      <c r="F20" s="102"/>
      <c r="G20" s="102"/>
      <c r="H20" s="102"/>
      <c r="I20" s="102"/>
      <c r="J20" s="102"/>
      <c r="K20" s="102"/>
      <c r="L20" s="102"/>
      <c r="M20" s="102"/>
      <c r="N20" s="45"/>
    </row>
    <row r="21" spans="1:14" x14ac:dyDescent="0.25">
      <c r="A21" s="306"/>
      <c r="B21" s="322"/>
      <c r="C21" s="21" t="s">
        <v>15</v>
      </c>
      <c r="D21" s="1" t="s">
        <v>4</v>
      </c>
      <c r="E21" s="102"/>
      <c r="F21" s="102"/>
      <c r="G21" s="102"/>
      <c r="H21" s="102"/>
      <c r="I21" s="102"/>
      <c r="J21" s="102"/>
      <c r="K21" s="102"/>
      <c r="L21" s="102"/>
      <c r="M21" s="102"/>
      <c r="N21" s="45"/>
    </row>
    <row r="22" spans="1:14" ht="14.45" customHeight="1" x14ac:dyDescent="0.25">
      <c r="A22" s="306">
        <v>3</v>
      </c>
      <c r="B22" s="323" t="s">
        <v>144</v>
      </c>
      <c r="C22" s="21" t="s">
        <v>101</v>
      </c>
      <c r="D22" s="1" t="s">
        <v>4</v>
      </c>
      <c r="E22" s="102">
        <v>20</v>
      </c>
      <c r="F22" s="102">
        <v>20</v>
      </c>
      <c r="G22" s="102">
        <v>20</v>
      </c>
      <c r="H22" s="102">
        <v>20</v>
      </c>
      <c r="I22" s="102">
        <v>20</v>
      </c>
      <c r="J22" s="102">
        <v>20</v>
      </c>
      <c r="K22" s="102">
        <v>20</v>
      </c>
      <c r="L22" s="102">
        <v>20</v>
      </c>
      <c r="M22" s="102">
        <v>20</v>
      </c>
      <c r="N22" s="45"/>
    </row>
    <row r="23" spans="1:14" x14ac:dyDescent="0.25">
      <c r="A23" s="306"/>
      <c r="B23" s="323"/>
      <c r="C23" s="21" t="s">
        <v>5</v>
      </c>
      <c r="D23" s="1" t="s">
        <v>6</v>
      </c>
      <c r="E23" s="103">
        <v>756.50213541090761</v>
      </c>
      <c r="F23" s="103">
        <v>540.20663720034383</v>
      </c>
      <c r="G23" s="103">
        <v>421.48150193390472</v>
      </c>
      <c r="H23" s="103">
        <v>421.48150193390472</v>
      </c>
      <c r="I23" s="103">
        <v>421.48150193390472</v>
      </c>
      <c r="J23" s="103">
        <v>421.48150193390472</v>
      </c>
      <c r="K23" s="103">
        <v>1120.903443434433</v>
      </c>
      <c r="L23" s="103">
        <v>975.21226311391229</v>
      </c>
      <c r="M23" s="103">
        <v>857.30536609258718</v>
      </c>
      <c r="N23" s="45"/>
    </row>
    <row r="24" spans="1:14" x14ac:dyDescent="0.25">
      <c r="A24" s="306"/>
      <c r="B24" s="323"/>
      <c r="C24" s="21" t="s">
        <v>172</v>
      </c>
      <c r="D24" s="1" t="s">
        <v>19</v>
      </c>
      <c r="E24" s="104">
        <v>0</v>
      </c>
      <c r="F24" s="104">
        <v>0</v>
      </c>
      <c r="G24" s="104">
        <v>0</v>
      </c>
      <c r="H24" s="104">
        <v>0</v>
      </c>
      <c r="I24" s="104">
        <v>0</v>
      </c>
      <c r="J24" s="104">
        <v>0</v>
      </c>
      <c r="K24" s="104">
        <v>0</v>
      </c>
      <c r="L24" s="104">
        <v>0</v>
      </c>
      <c r="M24" s="104">
        <v>0</v>
      </c>
      <c r="N24" s="45"/>
    </row>
    <row r="25" spans="1:14" x14ac:dyDescent="0.25">
      <c r="A25" s="306"/>
      <c r="B25" s="323"/>
      <c r="C25" s="21" t="s">
        <v>102</v>
      </c>
      <c r="D25" s="1" t="s">
        <v>8</v>
      </c>
      <c r="E25" s="102"/>
      <c r="F25" s="102"/>
      <c r="G25" s="102"/>
      <c r="H25" s="102"/>
      <c r="I25" s="102"/>
      <c r="J25" s="102"/>
      <c r="K25" s="102"/>
      <c r="L25" s="102"/>
      <c r="M25" s="102"/>
      <c r="N25" s="45"/>
    </row>
    <row r="26" spans="1:14" x14ac:dyDescent="0.25">
      <c r="A26" s="306"/>
      <c r="B26" s="323"/>
      <c r="C26" s="21" t="s">
        <v>103</v>
      </c>
      <c r="D26" s="1" t="s">
        <v>9</v>
      </c>
      <c r="E26" s="103">
        <v>11.347532031163613</v>
      </c>
      <c r="F26" s="103">
        <v>8.103099558005157</v>
      </c>
      <c r="G26" s="103">
        <v>6.3222225290085703</v>
      </c>
      <c r="H26" s="103">
        <v>6.3222225290085703</v>
      </c>
      <c r="I26" s="103">
        <v>6.3222225290085703</v>
      </c>
      <c r="J26" s="103">
        <v>6.3222225290085703</v>
      </c>
      <c r="K26" s="103">
        <v>1.538</v>
      </c>
      <c r="L26" s="103">
        <v>1.538</v>
      </c>
      <c r="M26" s="103">
        <v>1.538</v>
      </c>
      <c r="N26" s="45"/>
    </row>
    <row r="27" spans="1:14" x14ac:dyDescent="0.25">
      <c r="A27" s="306"/>
      <c r="B27" s="323"/>
      <c r="C27" s="21" t="s">
        <v>104</v>
      </c>
      <c r="D27" s="1" t="s">
        <v>10</v>
      </c>
      <c r="E27" s="103">
        <v>0</v>
      </c>
      <c r="F27" s="103">
        <v>0</v>
      </c>
      <c r="G27" s="103">
        <v>0</v>
      </c>
      <c r="H27" s="103">
        <v>0</v>
      </c>
      <c r="I27" s="103">
        <v>0</v>
      </c>
      <c r="J27" s="103">
        <v>0</v>
      </c>
      <c r="K27" s="103">
        <v>2.0100000000000001E-3</v>
      </c>
      <c r="L27" s="103">
        <v>2.0100000000000001E-3</v>
      </c>
      <c r="M27" s="103">
        <v>2.0100000000000001E-3</v>
      </c>
      <c r="N27" s="45"/>
    </row>
    <row r="28" spans="1:14" ht="18.75" x14ac:dyDescent="0.25">
      <c r="A28" s="306"/>
      <c r="B28" s="323"/>
      <c r="C28" s="22" t="s">
        <v>105</v>
      </c>
      <c r="D28" s="23" t="s">
        <v>17</v>
      </c>
      <c r="E28" s="103">
        <v>0</v>
      </c>
      <c r="F28" s="103">
        <v>0</v>
      </c>
      <c r="G28" s="103">
        <v>0</v>
      </c>
      <c r="H28" s="103">
        <v>0</v>
      </c>
      <c r="I28" s="103">
        <v>0</v>
      </c>
      <c r="J28" s="103">
        <v>0</v>
      </c>
      <c r="K28" s="103">
        <v>0</v>
      </c>
      <c r="L28" s="103">
        <v>0</v>
      </c>
      <c r="M28" s="103">
        <v>0</v>
      </c>
      <c r="N28" s="45"/>
    </row>
    <row r="29" spans="1:14" x14ac:dyDescent="0.25">
      <c r="A29" s="306"/>
      <c r="B29" s="323"/>
      <c r="C29" s="22" t="s">
        <v>11</v>
      </c>
      <c r="D29" s="23" t="s">
        <v>10</v>
      </c>
      <c r="E29" s="103">
        <v>0</v>
      </c>
      <c r="F29" s="103">
        <v>0</v>
      </c>
      <c r="G29" s="103">
        <v>0</v>
      </c>
      <c r="H29" s="103">
        <v>0</v>
      </c>
      <c r="I29" s="103">
        <v>0</v>
      </c>
      <c r="J29" s="103">
        <v>0</v>
      </c>
      <c r="K29" s="103">
        <v>0</v>
      </c>
      <c r="L29" s="103">
        <v>0</v>
      </c>
      <c r="M29" s="103">
        <v>0</v>
      </c>
      <c r="N29" s="45"/>
    </row>
    <row r="30" spans="1:14" x14ac:dyDescent="0.25">
      <c r="A30" s="306"/>
      <c r="B30" s="323"/>
      <c r="C30" s="21" t="s">
        <v>18</v>
      </c>
      <c r="D30" s="2" t="s">
        <v>19</v>
      </c>
      <c r="E30" s="102">
        <v>3.98</v>
      </c>
      <c r="F30" s="102">
        <v>3.98</v>
      </c>
      <c r="G30" s="102">
        <v>3.98</v>
      </c>
      <c r="H30" s="102">
        <v>3.98</v>
      </c>
      <c r="I30" s="102">
        <v>3.98</v>
      </c>
      <c r="J30" s="102">
        <v>3.98</v>
      </c>
      <c r="K30" s="102">
        <v>3.98</v>
      </c>
      <c r="L30" s="102">
        <v>3.98</v>
      </c>
      <c r="M30" s="102">
        <v>3.98</v>
      </c>
      <c r="N30" s="45"/>
    </row>
    <row r="31" spans="1:14" x14ac:dyDescent="0.25">
      <c r="A31" s="306"/>
      <c r="B31" s="323"/>
      <c r="C31" s="21" t="s">
        <v>13</v>
      </c>
      <c r="D31" s="1" t="s">
        <v>14</v>
      </c>
      <c r="E31" s="102"/>
      <c r="F31" s="102"/>
      <c r="G31" s="102"/>
      <c r="H31" s="102"/>
      <c r="I31" s="102"/>
      <c r="J31" s="102"/>
      <c r="K31" s="102"/>
      <c r="L31" s="102"/>
      <c r="M31" s="102"/>
      <c r="N31" s="45"/>
    </row>
    <row r="32" spans="1:14" x14ac:dyDescent="0.25">
      <c r="A32" s="306"/>
      <c r="B32" s="323"/>
      <c r="C32" s="21" t="s">
        <v>15</v>
      </c>
      <c r="D32" s="1" t="s">
        <v>4</v>
      </c>
      <c r="E32" s="102"/>
      <c r="F32" s="102"/>
      <c r="G32" s="102"/>
      <c r="H32" s="102"/>
      <c r="I32" s="102"/>
      <c r="J32" s="102"/>
      <c r="K32" s="102"/>
      <c r="L32" s="102"/>
      <c r="M32" s="102"/>
      <c r="N32" s="45"/>
    </row>
    <row r="33" spans="1:14" ht="14.45" customHeight="1" x14ac:dyDescent="0.25">
      <c r="A33" s="306">
        <v>4</v>
      </c>
      <c r="B33" s="323" t="s">
        <v>145</v>
      </c>
      <c r="C33" s="21" t="s">
        <v>101</v>
      </c>
      <c r="D33" s="1" t="s">
        <v>4</v>
      </c>
      <c r="E33" s="102">
        <v>20</v>
      </c>
      <c r="F33" s="102">
        <v>20</v>
      </c>
      <c r="G33" s="102">
        <v>20</v>
      </c>
      <c r="H33" s="102">
        <v>20</v>
      </c>
      <c r="I33" s="102">
        <v>20</v>
      </c>
      <c r="J33" s="102">
        <v>20</v>
      </c>
      <c r="K33" s="102">
        <v>20</v>
      </c>
      <c r="L33" s="102">
        <v>20</v>
      </c>
      <c r="M33" s="102">
        <v>20</v>
      </c>
      <c r="N33" s="45"/>
    </row>
    <row r="34" spans="1:14" x14ac:dyDescent="0.25">
      <c r="A34" s="306"/>
      <c r="B34" s="323"/>
      <c r="C34" s="21" t="s">
        <v>5</v>
      </c>
      <c r="D34" s="1" t="s">
        <v>6</v>
      </c>
      <c r="E34" s="103">
        <v>756.50213541090761</v>
      </c>
      <c r="F34" s="103">
        <v>540.20663720034383</v>
      </c>
      <c r="G34" s="103">
        <v>421.48150193390472</v>
      </c>
      <c r="H34" s="103">
        <v>421.48150193390472</v>
      </c>
      <c r="I34" s="103">
        <v>421.48150193390472</v>
      </c>
      <c r="J34" s="103">
        <v>421.48150193390472</v>
      </c>
      <c r="K34" s="103">
        <v>1120.903443434433</v>
      </c>
      <c r="L34" s="103">
        <v>975.21226311391229</v>
      </c>
      <c r="M34" s="103">
        <v>857.30536609258718</v>
      </c>
      <c r="N34" s="45"/>
    </row>
    <row r="35" spans="1:14" x14ac:dyDescent="0.25">
      <c r="A35" s="306"/>
      <c r="B35" s="323"/>
      <c r="C35" s="21" t="s">
        <v>172</v>
      </c>
      <c r="D35" s="1" t="s">
        <v>19</v>
      </c>
      <c r="E35" s="104">
        <v>0</v>
      </c>
      <c r="F35" s="104">
        <v>0</v>
      </c>
      <c r="G35" s="104">
        <v>0</v>
      </c>
      <c r="H35" s="104">
        <v>0</v>
      </c>
      <c r="I35" s="104">
        <v>0</v>
      </c>
      <c r="J35" s="104">
        <v>0</v>
      </c>
      <c r="K35" s="104">
        <v>0</v>
      </c>
      <c r="L35" s="104">
        <v>0</v>
      </c>
      <c r="M35" s="104">
        <v>0</v>
      </c>
      <c r="N35" s="45"/>
    </row>
    <row r="36" spans="1:14" x14ac:dyDescent="0.25">
      <c r="A36" s="306"/>
      <c r="B36" s="323"/>
      <c r="C36" s="21" t="s">
        <v>102</v>
      </c>
      <c r="D36" s="1" t="s">
        <v>8</v>
      </c>
      <c r="E36" s="102"/>
      <c r="F36" s="102"/>
      <c r="G36" s="102"/>
      <c r="H36" s="102"/>
      <c r="I36" s="102"/>
      <c r="J36" s="102"/>
      <c r="K36" s="102"/>
      <c r="L36" s="102"/>
      <c r="M36" s="102"/>
      <c r="N36" s="45"/>
    </row>
    <row r="37" spans="1:14" x14ac:dyDescent="0.25">
      <c r="A37" s="306"/>
      <c r="B37" s="323"/>
      <c r="C37" s="21" t="s">
        <v>103</v>
      </c>
      <c r="D37" s="1" t="s">
        <v>9</v>
      </c>
      <c r="E37" s="103">
        <v>11.347532031163613</v>
      </c>
      <c r="F37" s="103">
        <v>8.103099558005157</v>
      </c>
      <c r="G37" s="103">
        <v>6.3222225290085703</v>
      </c>
      <c r="H37" s="103">
        <v>6.3222225290085703</v>
      </c>
      <c r="I37" s="103">
        <v>6.3222225290085703</v>
      </c>
      <c r="J37" s="103">
        <v>6.3222225290085703</v>
      </c>
      <c r="K37" s="103">
        <v>1.538</v>
      </c>
      <c r="L37" s="103">
        <v>1.538</v>
      </c>
      <c r="M37" s="103">
        <v>1.538</v>
      </c>
      <c r="N37" s="45"/>
    </row>
    <row r="38" spans="1:14" x14ac:dyDescent="0.25">
      <c r="A38" s="306"/>
      <c r="B38" s="323"/>
      <c r="C38" s="21" t="s">
        <v>104</v>
      </c>
      <c r="D38" s="1" t="s">
        <v>10</v>
      </c>
      <c r="E38" s="103">
        <v>0</v>
      </c>
      <c r="F38" s="103">
        <v>0</v>
      </c>
      <c r="G38" s="103">
        <v>0</v>
      </c>
      <c r="H38" s="103">
        <v>0</v>
      </c>
      <c r="I38" s="103">
        <v>0</v>
      </c>
      <c r="J38" s="103">
        <v>0</v>
      </c>
      <c r="K38" s="103">
        <v>2.0100000000000001E-3</v>
      </c>
      <c r="L38" s="103">
        <v>2.0100000000000001E-3</v>
      </c>
      <c r="M38" s="103">
        <v>2.0100000000000001E-3</v>
      </c>
      <c r="N38" s="45"/>
    </row>
    <row r="39" spans="1:14" ht="18.75" x14ac:dyDescent="0.25">
      <c r="A39" s="306"/>
      <c r="B39" s="323"/>
      <c r="C39" s="22" t="s">
        <v>105</v>
      </c>
      <c r="D39" s="23" t="s">
        <v>17</v>
      </c>
      <c r="E39" s="103">
        <v>0</v>
      </c>
      <c r="F39" s="103">
        <v>0</v>
      </c>
      <c r="G39" s="103">
        <v>0</v>
      </c>
      <c r="H39" s="103">
        <v>0</v>
      </c>
      <c r="I39" s="103">
        <v>0</v>
      </c>
      <c r="J39" s="103">
        <v>0</v>
      </c>
      <c r="K39" s="103">
        <v>0</v>
      </c>
      <c r="L39" s="103">
        <v>0</v>
      </c>
      <c r="M39" s="103">
        <v>0</v>
      </c>
      <c r="N39" s="45"/>
    </row>
    <row r="40" spans="1:14" x14ac:dyDescent="0.25">
      <c r="A40" s="306"/>
      <c r="B40" s="323"/>
      <c r="C40" s="22" t="s">
        <v>11</v>
      </c>
      <c r="D40" s="23" t="s">
        <v>10</v>
      </c>
      <c r="E40" s="103">
        <v>0</v>
      </c>
      <c r="F40" s="103">
        <v>0</v>
      </c>
      <c r="G40" s="103">
        <v>0</v>
      </c>
      <c r="H40" s="103">
        <v>0</v>
      </c>
      <c r="I40" s="103">
        <v>0</v>
      </c>
      <c r="J40" s="103">
        <v>0</v>
      </c>
      <c r="K40" s="103">
        <v>0</v>
      </c>
      <c r="L40" s="103">
        <v>0</v>
      </c>
      <c r="M40" s="103">
        <v>0</v>
      </c>
      <c r="N40" s="45"/>
    </row>
    <row r="41" spans="1:14" x14ac:dyDescent="0.25">
      <c r="A41" s="306"/>
      <c r="B41" s="323"/>
      <c r="C41" s="21" t="s">
        <v>18</v>
      </c>
      <c r="D41" s="2" t="s">
        <v>19</v>
      </c>
      <c r="E41" s="102">
        <v>3.73</v>
      </c>
      <c r="F41" s="102">
        <v>3.73</v>
      </c>
      <c r="G41" s="102">
        <v>3.73</v>
      </c>
      <c r="H41" s="102">
        <v>3.73</v>
      </c>
      <c r="I41" s="102">
        <v>3.73</v>
      </c>
      <c r="J41" s="102">
        <v>3.73</v>
      </c>
      <c r="K41" s="102">
        <v>3.73</v>
      </c>
      <c r="L41" s="102">
        <v>3.73</v>
      </c>
      <c r="M41" s="102">
        <v>3.73</v>
      </c>
      <c r="N41" s="45"/>
    </row>
    <row r="42" spans="1:14" x14ac:dyDescent="0.25">
      <c r="A42" s="306"/>
      <c r="B42" s="323"/>
      <c r="C42" s="21" t="s">
        <v>13</v>
      </c>
      <c r="D42" s="1" t="s">
        <v>14</v>
      </c>
      <c r="E42" s="102"/>
      <c r="F42" s="102"/>
      <c r="G42" s="102"/>
      <c r="H42" s="102"/>
      <c r="I42" s="102"/>
      <c r="J42" s="102"/>
      <c r="K42" s="102"/>
      <c r="L42" s="102"/>
      <c r="M42" s="102"/>
      <c r="N42" s="45"/>
    </row>
    <row r="43" spans="1:14" x14ac:dyDescent="0.25">
      <c r="A43" s="306"/>
      <c r="B43" s="323"/>
      <c r="C43" s="21" t="s">
        <v>15</v>
      </c>
      <c r="D43" s="1" t="s">
        <v>4</v>
      </c>
      <c r="E43" s="102"/>
      <c r="F43" s="102"/>
      <c r="G43" s="102"/>
      <c r="H43" s="102"/>
      <c r="I43" s="102"/>
      <c r="J43" s="102"/>
      <c r="K43" s="102"/>
      <c r="L43" s="102"/>
      <c r="M43" s="102"/>
      <c r="N43" s="45"/>
    </row>
    <row r="44" spans="1:14" ht="14.45" customHeight="1" x14ac:dyDescent="0.25">
      <c r="A44" s="306">
        <v>5</v>
      </c>
      <c r="B44" s="323" t="s">
        <v>146</v>
      </c>
      <c r="C44" s="21" t="s">
        <v>101</v>
      </c>
      <c r="D44" s="1" t="s">
        <v>4</v>
      </c>
      <c r="E44" s="102">
        <v>20</v>
      </c>
      <c r="F44" s="102">
        <v>20</v>
      </c>
      <c r="G44" s="102">
        <v>20</v>
      </c>
      <c r="H44" s="102">
        <v>20</v>
      </c>
      <c r="I44" s="102">
        <v>20</v>
      </c>
      <c r="J44" s="102">
        <v>20</v>
      </c>
      <c r="K44" s="102">
        <v>20</v>
      </c>
      <c r="L44" s="102">
        <v>20</v>
      </c>
      <c r="M44" s="102">
        <v>20</v>
      </c>
      <c r="N44" s="45"/>
    </row>
    <row r="45" spans="1:14" x14ac:dyDescent="0.25">
      <c r="A45" s="306"/>
      <c r="B45" s="323"/>
      <c r="C45" s="21" t="s">
        <v>20</v>
      </c>
      <c r="D45" s="1" t="s">
        <v>6</v>
      </c>
      <c r="E45" s="103">
        <v>756.50213541090761</v>
      </c>
      <c r="F45" s="103">
        <v>540.20663720034383</v>
      </c>
      <c r="G45" s="103">
        <v>421.48150193390472</v>
      </c>
      <c r="H45" s="103">
        <v>421.48150193390472</v>
      </c>
      <c r="I45" s="103">
        <v>421.48150193390472</v>
      </c>
      <c r="J45" s="103">
        <v>421.48150193390472</v>
      </c>
      <c r="K45" s="103">
        <v>1120.903443434433</v>
      </c>
      <c r="L45" s="103">
        <v>975.21226311391229</v>
      </c>
      <c r="M45" s="103">
        <v>857.30536609258718</v>
      </c>
      <c r="N45" s="45"/>
    </row>
    <row r="46" spans="1:14" x14ac:dyDescent="0.25">
      <c r="A46" s="306"/>
      <c r="B46" s="323"/>
      <c r="C46" s="21" t="s">
        <v>172</v>
      </c>
      <c r="D46" s="1" t="s">
        <v>19</v>
      </c>
      <c r="E46" s="104">
        <v>0</v>
      </c>
      <c r="F46" s="104">
        <v>0</v>
      </c>
      <c r="G46" s="104">
        <v>0</v>
      </c>
      <c r="H46" s="104">
        <v>0</v>
      </c>
      <c r="I46" s="104">
        <v>0</v>
      </c>
      <c r="J46" s="104">
        <v>0</v>
      </c>
      <c r="K46" s="104">
        <v>0</v>
      </c>
      <c r="L46" s="104">
        <v>0</v>
      </c>
      <c r="M46" s="104">
        <v>0</v>
      </c>
      <c r="N46" s="45"/>
    </row>
    <row r="47" spans="1:14" x14ac:dyDescent="0.25">
      <c r="A47" s="306"/>
      <c r="B47" s="323"/>
      <c r="C47" s="21" t="s">
        <v>102</v>
      </c>
      <c r="D47" s="1" t="s">
        <v>8</v>
      </c>
      <c r="E47" s="102"/>
      <c r="F47" s="102"/>
      <c r="G47" s="102"/>
      <c r="H47" s="102"/>
      <c r="I47" s="102"/>
      <c r="J47" s="102"/>
      <c r="K47" s="102"/>
      <c r="L47" s="102"/>
      <c r="M47" s="102"/>
      <c r="N47" s="45"/>
    </row>
    <row r="48" spans="1:14" x14ac:dyDescent="0.25">
      <c r="A48" s="306"/>
      <c r="B48" s="323"/>
      <c r="C48" s="21" t="s">
        <v>103</v>
      </c>
      <c r="D48" s="1" t="s">
        <v>9</v>
      </c>
      <c r="E48" s="103">
        <v>11.347532031163613</v>
      </c>
      <c r="F48" s="103">
        <v>8.103099558005157</v>
      </c>
      <c r="G48" s="103">
        <v>6.3222225290085703</v>
      </c>
      <c r="H48" s="103">
        <v>6.3222225290085703</v>
      </c>
      <c r="I48" s="103">
        <v>6.3222225290085703</v>
      </c>
      <c r="J48" s="103">
        <v>6.3222225290085703</v>
      </c>
      <c r="K48" s="103">
        <v>1.538</v>
      </c>
      <c r="L48" s="103">
        <v>1.538</v>
      </c>
      <c r="M48" s="103">
        <v>1.538</v>
      </c>
      <c r="N48" s="45"/>
    </row>
    <row r="49" spans="1:14" x14ac:dyDescent="0.25">
      <c r="A49" s="306"/>
      <c r="B49" s="323"/>
      <c r="C49" s="21" t="s">
        <v>104</v>
      </c>
      <c r="D49" s="1" t="s">
        <v>10</v>
      </c>
      <c r="E49" s="103">
        <v>0</v>
      </c>
      <c r="F49" s="103">
        <v>0</v>
      </c>
      <c r="G49" s="103">
        <v>0</v>
      </c>
      <c r="H49" s="103">
        <v>0</v>
      </c>
      <c r="I49" s="103">
        <v>0</v>
      </c>
      <c r="J49" s="103">
        <v>0</v>
      </c>
      <c r="K49" s="103">
        <v>2.0100000000000001E-3</v>
      </c>
      <c r="L49" s="103">
        <v>2.0100000000000001E-3</v>
      </c>
      <c r="M49" s="103">
        <v>2.0100000000000001E-3</v>
      </c>
      <c r="N49" s="45"/>
    </row>
    <row r="50" spans="1:14" ht="18.75" x14ac:dyDescent="0.25">
      <c r="A50" s="306"/>
      <c r="B50" s="323"/>
      <c r="C50" s="22" t="s">
        <v>105</v>
      </c>
      <c r="D50" s="23" t="s">
        <v>17</v>
      </c>
      <c r="E50" s="103">
        <v>0</v>
      </c>
      <c r="F50" s="103">
        <v>0</v>
      </c>
      <c r="G50" s="103">
        <v>0</v>
      </c>
      <c r="H50" s="103">
        <v>0</v>
      </c>
      <c r="I50" s="103">
        <v>0</v>
      </c>
      <c r="J50" s="103">
        <v>0</v>
      </c>
      <c r="K50" s="103">
        <v>0</v>
      </c>
      <c r="L50" s="103">
        <v>0</v>
      </c>
      <c r="M50" s="103">
        <v>0</v>
      </c>
      <c r="N50" s="45"/>
    </row>
    <row r="51" spans="1:14" x14ac:dyDescent="0.25">
      <c r="A51" s="306"/>
      <c r="B51" s="323"/>
      <c r="C51" s="22" t="s">
        <v>11</v>
      </c>
      <c r="D51" s="23" t="s">
        <v>10</v>
      </c>
      <c r="E51" s="103">
        <v>0</v>
      </c>
      <c r="F51" s="103">
        <v>0</v>
      </c>
      <c r="G51" s="103">
        <v>0</v>
      </c>
      <c r="H51" s="103">
        <v>0</v>
      </c>
      <c r="I51" s="103">
        <v>0</v>
      </c>
      <c r="J51" s="103">
        <v>0</v>
      </c>
      <c r="K51" s="103">
        <v>0</v>
      </c>
      <c r="L51" s="103">
        <v>0</v>
      </c>
      <c r="M51" s="103">
        <v>0</v>
      </c>
      <c r="N51" s="45"/>
    </row>
    <row r="52" spans="1:14" x14ac:dyDescent="0.25">
      <c r="A52" s="306"/>
      <c r="B52" s="323"/>
      <c r="C52" s="21" t="s">
        <v>18</v>
      </c>
      <c r="D52" s="2" t="s">
        <v>19</v>
      </c>
      <c r="E52" s="102">
        <v>3.48</v>
      </c>
      <c r="F52" s="102">
        <v>3.48</v>
      </c>
      <c r="G52" s="102">
        <v>3.48</v>
      </c>
      <c r="H52" s="102">
        <v>3.48</v>
      </c>
      <c r="I52" s="102">
        <v>3.48</v>
      </c>
      <c r="J52" s="102">
        <v>3.48</v>
      </c>
      <c r="K52" s="102">
        <v>3.48</v>
      </c>
      <c r="L52" s="102">
        <v>3.48</v>
      </c>
      <c r="M52" s="102">
        <v>3.48</v>
      </c>
      <c r="N52" s="45"/>
    </row>
    <row r="53" spans="1:14" x14ac:dyDescent="0.25">
      <c r="A53" s="306"/>
      <c r="B53" s="323"/>
      <c r="C53" s="21" t="s">
        <v>13</v>
      </c>
      <c r="D53" s="2" t="s">
        <v>14</v>
      </c>
      <c r="E53" s="102"/>
      <c r="F53" s="102"/>
      <c r="G53" s="102"/>
      <c r="H53" s="102"/>
      <c r="I53" s="102"/>
      <c r="J53" s="102"/>
      <c r="K53" s="102"/>
      <c r="L53" s="102"/>
      <c r="M53" s="102"/>
      <c r="N53" s="45"/>
    </row>
    <row r="54" spans="1:14" x14ac:dyDescent="0.25">
      <c r="A54" s="306"/>
      <c r="B54" s="323"/>
      <c r="C54" s="21" t="s">
        <v>15</v>
      </c>
      <c r="D54" s="2" t="s">
        <v>4</v>
      </c>
      <c r="E54" s="102"/>
      <c r="F54" s="102"/>
      <c r="G54" s="102"/>
      <c r="H54" s="102"/>
      <c r="I54" s="102"/>
      <c r="J54" s="102"/>
      <c r="K54" s="102"/>
      <c r="L54" s="102"/>
      <c r="M54" s="102"/>
      <c r="N54" s="45"/>
    </row>
    <row r="55" spans="1:14" ht="14.45" customHeight="1" x14ac:dyDescent="0.25">
      <c r="A55" s="306">
        <v>6</v>
      </c>
      <c r="B55" s="323" t="s">
        <v>147</v>
      </c>
      <c r="C55" s="21" t="s">
        <v>101</v>
      </c>
      <c r="D55" s="1" t="s">
        <v>4</v>
      </c>
      <c r="E55" s="102">
        <v>20</v>
      </c>
      <c r="F55" s="102">
        <v>20</v>
      </c>
      <c r="G55" s="102">
        <v>20</v>
      </c>
      <c r="H55" s="102">
        <v>20</v>
      </c>
      <c r="I55" s="102">
        <v>20</v>
      </c>
      <c r="J55" s="102">
        <v>20</v>
      </c>
      <c r="K55" s="102">
        <v>20</v>
      </c>
      <c r="L55" s="102">
        <v>20</v>
      </c>
      <c r="M55" s="102">
        <v>20</v>
      </c>
      <c r="N55" s="45"/>
    </row>
    <row r="56" spans="1:14" x14ac:dyDescent="0.25">
      <c r="A56" s="306"/>
      <c r="B56" s="323"/>
      <c r="C56" s="21" t="s">
        <v>20</v>
      </c>
      <c r="D56" s="1" t="s">
        <v>6</v>
      </c>
      <c r="E56" s="103">
        <v>690.37350466796431</v>
      </c>
      <c r="F56" s="103">
        <v>482.27864832153284</v>
      </c>
      <c r="G56" s="103">
        <v>370.24487330434692</v>
      </c>
      <c r="H56" s="103">
        <v>370.24487330434692</v>
      </c>
      <c r="I56" s="103">
        <v>370.24487330434692</v>
      </c>
      <c r="J56" s="103">
        <v>370.24487330434692</v>
      </c>
      <c r="K56" s="103">
        <v>566.30399999999997</v>
      </c>
      <c r="L56" s="103">
        <v>566.30399999999997</v>
      </c>
      <c r="M56" s="103">
        <v>566.30399999999997</v>
      </c>
      <c r="N56" s="45"/>
    </row>
    <row r="57" spans="1:14" x14ac:dyDescent="0.25">
      <c r="A57" s="306"/>
      <c r="B57" s="323"/>
      <c r="C57" s="21" t="s">
        <v>172</v>
      </c>
      <c r="D57" s="1" t="s">
        <v>19</v>
      </c>
      <c r="E57" s="104">
        <v>0</v>
      </c>
      <c r="F57" s="104">
        <v>0</v>
      </c>
      <c r="G57" s="104">
        <v>0</v>
      </c>
      <c r="H57" s="104">
        <v>0</v>
      </c>
      <c r="I57" s="104">
        <v>0</v>
      </c>
      <c r="J57" s="104">
        <v>0</v>
      </c>
      <c r="K57" s="104">
        <v>0</v>
      </c>
      <c r="L57" s="104">
        <v>0</v>
      </c>
      <c r="M57" s="104">
        <v>0</v>
      </c>
      <c r="N57" s="45"/>
    </row>
    <row r="58" spans="1:14" x14ac:dyDescent="0.25">
      <c r="A58" s="306"/>
      <c r="B58" s="323"/>
      <c r="C58" s="21" t="s">
        <v>102</v>
      </c>
      <c r="D58" s="1" t="s">
        <v>8</v>
      </c>
      <c r="E58" s="102"/>
      <c r="F58" s="102"/>
      <c r="G58" s="102"/>
      <c r="H58" s="102"/>
      <c r="I58" s="102"/>
      <c r="J58" s="102"/>
      <c r="K58" s="102"/>
      <c r="L58" s="102"/>
      <c r="M58" s="102"/>
      <c r="N58" s="45"/>
    </row>
    <row r="59" spans="1:14" x14ac:dyDescent="0.25">
      <c r="A59" s="306"/>
      <c r="B59" s="323"/>
      <c r="C59" s="21" t="s">
        <v>103</v>
      </c>
      <c r="D59" s="1" t="s">
        <v>9</v>
      </c>
      <c r="E59" s="103">
        <v>10.355602570019464</v>
      </c>
      <c r="F59" s="103">
        <v>7.234179724822992</v>
      </c>
      <c r="G59" s="103">
        <v>5.5536730995652039</v>
      </c>
      <c r="H59" s="103">
        <v>5.5536730995652039</v>
      </c>
      <c r="I59" s="103">
        <v>5.5536730995652039</v>
      </c>
      <c r="J59" s="103">
        <v>5.5536730995652039</v>
      </c>
      <c r="K59" s="103">
        <v>1.538</v>
      </c>
      <c r="L59" s="103">
        <v>1.538</v>
      </c>
      <c r="M59" s="103">
        <v>1.538</v>
      </c>
      <c r="N59" s="45"/>
    </row>
    <row r="60" spans="1:14" x14ac:dyDescent="0.25">
      <c r="A60" s="306"/>
      <c r="B60" s="323"/>
      <c r="C60" s="21" t="s">
        <v>104</v>
      </c>
      <c r="D60" s="1" t="s">
        <v>10</v>
      </c>
      <c r="E60" s="103">
        <v>0</v>
      </c>
      <c r="F60" s="103">
        <v>0</v>
      </c>
      <c r="G60" s="103">
        <v>0</v>
      </c>
      <c r="H60" s="103">
        <v>0</v>
      </c>
      <c r="I60" s="103">
        <v>0</v>
      </c>
      <c r="J60" s="103">
        <v>0</v>
      </c>
      <c r="K60" s="103">
        <v>2.0100000000000001E-3</v>
      </c>
      <c r="L60" s="103">
        <v>2.0100000000000001E-3</v>
      </c>
      <c r="M60" s="103">
        <v>2.0100000000000001E-3</v>
      </c>
      <c r="N60" s="45"/>
    </row>
    <row r="61" spans="1:14" ht="18.75" x14ac:dyDescent="0.25">
      <c r="A61" s="306"/>
      <c r="B61" s="323"/>
      <c r="C61" s="22" t="s">
        <v>105</v>
      </c>
      <c r="D61" s="23" t="s">
        <v>17</v>
      </c>
      <c r="E61" s="103">
        <v>0</v>
      </c>
      <c r="F61" s="103">
        <v>0</v>
      </c>
      <c r="G61" s="103">
        <v>0</v>
      </c>
      <c r="H61" s="103">
        <v>0</v>
      </c>
      <c r="I61" s="103">
        <v>0</v>
      </c>
      <c r="J61" s="103">
        <v>0</v>
      </c>
      <c r="K61" s="103">
        <v>0</v>
      </c>
      <c r="L61" s="103">
        <v>0</v>
      </c>
      <c r="M61" s="103">
        <v>0</v>
      </c>
      <c r="N61" s="45"/>
    </row>
    <row r="62" spans="1:14" x14ac:dyDescent="0.25">
      <c r="A62" s="306"/>
      <c r="B62" s="323"/>
      <c r="C62" s="22" t="s">
        <v>11</v>
      </c>
      <c r="D62" s="23" t="s">
        <v>10</v>
      </c>
      <c r="E62" s="103">
        <v>0</v>
      </c>
      <c r="F62" s="103">
        <v>0</v>
      </c>
      <c r="G62" s="103">
        <v>0</v>
      </c>
      <c r="H62" s="103">
        <v>0</v>
      </c>
      <c r="I62" s="103">
        <v>0</v>
      </c>
      <c r="J62" s="103">
        <v>0</v>
      </c>
      <c r="K62" s="103">
        <v>0</v>
      </c>
      <c r="L62" s="103">
        <v>0</v>
      </c>
      <c r="M62" s="103">
        <v>0</v>
      </c>
      <c r="N62" s="45"/>
    </row>
    <row r="63" spans="1:14" x14ac:dyDescent="0.25">
      <c r="A63" s="306"/>
      <c r="B63" s="323"/>
      <c r="C63" s="21" t="s">
        <v>18</v>
      </c>
      <c r="D63" s="2" t="s">
        <v>19</v>
      </c>
      <c r="E63" s="102">
        <v>5.22</v>
      </c>
      <c r="F63" s="102">
        <v>5.22</v>
      </c>
      <c r="G63" s="102">
        <v>5.22</v>
      </c>
      <c r="H63" s="102">
        <v>5.22</v>
      </c>
      <c r="I63" s="102">
        <v>5.22</v>
      </c>
      <c r="J63" s="102">
        <v>5.22</v>
      </c>
      <c r="K63" s="102">
        <v>5.22</v>
      </c>
      <c r="L63" s="102">
        <v>5.22</v>
      </c>
      <c r="M63" s="102">
        <v>5.22</v>
      </c>
      <c r="N63" s="45"/>
    </row>
    <row r="64" spans="1:14" x14ac:dyDescent="0.25">
      <c r="A64" s="306"/>
      <c r="B64" s="323"/>
      <c r="C64" s="21" t="s">
        <v>13</v>
      </c>
      <c r="D64" s="1" t="s">
        <v>14</v>
      </c>
      <c r="E64" s="102"/>
      <c r="F64" s="102"/>
      <c r="G64" s="102"/>
      <c r="H64" s="102"/>
      <c r="I64" s="102"/>
      <c r="J64" s="102"/>
      <c r="K64" s="102"/>
      <c r="L64" s="102"/>
      <c r="M64" s="102"/>
      <c r="N64" s="45"/>
    </row>
    <row r="65" spans="1:14" x14ac:dyDescent="0.25">
      <c r="A65" s="306"/>
      <c r="B65" s="323"/>
      <c r="C65" s="21" t="s">
        <v>15</v>
      </c>
      <c r="D65" s="1" t="s">
        <v>4</v>
      </c>
      <c r="E65" s="102"/>
      <c r="F65" s="102"/>
      <c r="G65" s="102"/>
      <c r="H65" s="102"/>
      <c r="I65" s="102"/>
      <c r="J65" s="102"/>
      <c r="K65" s="102"/>
      <c r="L65" s="102"/>
      <c r="M65" s="102"/>
      <c r="N65" s="45"/>
    </row>
    <row r="66" spans="1:14" x14ac:dyDescent="0.25">
      <c r="A66" s="306"/>
      <c r="B66" s="323"/>
      <c r="C66" s="21" t="s">
        <v>106</v>
      </c>
      <c r="D66" s="1" t="s">
        <v>6</v>
      </c>
      <c r="E66" s="103">
        <v>3105.227139824588</v>
      </c>
      <c r="F66" s="103">
        <v>2124.7890355573581</v>
      </c>
      <c r="G66" s="103">
        <v>1336.2661902848918</v>
      </c>
      <c r="H66" s="103">
        <v>464.19686267796163</v>
      </c>
      <c r="I66" s="103">
        <v>316.51784616801797</v>
      </c>
      <c r="J66" s="103">
        <v>200.62554706645031</v>
      </c>
      <c r="K66" s="103">
        <v>97.370367192094207</v>
      </c>
      <c r="L66" s="103">
        <v>85.294657716252502</v>
      </c>
      <c r="M66" s="103">
        <v>85.294657716252502</v>
      </c>
      <c r="N66" s="45"/>
    </row>
    <row r="67" spans="1:14" x14ac:dyDescent="0.25">
      <c r="A67" s="306"/>
      <c r="B67" s="323"/>
      <c r="C67" s="21" t="s">
        <v>107</v>
      </c>
      <c r="D67" s="1" t="s">
        <v>4</v>
      </c>
      <c r="E67" s="102"/>
      <c r="F67" s="102"/>
      <c r="G67" s="102"/>
      <c r="H67" s="102"/>
      <c r="I67" s="102"/>
      <c r="J67" s="102"/>
      <c r="K67" s="102"/>
      <c r="L67" s="102"/>
      <c r="M67" s="102"/>
      <c r="N67" s="45"/>
    </row>
    <row r="68" spans="1:14" ht="14.45" customHeight="1" x14ac:dyDescent="0.25">
      <c r="A68" s="306">
        <v>7</v>
      </c>
      <c r="B68" s="323" t="s">
        <v>148</v>
      </c>
      <c r="C68" s="21" t="s">
        <v>101</v>
      </c>
      <c r="D68" s="1" t="s">
        <v>4</v>
      </c>
      <c r="E68" s="102">
        <v>20</v>
      </c>
      <c r="F68" s="102">
        <v>20</v>
      </c>
      <c r="G68" s="102">
        <v>20</v>
      </c>
      <c r="H68" s="102">
        <v>20</v>
      </c>
      <c r="I68" s="102">
        <v>20</v>
      </c>
      <c r="J68" s="102">
        <v>20</v>
      </c>
      <c r="K68" s="102">
        <v>20</v>
      </c>
      <c r="L68" s="102">
        <v>20</v>
      </c>
      <c r="M68" s="102">
        <v>20</v>
      </c>
      <c r="N68" s="45"/>
    </row>
    <row r="69" spans="1:14" x14ac:dyDescent="0.25">
      <c r="A69" s="306"/>
      <c r="B69" s="323"/>
      <c r="C69" s="21" t="s">
        <v>20</v>
      </c>
      <c r="D69" s="1" t="s">
        <v>6</v>
      </c>
      <c r="E69" s="103">
        <v>690.37350466796431</v>
      </c>
      <c r="F69" s="103">
        <v>482.27864832153284</v>
      </c>
      <c r="G69" s="103">
        <v>370.24487330434692</v>
      </c>
      <c r="H69" s="103">
        <v>370.24487330434692</v>
      </c>
      <c r="I69" s="103">
        <v>370.24487330434692</v>
      </c>
      <c r="J69" s="103">
        <v>370.24487330434692</v>
      </c>
      <c r="K69" s="103">
        <v>566.30399999999997</v>
      </c>
      <c r="L69" s="103">
        <v>566.30399999999997</v>
      </c>
      <c r="M69" s="103">
        <v>566.30399999999997</v>
      </c>
      <c r="N69" s="45"/>
    </row>
    <row r="70" spans="1:14" x14ac:dyDescent="0.25">
      <c r="A70" s="306"/>
      <c r="B70" s="323"/>
      <c r="C70" s="21" t="s">
        <v>172</v>
      </c>
      <c r="D70" s="1" t="s">
        <v>19</v>
      </c>
      <c r="E70" s="104">
        <v>0</v>
      </c>
      <c r="F70" s="104">
        <v>0</v>
      </c>
      <c r="G70" s="104">
        <v>0</v>
      </c>
      <c r="H70" s="104">
        <v>0</v>
      </c>
      <c r="I70" s="104">
        <v>0</v>
      </c>
      <c r="J70" s="104">
        <v>0</v>
      </c>
      <c r="K70" s="104">
        <v>0</v>
      </c>
      <c r="L70" s="104">
        <v>0</v>
      </c>
      <c r="M70" s="104">
        <v>0</v>
      </c>
      <c r="N70" s="45"/>
    </row>
    <row r="71" spans="1:14" x14ac:dyDescent="0.25">
      <c r="A71" s="306"/>
      <c r="B71" s="323"/>
      <c r="C71" s="21" t="s">
        <v>102</v>
      </c>
      <c r="D71" s="1" t="s">
        <v>8</v>
      </c>
      <c r="E71" s="102"/>
      <c r="F71" s="102"/>
      <c r="G71" s="102"/>
      <c r="H71" s="102"/>
      <c r="I71" s="102"/>
      <c r="J71" s="102"/>
      <c r="K71" s="102"/>
      <c r="L71" s="102"/>
      <c r="M71" s="102"/>
      <c r="N71" s="45"/>
    </row>
    <row r="72" spans="1:14" x14ac:dyDescent="0.25">
      <c r="A72" s="306"/>
      <c r="B72" s="323"/>
      <c r="C72" s="21" t="s">
        <v>103</v>
      </c>
      <c r="D72" s="1" t="s">
        <v>9</v>
      </c>
      <c r="E72" s="103">
        <v>10.355602570019464</v>
      </c>
      <c r="F72" s="103">
        <v>7.234179724822992</v>
      </c>
      <c r="G72" s="103">
        <v>5.5536730995652039</v>
      </c>
      <c r="H72" s="103">
        <v>5.5536730995652039</v>
      </c>
      <c r="I72" s="103">
        <v>5.5536730995652039</v>
      </c>
      <c r="J72" s="103">
        <v>5.5536730995652039</v>
      </c>
      <c r="K72" s="103">
        <v>1.538</v>
      </c>
      <c r="L72" s="103">
        <v>1.538</v>
      </c>
      <c r="M72" s="103">
        <v>1.538</v>
      </c>
      <c r="N72" s="45"/>
    </row>
    <row r="73" spans="1:14" x14ac:dyDescent="0.25">
      <c r="A73" s="306"/>
      <c r="B73" s="323"/>
      <c r="C73" s="21" t="s">
        <v>104</v>
      </c>
      <c r="D73" s="1" t="s">
        <v>10</v>
      </c>
      <c r="E73" s="103">
        <v>0</v>
      </c>
      <c r="F73" s="103">
        <v>0</v>
      </c>
      <c r="G73" s="103">
        <v>0</v>
      </c>
      <c r="H73" s="103">
        <v>0</v>
      </c>
      <c r="I73" s="103">
        <v>0</v>
      </c>
      <c r="J73" s="103">
        <v>0</v>
      </c>
      <c r="K73" s="103">
        <v>2.0100000000000001E-3</v>
      </c>
      <c r="L73" s="103">
        <v>2.0100000000000001E-3</v>
      </c>
      <c r="M73" s="103">
        <v>2.0100000000000001E-3</v>
      </c>
      <c r="N73" s="45"/>
    </row>
    <row r="74" spans="1:14" ht="18.75" x14ac:dyDescent="0.25">
      <c r="A74" s="306"/>
      <c r="B74" s="323"/>
      <c r="C74" s="22" t="s">
        <v>105</v>
      </c>
      <c r="D74" s="23" t="s">
        <v>17</v>
      </c>
      <c r="E74" s="103">
        <v>0</v>
      </c>
      <c r="F74" s="103">
        <v>0</v>
      </c>
      <c r="G74" s="103">
        <v>0</v>
      </c>
      <c r="H74" s="103">
        <v>0</v>
      </c>
      <c r="I74" s="103">
        <v>0</v>
      </c>
      <c r="J74" s="103">
        <v>0</v>
      </c>
      <c r="K74" s="103">
        <v>0</v>
      </c>
      <c r="L74" s="103">
        <v>0</v>
      </c>
      <c r="M74" s="103">
        <v>0</v>
      </c>
      <c r="N74" s="45"/>
    </row>
    <row r="75" spans="1:14" x14ac:dyDescent="0.25">
      <c r="A75" s="306"/>
      <c r="B75" s="323"/>
      <c r="C75" s="22" t="s">
        <v>11</v>
      </c>
      <c r="D75" s="23" t="s">
        <v>10</v>
      </c>
      <c r="E75" s="103">
        <v>0</v>
      </c>
      <c r="F75" s="103">
        <v>0</v>
      </c>
      <c r="G75" s="103">
        <v>0</v>
      </c>
      <c r="H75" s="103">
        <v>0</v>
      </c>
      <c r="I75" s="103">
        <v>0</v>
      </c>
      <c r="J75" s="103">
        <v>0</v>
      </c>
      <c r="K75" s="103">
        <v>0</v>
      </c>
      <c r="L75" s="103">
        <v>0</v>
      </c>
      <c r="M75" s="103">
        <v>0</v>
      </c>
      <c r="N75" s="45"/>
    </row>
    <row r="76" spans="1:14" x14ac:dyDescent="0.25">
      <c r="A76" s="306"/>
      <c r="B76" s="323"/>
      <c r="C76" s="21" t="s">
        <v>18</v>
      </c>
      <c r="D76" s="2" t="s">
        <v>19</v>
      </c>
      <c r="E76" s="102">
        <v>4.875</v>
      </c>
      <c r="F76" s="102">
        <v>4.875</v>
      </c>
      <c r="G76" s="102">
        <v>4.875</v>
      </c>
      <c r="H76" s="102">
        <v>4.875</v>
      </c>
      <c r="I76" s="102">
        <v>4.875</v>
      </c>
      <c r="J76" s="102">
        <v>4.875</v>
      </c>
      <c r="K76" s="102">
        <v>4.875</v>
      </c>
      <c r="L76" s="102">
        <v>4.875</v>
      </c>
      <c r="M76" s="102">
        <v>4.875</v>
      </c>
      <c r="N76" s="45"/>
    </row>
    <row r="77" spans="1:14" x14ac:dyDescent="0.25">
      <c r="A77" s="306"/>
      <c r="B77" s="323"/>
      <c r="C77" s="21" t="s">
        <v>13</v>
      </c>
      <c r="D77" s="1" t="s">
        <v>14</v>
      </c>
      <c r="E77" s="102"/>
      <c r="F77" s="102"/>
      <c r="G77" s="102"/>
      <c r="H77" s="102"/>
      <c r="I77" s="102"/>
      <c r="J77" s="102"/>
      <c r="K77" s="102"/>
      <c r="L77" s="102"/>
      <c r="M77" s="102"/>
      <c r="N77" s="45"/>
    </row>
    <row r="78" spans="1:14" x14ac:dyDescent="0.25">
      <c r="A78" s="306"/>
      <c r="B78" s="323"/>
      <c r="C78" s="21" t="s">
        <v>15</v>
      </c>
      <c r="D78" s="1" t="s">
        <v>4</v>
      </c>
      <c r="E78" s="102"/>
      <c r="F78" s="102"/>
      <c r="G78" s="102"/>
      <c r="H78" s="102"/>
      <c r="I78" s="102"/>
      <c r="J78" s="102"/>
      <c r="K78" s="102"/>
      <c r="L78" s="102"/>
      <c r="M78" s="102"/>
      <c r="N78" s="45"/>
    </row>
    <row r="79" spans="1:14" x14ac:dyDescent="0.25">
      <c r="A79" s="306"/>
      <c r="B79" s="323"/>
      <c r="C79" s="21" t="s">
        <v>106</v>
      </c>
      <c r="D79" s="1" t="s">
        <v>6</v>
      </c>
      <c r="E79" s="103">
        <v>3105.227139824588</v>
      </c>
      <c r="F79" s="103">
        <v>2124.7890355573581</v>
      </c>
      <c r="G79" s="103">
        <v>1336.2661902848918</v>
      </c>
      <c r="H79" s="103">
        <v>464.19686267796163</v>
      </c>
      <c r="I79" s="103">
        <v>316.51784616801797</v>
      </c>
      <c r="J79" s="103">
        <v>200.62554706645031</v>
      </c>
      <c r="K79" s="103">
        <v>97.370367192094207</v>
      </c>
      <c r="L79" s="103">
        <v>85.294657716252502</v>
      </c>
      <c r="M79" s="103">
        <v>85.294657716252502</v>
      </c>
      <c r="N79" s="45"/>
    </row>
    <row r="80" spans="1:14" x14ac:dyDescent="0.25">
      <c r="A80" s="306"/>
      <c r="B80" s="323"/>
      <c r="C80" s="21" t="s">
        <v>107</v>
      </c>
      <c r="D80" s="1" t="s">
        <v>4</v>
      </c>
      <c r="E80" s="102"/>
      <c r="F80" s="102"/>
      <c r="G80" s="102"/>
      <c r="H80" s="102"/>
      <c r="I80" s="102"/>
      <c r="J80" s="102"/>
      <c r="K80" s="102"/>
      <c r="L80" s="102"/>
      <c r="M80" s="102"/>
      <c r="N80" s="45"/>
    </row>
    <row r="81" spans="1:14" ht="14.45" customHeight="1" x14ac:dyDescent="0.25">
      <c r="A81" s="306">
        <v>8</v>
      </c>
      <c r="B81" s="323" t="s">
        <v>149</v>
      </c>
      <c r="C81" s="21" t="s">
        <v>101</v>
      </c>
      <c r="D81" s="1" t="s">
        <v>4</v>
      </c>
      <c r="E81" s="102">
        <v>20</v>
      </c>
      <c r="F81" s="102">
        <v>20</v>
      </c>
      <c r="G81" s="102">
        <v>20</v>
      </c>
      <c r="H81" s="102">
        <v>20</v>
      </c>
      <c r="I81" s="102">
        <v>20</v>
      </c>
      <c r="J81" s="102">
        <v>20</v>
      </c>
      <c r="K81" s="102">
        <v>20</v>
      </c>
      <c r="L81" s="102">
        <v>20</v>
      </c>
      <c r="M81" s="102">
        <v>20</v>
      </c>
      <c r="N81" s="45"/>
    </row>
    <row r="82" spans="1:14" x14ac:dyDescent="0.25">
      <c r="A82" s="306"/>
      <c r="B82" s="323"/>
      <c r="C82" s="21" t="s">
        <v>20</v>
      </c>
      <c r="D82" s="1" t="s">
        <v>6</v>
      </c>
      <c r="E82" s="103">
        <v>690.37350466796431</v>
      </c>
      <c r="F82" s="103">
        <v>482.27864832153284</v>
      </c>
      <c r="G82" s="103">
        <v>370.24487330434692</v>
      </c>
      <c r="H82" s="103">
        <v>370.24487330434692</v>
      </c>
      <c r="I82" s="103">
        <v>370.24487330434692</v>
      </c>
      <c r="J82" s="103">
        <v>370.24487330434692</v>
      </c>
      <c r="K82" s="103">
        <v>566.30399999999997</v>
      </c>
      <c r="L82" s="103">
        <v>566.30399999999997</v>
      </c>
      <c r="M82" s="103">
        <v>566.30399999999997</v>
      </c>
      <c r="N82" s="45"/>
    </row>
    <row r="83" spans="1:14" x14ac:dyDescent="0.25">
      <c r="A83" s="306"/>
      <c r="B83" s="323"/>
      <c r="C83" s="21" t="s">
        <v>172</v>
      </c>
      <c r="D83" s="1" t="s">
        <v>19</v>
      </c>
      <c r="E83" s="104">
        <v>0</v>
      </c>
      <c r="F83" s="104">
        <v>0</v>
      </c>
      <c r="G83" s="104">
        <v>0</v>
      </c>
      <c r="H83" s="104">
        <v>0</v>
      </c>
      <c r="I83" s="104">
        <v>0</v>
      </c>
      <c r="J83" s="104">
        <v>0</v>
      </c>
      <c r="K83" s="104">
        <v>0</v>
      </c>
      <c r="L83" s="104">
        <v>0</v>
      </c>
      <c r="M83" s="104">
        <v>0</v>
      </c>
      <c r="N83" s="45"/>
    </row>
    <row r="84" spans="1:14" x14ac:dyDescent="0.25">
      <c r="A84" s="306"/>
      <c r="B84" s="323"/>
      <c r="C84" s="21" t="s">
        <v>102</v>
      </c>
      <c r="D84" s="1" t="s">
        <v>8</v>
      </c>
      <c r="E84" s="102"/>
      <c r="F84" s="102"/>
      <c r="G84" s="102"/>
      <c r="H84" s="102"/>
      <c r="I84" s="102"/>
      <c r="J84" s="102"/>
      <c r="K84" s="102"/>
      <c r="L84" s="102"/>
      <c r="M84" s="102"/>
      <c r="N84" s="45"/>
    </row>
    <row r="85" spans="1:14" x14ac:dyDescent="0.25">
      <c r="A85" s="306"/>
      <c r="B85" s="323"/>
      <c r="C85" s="21" t="s">
        <v>103</v>
      </c>
      <c r="D85" s="1" t="s">
        <v>9</v>
      </c>
      <c r="E85" s="103">
        <v>10.355602570019464</v>
      </c>
      <c r="F85" s="103">
        <v>7.234179724822992</v>
      </c>
      <c r="G85" s="103">
        <v>5.5536730995652039</v>
      </c>
      <c r="H85" s="103">
        <v>5.5536730995652039</v>
      </c>
      <c r="I85" s="103">
        <v>5.5536730995652039</v>
      </c>
      <c r="J85" s="103">
        <v>5.5536730995652039</v>
      </c>
      <c r="K85" s="103">
        <v>1.538</v>
      </c>
      <c r="L85" s="103">
        <v>1.538</v>
      </c>
      <c r="M85" s="103">
        <v>1.538</v>
      </c>
      <c r="N85" s="45"/>
    </row>
    <row r="86" spans="1:14" x14ac:dyDescent="0.25">
      <c r="A86" s="306"/>
      <c r="B86" s="323"/>
      <c r="C86" s="21" t="s">
        <v>104</v>
      </c>
      <c r="D86" s="1" t="s">
        <v>10</v>
      </c>
      <c r="E86" s="103">
        <v>0</v>
      </c>
      <c r="F86" s="103">
        <v>0</v>
      </c>
      <c r="G86" s="103">
        <v>0</v>
      </c>
      <c r="H86" s="103">
        <v>0</v>
      </c>
      <c r="I86" s="103">
        <v>0</v>
      </c>
      <c r="J86" s="103">
        <v>0</v>
      </c>
      <c r="K86" s="103">
        <v>2.0100000000000001E-3</v>
      </c>
      <c r="L86" s="103">
        <v>2.0100000000000001E-3</v>
      </c>
      <c r="M86" s="103">
        <v>2.0100000000000001E-3</v>
      </c>
      <c r="N86" s="45"/>
    </row>
    <row r="87" spans="1:14" ht="18.75" x14ac:dyDescent="0.25">
      <c r="A87" s="306"/>
      <c r="B87" s="323"/>
      <c r="C87" s="22" t="s">
        <v>105</v>
      </c>
      <c r="D87" s="23" t="s">
        <v>17</v>
      </c>
      <c r="E87" s="103">
        <v>0</v>
      </c>
      <c r="F87" s="103">
        <v>0</v>
      </c>
      <c r="G87" s="103">
        <v>0</v>
      </c>
      <c r="H87" s="103">
        <v>0</v>
      </c>
      <c r="I87" s="103">
        <v>0</v>
      </c>
      <c r="J87" s="103">
        <v>0</v>
      </c>
      <c r="K87" s="103">
        <v>0</v>
      </c>
      <c r="L87" s="103">
        <v>0</v>
      </c>
      <c r="M87" s="103">
        <v>0</v>
      </c>
      <c r="N87" s="45"/>
    </row>
    <row r="88" spans="1:14" x14ac:dyDescent="0.25">
      <c r="A88" s="306"/>
      <c r="B88" s="323"/>
      <c r="C88" s="22" t="s">
        <v>11</v>
      </c>
      <c r="D88" s="23" t="s">
        <v>10</v>
      </c>
      <c r="E88" s="103">
        <v>0</v>
      </c>
      <c r="F88" s="103">
        <v>0</v>
      </c>
      <c r="G88" s="103">
        <v>0</v>
      </c>
      <c r="H88" s="103">
        <v>0</v>
      </c>
      <c r="I88" s="103">
        <v>0</v>
      </c>
      <c r="J88" s="103">
        <v>0</v>
      </c>
      <c r="K88" s="103">
        <v>0</v>
      </c>
      <c r="L88" s="103">
        <v>0</v>
      </c>
      <c r="M88" s="103">
        <v>0</v>
      </c>
      <c r="N88" s="45"/>
    </row>
    <row r="89" spans="1:14" x14ac:dyDescent="0.25">
      <c r="A89" s="306"/>
      <c r="B89" s="323"/>
      <c r="C89" s="21" t="s">
        <v>18</v>
      </c>
      <c r="D89" s="2" t="s">
        <v>19</v>
      </c>
      <c r="E89" s="102">
        <v>4.5299999999999994</v>
      </c>
      <c r="F89" s="102">
        <v>4.5299999999999994</v>
      </c>
      <c r="G89" s="102">
        <v>4.5299999999999994</v>
      </c>
      <c r="H89" s="102">
        <v>4.5299999999999994</v>
      </c>
      <c r="I89" s="102">
        <v>4.5299999999999994</v>
      </c>
      <c r="J89" s="102">
        <v>4.5299999999999994</v>
      </c>
      <c r="K89" s="102">
        <v>4.5299999999999994</v>
      </c>
      <c r="L89" s="102">
        <v>4.5299999999999994</v>
      </c>
      <c r="M89" s="102">
        <v>4.5299999999999994</v>
      </c>
      <c r="N89" s="45"/>
    </row>
    <row r="90" spans="1:14" x14ac:dyDescent="0.25">
      <c r="A90" s="306"/>
      <c r="B90" s="323"/>
      <c r="C90" s="21" t="s">
        <v>13</v>
      </c>
      <c r="D90" s="2" t="s">
        <v>14</v>
      </c>
      <c r="E90" s="102"/>
      <c r="F90" s="102"/>
      <c r="G90" s="102"/>
      <c r="H90" s="102"/>
      <c r="I90" s="102"/>
      <c r="J90" s="102"/>
      <c r="K90" s="102"/>
      <c r="L90" s="102"/>
      <c r="M90" s="102"/>
      <c r="N90" s="45"/>
    </row>
    <row r="91" spans="1:14" x14ac:dyDescent="0.25">
      <c r="A91" s="306"/>
      <c r="B91" s="323"/>
      <c r="C91" s="21" t="s">
        <v>15</v>
      </c>
      <c r="D91" s="1" t="s">
        <v>4</v>
      </c>
      <c r="E91" s="102"/>
      <c r="F91" s="102"/>
      <c r="G91" s="102"/>
      <c r="H91" s="102"/>
      <c r="I91" s="102"/>
      <c r="J91" s="102"/>
      <c r="K91" s="102"/>
      <c r="L91" s="102"/>
      <c r="M91" s="102"/>
      <c r="N91" s="45"/>
    </row>
    <row r="92" spans="1:14" x14ac:dyDescent="0.25">
      <c r="A92" s="306"/>
      <c r="B92" s="323"/>
      <c r="C92" s="21" t="s">
        <v>106</v>
      </c>
      <c r="D92" s="1" t="s">
        <v>6</v>
      </c>
      <c r="E92" s="103">
        <v>3105.227139824588</v>
      </c>
      <c r="F92" s="103">
        <v>2124.7890355573581</v>
      </c>
      <c r="G92" s="103">
        <v>1336.2661902848918</v>
      </c>
      <c r="H92" s="103">
        <v>464.19686267796163</v>
      </c>
      <c r="I92" s="103">
        <v>316.51784616801797</v>
      </c>
      <c r="J92" s="103">
        <v>200.62554706645031</v>
      </c>
      <c r="K92" s="103">
        <v>97.370367192094207</v>
      </c>
      <c r="L92" s="103">
        <v>85.294657716252502</v>
      </c>
      <c r="M92" s="103">
        <v>85.294657716252502</v>
      </c>
      <c r="N92" s="45"/>
    </row>
    <row r="93" spans="1:14" x14ac:dyDescent="0.25">
      <c r="A93" s="306"/>
      <c r="B93" s="323"/>
      <c r="C93" s="21" t="s">
        <v>107</v>
      </c>
      <c r="D93" s="1" t="s">
        <v>4</v>
      </c>
      <c r="E93" s="102"/>
      <c r="F93" s="102"/>
      <c r="G93" s="102"/>
      <c r="H93" s="102"/>
      <c r="I93" s="102"/>
      <c r="J93" s="102"/>
      <c r="K93" s="102"/>
      <c r="L93" s="102"/>
      <c r="M93" s="102"/>
      <c r="N93" s="45"/>
    </row>
    <row r="94" spans="1:14" ht="15" customHeight="1" x14ac:dyDescent="0.25">
      <c r="A94" s="306">
        <v>9</v>
      </c>
      <c r="B94" s="323" t="s">
        <v>108</v>
      </c>
      <c r="C94" s="21" t="s">
        <v>109</v>
      </c>
      <c r="D94" s="1" t="s">
        <v>19</v>
      </c>
      <c r="E94" s="102">
        <v>1</v>
      </c>
      <c r="F94" s="102">
        <v>1</v>
      </c>
      <c r="G94" s="102">
        <v>1</v>
      </c>
      <c r="H94" s="102">
        <v>1</v>
      </c>
      <c r="I94" s="102">
        <v>1</v>
      </c>
      <c r="J94" s="102">
        <v>1</v>
      </c>
      <c r="K94" s="102">
        <v>1</v>
      </c>
      <c r="L94" s="102">
        <v>1</v>
      </c>
      <c r="M94" s="102">
        <v>1</v>
      </c>
      <c r="N94" s="45"/>
    </row>
    <row r="95" spans="1:14" x14ac:dyDescent="0.25">
      <c r="A95" s="306"/>
      <c r="B95" s="323"/>
      <c r="C95" s="21" t="s">
        <v>21</v>
      </c>
      <c r="D95" s="1" t="s">
        <v>19</v>
      </c>
      <c r="E95" s="102">
        <v>0.35</v>
      </c>
      <c r="F95" s="102">
        <v>0.35</v>
      </c>
      <c r="G95" s="102">
        <v>0.35</v>
      </c>
      <c r="H95" s="102">
        <v>0.35</v>
      </c>
      <c r="I95" s="102">
        <v>0.35</v>
      </c>
      <c r="J95" s="102">
        <v>0.35</v>
      </c>
      <c r="K95" s="102">
        <v>0.35</v>
      </c>
      <c r="L95" s="102">
        <v>0.35</v>
      </c>
      <c r="M95" s="102">
        <v>0.35</v>
      </c>
      <c r="N95" s="45"/>
    </row>
    <row r="96" spans="1:14" x14ac:dyDescent="0.25">
      <c r="A96" s="306"/>
      <c r="B96" s="323"/>
      <c r="C96" s="21" t="s">
        <v>22</v>
      </c>
      <c r="D96" s="1" t="s">
        <v>4</v>
      </c>
      <c r="E96" s="102">
        <v>20</v>
      </c>
      <c r="F96" s="102">
        <v>20</v>
      </c>
      <c r="G96" s="102">
        <v>20</v>
      </c>
      <c r="H96" s="102">
        <v>20</v>
      </c>
      <c r="I96" s="102">
        <v>20</v>
      </c>
      <c r="J96" s="102">
        <v>20</v>
      </c>
      <c r="K96" s="102">
        <v>20</v>
      </c>
      <c r="L96" s="102">
        <v>20</v>
      </c>
      <c r="M96" s="102">
        <v>20</v>
      </c>
      <c r="N96" s="45"/>
    </row>
    <row r="97" spans="1:14" x14ac:dyDescent="0.25">
      <c r="A97" s="306"/>
      <c r="B97" s="323"/>
      <c r="C97" s="21" t="s">
        <v>23</v>
      </c>
      <c r="D97" s="1" t="s">
        <v>6</v>
      </c>
      <c r="E97" s="103">
        <v>192.56641637688614</v>
      </c>
      <c r="F97" s="103">
        <v>163.18945257039451</v>
      </c>
      <c r="G97" s="103">
        <v>127.27927465146402</v>
      </c>
      <c r="H97" s="103">
        <v>102.70540718565383</v>
      </c>
      <c r="I97" s="103">
        <v>107.31263157894738</v>
      </c>
      <c r="J97" s="103">
        <v>107.00631578947369</v>
      </c>
      <c r="K97" s="103">
        <v>105.98526315789475</v>
      </c>
      <c r="L97" s="103">
        <v>103.84105263157896</v>
      </c>
      <c r="M97" s="103">
        <v>99.55263157894737</v>
      </c>
      <c r="N97" s="45"/>
    </row>
    <row r="98" spans="1:14" x14ac:dyDescent="0.25">
      <c r="A98" s="306"/>
      <c r="B98" s="323"/>
      <c r="C98" s="21" t="s">
        <v>173</v>
      </c>
      <c r="D98" s="1" t="s">
        <v>19</v>
      </c>
      <c r="E98" s="104">
        <v>0</v>
      </c>
      <c r="F98" s="104">
        <v>0</v>
      </c>
      <c r="G98" s="104">
        <v>0</v>
      </c>
      <c r="H98" s="104">
        <v>0</v>
      </c>
      <c r="I98" s="104">
        <v>0</v>
      </c>
      <c r="J98" s="104">
        <v>0</v>
      </c>
      <c r="K98" s="104">
        <v>0</v>
      </c>
      <c r="L98" s="104">
        <v>0</v>
      </c>
      <c r="M98" s="104">
        <v>0</v>
      </c>
      <c r="N98" s="45"/>
    </row>
    <row r="99" spans="1:14" x14ac:dyDescent="0.25">
      <c r="A99" s="306"/>
      <c r="B99" s="323"/>
      <c r="C99" s="21" t="s">
        <v>110</v>
      </c>
      <c r="D99" s="1" t="s">
        <v>8</v>
      </c>
      <c r="E99" s="102"/>
      <c r="F99" s="102"/>
      <c r="G99" s="102"/>
      <c r="H99" s="102"/>
      <c r="I99" s="102"/>
      <c r="J99" s="102"/>
      <c r="K99" s="102"/>
      <c r="L99" s="102"/>
      <c r="M99" s="102"/>
      <c r="N99" s="45"/>
    </row>
    <row r="100" spans="1:14" x14ac:dyDescent="0.25">
      <c r="A100" s="306"/>
      <c r="B100" s="323"/>
      <c r="C100" s="21" t="s">
        <v>111</v>
      </c>
      <c r="D100" s="1" t="s">
        <v>9</v>
      </c>
      <c r="E100" s="103">
        <v>5.7769924913065838</v>
      </c>
      <c r="F100" s="103">
        <v>4.8956835771118348</v>
      </c>
      <c r="G100" s="103">
        <v>3.8183782395439203</v>
      </c>
      <c r="H100" s="103">
        <v>3.0811622155696146</v>
      </c>
      <c r="I100" s="103">
        <v>2.0378947368421052</v>
      </c>
      <c r="J100" s="103">
        <v>2.0189473684210526</v>
      </c>
      <c r="K100" s="103">
        <v>1.9557894736842103</v>
      </c>
      <c r="L100" s="103">
        <v>1.8231578947368419</v>
      </c>
      <c r="M100" s="103">
        <v>1.557894736842105</v>
      </c>
      <c r="N100" s="45"/>
    </row>
    <row r="101" spans="1:14" x14ac:dyDescent="0.25">
      <c r="A101" s="306"/>
      <c r="B101" s="323"/>
      <c r="C101" s="21" t="s">
        <v>35</v>
      </c>
      <c r="D101" s="1" t="s">
        <v>10</v>
      </c>
      <c r="E101" s="103">
        <v>0</v>
      </c>
      <c r="F101" s="103">
        <v>0</v>
      </c>
      <c r="G101" s="103">
        <v>0</v>
      </c>
      <c r="H101" s="103">
        <v>0</v>
      </c>
      <c r="I101" s="103">
        <v>0</v>
      </c>
      <c r="J101" s="103">
        <v>0</v>
      </c>
      <c r="K101" s="103">
        <v>1.7051368421052632E-3</v>
      </c>
      <c r="L101" s="103">
        <v>1.5645473684210527E-3</v>
      </c>
      <c r="M101" s="103">
        <v>1.2833684210526316E-3</v>
      </c>
      <c r="N101" s="45"/>
    </row>
    <row r="102" spans="1:14" x14ac:dyDescent="0.25">
      <c r="A102" s="306"/>
      <c r="B102" s="323"/>
      <c r="C102" s="22" t="s">
        <v>24</v>
      </c>
      <c r="D102" s="23" t="s">
        <v>10</v>
      </c>
      <c r="E102" s="104">
        <v>0</v>
      </c>
      <c r="F102" s="104">
        <v>0</v>
      </c>
      <c r="G102" s="104">
        <v>0</v>
      </c>
      <c r="H102" s="104">
        <v>0</v>
      </c>
      <c r="I102" s="104">
        <v>0</v>
      </c>
      <c r="J102" s="104">
        <v>0</v>
      </c>
      <c r="K102" s="104">
        <v>0</v>
      </c>
      <c r="L102" s="104">
        <v>0</v>
      </c>
      <c r="M102" s="104">
        <v>0</v>
      </c>
      <c r="N102" s="45"/>
    </row>
    <row r="103" spans="1:14" x14ac:dyDescent="0.25">
      <c r="A103" s="306"/>
      <c r="B103" s="323"/>
      <c r="C103" s="21" t="s">
        <v>25</v>
      </c>
      <c r="D103" s="1" t="s">
        <v>7</v>
      </c>
      <c r="E103" s="104">
        <v>0.99749999999999994</v>
      </c>
      <c r="F103" s="104">
        <v>0.99749999999999994</v>
      </c>
      <c r="G103" s="104">
        <v>0.99749999999999994</v>
      </c>
      <c r="H103" s="104">
        <v>0.99749999999999994</v>
      </c>
      <c r="I103" s="104">
        <v>0.99749999999999994</v>
      </c>
      <c r="J103" s="104">
        <v>0.99749999999999994</v>
      </c>
      <c r="K103" s="104">
        <v>0.999</v>
      </c>
      <c r="L103" s="104">
        <v>0.999</v>
      </c>
      <c r="M103" s="104">
        <v>0.999</v>
      </c>
      <c r="N103" s="45"/>
    </row>
    <row r="104" spans="1:14" x14ac:dyDescent="0.25">
      <c r="A104" s="306"/>
      <c r="B104" s="323"/>
      <c r="C104" s="21" t="s">
        <v>26</v>
      </c>
      <c r="D104" s="1" t="s">
        <v>14</v>
      </c>
      <c r="E104" s="103">
        <v>1524.6</v>
      </c>
      <c r="F104" s="103">
        <v>1749.6</v>
      </c>
      <c r="G104" s="103">
        <v>2349.6</v>
      </c>
      <c r="H104" s="103">
        <v>3174.6</v>
      </c>
      <c r="I104" s="103">
        <v>4299.6000000000004</v>
      </c>
      <c r="J104" s="103">
        <v>14213</v>
      </c>
      <c r="K104" s="103">
        <v>21713</v>
      </c>
      <c r="L104" s="103">
        <v>37463</v>
      </c>
      <c r="M104" s="103">
        <v>68963</v>
      </c>
      <c r="N104" s="45"/>
    </row>
    <row r="105" spans="1:14" x14ac:dyDescent="0.25">
      <c r="A105" s="306"/>
      <c r="B105" s="323"/>
      <c r="C105" s="21" t="s">
        <v>27</v>
      </c>
      <c r="D105" s="1" t="s">
        <v>4</v>
      </c>
      <c r="E105" s="102">
        <v>40</v>
      </c>
      <c r="F105" s="102">
        <v>40</v>
      </c>
      <c r="G105" s="102">
        <v>40</v>
      </c>
      <c r="H105" s="102">
        <v>40</v>
      </c>
      <c r="I105" s="102">
        <v>40</v>
      </c>
      <c r="J105" s="102">
        <v>40</v>
      </c>
      <c r="K105" s="102">
        <v>40</v>
      </c>
      <c r="L105" s="102">
        <v>40</v>
      </c>
      <c r="M105" s="102">
        <v>40</v>
      </c>
      <c r="N105" s="45"/>
    </row>
    <row r="106" spans="1:14" x14ac:dyDescent="0.25">
      <c r="A106" s="306"/>
      <c r="B106" s="323"/>
      <c r="C106" s="21" t="s">
        <v>112</v>
      </c>
      <c r="D106" s="1" t="s">
        <v>19</v>
      </c>
      <c r="E106" s="102">
        <v>0.5</v>
      </c>
      <c r="F106" s="102">
        <v>0.5</v>
      </c>
      <c r="G106" s="102">
        <v>0.5</v>
      </c>
      <c r="H106" s="102">
        <v>0.5</v>
      </c>
      <c r="I106" s="102">
        <v>0.5</v>
      </c>
      <c r="J106" s="102">
        <v>0.5</v>
      </c>
      <c r="K106" s="102">
        <v>0.5</v>
      </c>
      <c r="L106" s="102">
        <v>0.5</v>
      </c>
      <c r="M106" s="102">
        <v>0.5</v>
      </c>
      <c r="N106" s="45"/>
    </row>
    <row r="107" spans="1:14" x14ac:dyDescent="0.25">
      <c r="A107" s="306"/>
      <c r="B107" s="323"/>
      <c r="C107" s="21" t="s">
        <v>28</v>
      </c>
      <c r="D107" s="1" t="s">
        <v>19</v>
      </c>
      <c r="E107" s="102">
        <v>1.3</v>
      </c>
      <c r="F107" s="102">
        <v>1.3</v>
      </c>
      <c r="G107" s="102">
        <v>1.3</v>
      </c>
      <c r="H107" s="102">
        <v>1.3</v>
      </c>
      <c r="I107" s="102">
        <v>1.3</v>
      </c>
      <c r="J107" s="102">
        <v>1.3</v>
      </c>
      <c r="K107" s="102">
        <v>1.3</v>
      </c>
      <c r="L107" s="102">
        <v>1.3</v>
      </c>
      <c r="M107" s="102">
        <v>1.3</v>
      </c>
      <c r="N107" s="45"/>
    </row>
    <row r="108" spans="1:14" x14ac:dyDescent="0.25">
      <c r="A108" s="306"/>
      <c r="B108" s="323"/>
      <c r="C108" s="21" t="s">
        <v>29</v>
      </c>
      <c r="D108" s="1" t="s">
        <v>4</v>
      </c>
      <c r="E108" s="102">
        <v>20</v>
      </c>
      <c r="F108" s="102">
        <v>20</v>
      </c>
      <c r="G108" s="102">
        <v>20</v>
      </c>
      <c r="H108" s="102">
        <v>20</v>
      </c>
      <c r="I108" s="102">
        <v>20</v>
      </c>
      <c r="J108" s="102">
        <v>20</v>
      </c>
      <c r="K108" s="102">
        <v>20</v>
      </c>
      <c r="L108" s="102">
        <v>20</v>
      </c>
      <c r="M108" s="102">
        <v>20</v>
      </c>
      <c r="N108" s="45"/>
    </row>
    <row r="109" spans="1:14" x14ac:dyDescent="0.25">
      <c r="A109" s="306"/>
      <c r="B109" s="323"/>
      <c r="C109" s="21" t="s">
        <v>30</v>
      </c>
      <c r="D109" s="1" t="s">
        <v>6</v>
      </c>
      <c r="E109" s="103">
        <v>1059.4010540988941</v>
      </c>
      <c r="F109" s="103">
        <v>756.50213541090761</v>
      </c>
      <c r="G109" s="103">
        <v>501.22759185375315</v>
      </c>
      <c r="H109" s="103">
        <v>421.48150193390472</v>
      </c>
      <c r="I109" s="103">
        <v>421.48150193390472</v>
      </c>
      <c r="J109" s="103">
        <v>421.48150193390472</v>
      </c>
      <c r="K109" s="103">
        <v>1263.7926377407807</v>
      </c>
      <c r="L109" s="103">
        <v>1099.5292106353315</v>
      </c>
      <c r="M109" s="103">
        <v>966.59191860788746</v>
      </c>
      <c r="N109" s="45"/>
    </row>
    <row r="110" spans="1:14" x14ac:dyDescent="0.25">
      <c r="A110" s="306"/>
      <c r="B110" s="323"/>
      <c r="C110" s="21" t="s">
        <v>174</v>
      </c>
      <c r="D110" s="1" t="s">
        <v>19</v>
      </c>
      <c r="E110" s="104">
        <v>0</v>
      </c>
      <c r="F110" s="104">
        <v>0</v>
      </c>
      <c r="G110" s="104">
        <v>0</v>
      </c>
      <c r="H110" s="104">
        <v>0</v>
      </c>
      <c r="I110" s="104">
        <v>0</v>
      </c>
      <c r="J110" s="104">
        <v>0</v>
      </c>
      <c r="K110" s="104">
        <v>0</v>
      </c>
      <c r="L110" s="104">
        <v>0</v>
      </c>
      <c r="M110" s="104">
        <v>0</v>
      </c>
      <c r="N110" s="45"/>
    </row>
    <row r="111" spans="1:14" x14ac:dyDescent="0.25">
      <c r="A111" s="306"/>
      <c r="B111" s="323"/>
      <c r="C111" s="21" t="s">
        <v>113</v>
      </c>
      <c r="D111" s="1" t="s">
        <v>8</v>
      </c>
      <c r="E111" s="102"/>
      <c r="F111" s="102"/>
      <c r="G111" s="102"/>
      <c r="H111" s="102"/>
      <c r="I111" s="102"/>
      <c r="J111" s="102"/>
      <c r="K111" s="102"/>
      <c r="L111" s="102"/>
      <c r="M111" s="102"/>
      <c r="N111" s="45"/>
    </row>
    <row r="112" spans="1:14" x14ac:dyDescent="0.25">
      <c r="A112" s="306"/>
      <c r="B112" s="323"/>
      <c r="C112" s="21" t="s">
        <v>114</v>
      </c>
      <c r="D112" s="1" t="s">
        <v>9</v>
      </c>
      <c r="E112" s="102"/>
      <c r="F112" s="102"/>
      <c r="G112" s="102"/>
      <c r="H112" s="102"/>
      <c r="I112" s="102"/>
      <c r="J112" s="102"/>
      <c r="K112" s="102"/>
      <c r="L112" s="102"/>
      <c r="M112" s="102"/>
      <c r="N112" s="45"/>
    </row>
    <row r="113" spans="1:15" x14ac:dyDescent="0.25">
      <c r="A113" s="306"/>
      <c r="B113" s="323"/>
      <c r="C113" s="21" t="s">
        <v>115</v>
      </c>
      <c r="D113" s="1" t="s">
        <v>10</v>
      </c>
      <c r="E113" s="103">
        <v>0</v>
      </c>
      <c r="F113" s="103">
        <v>0</v>
      </c>
      <c r="G113" s="103">
        <v>0</v>
      </c>
      <c r="H113" s="103">
        <v>0</v>
      </c>
      <c r="I113" s="103">
        <v>0</v>
      </c>
      <c r="J113" s="103">
        <v>0</v>
      </c>
      <c r="K113" s="103">
        <v>0</v>
      </c>
      <c r="L113" s="103">
        <v>2.0100000000000001E-3</v>
      </c>
      <c r="M113" s="103">
        <v>2.0100000000000001E-3</v>
      </c>
      <c r="N113" s="48"/>
      <c r="O113" s="49"/>
    </row>
    <row r="114" spans="1:15" ht="18.75" x14ac:dyDescent="0.25">
      <c r="A114" s="306"/>
      <c r="B114" s="323"/>
      <c r="C114" s="22" t="s">
        <v>116</v>
      </c>
      <c r="D114" s="23" t="s">
        <v>17</v>
      </c>
      <c r="E114" s="103">
        <v>0</v>
      </c>
      <c r="F114" s="103">
        <v>0</v>
      </c>
      <c r="G114" s="103">
        <v>0</v>
      </c>
      <c r="H114" s="103">
        <v>0</v>
      </c>
      <c r="I114" s="103">
        <v>0</v>
      </c>
      <c r="J114" s="103">
        <v>0</v>
      </c>
      <c r="K114" s="103">
        <v>0</v>
      </c>
      <c r="L114" s="103">
        <v>0</v>
      </c>
      <c r="M114" s="103">
        <v>0</v>
      </c>
      <c r="N114" s="45"/>
    </row>
    <row r="115" spans="1:15" x14ac:dyDescent="0.25">
      <c r="A115" s="306"/>
      <c r="B115" s="323"/>
      <c r="C115" s="22" t="s">
        <v>31</v>
      </c>
      <c r="D115" s="23" t="s">
        <v>10</v>
      </c>
      <c r="E115" s="103">
        <v>0</v>
      </c>
      <c r="F115" s="103">
        <v>0</v>
      </c>
      <c r="G115" s="103">
        <v>0</v>
      </c>
      <c r="H115" s="103">
        <v>0</v>
      </c>
      <c r="I115" s="103">
        <v>0</v>
      </c>
      <c r="J115" s="103">
        <v>0</v>
      </c>
      <c r="K115" s="103">
        <v>0</v>
      </c>
      <c r="L115" s="103">
        <v>0</v>
      </c>
      <c r="M115" s="103">
        <v>0</v>
      </c>
      <c r="N115" s="45"/>
    </row>
    <row r="116" spans="1:15" x14ac:dyDescent="0.25">
      <c r="A116" s="306"/>
      <c r="B116" s="323"/>
      <c r="C116" s="21" t="s">
        <v>32</v>
      </c>
      <c r="D116" s="2" t="s">
        <v>19</v>
      </c>
      <c r="E116" s="102">
        <v>3.48</v>
      </c>
      <c r="F116" s="102">
        <v>3.48</v>
      </c>
      <c r="G116" s="102">
        <v>3.48</v>
      </c>
      <c r="H116" s="102">
        <v>3.48</v>
      </c>
      <c r="I116" s="102">
        <v>3.48</v>
      </c>
      <c r="J116" s="102">
        <v>3.48</v>
      </c>
      <c r="K116" s="102">
        <v>3.48</v>
      </c>
      <c r="L116" s="102">
        <v>3.48</v>
      </c>
      <c r="M116" s="102">
        <v>3.48</v>
      </c>
      <c r="N116" s="45"/>
    </row>
    <row r="117" spans="1:15" x14ac:dyDescent="0.25">
      <c r="A117" s="306"/>
      <c r="B117" s="323"/>
      <c r="C117" s="21" t="s">
        <v>33</v>
      </c>
      <c r="D117" s="2" t="s">
        <v>14</v>
      </c>
      <c r="E117" s="102"/>
      <c r="F117" s="102"/>
      <c r="G117" s="102"/>
      <c r="H117" s="102"/>
      <c r="I117" s="102"/>
      <c r="J117" s="102"/>
      <c r="K117" s="102"/>
      <c r="L117" s="102"/>
      <c r="M117" s="102"/>
      <c r="N117" s="45"/>
    </row>
    <row r="118" spans="1:15" x14ac:dyDescent="0.25">
      <c r="A118" s="306"/>
      <c r="B118" s="323"/>
      <c r="C118" s="21" t="s">
        <v>34</v>
      </c>
      <c r="D118" s="2" t="s">
        <v>4</v>
      </c>
      <c r="E118" s="102"/>
      <c r="F118" s="102"/>
      <c r="G118" s="102"/>
      <c r="H118" s="102"/>
      <c r="I118" s="102"/>
      <c r="J118" s="102"/>
      <c r="K118" s="102"/>
      <c r="L118" s="102"/>
      <c r="M118" s="102"/>
      <c r="N118" s="45"/>
    </row>
    <row r="119" spans="1:15" ht="15" customHeight="1" x14ac:dyDescent="0.25">
      <c r="A119" s="306">
        <v>10</v>
      </c>
      <c r="B119" s="323" t="s">
        <v>175</v>
      </c>
      <c r="C119" s="21" t="s">
        <v>109</v>
      </c>
      <c r="D119" s="1" t="s">
        <v>19</v>
      </c>
      <c r="E119" s="102">
        <v>1</v>
      </c>
      <c r="F119" s="102">
        <v>1</v>
      </c>
      <c r="G119" s="102">
        <v>1</v>
      </c>
      <c r="H119" s="102">
        <v>1</v>
      </c>
      <c r="I119" s="102">
        <v>1</v>
      </c>
      <c r="J119" s="102">
        <v>1</v>
      </c>
      <c r="K119" s="102">
        <v>1</v>
      </c>
      <c r="L119" s="102">
        <v>1</v>
      </c>
      <c r="M119" s="102">
        <v>1</v>
      </c>
      <c r="N119" s="45"/>
    </row>
    <row r="120" spans="1:15" x14ac:dyDescent="0.25">
      <c r="A120" s="306"/>
      <c r="B120" s="323"/>
      <c r="C120" s="21" t="s">
        <v>21</v>
      </c>
      <c r="D120" s="1" t="s">
        <v>19</v>
      </c>
      <c r="E120" s="102">
        <v>0.35</v>
      </c>
      <c r="F120" s="102">
        <v>0.35</v>
      </c>
      <c r="G120" s="102">
        <v>0.35</v>
      </c>
      <c r="H120" s="102">
        <v>0.35</v>
      </c>
      <c r="I120" s="102">
        <v>0.35</v>
      </c>
      <c r="J120" s="102">
        <v>0.35</v>
      </c>
      <c r="K120" s="102">
        <v>0.35</v>
      </c>
      <c r="L120" s="102">
        <v>0.35</v>
      </c>
      <c r="M120" s="102">
        <v>0.35</v>
      </c>
      <c r="N120" s="45"/>
    </row>
    <row r="121" spans="1:15" x14ac:dyDescent="0.25">
      <c r="A121" s="306"/>
      <c r="B121" s="323"/>
      <c r="C121" s="21" t="s">
        <v>22</v>
      </c>
      <c r="D121" s="1" t="s">
        <v>4</v>
      </c>
      <c r="E121" s="102">
        <v>20</v>
      </c>
      <c r="F121" s="102">
        <v>20</v>
      </c>
      <c r="G121" s="102">
        <v>20</v>
      </c>
      <c r="H121" s="102">
        <v>20</v>
      </c>
      <c r="I121" s="102">
        <v>20</v>
      </c>
      <c r="J121" s="102">
        <v>20</v>
      </c>
      <c r="K121" s="102">
        <v>20</v>
      </c>
      <c r="L121" s="102">
        <v>20</v>
      </c>
      <c r="M121" s="102">
        <v>20</v>
      </c>
      <c r="N121" s="45"/>
    </row>
    <row r="122" spans="1:15" x14ac:dyDescent="0.25">
      <c r="A122" s="306"/>
      <c r="B122" s="323"/>
      <c r="C122" s="21" t="s">
        <v>23</v>
      </c>
      <c r="D122" s="1" t="s">
        <v>6</v>
      </c>
      <c r="E122" s="103">
        <v>192.56641637688614</v>
      </c>
      <c r="F122" s="103">
        <v>163.18945257039451</v>
      </c>
      <c r="G122" s="103">
        <v>127.27927465146402</v>
      </c>
      <c r="H122" s="103">
        <v>102.70540718565383</v>
      </c>
      <c r="I122" s="103">
        <v>107.31263157894738</v>
      </c>
      <c r="J122" s="103">
        <v>107.00631578947369</v>
      </c>
      <c r="K122" s="103">
        <v>105.98526315789475</v>
      </c>
      <c r="L122" s="103">
        <v>103.84105263157896</v>
      </c>
      <c r="M122" s="103">
        <v>99.55263157894737</v>
      </c>
      <c r="N122" s="45"/>
    </row>
    <row r="123" spans="1:15" x14ac:dyDescent="0.25">
      <c r="A123" s="306"/>
      <c r="B123" s="323"/>
      <c r="C123" s="21" t="s">
        <v>173</v>
      </c>
      <c r="D123" s="1" t="s">
        <v>19</v>
      </c>
      <c r="E123" s="104">
        <v>0</v>
      </c>
      <c r="F123" s="104">
        <v>0</v>
      </c>
      <c r="G123" s="104">
        <v>0</v>
      </c>
      <c r="H123" s="104">
        <v>0</v>
      </c>
      <c r="I123" s="104">
        <v>0</v>
      </c>
      <c r="J123" s="104">
        <v>0</v>
      </c>
      <c r="K123" s="104">
        <v>0</v>
      </c>
      <c r="L123" s="104">
        <v>0</v>
      </c>
      <c r="M123" s="104">
        <v>0</v>
      </c>
      <c r="N123" s="45"/>
    </row>
    <row r="124" spans="1:15" x14ac:dyDescent="0.25">
      <c r="A124" s="306"/>
      <c r="B124" s="323"/>
      <c r="C124" s="21" t="s">
        <v>110</v>
      </c>
      <c r="D124" s="1" t="s">
        <v>8</v>
      </c>
      <c r="E124" s="102"/>
      <c r="F124" s="102"/>
      <c r="G124" s="102"/>
      <c r="H124" s="102"/>
      <c r="I124" s="102"/>
      <c r="J124" s="102"/>
      <c r="K124" s="102"/>
      <c r="L124" s="102"/>
      <c r="M124" s="102"/>
      <c r="N124" s="45"/>
    </row>
    <row r="125" spans="1:15" x14ac:dyDescent="0.25">
      <c r="A125" s="306"/>
      <c r="B125" s="323"/>
      <c r="C125" s="21" t="s">
        <v>111</v>
      </c>
      <c r="D125" s="1" t="s">
        <v>9</v>
      </c>
      <c r="E125" s="103">
        <v>5.7769924913065838</v>
      </c>
      <c r="F125" s="103">
        <v>4.8956835771118348</v>
      </c>
      <c r="G125" s="103">
        <v>3.8183782395439203</v>
      </c>
      <c r="H125" s="103">
        <v>3.0811622155696146</v>
      </c>
      <c r="I125" s="103">
        <v>2.0378947368421052</v>
      </c>
      <c r="J125" s="103">
        <v>2.0189473684210526</v>
      </c>
      <c r="K125" s="103">
        <v>1.9557894736842103</v>
      </c>
      <c r="L125" s="103">
        <v>1.8231578947368419</v>
      </c>
      <c r="M125" s="103">
        <v>1.557894736842105</v>
      </c>
      <c r="N125" s="45"/>
    </row>
    <row r="126" spans="1:15" x14ac:dyDescent="0.25">
      <c r="A126" s="306"/>
      <c r="B126" s="323"/>
      <c r="C126" s="21" t="s">
        <v>35</v>
      </c>
      <c r="D126" s="1" t="s">
        <v>10</v>
      </c>
      <c r="E126" s="103">
        <v>0</v>
      </c>
      <c r="F126" s="103">
        <v>0</v>
      </c>
      <c r="G126" s="103">
        <v>0</v>
      </c>
      <c r="H126" s="103">
        <v>0</v>
      </c>
      <c r="I126" s="103">
        <v>0</v>
      </c>
      <c r="J126" s="103">
        <v>0</v>
      </c>
      <c r="K126" s="103">
        <v>1.7051368421052632E-3</v>
      </c>
      <c r="L126" s="103">
        <v>1.5645473684210527E-3</v>
      </c>
      <c r="M126" s="103">
        <v>1.2833684210526316E-3</v>
      </c>
      <c r="N126" s="45"/>
    </row>
    <row r="127" spans="1:15" x14ac:dyDescent="0.25">
      <c r="A127" s="306"/>
      <c r="B127" s="323"/>
      <c r="C127" s="22" t="s">
        <v>24</v>
      </c>
      <c r="D127" s="23" t="s">
        <v>10</v>
      </c>
      <c r="E127" s="103">
        <v>0</v>
      </c>
      <c r="F127" s="103">
        <v>0</v>
      </c>
      <c r="G127" s="103">
        <v>0</v>
      </c>
      <c r="H127" s="103">
        <v>0</v>
      </c>
      <c r="I127" s="103">
        <v>0</v>
      </c>
      <c r="J127" s="103">
        <v>0</v>
      </c>
      <c r="K127" s="103">
        <v>0</v>
      </c>
      <c r="L127" s="103">
        <v>0</v>
      </c>
      <c r="M127" s="103">
        <v>0</v>
      </c>
      <c r="N127" s="45"/>
    </row>
    <row r="128" spans="1:15" x14ac:dyDescent="0.25">
      <c r="A128" s="306"/>
      <c r="B128" s="323"/>
      <c r="C128" s="21" t="s">
        <v>25</v>
      </c>
      <c r="D128" s="1" t="s">
        <v>7</v>
      </c>
      <c r="E128" s="104">
        <v>0.99749999999999994</v>
      </c>
      <c r="F128" s="104">
        <v>0.99749999999999994</v>
      </c>
      <c r="G128" s="104">
        <v>0.99749999999999994</v>
      </c>
      <c r="H128" s="104">
        <v>0.99749999999999994</v>
      </c>
      <c r="I128" s="104">
        <v>0.99749999999999994</v>
      </c>
      <c r="J128" s="104">
        <v>0.99749999999999994</v>
      </c>
      <c r="K128" s="104">
        <v>0.999</v>
      </c>
      <c r="L128" s="104">
        <v>0.999</v>
      </c>
      <c r="M128" s="104">
        <v>0.999</v>
      </c>
      <c r="N128" s="45"/>
    </row>
    <row r="129" spans="1:14" x14ac:dyDescent="0.25">
      <c r="A129" s="306"/>
      <c r="B129" s="323"/>
      <c r="C129" s="21" t="s">
        <v>26</v>
      </c>
      <c r="D129" s="1" t="s">
        <v>14</v>
      </c>
      <c r="E129" s="103">
        <v>1524.6</v>
      </c>
      <c r="F129" s="103">
        <v>1749.6</v>
      </c>
      <c r="G129" s="103">
        <v>2349.6</v>
      </c>
      <c r="H129" s="103">
        <v>3174.6</v>
      </c>
      <c r="I129" s="103">
        <v>4299.6000000000004</v>
      </c>
      <c r="J129" s="103">
        <v>14213</v>
      </c>
      <c r="K129" s="103">
        <v>21713</v>
      </c>
      <c r="L129" s="103">
        <v>37463</v>
      </c>
      <c r="M129" s="103">
        <v>68963</v>
      </c>
      <c r="N129" s="45"/>
    </row>
    <row r="130" spans="1:14" x14ac:dyDescent="0.25">
      <c r="A130" s="306"/>
      <c r="B130" s="323"/>
      <c r="C130" s="21" t="s">
        <v>27</v>
      </c>
      <c r="D130" s="1" t="s">
        <v>4</v>
      </c>
      <c r="E130" s="102">
        <v>40</v>
      </c>
      <c r="F130" s="102">
        <v>40</v>
      </c>
      <c r="G130" s="102">
        <v>40</v>
      </c>
      <c r="H130" s="102">
        <v>40</v>
      </c>
      <c r="I130" s="102">
        <v>40</v>
      </c>
      <c r="J130" s="102">
        <v>40</v>
      </c>
      <c r="K130" s="102">
        <v>40</v>
      </c>
      <c r="L130" s="102">
        <v>40</v>
      </c>
      <c r="M130" s="102">
        <v>40</v>
      </c>
      <c r="N130" s="45"/>
    </row>
    <row r="131" spans="1:14" x14ac:dyDescent="0.25">
      <c r="A131" s="306"/>
      <c r="B131" s="323"/>
      <c r="C131" s="21" t="s">
        <v>117</v>
      </c>
      <c r="D131" s="1" t="s">
        <v>19</v>
      </c>
      <c r="E131" s="102">
        <v>0.35</v>
      </c>
      <c r="F131" s="102">
        <v>0.35</v>
      </c>
      <c r="G131" s="102">
        <v>0.35</v>
      </c>
      <c r="H131" s="102">
        <v>0.35</v>
      </c>
      <c r="I131" s="102">
        <v>0.35</v>
      </c>
      <c r="J131" s="102">
        <v>0.35</v>
      </c>
      <c r="K131" s="102">
        <v>0.35</v>
      </c>
      <c r="L131" s="102">
        <v>0.35</v>
      </c>
      <c r="M131" s="102">
        <v>0.35</v>
      </c>
      <c r="N131" s="45"/>
    </row>
    <row r="132" spans="1:14" x14ac:dyDescent="0.25">
      <c r="A132" s="306"/>
      <c r="B132" s="323"/>
      <c r="C132" s="21" t="s">
        <v>36</v>
      </c>
      <c r="D132" s="1" t="s">
        <v>19</v>
      </c>
      <c r="E132" s="102">
        <v>1.8571428571428572</v>
      </c>
      <c r="F132" s="102">
        <v>1.8571428571428572</v>
      </c>
      <c r="G132" s="102">
        <v>1.8571428571428572</v>
      </c>
      <c r="H132" s="102">
        <v>1.8571428571428572</v>
      </c>
      <c r="I132" s="102">
        <v>1.8571428571428572</v>
      </c>
      <c r="J132" s="102">
        <v>1.8571428571428572</v>
      </c>
      <c r="K132" s="102">
        <v>1.8571428571428572</v>
      </c>
      <c r="L132" s="102">
        <v>1.8571428571428572</v>
      </c>
      <c r="M132" s="102">
        <v>1.8571428571428572</v>
      </c>
      <c r="N132" s="45"/>
    </row>
    <row r="133" spans="1:14" x14ac:dyDescent="0.25">
      <c r="A133" s="306"/>
      <c r="B133" s="323"/>
      <c r="C133" s="21" t="s">
        <v>37</v>
      </c>
      <c r="D133" s="1" t="s">
        <v>4</v>
      </c>
      <c r="E133" s="102">
        <v>20</v>
      </c>
      <c r="F133" s="102">
        <v>20</v>
      </c>
      <c r="G133" s="102">
        <v>20</v>
      </c>
      <c r="H133" s="102">
        <v>20</v>
      </c>
      <c r="I133" s="102">
        <v>20</v>
      </c>
      <c r="J133" s="102">
        <v>20</v>
      </c>
      <c r="K133" s="102">
        <v>20</v>
      </c>
      <c r="L133" s="102">
        <v>20</v>
      </c>
      <c r="M133" s="102">
        <v>20</v>
      </c>
      <c r="N133" s="45"/>
    </row>
    <row r="134" spans="1:14" x14ac:dyDescent="0.25">
      <c r="A134" s="306"/>
      <c r="B134" s="323"/>
      <c r="C134" s="21" t="s">
        <v>38</v>
      </c>
      <c r="D134" s="1" t="s">
        <v>6</v>
      </c>
      <c r="E134" s="103">
        <v>6026.3877491334342</v>
      </c>
      <c r="F134" s="103">
        <v>4043.5340683802879</v>
      </c>
      <c r="G134" s="103">
        <v>2482.706791769042</v>
      </c>
      <c r="H134" s="103">
        <v>1970.6064607058622</v>
      </c>
      <c r="I134" s="103">
        <v>1675.7711440547848</v>
      </c>
      <c r="J134" s="103">
        <v>1316.9956928123304</v>
      </c>
      <c r="K134" s="103">
        <v>1036.1348879875416</v>
      </c>
      <c r="L134" s="103">
        <v>833.65074245015387</v>
      </c>
      <c r="M134" s="103">
        <v>681.69161459745465</v>
      </c>
      <c r="N134" s="45"/>
    </row>
    <row r="135" spans="1:14" x14ac:dyDescent="0.25">
      <c r="A135" s="306"/>
      <c r="B135" s="323"/>
      <c r="C135" s="21" t="s">
        <v>176</v>
      </c>
      <c r="D135" s="1" t="s">
        <v>19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04">
        <v>0</v>
      </c>
      <c r="N135" s="45"/>
    </row>
    <row r="136" spans="1:14" x14ac:dyDescent="0.25">
      <c r="A136" s="306"/>
      <c r="B136" s="323"/>
      <c r="C136" s="21" t="s">
        <v>118</v>
      </c>
      <c r="D136" s="1" t="s">
        <v>8</v>
      </c>
      <c r="E136" s="102"/>
      <c r="F136" s="102"/>
      <c r="G136" s="102"/>
      <c r="H136" s="102"/>
      <c r="I136" s="102"/>
      <c r="J136" s="102"/>
      <c r="K136" s="102"/>
      <c r="L136" s="102"/>
      <c r="M136" s="102"/>
      <c r="N136" s="45"/>
    </row>
    <row r="137" spans="1:14" x14ac:dyDescent="0.25">
      <c r="A137" s="306"/>
      <c r="B137" s="323"/>
      <c r="C137" s="21" t="s">
        <v>119</v>
      </c>
      <c r="D137" s="1" t="s">
        <v>9</v>
      </c>
      <c r="E137" s="102"/>
      <c r="F137" s="102"/>
      <c r="G137" s="102"/>
      <c r="H137" s="102"/>
      <c r="I137" s="102"/>
      <c r="J137" s="102"/>
      <c r="K137" s="102"/>
      <c r="L137" s="102"/>
      <c r="M137" s="102"/>
      <c r="N137" s="45"/>
    </row>
    <row r="138" spans="1:14" x14ac:dyDescent="0.25">
      <c r="A138" s="306"/>
      <c r="B138" s="323"/>
      <c r="C138" s="21" t="s">
        <v>39</v>
      </c>
      <c r="D138" s="1" t="s">
        <v>10</v>
      </c>
      <c r="E138" s="103">
        <v>5.4632155805897732E-2</v>
      </c>
      <c r="F138" s="103">
        <v>6.9225169277652349E-2</v>
      </c>
      <c r="G138" s="103">
        <v>5.5072970988733948E-2</v>
      </c>
      <c r="H138" s="103">
        <v>4.6604222305577481E-2</v>
      </c>
      <c r="I138" s="103">
        <v>4.0289223212275231E-2</v>
      </c>
      <c r="J138" s="103">
        <v>2.4583755873341454E-2</v>
      </c>
      <c r="K138" s="103">
        <v>1.9104989606490121E-2</v>
      </c>
      <c r="L138" s="103">
        <v>1.5182594783541725E-2</v>
      </c>
      <c r="M138" s="103">
        <v>1.3307545040231683E-2</v>
      </c>
      <c r="N138" s="45"/>
    </row>
    <row r="139" spans="1:14" x14ac:dyDescent="0.25">
      <c r="A139" s="306"/>
      <c r="B139" s="323"/>
      <c r="C139" s="22" t="s">
        <v>40</v>
      </c>
      <c r="D139" s="23" t="s">
        <v>10</v>
      </c>
      <c r="E139" s="103">
        <v>0</v>
      </c>
      <c r="F139" s="103">
        <v>0</v>
      </c>
      <c r="G139" s="103">
        <v>0</v>
      </c>
      <c r="H139" s="103">
        <v>0</v>
      </c>
      <c r="I139" s="103">
        <v>0</v>
      </c>
      <c r="J139" s="103">
        <v>0</v>
      </c>
      <c r="K139" s="103">
        <v>0</v>
      </c>
      <c r="L139" s="103">
        <v>0</v>
      </c>
      <c r="M139" s="103">
        <v>0</v>
      </c>
      <c r="N139" s="45"/>
    </row>
    <row r="140" spans="1:14" x14ac:dyDescent="0.25">
      <c r="A140" s="306"/>
      <c r="B140" s="323"/>
      <c r="C140" s="21" t="s">
        <v>41</v>
      </c>
      <c r="D140" s="1" t="s">
        <v>14</v>
      </c>
      <c r="E140" s="102"/>
      <c r="F140" s="102"/>
      <c r="G140" s="102"/>
      <c r="H140" s="102"/>
      <c r="I140" s="102"/>
      <c r="J140" s="102"/>
      <c r="K140" s="102"/>
      <c r="L140" s="102"/>
      <c r="M140" s="102"/>
      <c r="N140" s="45"/>
    </row>
    <row r="141" spans="1:14" x14ac:dyDescent="0.25">
      <c r="A141" s="306"/>
      <c r="B141" s="323"/>
      <c r="C141" s="21" t="s">
        <v>42</v>
      </c>
      <c r="D141" s="1" t="s">
        <v>4</v>
      </c>
      <c r="E141" s="102"/>
      <c r="F141" s="102"/>
      <c r="G141" s="102"/>
      <c r="H141" s="102"/>
      <c r="I141" s="102"/>
      <c r="J141" s="102"/>
      <c r="K141" s="102"/>
      <c r="L141" s="102"/>
      <c r="M141" s="102"/>
      <c r="N141" s="45"/>
    </row>
    <row r="142" spans="1:14" x14ac:dyDescent="0.25">
      <c r="A142" s="306"/>
      <c r="B142" s="323"/>
      <c r="C142" s="21" t="s">
        <v>43</v>
      </c>
      <c r="D142" s="1" t="s">
        <v>7</v>
      </c>
      <c r="E142" s="105">
        <v>0.25</v>
      </c>
      <c r="F142" s="105">
        <v>0.25</v>
      </c>
      <c r="G142" s="105">
        <v>0.25</v>
      </c>
      <c r="H142" s="105">
        <v>0.25</v>
      </c>
      <c r="I142" s="105">
        <v>0.25</v>
      </c>
      <c r="J142" s="105">
        <v>0.25</v>
      </c>
      <c r="K142" s="105">
        <v>0.25</v>
      </c>
      <c r="L142" s="105">
        <v>0.25</v>
      </c>
      <c r="M142" s="105">
        <v>0.25</v>
      </c>
      <c r="N142" s="45"/>
    </row>
    <row r="143" spans="1:14" x14ac:dyDescent="0.25">
      <c r="A143" s="306"/>
      <c r="B143" s="323"/>
      <c r="C143" s="24" t="s">
        <v>44</v>
      </c>
      <c r="D143" s="1" t="s">
        <v>7</v>
      </c>
      <c r="E143" s="104">
        <v>0.66625430833964439</v>
      </c>
      <c r="F143" s="104">
        <v>0.66367464936796561</v>
      </c>
      <c r="G143" s="104">
        <v>0.65679555877682227</v>
      </c>
      <c r="H143" s="104">
        <v>0.64733680921400016</v>
      </c>
      <c r="I143" s="104">
        <v>0.63443851435560639</v>
      </c>
      <c r="J143" s="104">
        <v>0.4680070358050421</v>
      </c>
      <c r="K143" s="104">
        <v>0.46713859851464173</v>
      </c>
      <c r="L143" s="104">
        <v>0.46531488020480088</v>
      </c>
      <c r="M143" s="104">
        <v>0.47</v>
      </c>
      <c r="N143" s="45"/>
    </row>
    <row r="144" spans="1:14" x14ac:dyDescent="0.25">
      <c r="A144" s="306"/>
      <c r="B144" s="323"/>
      <c r="C144" s="24" t="s">
        <v>45</v>
      </c>
      <c r="D144" s="1" t="s">
        <v>7</v>
      </c>
      <c r="E144" s="104">
        <v>0.25092243745356524</v>
      </c>
      <c r="F144" s="104">
        <v>0.25657675134016689</v>
      </c>
      <c r="G144" s="104">
        <v>0.27165492170443795</v>
      </c>
      <c r="H144" s="104">
        <v>0.29238740595531065</v>
      </c>
      <c r="I144" s="104">
        <v>0.32065897538831889</v>
      </c>
      <c r="J144" s="104">
        <v>0.41290384467151914</v>
      </c>
      <c r="K144" s="104">
        <v>0.41363974384019625</v>
      </c>
      <c r="L144" s="104">
        <v>0.41518513209441815</v>
      </c>
      <c r="M144" s="104">
        <v>0.41599999999999998</v>
      </c>
      <c r="N144" s="45"/>
    </row>
    <row r="145" spans="1:14" x14ac:dyDescent="0.25">
      <c r="A145" s="306"/>
      <c r="B145" s="323"/>
      <c r="C145" s="25" t="s">
        <v>120</v>
      </c>
      <c r="D145" s="23" t="s">
        <v>10</v>
      </c>
      <c r="E145" s="103">
        <v>0</v>
      </c>
      <c r="F145" s="103">
        <v>0</v>
      </c>
      <c r="G145" s="103">
        <v>0</v>
      </c>
      <c r="H145" s="103">
        <v>0</v>
      </c>
      <c r="I145" s="103">
        <v>0</v>
      </c>
      <c r="J145" s="103">
        <v>0</v>
      </c>
      <c r="K145" s="103">
        <v>0</v>
      </c>
      <c r="L145" s="103">
        <v>0</v>
      </c>
      <c r="M145" s="103">
        <v>0</v>
      </c>
      <c r="N145" s="45"/>
    </row>
    <row r="146" spans="1:14" x14ac:dyDescent="0.25">
      <c r="A146" s="306"/>
      <c r="B146" s="323"/>
      <c r="C146" s="25" t="s">
        <v>121</v>
      </c>
      <c r="D146" s="23" t="s">
        <v>122</v>
      </c>
      <c r="E146" s="103">
        <v>0</v>
      </c>
      <c r="F146" s="103">
        <v>0</v>
      </c>
      <c r="G146" s="103">
        <v>0</v>
      </c>
      <c r="H146" s="103">
        <v>0</v>
      </c>
      <c r="I146" s="103">
        <v>0</v>
      </c>
      <c r="J146" s="103">
        <v>0</v>
      </c>
      <c r="K146" s="103">
        <v>0</v>
      </c>
      <c r="L146" s="103">
        <v>0</v>
      </c>
      <c r="M146" s="103">
        <v>0</v>
      </c>
      <c r="N146" s="45"/>
    </row>
    <row r="147" spans="1:14" x14ac:dyDescent="0.25">
      <c r="A147" s="306"/>
      <c r="B147" s="323"/>
      <c r="C147" s="25" t="s">
        <v>123</v>
      </c>
      <c r="D147" s="23" t="s">
        <v>124</v>
      </c>
      <c r="E147" s="102">
        <v>0</v>
      </c>
      <c r="F147" s="102">
        <v>0</v>
      </c>
      <c r="G147" s="102">
        <v>0</v>
      </c>
      <c r="H147" s="102">
        <v>0</v>
      </c>
      <c r="I147" s="102">
        <v>0</v>
      </c>
      <c r="J147" s="102">
        <v>0</v>
      </c>
      <c r="K147" s="102">
        <v>0</v>
      </c>
      <c r="L147" s="102">
        <v>0</v>
      </c>
      <c r="M147" s="102">
        <v>0</v>
      </c>
      <c r="N147" s="45"/>
    </row>
    <row r="148" spans="1:14" ht="15" customHeight="1" x14ac:dyDescent="0.25">
      <c r="A148" s="306">
        <v>11</v>
      </c>
      <c r="B148" s="323" t="s">
        <v>177</v>
      </c>
      <c r="C148" s="21" t="s">
        <v>109</v>
      </c>
      <c r="D148" s="1" t="s">
        <v>19</v>
      </c>
      <c r="E148" s="102">
        <v>1</v>
      </c>
      <c r="F148" s="102">
        <v>1</v>
      </c>
      <c r="G148" s="102">
        <v>1</v>
      </c>
      <c r="H148" s="102">
        <v>1</v>
      </c>
      <c r="I148" s="102">
        <v>1</v>
      </c>
      <c r="J148" s="102">
        <v>1</v>
      </c>
      <c r="K148" s="102">
        <v>1</v>
      </c>
      <c r="L148" s="102">
        <v>1</v>
      </c>
      <c r="M148" s="102">
        <v>1</v>
      </c>
      <c r="N148" s="45"/>
    </row>
    <row r="149" spans="1:14" x14ac:dyDescent="0.25">
      <c r="A149" s="306"/>
      <c r="B149" s="323"/>
      <c r="C149" s="21" t="s">
        <v>21</v>
      </c>
      <c r="D149" s="1" t="s">
        <v>19</v>
      </c>
      <c r="E149" s="102">
        <v>0.35</v>
      </c>
      <c r="F149" s="102">
        <v>0.35</v>
      </c>
      <c r="G149" s="102">
        <v>0.35</v>
      </c>
      <c r="H149" s="102">
        <v>0.35</v>
      </c>
      <c r="I149" s="102">
        <v>0.35</v>
      </c>
      <c r="J149" s="102">
        <v>0.35</v>
      </c>
      <c r="K149" s="102">
        <v>0.35</v>
      </c>
      <c r="L149" s="102">
        <v>0.35</v>
      </c>
      <c r="M149" s="102">
        <v>0.35</v>
      </c>
      <c r="N149" s="45"/>
    </row>
    <row r="150" spans="1:14" x14ac:dyDescent="0.25">
      <c r="A150" s="306"/>
      <c r="B150" s="323"/>
      <c r="C150" s="21" t="s">
        <v>22</v>
      </c>
      <c r="D150" s="1" t="s">
        <v>4</v>
      </c>
      <c r="E150" s="102">
        <v>20</v>
      </c>
      <c r="F150" s="102">
        <v>20</v>
      </c>
      <c r="G150" s="102">
        <v>20</v>
      </c>
      <c r="H150" s="102">
        <v>20</v>
      </c>
      <c r="I150" s="102">
        <v>20</v>
      </c>
      <c r="J150" s="102">
        <v>20</v>
      </c>
      <c r="K150" s="102">
        <v>20</v>
      </c>
      <c r="L150" s="102">
        <v>20</v>
      </c>
      <c r="M150" s="102">
        <v>20</v>
      </c>
      <c r="N150" s="45"/>
    </row>
    <row r="151" spans="1:14" x14ac:dyDescent="0.25">
      <c r="A151" s="306"/>
      <c r="B151" s="323"/>
      <c r="C151" s="21" t="s">
        <v>23</v>
      </c>
      <c r="D151" s="1" t="s">
        <v>6</v>
      </c>
      <c r="E151" s="103">
        <v>192.56641637688614</v>
      </c>
      <c r="F151" s="103">
        <v>163.18945257039451</v>
      </c>
      <c r="G151" s="103">
        <v>127.27927465146402</v>
      </c>
      <c r="H151" s="103">
        <v>102.70540718565383</v>
      </c>
      <c r="I151" s="103">
        <v>107.31263157894738</v>
      </c>
      <c r="J151" s="103">
        <v>107.00631578947369</v>
      </c>
      <c r="K151" s="103">
        <v>105.98526315789475</v>
      </c>
      <c r="L151" s="103">
        <v>103.84105263157896</v>
      </c>
      <c r="M151" s="103">
        <v>99.55263157894737</v>
      </c>
      <c r="N151" s="45"/>
    </row>
    <row r="152" spans="1:14" x14ac:dyDescent="0.25">
      <c r="A152" s="306"/>
      <c r="B152" s="323"/>
      <c r="C152" s="21" t="s">
        <v>173</v>
      </c>
      <c r="D152" s="1" t="s">
        <v>19</v>
      </c>
      <c r="E152" s="104">
        <v>0</v>
      </c>
      <c r="F152" s="104">
        <v>0</v>
      </c>
      <c r="G152" s="104">
        <v>0</v>
      </c>
      <c r="H152" s="104">
        <v>0</v>
      </c>
      <c r="I152" s="104">
        <v>0</v>
      </c>
      <c r="J152" s="104">
        <v>0</v>
      </c>
      <c r="K152" s="104">
        <v>0</v>
      </c>
      <c r="L152" s="104">
        <v>0</v>
      </c>
      <c r="M152" s="104">
        <v>0</v>
      </c>
      <c r="N152" s="45"/>
    </row>
    <row r="153" spans="1:14" x14ac:dyDescent="0.25">
      <c r="A153" s="306"/>
      <c r="B153" s="323"/>
      <c r="C153" s="21" t="s">
        <v>110</v>
      </c>
      <c r="D153" s="1" t="s">
        <v>8</v>
      </c>
      <c r="E153" s="102"/>
      <c r="F153" s="102"/>
      <c r="G153" s="102"/>
      <c r="H153" s="102"/>
      <c r="I153" s="102"/>
      <c r="J153" s="102"/>
      <c r="K153" s="102"/>
      <c r="L153" s="102"/>
      <c r="M153" s="102"/>
      <c r="N153" s="45"/>
    </row>
    <row r="154" spans="1:14" x14ac:dyDescent="0.25">
      <c r="A154" s="306"/>
      <c r="B154" s="323"/>
      <c r="C154" s="21" t="s">
        <v>111</v>
      </c>
      <c r="D154" s="1" t="s">
        <v>9</v>
      </c>
      <c r="E154" s="103">
        <v>5.7769924913065838</v>
      </c>
      <c r="F154" s="103">
        <v>4.8956835771118348</v>
      </c>
      <c r="G154" s="103">
        <v>3.8183782395439203</v>
      </c>
      <c r="H154" s="103">
        <v>3.0811622155696146</v>
      </c>
      <c r="I154" s="103">
        <v>2.0378947368421052</v>
      </c>
      <c r="J154" s="103">
        <v>2.0189473684210526</v>
      </c>
      <c r="K154" s="103">
        <v>1.9557894736842103</v>
      </c>
      <c r="L154" s="103">
        <v>1.8231578947368419</v>
      </c>
      <c r="M154" s="103">
        <v>1.557894736842105</v>
      </c>
      <c r="N154" s="45"/>
    </row>
    <row r="155" spans="1:14" x14ac:dyDescent="0.25">
      <c r="A155" s="306"/>
      <c r="B155" s="323"/>
      <c r="C155" s="21" t="s">
        <v>35</v>
      </c>
      <c r="D155" s="1" t="s">
        <v>10</v>
      </c>
      <c r="E155" s="103">
        <v>0</v>
      </c>
      <c r="F155" s="103">
        <v>0</v>
      </c>
      <c r="G155" s="103">
        <v>0</v>
      </c>
      <c r="H155" s="103">
        <v>0</v>
      </c>
      <c r="I155" s="103">
        <v>0</v>
      </c>
      <c r="J155" s="103">
        <v>0</v>
      </c>
      <c r="K155" s="103">
        <v>1.7051368421052632E-3</v>
      </c>
      <c r="L155" s="103">
        <v>1.5645473684210527E-3</v>
      </c>
      <c r="M155" s="103">
        <v>1.2833684210526316E-3</v>
      </c>
      <c r="N155" s="45"/>
    </row>
    <row r="156" spans="1:14" x14ac:dyDescent="0.25">
      <c r="A156" s="306"/>
      <c r="B156" s="323"/>
      <c r="C156" s="22" t="s">
        <v>24</v>
      </c>
      <c r="D156" s="23" t="s">
        <v>10</v>
      </c>
      <c r="E156" s="103">
        <v>0</v>
      </c>
      <c r="F156" s="103">
        <v>0</v>
      </c>
      <c r="G156" s="103">
        <v>0</v>
      </c>
      <c r="H156" s="103">
        <v>0</v>
      </c>
      <c r="I156" s="103">
        <v>0</v>
      </c>
      <c r="J156" s="103">
        <v>0</v>
      </c>
      <c r="K156" s="103">
        <v>0</v>
      </c>
      <c r="L156" s="103">
        <v>0</v>
      </c>
      <c r="M156" s="103">
        <v>0</v>
      </c>
      <c r="N156" s="45"/>
    </row>
    <row r="157" spans="1:14" x14ac:dyDescent="0.25">
      <c r="A157" s="306"/>
      <c r="B157" s="323"/>
      <c r="C157" s="21" t="s">
        <v>25</v>
      </c>
      <c r="D157" s="1" t="s">
        <v>7</v>
      </c>
      <c r="E157" s="102">
        <v>0.99749999999999994</v>
      </c>
      <c r="F157" s="102">
        <v>0.99749999999999994</v>
      </c>
      <c r="G157" s="102">
        <v>0.99749999999999994</v>
      </c>
      <c r="H157" s="102">
        <v>0.99749999999999994</v>
      </c>
      <c r="I157" s="102">
        <v>0.99749999999999994</v>
      </c>
      <c r="J157" s="102">
        <v>0.99749999999999994</v>
      </c>
      <c r="K157" s="102">
        <v>0.999</v>
      </c>
      <c r="L157" s="102">
        <v>0.999</v>
      </c>
      <c r="M157" s="102">
        <v>0.999</v>
      </c>
      <c r="N157" s="45"/>
    </row>
    <row r="158" spans="1:14" x14ac:dyDescent="0.25">
      <c r="A158" s="306"/>
      <c r="B158" s="323"/>
      <c r="C158" s="21" t="s">
        <v>26</v>
      </c>
      <c r="D158" s="1" t="s">
        <v>14</v>
      </c>
      <c r="E158" s="103">
        <v>1524.6</v>
      </c>
      <c r="F158" s="103">
        <v>1749.6</v>
      </c>
      <c r="G158" s="103">
        <v>2349.6</v>
      </c>
      <c r="H158" s="103">
        <v>3174.6</v>
      </c>
      <c r="I158" s="103">
        <v>4299.6000000000004</v>
      </c>
      <c r="J158" s="103">
        <v>14213</v>
      </c>
      <c r="K158" s="103">
        <v>21713</v>
      </c>
      <c r="L158" s="103">
        <v>37463</v>
      </c>
      <c r="M158" s="103">
        <v>68963</v>
      </c>
      <c r="N158" s="45"/>
    </row>
    <row r="159" spans="1:14" x14ac:dyDescent="0.25">
      <c r="A159" s="306"/>
      <c r="B159" s="323"/>
      <c r="C159" s="21" t="s">
        <v>27</v>
      </c>
      <c r="D159" s="1" t="s">
        <v>4</v>
      </c>
      <c r="E159" s="102">
        <v>40</v>
      </c>
      <c r="F159" s="102">
        <v>40</v>
      </c>
      <c r="G159" s="102">
        <v>40</v>
      </c>
      <c r="H159" s="102">
        <v>40</v>
      </c>
      <c r="I159" s="102">
        <v>40</v>
      </c>
      <c r="J159" s="102">
        <v>40</v>
      </c>
      <c r="K159" s="102">
        <v>40</v>
      </c>
      <c r="L159" s="102">
        <v>40</v>
      </c>
      <c r="M159" s="102">
        <v>40</v>
      </c>
      <c r="N159" s="45"/>
    </row>
    <row r="160" spans="1:14" x14ac:dyDescent="0.25">
      <c r="A160" s="306"/>
      <c r="B160" s="323"/>
      <c r="C160" s="21" t="s">
        <v>117</v>
      </c>
      <c r="D160" s="1" t="s">
        <v>19</v>
      </c>
      <c r="E160" s="102">
        <v>0.35</v>
      </c>
      <c r="F160" s="102">
        <v>0.35</v>
      </c>
      <c r="G160" s="102">
        <v>0.35</v>
      </c>
      <c r="H160" s="102">
        <v>0.35</v>
      </c>
      <c r="I160" s="102">
        <v>0.35</v>
      </c>
      <c r="J160" s="102">
        <v>0.35</v>
      </c>
      <c r="K160" s="102">
        <v>0.35</v>
      </c>
      <c r="L160" s="102">
        <v>0.35</v>
      </c>
      <c r="M160" s="102">
        <v>0.35</v>
      </c>
      <c r="N160" s="45"/>
    </row>
    <row r="161" spans="1:14" x14ac:dyDescent="0.25">
      <c r="A161" s="306"/>
      <c r="B161" s="323"/>
      <c r="C161" s="21" t="s">
        <v>36</v>
      </c>
      <c r="D161" s="1" t="s">
        <v>19</v>
      </c>
      <c r="E161" s="102">
        <v>1.8571428571428572</v>
      </c>
      <c r="F161" s="102">
        <v>1.8571428571428572</v>
      </c>
      <c r="G161" s="102">
        <v>1.8571428571428572</v>
      </c>
      <c r="H161" s="102">
        <v>1.8571428571428572</v>
      </c>
      <c r="I161" s="102">
        <v>1.8571428571428572</v>
      </c>
      <c r="J161" s="102">
        <v>1.8571428571428572</v>
      </c>
      <c r="K161" s="102">
        <v>1.8571428571428572</v>
      </c>
      <c r="L161" s="102">
        <v>1.8571428571428572</v>
      </c>
      <c r="M161" s="102">
        <v>1.8571428571428572</v>
      </c>
      <c r="N161" s="45"/>
    </row>
    <row r="162" spans="1:14" x14ac:dyDescent="0.25">
      <c r="A162" s="306"/>
      <c r="B162" s="323"/>
      <c r="C162" s="21" t="s">
        <v>37</v>
      </c>
      <c r="D162" s="1" t="s">
        <v>4</v>
      </c>
      <c r="E162" s="102">
        <v>20</v>
      </c>
      <c r="F162" s="102">
        <v>20</v>
      </c>
      <c r="G162" s="102">
        <v>20</v>
      </c>
      <c r="H162" s="102">
        <v>20</v>
      </c>
      <c r="I162" s="102">
        <v>20</v>
      </c>
      <c r="J162" s="102">
        <v>20</v>
      </c>
      <c r="K162" s="102">
        <v>20</v>
      </c>
      <c r="L162" s="102">
        <v>20</v>
      </c>
      <c r="M162" s="102">
        <v>20</v>
      </c>
      <c r="N162" s="45"/>
    </row>
    <row r="163" spans="1:14" x14ac:dyDescent="0.25">
      <c r="A163" s="306"/>
      <c r="B163" s="323"/>
      <c r="C163" s="21" t="s">
        <v>38</v>
      </c>
      <c r="D163" s="1" t="s">
        <v>6</v>
      </c>
      <c r="E163" s="103">
        <v>6026.3877491334342</v>
      </c>
      <c r="F163" s="103">
        <v>4043.5340683802879</v>
      </c>
      <c r="G163" s="103">
        <v>2482.706791769042</v>
      </c>
      <c r="H163" s="103">
        <v>1970.6064607058622</v>
      </c>
      <c r="I163" s="103">
        <v>1675.7711440547848</v>
      </c>
      <c r="J163" s="103">
        <v>1316.9956928123304</v>
      </c>
      <c r="K163" s="103">
        <v>1036.1348879875416</v>
      </c>
      <c r="L163" s="103">
        <v>833.65074245015387</v>
      </c>
      <c r="M163" s="103">
        <v>681.69161459745465</v>
      </c>
      <c r="N163" s="45"/>
    </row>
    <row r="164" spans="1:14" x14ac:dyDescent="0.25">
      <c r="A164" s="306"/>
      <c r="B164" s="323"/>
      <c r="C164" s="21" t="s">
        <v>176</v>
      </c>
      <c r="D164" s="1" t="s">
        <v>19</v>
      </c>
      <c r="E164" s="104">
        <v>0</v>
      </c>
      <c r="F164" s="104">
        <v>0</v>
      </c>
      <c r="G164" s="104">
        <v>0</v>
      </c>
      <c r="H164" s="104">
        <v>0</v>
      </c>
      <c r="I164" s="104">
        <v>0</v>
      </c>
      <c r="J164" s="104">
        <v>0</v>
      </c>
      <c r="K164" s="104">
        <v>0</v>
      </c>
      <c r="L164" s="104">
        <v>0</v>
      </c>
      <c r="M164" s="104">
        <v>0</v>
      </c>
      <c r="N164" s="45"/>
    </row>
    <row r="165" spans="1:14" x14ac:dyDescent="0.25">
      <c r="A165" s="306"/>
      <c r="B165" s="323"/>
      <c r="C165" s="21" t="s">
        <v>118</v>
      </c>
      <c r="D165" s="1" t="s">
        <v>8</v>
      </c>
      <c r="E165" s="102"/>
      <c r="F165" s="102"/>
      <c r="G165" s="102"/>
      <c r="H165" s="102"/>
      <c r="I165" s="102"/>
      <c r="J165" s="102"/>
      <c r="K165" s="102"/>
      <c r="L165" s="102"/>
      <c r="M165" s="102"/>
      <c r="N165" s="45"/>
    </row>
    <row r="166" spans="1:14" x14ac:dyDescent="0.25">
      <c r="A166" s="306"/>
      <c r="B166" s="323"/>
      <c r="C166" s="21" t="s">
        <v>119</v>
      </c>
      <c r="D166" s="1" t="s">
        <v>9</v>
      </c>
      <c r="E166" s="102"/>
      <c r="F166" s="102"/>
      <c r="G166" s="102"/>
      <c r="H166" s="102"/>
      <c r="I166" s="102"/>
      <c r="J166" s="102"/>
      <c r="K166" s="102"/>
      <c r="L166" s="102"/>
      <c r="M166" s="102"/>
      <c r="N166" s="45"/>
    </row>
    <row r="167" spans="1:14" x14ac:dyDescent="0.25">
      <c r="A167" s="306"/>
      <c r="B167" s="323"/>
      <c r="C167" s="21" t="s">
        <v>39</v>
      </c>
      <c r="D167" s="1" t="s">
        <v>10</v>
      </c>
      <c r="E167" s="103">
        <v>5.4632155805897732E-2</v>
      </c>
      <c r="F167" s="103">
        <v>6.9225169277652349E-2</v>
      </c>
      <c r="G167" s="103">
        <v>5.5072970988733948E-2</v>
      </c>
      <c r="H167" s="103">
        <v>4.6604222305577481E-2</v>
      </c>
      <c r="I167" s="103">
        <v>4.0289223212275231E-2</v>
      </c>
      <c r="J167" s="103">
        <v>2.4583755873341454E-2</v>
      </c>
      <c r="K167" s="103">
        <v>1.9104989606490121E-2</v>
      </c>
      <c r="L167" s="103">
        <v>1.5182594783541725E-2</v>
      </c>
      <c r="M167" s="103">
        <v>1.3307545040231683E-2</v>
      </c>
      <c r="N167" s="45"/>
    </row>
    <row r="168" spans="1:14" x14ac:dyDescent="0.25">
      <c r="A168" s="306"/>
      <c r="B168" s="323"/>
      <c r="C168" s="22" t="s">
        <v>40</v>
      </c>
      <c r="D168" s="23" t="s">
        <v>10</v>
      </c>
      <c r="E168" s="103">
        <v>0</v>
      </c>
      <c r="F168" s="103">
        <v>0</v>
      </c>
      <c r="G168" s="103">
        <v>0</v>
      </c>
      <c r="H168" s="103">
        <v>0</v>
      </c>
      <c r="I168" s="103">
        <v>0</v>
      </c>
      <c r="J168" s="103">
        <v>0</v>
      </c>
      <c r="K168" s="103">
        <v>0</v>
      </c>
      <c r="L168" s="103">
        <v>0</v>
      </c>
      <c r="M168" s="103">
        <v>0</v>
      </c>
      <c r="N168" s="45"/>
    </row>
    <row r="169" spans="1:14" x14ac:dyDescent="0.25">
      <c r="A169" s="306"/>
      <c r="B169" s="323"/>
      <c r="C169" s="21" t="s">
        <v>41</v>
      </c>
      <c r="D169" s="1" t="s">
        <v>14</v>
      </c>
      <c r="E169" s="102"/>
      <c r="F169" s="102"/>
      <c r="G169" s="102"/>
      <c r="H169" s="102"/>
      <c r="I169" s="102"/>
      <c r="J169" s="102"/>
      <c r="K169" s="102"/>
      <c r="L169" s="102"/>
      <c r="M169" s="102"/>
      <c r="N169" s="45"/>
    </row>
    <row r="170" spans="1:14" x14ac:dyDescent="0.25">
      <c r="A170" s="306"/>
      <c r="B170" s="323"/>
      <c r="C170" s="21" t="s">
        <v>42</v>
      </c>
      <c r="D170" s="1" t="s">
        <v>4</v>
      </c>
      <c r="E170" s="102"/>
      <c r="F170" s="102"/>
      <c r="G170" s="102"/>
      <c r="H170" s="102"/>
      <c r="I170" s="102"/>
      <c r="J170" s="102"/>
      <c r="K170" s="102"/>
      <c r="L170" s="102"/>
      <c r="M170" s="102"/>
      <c r="N170" s="45"/>
    </row>
    <row r="171" spans="1:14" x14ac:dyDescent="0.25">
      <c r="A171" s="306"/>
      <c r="B171" s="323"/>
      <c r="C171" s="21" t="s">
        <v>43</v>
      </c>
      <c r="D171" s="1" t="s">
        <v>7</v>
      </c>
      <c r="E171" s="105">
        <v>0.5</v>
      </c>
      <c r="F171" s="105">
        <v>0.5</v>
      </c>
      <c r="G171" s="105">
        <v>0.5</v>
      </c>
      <c r="H171" s="105">
        <v>0.5</v>
      </c>
      <c r="I171" s="105">
        <v>0.5</v>
      </c>
      <c r="J171" s="105">
        <v>0.5</v>
      </c>
      <c r="K171" s="105">
        <v>0.5</v>
      </c>
      <c r="L171" s="105">
        <v>0.5</v>
      </c>
      <c r="M171" s="105">
        <v>0.5</v>
      </c>
      <c r="N171" s="45"/>
    </row>
    <row r="172" spans="1:14" ht="14.45" customHeight="1" x14ac:dyDescent="0.25">
      <c r="A172" s="306"/>
      <c r="B172" s="323"/>
      <c r="C172" s="24" t="s">
        <v>44</v>
      </c>
      <c r="D172" s="1" t="s">
        <v>7</v>
      </c>
      <c r="E172" s="104">
        <v>0.66625430833964439</v>
      </c>
      <c r="F172" s="104">
        <v>0.66367464936796561</v>
      </c>
      <c r="G172" s="104">
        <v>0.65679555877682227</v>
      </c>
      <c r="H172" s="104">
        <v>0.64733680921400016</v>
      </c>
      <c r="I172" s="104">
        <v>0.63443851435560639</v>
      </c>
      <c r="J172" s="104">
        <v>0.4680070358050421</v>
      </c>
      <c r="K172" s="104">
        <v>0.46713859851464173</v>
      </c>
      <c r="L172" s="104">
        <v>0.46531488020480088</v>
      </c>
      <c r="M172" s="104">
        <v>0.47</v>
      </c>
      <c r="N172" s="45"/>
    </row>
    <row r="173" spans="1:14" ht="14.45" customHeight="1" x14ac:dyDescent="0.25">
      <c r="A173" s="306"/>
      <c r="B173" s="323"/>
      <c r="C173" s="24" t="s">
        <v>45</v>
      </c>
      <c r="D173" s="1" t="s">
        <v>7</v>
      </c>
      <c r="E173" s="104">
        <v>0.25092243745356524</v>
      </c>
      <c r="F173" s="104">
        <v>0.25657675134016689</v>
      </c>
      <c r="G173" s="104">
        <v>0.27165492170443795</v>
      </c>
      <c r="H173" s="104">
        <v>0.29238740595531065</v>
      </c>
      <c r="I173" s="104">
        <v>0.32065897538831889</v>
      </c>
      <c r="J173" s="104">
        <v>0.41290384467151914</v>
      </c>
      <c r="K173" s="104">
        <v>0.41363974384019625</v>
      </c>
      <c r="L173" s="104">
        <v>0.41518513209441815</v>
      </c>
      <c r="M173" s="104">
        <v>0.41599999999999998</v>
      </c>
      <c r="N173" s="45"/>
    </row>
    <row r="174" spans="1:14" ht="14.45" customHeight="1" x14ac:dyDescent="0.25">
      <c r="A174" s="306"/>
      <c r="B174" s="323"/>
      <c r="C174" s="25" t="s">
        <v>120</v>
      </c>
      <c r="D174" s="23" t="s">
        <v>10</v>
      </c>
      <c r="E174" s="103">
        <v>0</v>
      </c>
      <c r="F174" s="103">
        <v>0</v>
      </c>
      <c r="G174" s="103">
        <v>0</v>
      </c>
      <c r="H174" s="103">
        <v>0</v>
      </c>
      <c r="I174" s="103">
        <v>0</v>
      </c>
      <c r="J174" s="103">
        <v>0</v>
      </c>
      <c r="K174" s="103">
        <v>0</v>
      </c>
      <c r="L174" s="103">
        <v>0</v>
      </c>
      <c r="M174" s="103">
        <v>0</v>
      </c>
      <c r="N174" s="45"/>
    </row>
    <row r="175" spans="1:14" ht="14.45" customHeight="1" x14ac:dyDescent="0.25">
      <c r="A175" s="306"/>
      <c r="B175" s="323"/>
      <c r="C175" s="25" t="s">
        <v>121</v>
      </c>
      <c r="D175" s="23" t="s">
        <v>122</v>
      </c>
      <c r="E175" s="103">
        <v>0</v>
      </c>
      <c r="F175" s="103">
        <v>0</v>
      </c>
      <c r="G175" s="103">
        <v>0</v>
      </c>
      <c r="H175" s="103">
        <v>0</v>
      </c>
      <c r="I175" s="103">
        <v>0</v>
      </c>
      <c r="J175" s="103">
        <v>0</v>
      </c>
      <c r="K175" s="103">
        <v>0</v>
      </c>
      <c r="L175" s="103">
        <v>0</v>
      </c>
      <c r="M175" s="103">
        <v>0</v>
      </c>
      <c r="N175" s="45"/>
    </row>
    <row r="176" spans="1:14" ht="14.45" customHeight="1" x14ac:dyDescent="0.25">
      <c r="A176" s="306"/>
      <c r="B176" s="323"/>
      <c r="C176" s="25" t="s">
        <v>123</v>
      </c>
      <c r="D176" s="23" t="s">
        <v>124</v>
      </c>
      <c r="E176" s="102">
        <v>0</v>
      </c>
      <c r="F176" s="102">
        <v>0</v>
      </c>
      <c r="G176" s="102">
        <v>0</v>
      </c>
      <c r="H176" s="102">
        <v>0</v>
      </c>
      <c r="I176" s="102">
        <v>0</v>
      </c>
      <c r="J176" s="102">
        <v>0</v>
      </c>
      <c r="K176" s="102">
        <v>0</v>
      </c>
      <c r="L176" s="102">
        <v>0</v>
      </c>
      <c r="M176" s="102">
        <v>0</v>
      </c>
      <c r="N176" s="45"/>
    </row>
    <row r="177" spans="1:14" ht="14.45" customHeight="1" x14ac:dyDescent="0.25">
      <c r="A177" s="306">
        <v>12</v>
      </c>
      <c r="B177" s="323" t="s">
        <v>178</v>
      </c>
      <c r="C177" s="21" t="s">
        <v>109</v>
      </c>
      <c r="D177" s="1" t="s">
        <v>19</v>
      </c>
      <c r="E177" s="106">
        <v>1</v>
      </c>
      <c r="F177" s="106">
        <v>1</v>
      </c>
      <c r="G177" s="106">
        <v>1</v>
      </c>
      <c r="H177" s="106">
        <v>1</v>
      </c>
      <c r="I177" s="106">
        <v>1</v>
      </c>
      <c r="J177" s="106">
        <v>1</v>
      </c>
      <c r="K177" s="106">
        <v>1</v>
      </c>
      <c r="L177" s="106">
        <v>1</v>
      </c>
      <c r="M177" s="106">
        <v>1</v>
      </c>
      <c r="N177" s="45"/>
    </row>
    <row r="178" spans="1:14" x14ac:dyDescent="0.25">
      <c r="A178" s="306"/>
      <c r="B178" s="323"/>
      <c r="C178" s="21" t="s">
        <v>21</v>
      </c>
      <c r="D178" s="1" t="s">
        <v>19</v>
      </c>
      <c r="E178" s="102">
        <v>0.8</v>
      </c>
      <c r="F178" s="102">
        <v>0.8</v>
      </c>
      <c r="G178" s="102">
        <v>0.8</v>
      </c>
      <c r="H178" s="102">
        <v>0.8</v>
      </c>
      <c r="I178" s="102">
        <v>0.8</v>
      </c>
      <c r="J178" s="102">
        <v>0.8</v>
      </c>
      <c r="K178" s="102">
        <v>0.8</v>
      </c>
      <c r="L178" s="102">
        <v>0.8</v>
      </c>
      <c r="M178" s="102">
        <v>0.8</v>
      </c>
      <c r="N178" s="45"/>
    </row>
    <row r="179" spans="1:14" x14ac:dyDescent="0.25">
      <c r="A179" s="306"/>
      <c r="B179" s="323"/>
      <c r="C179" s="21" t="s">
        <v>22</v>
      </c>
      <c r="D179" s="1" t="s">
        <v>4</v>
      </c>
      <c r="E179" s="102">
        <v>20</v>
      </c>
      <c r="F179" s="102">
        <v>20</v>
      </c>
      <c r="G179" s="102">
        <v>20</v>
      </c>
      <c r="H179" s="102">
        <v>20</v>
      </c>
      <c r="I179" s="102">
        <v>20</v>
      </c>
      <c r="J179" s="102">
        <v>20</v>
      </c>
      <c r="K179" s="102">
        <v>20</v>
      </c>
      <c r="L179" s="102">
        <v>20</v>
      </c>
      <c r="M179" s="102">
        <v>20</v>
      </c>
      <c r="N179" s="45"/>
    </row>
    <row r="180" spans="1:14" x14ac:dyDescent="0.25">
      <c r="A180" s="306"/>
      <c r="B180" s="323"/>
      <c r="C180" s="21" t="s">
        <v>23</v>
      </c>
      <c r="D180" s="1" t="s">
        <v>6</v>
      </c>
      <c r="E180" s="103">
        <v>192.56641637688614</v>
      </c>
      <c r="F180" s="103">
        <v>163.18945257039451</v>
      </c>
      <c r="G180" s="103">
        <v>127.27927465146402</v>
      </c>
      <c r="H180" s="103">
        <v>102.70540718565383</v>
      </c>
      <c r="I180" s="103">
        <v>107.31263157894738</v>
      </c>
      <c r="J180" s="103">
        <v>107.00631578947369</v>
      </c>
      <c r="K180" s="103">
        <v>105.98526315789475</v>
      </c>
      <c r="L180" s="103">
        <v>103.84105263157896</v>
      </c>
      <c r="M180" s="103">
        <v>99.55263157894737</v>
      </c>
      <c r="N180" s="45"/>
    </row>
    <row r="181" spans="1:14" ht="14.45" customHeight="1" x14ac:dyDescent="0.25">
      <c r="A181" s="306"/>
      <c r="B181" s="323"/>
      <c r="C181" s="21" t="s">
        <v>173</v>
      </c>
      <c r="D181" s="1" t="s">
        <v>19</v>
      </c>
      <c r="E181" s="104">
        <v>0</v>
      </c>
      <c r="F181" s="104">
        <v>0</v>
      </c>
      <c r="G181" s="104">
        <v>0</v>
      </c>
      <c r="H181" s="104">
        <v>0</v>
      </c>
      <c r="I181" s="104">
        <v>0</v>
      </c>
      <c r="J181" s="104">
        <v>0</v>
      </c>
      <c r="K181" s="104">
        <v>0</v>
      </c>
      <c r="L181" s="104">
        <v>0</v>
      </c>
      <c r="M181" s="104">
        <v>0</v>
      </c>
      <c r="N181" s="45"/>
    </row>
    <row r="182" spans="1:14" x14ac:dyDescent="0.25">
      <c r="A182" s="306"/>
      <c r="B182" s="323"/>
      <c r="C182" s="21" t="s">
        <v>110</v>
      </c>
      <c r="D182" s="1" t="s">
        <v>8</v>
      </c>
      <c r="E182" s="102"/>
      <c r="F182" s="102"/>
      <c r="G182" s="102"/>
      <c r="H182" s="102"/>
      <c r="I182" s="102"/>
      <c r="J182" s="102"/>
      <c r="K182" s="102"/>
      <c r="L182" s="102"/>
      <c r="M182" s="102"/>
      <c r="N182" s="45"/>
    </row>
    <row r="183" spans="1:14" x14ac:dyDescent="0.25">
      <c r="A183" s="306"/>
      <c r="B183" s="323"/>
      <c r="C183" s="21" t="s">
        <v>111</v>
      </c>
      <c r="D183" s="1" t="s">
        <v>9</v>
      </c>
      <c r="E183" s="103">
        <v>5.7769924913065838</v>
      </c>
      <c r="F183" s="103">
        <v>4.8956835771118348</v>
      </c>
      <c r="G183" s="103">
        <v>3.8183782395439203</v>
      </c>
      <c r="H183" s="103">
        <v>3.0811622155696146</v>
      </c>
      <c r="I183" s="103">
        <v>2.0378947368421052</v>
      </c>
      <c r="J183" s="103">
        <v>2.0189473684210526</v>
      </c>
      <c r="K183" s="103">
        <v>1.9557894736842103</v>
      </c>
      <c r="L183" s="103">
        <v>1.8231578947368419</v>
      </c>
      <c r="M183" s="103">
        <v>1.557894736842105</v>
      </c>
      <c r="N183" s="45"/>
    </row>
    <row r="184" spans="1:14" x14ac:dyDescent="0.25">
      <c r="A184" s="306"/>
      <c r="B184" s="323"/>
      <c r="C184" s="21" t="s">
        <v>35</v>
      </c>
      <c r="D184" s="1" t="s">
        <v>10</v>
      </c>
      <c r="E184" s="103">
        <v>0</v>
      </c>
      <c r="F184" s="103">
        <v>0</v>
      </c>
      <c r="G184" s="103">
        <v>0</v>
      </c>
      <c r="H184" s="103">
        <v>0</v>
      </c>
      <c r="I184" s="103">
        <v>0</v>
      </c>
      <c r="J184" s="103">
        <v>0</v>
      </c>
      <c r="K184" s="103">
        <v>1.7051368421052632E-3</v>
      </c>
      <c r="L184" s="103">
        <v>1.5645473684210527E-3</v>
      </c>
      <c r="M184" s="103">
        <v>1.2833684210526316E-3</v>
      </c>
      <c r="N184" s="45"/>
    </row>
    <row r="185" spans="1:14" x14ac:dyDescent="0.25">
      <c r="A185" s="306"/>
      <c r="B185" s="323"/>
      <c r="C185" s="22" t="s">
        <v>24</v>
      </c>
      <c r="D185" s="23" t="s">
        <v>10</v>
      </c>
      <c r="E185" s="103">
        <v>0</v>
      </c>
      <c r="F185" s="103">
        <v>0</v>
      </c>
      <c r="G185" s="103">
        <v>0</v>
      </c>
      <c r="H185" s="103">
        <v>0</v>
      </c>
      <c r="I185" s="103">
        <v>0</v>
      </c>
      <c r="J185" s="103">
        <v>0</v>
      </c>
      <c r="K185" s="103">
        <v>0</v>
      </c>
      <c r="L185" s="103">
        <v>0</v>
      </c>
      <c r="M185" s="103">
        <v>0</v>
      </c>
      <c r="N185" s="45"/>
    </row>
    <row r="186" spans="1:14" x14ac:dyDescent="0.25">
      <c r="A186" s="306"/>
      <c r="B186" s="323"/>
      <c r="C186" s="21" t="s">
        <v>25</v>
      </c>
      <c r="D186" s="1" t="s">
        <v>7</v>
      </c>
      <c r="E186" s="102">
        <v>0.99749999999999994</v>
      </c>
      <c r="F186" s="102">
        <v>0.99749999999999994</v>
      </c>
      <c r="G186" s="102">
        <v>0.99749999999999994</v>
      </c>
      <c r="H186" s="102">
        <v>0.99749999999999994</v>
      </c>
      <c r="I186" s="102">
        <v>0.99749999999999994</v>
      </c>
      <c r="J186" s="102">
        <v>0.99749999999999994</v>
      </c>
      <c r="K186" s="102">
        <v>0.999</v>
      </c>
      <c r="L186" s="102">
        <v>0.999</v>
      </c>
      <c r="M186" s="102">
        <v>0.999</v>
      </c>
      <c r="N186" s="45"/>
    </row>
    <row r="187" spans="1:14" x14ac:dyDescent="0.25">
      <c r="A187" s="306"/>
      <c r="B187" s="323"/>
      <c r="C187" s="21" t="s">
        <v>26</v>
      </c>
      <c r="D187" s="1" t="s">
        <v>14</v>
      </c>
      <c r="E187" s="103">
        <v>1524.6</v>
      </c>
      <c r="F187" s="103">
        <v>1749.6</v>
      </c>
      <c r="G187" s="103">
        <v>2349.6</v>
      </c>
      <c r="H187" s="103">
        <v>3174.6</v>
      </c>
      <c r="I187" s="103">
        <v>4299.6000000000004</v>
      </c>
      <c r="J187" s="103">
        <v>14213</v>
      </c>
      <c r="K187" s="103">
        <v>21713</v>
      </c>
      <c r="L187" s="103">
        <v>37463</v>
      </c>
      <c r="M187" s="103">
        <v>68963</v>
      </c>
      <c r="N187" s="45"/>
    </row>
    <row r="188" spans="1:14" x14ac:dyDescent="0.25">
      <c r="A188" s="306"/>
      <c r="B188" s="323"/>
      <c r="C188" s="21" t="s">
        <v>27</v>
      </c>
      <c r="D188" s="1" t="s">
        <v>4</v>
      </c>
      <c r="E188" s="102">
        <v>40</v>
      </c>
      <c r="F188" s="102">
        <v>40</v>
      </c>
      <c r="G188" s="102">
        <v>40</v>
      </c>
      <c r="H188" s="102">
        <v>40</v>
      </c>
      <c r="I188" s="102">
        <v>40</v>
      </c>
      <c r="J188" s="102">
        <v>40</v>
      </c>
      <c r="K188" s="102">
        <v>40</v>
      </c>
      <c r="L188" s="102">
        <v>40</v>
      </c>
      <c r="M188" s="102">
        <v>40</v>
      </c>
      <c r="N188" s="45"/>
    </row>
    <row r="189" spans="1:14" x14ac:dyDescent="0.25">
      <c r="A189" s="306"/>
      <c r="B189" s="323"/>
      <c r="C189" s="21" t="s">
        <v>125</v>
      </c>
      <c r="D189" s="1" t="s">
        <v>19</v>
      </c>
      <c r="E189" s="106">
        <v>0.3125</v>
      </c>
      <c r="F189" s="106">
        <v>0.3125</v>
      </c>
      <c r="G189" s="106">
        <v>0.3125</v>
      </c>
      <c r="H189" s="106">
        <v>0.3125</v>
      </c>
      <c r="I189" s="106">
        <v>0.3125</v>
      </c>
      <c r="J189" s="106">
        <v>0.3125</v>
      </c>
      <c r="K189" s="106">
        <v>0.3125</v>
      </c>
      <c r="L189" s="106">
        <v>0.3125</v>
      </c>
      <c r="M189" s="106">
        <v>0.3125</v>
      </c>
      <c r="N189" s="45"/>
    </row>
    <row r="190" spans="1:14" x14ac:dyDescent="0.25">
      <c r="A190" s="306"/>
      <c r="B190" s="323"/>
      <c r="C190" s="21" t="s">
        <v>126</v>
      </c>
      <c r="D190" s="1" t="s">
        <v>19</v>
      </c>
      <c r="E190" s="102">
        <v>0.64</v>
      </c>
      <c r="F190" s="102">
        <v>0.64</v>
      </c>
      <c r="G190" s="102">
        <v>0.64</v>
      </c>
      <c r="H190" s="102">
        <v>0.64</v>
      </c>
      <c r="I190" s="102">
        <v>0.64</v>
      </c>
      <c r="J190" s="102">
        <v>0.64</v>
      </c>
      <c r="K190" s="102">
        <v>0.64</v>
      </c>
      <c r="L190" s="102">
        <v>0.64</v>
      </c>
      <c r="M190" s="102">
        <v>0.64</v>
      </c>
      <c r="N190" s="45"/>
    </row>
    <row r="191" spans="1:14" ht="14.45" customHeight="1" x14ac:dyDescent="0.25">
      <c r="A191" s="306"/>
      <c r="B191" s="323"/>
      <c r="C191" s="24" t="s">
        <v>127</v>
      </c>
      <c r="D191" s="1" t="s">
        <v>4</v>
      </c>
      <c r="E191" s="102">
        <v>20</v>
      </c>
      <c r="F191" s="102">
        <v>20</v>
      </c>
      <c r="G191" s="102">
        <v>20</v>
      </c>
      <c r="H191" s="102">
        <v>20</v>
      </c>
      <c r="I191" s="102">
        <v>20</v>
      </c>
      <c r="J191" s="102">
        <v>20</v>
      </c>
      <c r="K191" s="102">
        <v>20</v>
      </c>
      <c r="L191" s="102">
        <v>20</v>
      </c>
      <c r="M191" s="102">
        <v>20</v>
      </c>
      <c r="N191" s="45"/>
    </row>
    <row r="192" spans="1:14" ht="14.45" customHeight="1" x14ac:dyDescent="0.25">
      <c r="A192" s="306"/>
      <c r="B192" s="323"/>
      <c r="C192" s="24" t="s">
        <v>128</v>
      </c>
      <c r="D192" s="1" t="s">
        <v>6</v>
      </c>
      <c r="E192" s="107">
        <v>855.32731520443224</v>
      </c>
      <c r="F192" s="103">
        <v>842.44893575987089</v>
      </c>
      <c r="G192" s="103">
        <v>808.10659057437408</v>
      </c>
      <c r="H192" s="103">
        <v>760.88586594431581</v>
      </c>
      <c r="I192" s="103">
        <v>696.49396872150919</v>
      </c>
      <c r="J192" s="103">
        <v>567.71017427589595</v>
      </c>
      <c r="K192" s="103">
        <v>483.57142857142856</v>
      </c>
      <c r="L192" s="103">
        <v>483.57142857142856</v>
      </c>
      <c r="M192" s="103">
        <v>483.57142857142856</v>
      </c>
      <c r="N192" s="45"/>
    </row>
    <row r="193" spans="1:14" ht="14.45" customHeight="1" x14ac:dyDescent="0.25">
      <c r="A193" s="306"/>
      <c r="B193" s="323"/>
      <c r="C193" s="21" t="s">
        <v>179</v>
      </c>
      <c r="D193" s="1" t="s">
        <v>19</v>
      </c>
      <c r="E193" s="104">
        <v>0</v>
      </c>
      <c r="F193" s="104">
        <v>0</v>
      </c>
      <c r="G193" s="104">
        <v>0</v>
      </c>
      <c r="H193" s="104">
        <v>0</v>
      </c>
      <c r="I193" s="104">
        <v>0</v>
      </c>
      <c r="J193" s="104">
        <v>0</v>
      </c>
      <c r="K193" s="104">
        <v>0</v>
      </c>
      <c r="L193" s="104">
        <v>0</v>
      </c>
      <c r="M193" s="104">
        <v>0</v>
      </c>
      <c r="N193" s="45"/>
    </row>
    <row r="194" spans="1:14" x14ac:dyDescent="0.25">
      <c r="A194" s="306"/>
      <c r="B194" s="323"/>
      <c r="C194" s="21" t="s">
        <v>129</v>
      </c>
      <c r="D194" s="1" t="s">
        <v>8</v>
      </c>
      <c r="E194" s="103">
        <v>49.290721649484539</v>
      </c>
      <c r="F194" s="103">
        <v>65.52783505154639</v>
      </c>
      <c r="G194" s="103">
        <v>108.82680412371134</v>
      </c>
      <c r="H194" s="103">
        <v>168.36288659793814</v>
      </c>
      <c r="I194" s="103">
        <v>249.54845360824743</v>
      </c>
      <c r="J194" s="103">
        <v>411.91958762886594</v>
      </c>
      <c r="K194" s="103">
        <v>574.29072164948457</v>
      </c>
      <c r="L194" s="103">
        <v>574.29072164948457</v>
      </c>
      <c r="M194" s="103">
        <v>574.29072164948457</v>
      </c>
      <c r="N194" s="45"/>
    </row>
    <row r="195" spans="1:14" x14ac:dyDescent="0.25">
      <c r="A195" s="306"/>
      <c r="B195" s="323"/>
      <c r="C195" s="21" t="s">
        <v>130</v>
      </c>
      <c r="D195" s="1" t="s">
        <v>9</v>
      </c>
      <c r="E195" s="102"/>
      <c r="F195" s="102"/>
      <c r="G195" s="102"/>
      <c r="H195" s="102"/>
      <c r="I195" s="102"/>
      <c r="J195" s="102"/>
      <c r="K195" s="102"/>
      <c r="L195" s="102"/>
      <c r="M195" s="102"/>
    </row>
    <row r="196" spans="1:14" x14ac:dyDescent="0.25">
      <c r="A196" s="306"/>
      <c r="B196" s="323"/>
      <c r="C196" s="21" t="s">
        <v>131</v>
      </c>
      <c r="D196" s="1" t="s">
        <v>10</v>
      </c>
      <c r="E196" s="102"/>
      <c r="F196" s="102"/>
      <c r="G196" s="102"/>
      <c r="H196" s="102"/>
      <c r="I196" s="102"/>
      <c r="J196" s="102"/>
      <c r="K196" s="102"/>
      <c r="L196" s="102"/>
      <c r="M196" s="102"/>
    </row>
    <row r="197" spans="1:14" ht="18.75" x14ac:dyDescent="0.25">
      <c r="A197" s="306"/>
      <c r="B197" s="323"/>
      <c r="C197" s="53" t="s">
        <v>132</v>
      </c>
      <c r="D197" s="23" t="s">
        <v>17</v>
      </c>
      <c r="E197" s="102"/>
      <c r="F197" s="102"/>
      <c r="G197" s="102"/>
      <c r="H197" s="102"/>
      <c r="I197" s="102"/>
      <c r="J197" s="102"/>
      <c r="K197" s="102"/>
      <c r="L197" s="102"/>
      <c r="M197" s="102"/>
    </row>
    <row r="198" spans="1:14" ht="14.45" customHeight="1" x14ac:dyDescent="0.25">
      <c r="A198" s="306">
        <v>13</v>
      </c>
      <c r="B198" s="323" t="s">
        <v>180</v>
      </c>
      <c r="C198" s="21" t="s">
        <v>109</v>
      </c>
      <c r="D198" s="1" t="s">
        <v>19</v>
      </c>
      <c r="E198" s="102">
        <v>1</v>
      </c>
      <c r="F198" s="102">
        <v>1</v>
      </c>
      <c r="G198" s="102">
        <v>1</v>
      </c>
      <c r="H198" s="102">
        <v>1</v>
      </c>
      <c r="I198" s="102">
        <v>1</v>
      </c>
      <c r="J198" s="102">
        <v>1</v>
      </c>
      <c r="K198" s="102">
        <v>1</v>
      </c>
      <c r="L198" s="102">
        <v>1</v>
      </c>
      <c r="M198" s="102">
        <v>1</v>
      </c>
    </row>
    <row r="199" spans="1:14" x14ac:dyDescent="0.25">
      <c r="A199" s="306"/>
      <c r="B199" s="323"/>
      <c r="C199" s="21" t="s">
        <v>21</v>
      </c>
      <c r="D199" s="1" t="s">
        <v>19</v>
      </c>
      <c r="E199" s="102">
        <v>0.65</v>
      </c>
      <c r="F199" s="102">
        <v>0.65</v>
      </c>
      <c r="G199" s="102">
        <v>0.65</v>
      </c>
      <c r="H199" s="102">
        <v>0.65</v>
      </c>
      <c r="I199" s="102">
        <v>0.65</v>
      </c>
      <c r="J199" s="102">
        <v>0.65</v>
      </c>
      <c r="K199" s="102">
        <v>0.65</v>
      </c>
      <c r="L199" s="102">
        <v>0.65</v>
      </c>
      <c r="M199" s="102">
        <v>0.65</v>
      </c>
    </row>
    <row r="200" spans="1:14" x14ac:dyDescent="0.25">
      <c r="A200" s="306"/>
      <c r="B200" s="323"/>
      <c r="C200" s="21" t="s">
        <v>22</v>
      </c>
      <c r="D200" s="1" t="s">
        <v>4</v>
      </c>
      <c r="E200" s="102">
        <v>20</v>
      </c>
      <c r="F200" s="102">
        <v>20</v>
      </c>
      <c r="G200" s="102">
        <v>20</v>
      </c>
      <c r="H200" s="102">
        <v>20</v>
      </c>
      <c r="I200" s="102">
        <v>20</v>
      </c>
      <c r="J200" s="102">
        <v>20</v>
      </c>
      <c r="K200" s="102">
        <v>20</v>
      </c>
      <c r="L200" s="102">
        <v>20</v>
      </c>
      <c r="M200" s="102">
        <v>20</v>
      </c>
    </row>
    <row r="201" spans="1:14" x14ac:dyDescent="0.25">
      <c r="A201" s="306"/>
      <c r="B201" s="323"/>
      <c r="C201" s="21" t="s">
        <v>23</v>
      </c>
      <c r="D201" s="1" t="s">
        <v>6</v>
      </c>
      <c r="E201" s="103">
        <v>192.56641637688614</v>
      </c>
      <c r="F201" s="103">
        <v>163.18945257039451</v>
      </c>
      <c r="G201" s="103">
        <v>127.27927465146402</v>
      </c>
      <c r="H201" s="103">
        <v>102.70540718565383</v>
      </c>
      <c r="I201" s="103">
        <v>107.31263157894738</v>
      </c>
      <c r="J201" s="103">
        <v>107.00631578947369</v>
      </c>
      <c r="K201" s="103">
        <v>105.98526315789475</v>
      </c>
      <c r="L201" s="103">
        <v>103.84105263157896</v>
      </c>
      <c r="M201" s="103">
        <v>99.55263157894737</v>
      </c>
    </row>
    <row r="202" spans="1:14" x14ac:dyDescent="0.25">
      <c r="A202" s="306"/>
      <c r="B202" s="323"/>
      <c r="C202" s="21" t="s">
        <v>173</v>
      </c>
      <c r="D202" s="1" t="s">
        <v>19</v>
      </c>
      <c r="E202" s="104">
        <v>0</v>
      </c>
      <c r="F202" s="104">
        <v>0</v>
      </c>
      <c r="G202" s="104">
        <v>0</v>
      </c>
      <c r="H202" s="104">
        <v>0</v>
      </c>
      <c r="I202" s="104">
        <v>0</v>
      </c>
      <c r="J202" s="104">
        <v>0</v>
      </c>
      <c r="K202" s="104">
        <v>0</v>
      </c>
      <c r="L202" s="104">
        <v>0</v>
      </c>
      <c r="M202" s="104">
        <v>0</v>
      </c>
    </row>
    <row r="203" spans="1:14" x14ac:dyDescent="0.25">
      <c r="A203" s="306"/>
      <c r="B203" s="323"/>
      <c r="C203" s="21" t="s">
        <v>110</v>
      </c>
      <c r="D203" s="1" t="s">
        <v>8</v>
      </c>
      <c r="E203" s="102"/>
      <c r="F203" s="102"/>
      <c r="G203" s="102"/>
      <c r="H203" s="102"/>
      <c r="I203" s="102"/>
      <c r="J203" s="102"/>
      <c r="K203" s="102"/>
      <c r="L203" s="102"/>
      <c r="M203" s="102"/>
    </row>
    <row r="204" spans="1:14" x14ac:dyDescent="0.25">
      <c r="A204" s="306"/>
      <c r="B204" s="323"/>
      <c r="C204" s="21" t="s">
        <v>111</v>
      </c>
      <c r="D204" s="1" t="s">
        <v>9</v>
      </c>
      <c r="E204" s="103">
        <v>5.7769924913065838</v>
      </c>
      <c r="F204" s="103">
        <v>4.8956835771118348</v>
      </c>
      <c r="G204" s="103">
        <v>3.8183782395439203</v>
      </c>
      <c r="H204" s="103">
        <v>3.0811622155696146</v>
      </c>
      <c r="I204" s="103">
        <v>2.0378947368421052</v>
      </c>
      <c r="J204" s="103">
        <v>2.0189473684210526</v>
      </c>
      <c r="K204" s="103">
        <v>1.9557894736842103</v>
      </c>
      <c r="L204" s="103">
        <v>1.8231578947368419</v>
      </c>
      <c r="M204" s="103">
        <v>1.557894736842105</v>
      </c>
    </row>
    <row r="205" spans="1:14" x14ac:dyDescent="0.25">
      <c r="A205" s="306"/>
      <c r="B205" s="323"/>
      <c r="C205" s="21" t="s">
        <v>35</v>
      </c>
      <c r="D205" s="1" t="s">
        <v>10</v>
      </c>
      <c r="E205" s="103">
        <v>0</v>
      </c>
      <c r="F205" s="103">
        <v>0</v>
      </c>
      <c r="G205" s="103">
        <v>0</v>
      </c>
      <c r="H205" s="103">
        <v>0</v>
      </c>
      <c r="I205" s="103">
        <v>0</v>
      </c>
      <c r="J205" s="103">
        <v>0</v>
      </c>
      <c r="K205" s="103">
        <v>1.7051368421052632E-3</v>
      </c>
      <c r="L205" s="103">
        <v>1.5645473684210527E-3</v>
      </c>
      <c r="M205" s="103">
        <v>1.2833684210526316E-3</v>
      </c>
    </row>
    <row r="206" spans="1:14" x14ac:dyDescent="0.25">
      <c r="A206" s="306"/>
      <c r="B206" s="323"/>
      <c r="C206" s="22" t="s">
        <v>24</v>
      </c>
      <c r="D206" s="23" t="s">
        <v>10</v>
      </c>
      <c r="E206" s="103">
        <v>0</v>
      </c>
      <c r="F206" s="103">
        <v>0</v>
      </c>
      <c r="G206" s="103">
        <v>0</v>
      </c>
      <c r="H206" s="103">
        <v>0</v>
      </c>
      <c r="I206" s="103">
        <v>0</v>
      </c>
      <c r="J206" s="103">
        <v>0</v>
      </c>
      <c r="K206" s="103">
        <v>0</v>
      </c>
      <c r="L206" s="103">
        <v>0</v>
      </c>
      <c r="M206" s="103">
        <v>0</v>
      </c>
    </row>
    <row r="207" spans="1:14" x14ac:dyDescent="0.25">
      <c r="A207" s="306"/>
      <c r="B207" s="323"/>
      <c r="C207" s="21" t="s">
        <v>25</v>
      </c>
      <c r="D207" s="1" t="s">
        <v>7</v>
      </c>
      <c r="E207" s="102">
        <v>0.99749999999999994</v>
      </c>
      <c r="F207" s="102">
        <v>0.99749999999999994</v>
      </c>
      <c r="G207" s="102">
        <v>0.99749999999999994</v>
      </c>
      <c r="H207" s="102">
        <v>0.99749999999999994</v>
      </c>
      <c r="I207" s="102">
        <v>0.99749999999999994</v>
      </c>
      <c r="J207" s="102">
        <v>0.99749999999999994</v>
      </c>
      <c r="K207" s="102">
        <v>0.999</v>
      </c>
      <c r="L207" s="102">
        <v>0.999</v>
      </c>
      <c r="M207" s="102">
        <v>0.999</v>
      </c>
    </row>
    <row r="208" spans="1:14" x14ac:dyDescent="0.25">
      <c r="A208" s="306"/>
      <c r="B208" s="323"/>
      <c r="C208" s="21" t="s">
        <v>26</v>
      </c>
      <c r="D208" s="1" t="s">
        <v>14</v>
      </c>
      <c r="E208" s="103">
        <v>1524.6</v>
      </c>
      <c r="F208" s="103">
        <v>1749.6</v>
      </c>
      <c r="G208" s="103">
        <v>2349.6</v>
      </c>
      <c r="H208" s="103">
        <v>3174.6</v>
      </c>
      <c r="I208" s="103">
        <v>4299.6000000000004</v>
      </c>
      <c r="J208" s="103">
        <v>14213</v>
      </c>
      <c r="K208" s="103">
        <v>21713</v>
      </c>
      <c r="L208" s="103">
        <v>37463</v>
      </c>
      <c r="M208" s="103">
        <v>68963</v>
      </c>
    </row>
    <row r="209" spans="1:13" x14ac:dyDescent="0.25">
      <c r="A209" s="306"/>
      <c r="B209" s="323"/>
      <c r="C209" s="21" t="s">
        <v>27</v>
      </c>
      <c r="D209" s="1" t="s">
        <v>4</v>
      </c>
      <c r="E209" s="102">
        <v>40</v>
      </c>
      <c r="F209" s="102">
        <v>40</v>
      </c>
      <c r="G209" s="102">
        <v>40</v>
      </c>
      <c r="H209" s="102">
        <v>40</v>
      </c>
      <c r="I209" s="102">
        <v>40</v>
      </c>
      <c r="J209" s="102">
        <v>40</v>
      </c>
      <c r="K209" s="102">
        <v>40</v>
      </c>
      <c r="L209" s="102">
        <v>40</v>
      </c>
      <c r="M209" s="102">
        <v>40</v>
      </c>
    </row>
    <row r="210" spans="1:13" x14ac:dyDescent="0.25">
      <c r="A210" s="306"/>
      <c r="B210" s="323"/>
      <c r="C210" s="21" t="s">
        <v>125</v>
      </c>
      <c r="D210" s="1" t="s">
        <v>19</v>
      </c>
      <c r="E210" s="106">
        <v>0.546875</v>
      </c>
      <c r="F210" s="106">
        <v>0.546875</v>
      </c>
      <c r="G210" s="106">
        <v>0.54687499999999989</v>
      </c>
      <c r="H210" s="106">
        <v>0.546875</v>
      </c>
      <c r="I210" s="106">
        <v>0.546875</v>
      </c>
      <c r="J210" s="106">
        <v>0.546875</v>
      </c>
      <c r="K210" s="106">
        <v>0.546875</v>
      </c>
      <c r="L210" s="106">
        <v>0.546875</v>
      </c>
      <c r="M210" s="106">
        <v>0.546875</v>
      </c>
    </row>
    <row r="211" spans="1:13" x14ac:dyDescent="0.25">
      <c r="A211" s="306"/>
      <c r="B211" s="323"/>
      <c r="C211" s="21" t="s">
        <v>126</v>
      </c>
      <c r="D211" s="1" t="s">
        <v>19</v>
      </c>
      <c r="E211" s="102">
        <v>0.64</v>
      </c>
      <c r="F211" s="102">
        <v>0.64</v>
      </c>
      <c r="G211" s="102">
        <v>0.64</v>
      </c>
      <c r="H211" s="102">
        <v>0.64</v>
      </c>
      <c r="I211" s="102">
        <v>0.64</v>
      </c>
      <c r="J211" s="102">
        <v>0.64</v>
      </c>
      <c r="K211" s="102">
        <v>0.64</v>
      </c>
      <c r="L211" s="102">
        <v>0.64</v>
      </c>
      <c r="M211" s="102">
        <v>0.64</v>
      </c>
    </row>
    <row r="212" spans="1:13" x14ac:dyDescent="0.25">
      <c r="A212" s="306"/>
      <c r="B212" s="323"/>
      <c r="C212" s="24" t="s">
        <v>127</v>
      </c>
      <c r="D212" s="1" t="s">
        <v>4</v>
      </c>
      <c r="E212" s="102">
        <v>20</v>
      </c>
      <c r="F212" s="102">
        <v>20</v>
      </c>
      <c r="G212" s="102">
        <v>20</v>
      </c>
      <c r="H212" s="102">
        <v>20</v>
      </c>
      <c r="I212" s="102">
        <v>20</v>
      </c>
      <c r="J212" s="102">
        <v>20</v>
      </c>
      <c r="K212" s="102">
        <v>20</v>
      </c>
      <c r="L212" s="102">
        <v>20</v>
      </c>
      <c r="M212" s="102">
        <v>20</v>
      </c>
    </row>
    <row r="213" spans="1:13" x14ac:dyDescent="0.25">
      <c r="A213" s="306"/>
      <c r="B213" s="323"/>
      <c r="C213" s="24" t="s">
        <v>128</v>
      </c>
      <c r="D213" s="1" t="s">
        <v>6</v>
      </c>
      <c r="E213" s="107">
        <v>845.66853062101131</v>
      </c>
      <c r="F213" s="103">
        <v>823.13136659302893</v>
      </c>
      <c r="G213" s="103">
        <v>763.03226251840942</v>
      </c>
      <c r="H213" s="103">
        <v>680.39599441580754</v>
      </c>
      <c r="I213" s="103">
        <v>567.71017427589595</v>
      </c>
      <c r="J213" s="103">
        <v>483.57142857142856</v>
      </c>
      <c r="K213" s="103">
        <v>483.57142857142856</v>
      </c>
      <c r="L213" s="103">
        <v>483.57142857142856</v>
      </c>
      <c r="M213" s="103">
        <v>483.57142857142856</v>
      </c>
    </row>
    <row r="214" spans="1:13" x14ac:dyDescent="0.25">
      <c r="A214" s="306"/>
      <c r="B214" s="323"/>
      <c r="C214" s="21" t="s">
        <v>179</v>
      </c>
      <c r="D214" s="1" t="s">
        <v>19</v>
      </c>
      <c r="E214" s="104">
        <v>0</v>
      </c>
      <c r="F214" s="104">
        <v>0</v>
      </c>
      <c r="G214" s="104">
        <v>0</v>
      </c>
      <c r="H214" s="104">
        <v>0</v>
      </c>
      <c r="I214" s="104">
        <v>0</v>
      </c>
      <c r="J214" s="104">
        <v>0</v>
      </c>
      <c r="K214" s="104">
        <v>0</v>
      </c>
      <c r="L214" s="104">
        <v>0</v>
      </c>
      <c r="M214" s="104">
        <v>0</v>
      </c>
    </row>
    <row r="215" spans="1:13" x14ac:dyDescent="0.25">
      <c r="A215" s="306"/>
      <c r="B215" s="323"/>
      <c r="C215" s="21" t="s">
        <v>129</v>
      </c>
      <c r="D215" s="1" t="s">
        <v>8</v>
      </c>
      <c r="E215" s="103">
        <v>49.290721649484539</v>
      </c>
      <c r="F215" s="103">
        <v>65.52783505154639</v>
      </c>
      <c r="G215" s="103">
        <v>108.82680412371134</v>
      </c>
      <c r="H215" s="103">
        <v>168.36288659793814</v>
      </c>
      <c r="I215" s="103">
        <v>249.54845360824743</v>
      </c>
      <c r="J215" s="103">
        <v>411.91958762886594</v>
      </c>
      <c r="K215" s="103">
        <v>574.29072164948457</v>
      </c>
      <c r="L215" s="103">
        <v>574.29072164948457</v>
      </c>
      <c r="M215" s="103">
        <v>574.29072164948457</v>
      </c>
    </row>
    <row r="216" spans="1:13" x14ac:dyDescent="0.25">
      <c r="A216" s="306"/>
      <c r="B216" s="323"/>
      <c r="C216" s="21" t="s">
        <v>130</v>
      </c>
      <c r="D216" s="1" t="s">
        <v>9</v>
      </c>
      <c r="E216" s="102"/>
      <c r="F216" s="102"/>
      <c r="G216" s="102"/>
      <c r="H216" s="102"/>
      <c r="I216" s="102"/>
      <c r="J216" s="102"/>
      <c r="K216" s="102"/>
      <c r="L216" s="102"/>
      <c r="M216" s="102"/>
    </row>
    <row r="217" spans="1:13" x14ac:dyDescent="0.25">
      <c r="A217" s="306"/>
      <c r="B217" s="323"/>
      <c r="C217" s="21" t="s">
        <v>131</v>
      </c>
      <c r="D217" s="1" t="s">
        <v>10</v>
      </c>
      <c r="E217" s="102"/>
      <c r="F217" s="102"/>
      <c r="G217" s="102"/>
      <c r="H217" s="102"/>
      <c r="I217" s="102"/>
      <c r="J217" s="102"/>
      <c r="K217" s="102"/>
      <c r="L217" s="102"/>
      <c r="M217" s="102"/>
    </row>
    <row r="218" spans="1:13" ht="18.75" x14ac:dyDescent="0.25">
      <c r="A218" s="306"/>
      <c r="B218" s="323"/>
      <c r="C218" s="53" t="s">
        <v>132</v>
      </c>
      <c r="D218" s="23" t="s">
        <v>17</v>
      </c>
      <c r="E218" s="102"/>
      <c r="F218" s="102"/>
      <c r="G218" s="102"/>
      <c r="H218" s="102"/>
      <c r="I218" s="102"/>
      <c r="J218" s="102"/>
      <c r="K218" s="102"/>
      <c r="L218" s="102"/>
      <c r="M218" s="102"/>
    </row>
    <row r="219" spans="1:13" x14ac:dyDescent="0.25">
      <c r="A219" s="324">
        <v>14</v>
      </c>
      <c r="B219" s="327" t="s">
        <v>181</v>
      </c>
      <c r="C219" s="21" t="s">
        <v>112</v>
      </c>
      <c r="D219" s="1" t="s">
        <v>19</v>
      </c>
      <c r="E219" s="106">
        <v>1</v>
      </c>
      <c r="F219" s="106">
        <v>1</v>
      </c>
      <c r="G219" s="106">
        <v>1</v>
      </c>
      <c r="H219" s="106">
        <v>1</v>
      </c>
      <c r="I219" s="106">
        <v>1</v>
      </c>
      <c r="J219" s="106">
        <v>1</v>
      </c>
      <c r="K219" s="106">
        <v>1</v>
      </c>
      <c r="L219" s="106">
        <v>1</v>
      </c>
      <c r="M219" s="106">
        <v>1</v>
      </c>
    </row>
    <row r="220" spans="1:13" x14ac:dyDescent="0.25">
      <c r="A220" s="325"/>
      <c r="B220" s="328"/>
      <c r="C220" s="21" t="s">
        <v>28</v>
      </c>
      <c r="D220" s="1" t="s">
        <v>19</v>
      </c>
      <c r="E220" s="102">
        <v>0.8</v>
      </c>
      <c r="F220" s="102">
        <v>0.8</v>
      </c>
      <c r="G220" s="102">
        <v>0.8</v>
      </c>
      <c r="H220" s="102">
        <v>0.8</v>
      </c>
      <c r="I220" s="102">
        <v>0.8</v>
      </c>
      <c r="J220" s="102">
        <v>0.8</v>
      </c>
      <c r="K220" s="102">
        <v>0.8</v>
      </c>
      <c r="L220" s="102">
        <v>0.8</v>
      </c>
      <c r="M220" s="102">
        <v>0.8</v>
      </c>
    </row>
    <row r="221" spans="1:13" x14ac:dyDescent="0.25">
      <c r="A221" s="325"/>
      <c r="B221" s="328"/>
      <c r="C221" s="21" t="s">
        <v>29</v>
      </c>
      <c r="D221" s="1" t="s">
        <v>4</v>
      </c>
      <c r="E221" s="102">
        <v>20</v>
      </c>
      <c r="F221" s="102">
        <v>20</v>
      </c>
      <c r="G221" s="102">
        <v>20</v>
      </c>
      <c r="H221" s="102">
        <v>20</v>
      </c>
      <c r="I221" s="102">
        <v>20</v>
      </c>
      <c r="J221" s="102">
        <v>20</v>
      </c>
      <c r="K221" s="102">
        <v>20</v>
      </c>
      <c r="L221" s="102">
        <v>20</v>
      </c>
      <c r="M221" s="102">
        <v>20</v>
      </c>
    </row>
    <row r="222" spans="1:13" x14ac:dyDescent="0.25">
      <c r="A222" s="325"/>
      <c r="B222" s="328"/>
      <c r="C222" s="21" t="s">
        <v>30</v>
      </c>
      <c r="D222" s="1" t="s">
        <v>6</v>
      </c>
      <c r="E222" s="103">
        <v>756.50213541090761</v>
      </c>
      <c r="F222" s="103">
        <v>540.20663720034383</v>
      </c>
      <c r="G222" s="103">
        <v>421.48150193390472</v>
      </c>
      <c r="H222" s="103">
        <v>421.48150193390472</v>
      </c>
      <c r="I222" s="103">
        <v>421.48150193390472</v>
      </c>
      <c r="J222" s="103">
        <v>421.48150193390472</v>
      </c>
      <c r="K222" s="103">
        <v>1120.903443434433</v>
      </c>
      <c r="L222" s="103">
        <v>975.21226311391229</v>
      </c>
      <c r="M222" s="103">
        <v>857.30536609258718</v>
      </c>
    </row>
    <row r="223" spans="1:13" x14ac:dyDescent="0.25">
      <c r="A223" s="325"/>
      <c r="B223" s="328"/>
      <c r="C223" s="21" t="s">
        <v>174</v>
      </c>
      <c r="D223" s="1" t="s">
        <v>19</v>
      </c>
      <c r="E223" s="104">
        <v>0</v>
      </c>
      <c r="F223" s="104">
        <v>0</v>
      </c>
      <c r="G223" s="104">
        <v>0</v>
      </c>
      <c r="H223" s="104">
        <v>0</v>
      </c>
      <c r="I223" s="104">
        <v>0</v>
      </c>
      <c r="J223" s="104">
        <v>0</v>
      </c>
      <c r="K223" s="104">
        <v>0</v>
      </c>
      <c r="L223" s="104">
        <v>0</v>
      </c>
      <c r="M223" s="104">
        <v>0</v>
      </c>
    </row>
    <row r="224" spans="1:13" x14ac:dyDescent="0.25">
      <c r="A224" s="325"/>
      <c r="B224" s="328"/>
      <c r="C224" s="21" t="s">
        <v>113</v>
      </c>
      <c r="D224" s="1" t="s">
        <v>8</v>
      </c>
      <c r="E224" s="102"/>
      <c r="F224" s="102"/>
      <c r="G224" s="102"/>
      <c r="H224" s="102"/>
      <c r="I224" s="102"/>
      <c r="J224" s="102"/>
      <c r="K224" s="102"/>
      <c r="L224" s="102"/>
      <c r="M224" s="102"/>
    </row>
    <row r="225" spans="1:13" x14ac:dyDescent="0.25">
      <c r="A225" s="325"/>
      <c r="B225" s="328"/>
      <c r="C225" s="21" t="s">
        <v>114</v>
      </c>
      <c r="D225" s="1" t="s">
        <v>9</v>
      </c>
      <c r="E225" s="102"/>
      <c r="F225" s="102"/>
      <c r="G225" s="102"/>
      <c r="H225" s="102"/>
      <c r="I225" s="102"/>
      <c r="J225" s="102"/>
      <c r="K225" s="102"/>
      <c r="L225" s="102"/>
      <c r="M225" s="102"/>
    </row>
    <row r="226" spans="1:13" x14ac:dyDescent="0.25">
      <c r="A226" s="325"/>
      <c r="B226" s="328"/>
      <c r="C226" s="21" t="s">
        <v>115</v>
      </c>
      <c r="D226" s="1" t="s">
        <v>10</v>
      </c>
      <c r="E226" s="103">
        <v>0</v>
      </c>
      <c r="F226" s="103">
        <v>0</v>
      </c>
      <c r="G226" s="103">
        <v>0</v>
      </c>
      <c r="H226" s="103">
        <v>0</v>
      </c>
      <c r="I226" s="103">
        <v>0</v>
      </c>
      <c r="J226" s="103">
        <v>0</v>
      </c>
      <c r="K226" s="103">
        <v>2.0100000000000001E-3</v>
      </c>
      <c r="L226" s="103">
        <v>2.0100000000000001E-3</v>
      </c>
      <c r="M226" s="103">
        <v>2.0100000000000001E-3</v>
      </c>
    </row>
    <row r="227" spans="1:13" ht="18.75" x14ac:dyDescent="0.25">
      <c r="A227" s="325"/>
      <c r="B227" s="328"/>
      <c r="C227" s="22" t="s">
        <v>116</v>
      </c>
      <c r="D227" s="23" t="s">
        <v>17</v>
      </c>
      <c r="E227" s="103">
        <v>0</v>
      </c>
      <c r="F227" s="103">
        <v>0</v>
      </c>
      <c r="G227" s="103">
        <v>0</v>
      </c>
      <c r="H227" s="103">
        <v>0</v>
      </c>
      <c r="I227" s="103">
        <v>0</v>
      </c>
      <c r="J227" s="103">
        <v>0</v>
      </c>
      <c r="K227" s="103">
        <v>0</v>
      </c>
      <c r="L227" s="103">
        <v>0</v>
      </c>
      <c r="M227" s="103">
        <v>0</v>
      </c>
    </row>
    <row r="228" spans="1:13" x14ac:dyDescent="0.25">
      <c r="A228" s="325"/>
      <c r="B228" s="328"/>
      <c r="C228" s="22" t="s">
        <v>31</v>
      </c>
      <c r="D228" s="23" t="s">
        <v>10</v>
      </c>
      <c r="E228" s="103">
        <v>0</v>
      </c>
      <c r="F228" s="103">
        <v>0</v>
      </c>
      <c r="G228" s="103">
        <v>0</v>
      </c>
      <c r="H228" s="103">
        <v>0</v>
      </c>
      <c r="I228" s="103">
        <v>0</v>
      </c>
      <c r="J228" s="103">
        <v>0</v>
      </c>
      <c r="K228" s="103">
        <v>0</v>
      </c>
      <c r="L228" s="103">
        <v>0</v>
      </c>
      <c r="M228" s="103">
        <v>0</v>
      </c>
    </row>
    <row r="229" spans="1:13" x14ac:dyDescent="0.25">
      <c r="A229" s="325"/>
      <c r="B229" s="328"/>
      <c r="C229" s="21" t="s">
        <v>32</v>
      </c>
      <c r="D229" s="2" t="s">
        <v>19</v>
      </c>
      <c r="E229" s="102">
        <v>3.48</v>
      </c>
      <c r="F229" s="102">
        <v>3.48</v>
      </c>
      <c r="G229" s="102">
        <v>3.48</v>
      </c>
      <c r="H229" s="102">
        <v>3.48</v>
      </c>
      <c r="I229" s="102">
        <v>3.48</v>
      </c>
      <c r="J229" s="102">
        <v>3.48</v>
      </c>
      <c r="K229" s="102">
        <v>3.48</v>
      </c>
      <c r="L229" s="102">
        <v>3.48</v>
      </c>
      <c r="M229" s="102">
        <v>3.48</v>
      </c>
    </row>
    <row r="230" spans="1:13" x14ac:dyDescent="0.25">
      <c r="A230" s="325"/>
      <c r="B230" s="328"/>
      <c r="C230" s="21" t="s">
        <v>33</v>
      </c>
      <c r="D230" s="2" t="s">
        <v>14</v>
      </c>
      <c r="E230" s="102"/>
      <c r="F230" s="102"/>
      <c r="G230" s="102"/>
      <c r="H230" s="102"/>
      <c r="I230" s="102"/>
      <c r="J230" s="102"/>
      <c r="K230" s="102"/>
      <c r="L230" s="102"/>
      <c r="M230" s="102"/>
    </row>
    <row r="231" spans="1:13" x14ac:dyDescent="0.25">
      <c r="A231" s="325"/>
      <c r="B231" s="328"/>
      <c r="C231" s="21" t="s">
        <v>34</v>
      </c>
      <c r="D231" s="2" t="s">
        <v>4</v>
      </c>
      <c r="E231" s="102"/>
      <c r="F231" s="102"/>
      <c r="G231" s="102"/>
      <c r="H231" s="102"/>
      <c r="I231" s="102"/>
      <c r="J231" s="102"/>
      <c r="K231" s="102"/>
      <c r="L231" s="102"/>
      <c r="M231" s="102"/>
    </row>
    <row r="232" spans="1:13" x14ac:dyDescent="0.25">
      <c r="A232" s="325"/>
      <c r="B232" s="328"/>
      <c r="C232" s="21" t="s">
        <v>125</v>
      </c>
      <c r="D232" s="1" t="s">
        <v>19</v>
      </c>
      <c r="E232" s="106">
        <v>0.3125</v>
      </c>
      <c r="F232" s="106">
        <v>0.3125</v>
      </c>
      <c r="G232" s="106">
        <v>0.3125</v>
      </c>
      <c r="H232" s="106">
        <v>0.3125</v>
      </c>
      <c r="I232" s="106">
        <v>0.3125</v>
      </c>
      <c r="J232" s="106">
        <v>0.3125</v>
      </c>
      <c r="K232" s="106">
        <v>0.3125</v>
      </c>
      <c r="L232" s="106">
        <v>0.3125</v>
      </c>
      <c r="M232" s="106">
        <v>0.3125</v>
      </c>
    </row>
    <row r="233" spans="1:13" x14ac:dyDescent="0.25">
      <c r="A233" s="325"/>
      <c r="B233" s="328"/>
      <c r="C233" s="21" t="s">
        <v>126</v>
      </c>
      <c r="D233" s="1" t="s">
        <v>19</v>
      </c>
      <c r="E233" s="102">
        <v>0.64</v>
      </c>
      <c r="F233" s="102">
        <v>0.64</v>
      </c>
      <c r="G233" s="102">
        <v>0.64</v>
      </c>
      <c r="H233" s="102">
        <v>0.64</v>
      </c>
      <c r="I233" s="102">
        <v>0.64</v>
      </c>
      <c r="J233" s="102">
        <v>0.64</v>
      </c>
      <c r="K233" s="102">
        <v>0.64</v>
      </c>
      <c r="L233" s="102">
        <v>0.64</v>
      </c>
      <c r="M233" s="102">
        <v>0.64</v>
      </c>
    </row>
    <row r="234" spans="1:13" x14ac:dyDescent="0.25">
      <c r="A234" s="325"/>
      <c r="B234" s="328"/>
      <c r="C234" s="24" t="s">
        <v>127</v>
      </c>
      <c r="D234" s="1" t="s">
        <v>4</v>
      </c>
      <c r="E234" s="102">
        <v>20</v>
      </c>
      <c r="F234" s="102">
        <v>20</v>
      </c>
      <c r="G234" s="102">
        <v>20</v>
      </c>
      <c r="H234" s="102">
        <v>20</v>
      </c>
      <c r="I234" s="102">
        <v>20</v>
      </c>
      <c r="J234" s="102">
        <v>20</v>
      </c>
      <c r="K234" s="102">
        <v>20</v>
      </c>
      <c r="L234" s="102">
        <v>20</v>
      </c>
      <c r="M234" s="102">
        <v>20</v>
      </c>
    </row>
    <row r="235" spans="1:13" x14ac:dyDescent="0.25">
      <c r="A235" s="325"/>
      <c r="B235" s="328"/>
      <c r="C235" s="24" t="s">
        <v>128</v>
      </c>
      <c r="D235" s="1" t="s">
        <v>6</v>
      </c>
      <c r="E235" s="107">
        <v>855.32731520443224</v>
      </c>
      <c r="F235" s="107">
        <v>842.44893575987089</v>
      </c>
      <c r="G235" s="107">
        <v>808.10659057437408</v>
      </c>
      <c r="H235" s="107">
        <v>760.88586594431581</v>
      </c>
      <c r="I235" s="107">
        <v>696.49396872150919</v>
      </c>
      <c r="J235" s="107">
        <v>567.71017427589595</v>
      </c>
      <c r="K235" s="107">
        <v>483.57142857142856</v>
      </c>
      <c r="L235" s="107">
        <v>483.57142857142856</v>
      </c>
      <c r="M235" s="107">
        <v>483.57142857142856</v>
      </c>
    </row>
    <row r="236" spans="1:13" x14ac:dyDescent="0.25">
      <c r="A236" s="325"/>
      <c r="B236" s="328"/>
      <c r="C236" s="24" t="s">
        <v>179</v>
      </c>
      <c r="D236" s="1" t="s">
        <v>19</v>
      </c>
      <c r="E236" s="104">
        <v>0</v>
      </c>
      <c r="F236" s="104">
        <v>0</v>
      </c>
      <c r="G236" s="104">
        <v>0</v>
      </c>
      <c r="H236" s="104">
        <v>0</v>
      </c>
      <c r="I236" s="104">
        <v>0</v>
      </c>
      <c r="J236" s="104">
        <v>0</v>
      </c>
      <c r="K236" s="104">
        <v>0</v>
      </c>
      <c r="L236" s="104">
        <v>0</v>
      </c>
      <c r="M236" s="104">
        <v>0</v>
      </c>
    </row>
    <row r="237" spans="1:13" x14ac:dyDescent="0.25">
      <c r="A237" s="325"/>
      <c r="B237" s="328"/>
      <c r="C237" s="21" t="s">
        <v>129</v>
      </c>
      <c r="D237" s="1" t="s">
        <v>8</v>
      </c>
      <c r="E237" s="103">
        <v>49.290721649484539</v>
      </c>
      <c r="F237" s="103">
        <v>65.52783505154639</v>
      </c>
      <c r="G237" s="103">
        <v>108.82680412371134</v>
      </c>
      <c r="H237" s="103">
        <v>168.36288659793814</v>
      </c>
      <c r="I237" s="103">
        <v>249.54845360824743</v>
      </c>
      <c r="J237" s="103">
        <v>411.91958762886594</v>
      </c>
      <c r="K237" s="103">
        <v>574.29072164948457</v>
      </c>
      <c r="L237" s="103">
        <v>574.29072164948457</v>
      </c>
      <c r="M237" s="103">
        <v>574.29072164948457</v>
      </c>
    </row>
    <row r="238" spans="1:13" x14ac:dyDescent="0.25">
      <c r="A238" s="325"/>
      <c r="B238" s="328"/>
      <c r="C238" s="21" t="s">
        <v>130</v>
      </c>
      <c r="D238" s="1" t="s">
        <v>9</v>
      </c>
      <c r="E238" s="102"/>
      <c r="F238" s="102"/>
      <c r="G238" s="102"/>
      <c r="H238" s="102"/>
      <c r="I238" s="102"/>
      <c r="J238" s="102"/>
      <c r="K238" s="102"/>
      <c r="L238" s="102"/>
      <c r="M238" s="102"/>
    </row>
    <row r="239" spans="1:13" x14ac:dyDescent="0.25">
      <c r="A239" s="325"/>
      <c r="B239" s="328"/>
      <c r="C239" s="21" t="s">
        <v>131</v>
      </c>
      <c r="D239" s="1" t="s">
        <v>10</v>
      </c>
      <c r="E239" s="102"/>
      <c r="F239" s="102"/>
      <c r="G239" s="102"/>
      <c r="H239" s="102"/>
      <c r="I239" s="102"/>
      <c r="J239" s="102"/>
      <c r="K239" s="102"/>
      <c r="L239" s="102"/>
      <c r="M239" s="102"/>
    </row>
    <row r="240" spans="1:13" ht="18.75" x14ac:dyDescent="0.25">
      <c r="A240" s="326"/>
      <c r="B240" s="329"/>
      <c r="C240" s="53" t="s">
        <v>132</v>
      </c>
      <c r="D240" s="23" t="s">
        <v>17</v>
      </c>
      <c r="E240" s="102"/>
      <c r="F240" s="102"/>
      <c r="G240" s="102"/>
      <c r="H240" s="102"/>
      <c r="I240" s="102"/>
      <c r="J240" s="102"/>
      <c r="K240" s="102"/>
      <c r="L240" s="102"/>
      <c r="M240" s="102"/>
    </row>
    <row r="241" spans="1:13" x14ac:dyDescent="0.25">
      <c r="A241" s="324">
        <v>15</v>
      </c>
      <c r="B241" s="327" t="s">
        <v>182</v>
      </c>
      <c r="C241" s="21" t="s">
        <v>112</v>
      </c>
      <c r="D241" s="1" t="s">
        <v>19</v>
      </c>
      <c r="E241" s="106">
        <v>1</v>
      </c>
      <c r="F241" s="106">
        <v>1</v>
      </c>
      <c r="G241" s="106">
        <v>1</v>
      </c>
      <c r="H241" s="106">
        <v>1</v>
      </c>
      <c r="I241" s="106">
        <v>1</v>
      </c>
      <c r="J241" s="106">
        <v>1</v>
      </c>
      <c r="K241" s="106">
        <v>1</v>
      </c>
      <c r="L241" s="106">
        <v>1</v>
      </c>
      <c r="M241" s="106">
        <v>1</v>
      </c>
    </row>
    <row r="242" spans="1:13" x14ac:dyDescent="0.25">
      <c r="A242" s="325"/>
      <c r="B242" s="328"/>
      <c r="C242" s="21" t="s">
        <v>28</v>
      </c>
      <c r="D242" s="1" t="s">
        <v>19</v>
      </c>
      <c r="E242" s="102">
        <v>0.65</v>
      </c>
      <c r="F242" s="102">
        <v>0.65</v>
      </c>
      <c r="G242" s="102">
        <v>0.65</v>
      </c>
      <c r="H242" s="102">
        <v>0.65</v>
      </c>
      <c r="I242" s="102">
        <v>0.65</v>
      </c>
      <c r="J242" s="102">
        <v>0.65</v>
      </c>
      <c r="K242" s="102">
        <v>0.65</v>
      </c>
      <c r="L242" s="102">
        <v>0.65</v>
      </c>
      <c r="M242" s="102">
        <v>0.65</v>
      </c>
    </row>
    <row r="243" spans="1:13" x14ac:dyDescent="0.25">
      <c r="A243" s="325"/>
      <c r="B243" s="328"/>
      <c r="C243" s="21" t="s">
        <v>29</v>
      </c>
      <c r="D243" s="1" t="s">
        <v>4</v>
      </c>
      <c r="E243" s="102">
        <v>20</v>
      </c>
      <c r="F243" s="102">
        <v>20</v>
      </c>
      <c r="G243" s="102">
        <v>20</v>
      </c>
      <c r="H243" s="102">
        <v>20</v>
      </c>
      <c r="I243" s="102">
        <v>20</v>
      </c>
      <c r="J243" s="102">
        <v>20</v>
      </c>
      <c r="K243" s="102">
        <v>20</v>
      </c>
      <c r="L243" s="102">
        <v>20</v>
      </c>
      <c r="M243" s="102">
        <v>20</v>
      </c>
    </row>
    <row r="244" spans="1:13" x14ac:dyDescent="0.25">
      <c r="A244" s="325"/>
      <c r="B244" s="328"/>
      <c r="C244" s="21" t="s">
        <v>30</v>
      </c>
      <c r="D244" s="1" t="s">
        <v>6</v>
      </c>
      <c r="E244" s="103">
        <v>756.50213541090761</v>
      </c>
      <c r="F244" s="103">
        <v>540.20663720034383</v>
      </c>
      <c r="G244" s="103">
        <v>421.48150193390472</v>
      </c>
      <c r="H244" s="103">
        <v>421.48150193390472</v>
      </c>
      <c r="I244" s="103">
        <v>421.48150193390472</v>
      </c>
      <c r="J244" s="103">
        <v>421.48150193390472</v>
      </c>
      <c r="K244" s="103">
        <v>1120.903443434433</v>
      </c>
      <c r="L244" s="103">
        <v>975.21226311391229</v>
      </c>
      <c r="M244" s="103">
        <v>857.30536609258718</v>
      </c>
    </row>
    <row r="245" spans="1:13" x14ac:dyDescent="0.25">
      <c r="A245" s="325"/>
      <c r="B245" s="328"/>
      <c r="C245" s="21" t="s">
        <v>174</v>
      </c>
      <c r="D245" s="1" t="s">
        <v>19</v>
      </c>
      <c r="E245" s="104">
        <v>0</v>
      </c>
      <c r="F245" s="104">
        <v>0</v>
      </c>
      <c r="G245" s="104">
        <v>0</v>
      </c>
      <c r="H245" s="104">
        <v>0</v>
      </c>
      <c r="I245" s="104">
        <v>0</v>
      </c>
      <c r="J245" s="104">
        <v>0</v>
      </c>
      <c r="K245" s="104">
        <v>0</v>
      </c>
      <c r="L245" s="104">
        <v>0</v>
      </c>
      <c r="M245" s="104">
        <v>0</v>
      </c>
    </row>
    <row r="246" spans="1:13" x14ac:dyDescent="0.25">
      <c r="A246" s="325"/>
      <c r="B246" s="328"/>
      <c r="C246" s="21" t="s">
        <v>113</v>
      </c>
      <c r="D246" s="1" t="s">
        <v>8</v>
      </c>
      <c r="E246" s="102"/>
      <c r="F246" s="102"/>
      <c r="G246" s="102"/>
      <c r="H246" s="102"/>
      <c r="I246" s="102"/>
      <c r="J246" s="102"/>
      <c r="K246" s="102"/>
      <c r="L246" s="102"/>
      <c r="M246" s="102"/>
    </row>
    <row r="247" spans="1:13" x14ac:dyDescent="0.25">
      <c r="A247" s="325"/>
      <c r="B247" s="328"/>
      <c r="C247" s="21" t="s">
        <v>114</v>
      </c>
      <c r="D247" s="1" t="s">
        <v>9</v>
      </c>
      <c r="E247" s="102"/>
      <c r="F247" s="102"/>
      <c r="G247" s="102"/>
      <c r="H247" s="102"/>
      <c r="I247" s="102"/>
      <c r="J247" s="102"/>
      <c r="K247" s="102"/>
      <c r="L247" s="102"/>
      <c r="M247" s="102"/>
    </row>
    <row r="248" spans="1:13" x14ac:dyDescent="0.25">
      <c r="A248" s="325"/>
      <c r="B248" s="328"/>
      <c r="C248" s="21" t="s">
        <v>115</v>
      </c>
      <c r="D248" s="1" t="s">
        <v>10</v>
      </c>
      <c r="E248" s="103">
        <v>0</v>
      </c>
      <c r="F248" s="103">
        <v>0</v>
      </c>
      <c r="G248" s="103">
        <v>0</v>
      </c>
      <c r="H248" s="103">
        <v>0</v>
      </c>
      <c r="I248" s="103">
        <v>0</v>
      </c>
      <c r="J248" s="103">
        <v>0</v>
      </c>
      <c r="K248" s="103">
        <v>2.0100000000000001E-3</v>
      </c>
      <c r="L248" s="103">
        <v>2.0100000000000001E-3</v>
      </c>
      <c r="M248" s="103">
        <v>2.0100000000000001E-3</v>
      </c>
    </row>
    <row r="249" spans="1:13" ht="18.75" x14ac:dyDescent="0.25">
      <c r="A249" s="325"/>
      <c r="B249" s="328"/>
      <c r="C249" s="22" t="s">
        <v>116</v>
      </c>
      <c r="D249" s="23" t="s">
        <v>17</v>
      </c>
      <c r="E249" s="103">
        <v>0</v>
      </c>
      <c r="F249" s="103">
        <v>0</v>
      </c>
      <c r="G249" s="103">
        <v>0</v>
      </c>
      <c r="H249" s="103">
        <v>0</v>
      </c>
      <c r="I249" s="103">
        <v>0</v>
      </c>
      <c r="J249" s="103">
        <v>0</v>
      </c>
      <c r="K249" s="103">
        <v>0</v>
      </c>
      <c r="L249" s="103">
        <v>0</v>
      </c>
      <c r="M249" s="103">
        <v>0</v>
      </c>
    </row>
    <row r="250" spans="1:13" x14ac:dyDescent="0.25">
      <c r="A250" s="325"/>
      <c r="B250" s="328"/>
      <c r="C250" s="22" t="s">
        <v>31</v>
      </c>
      <c r="D250" s="23" t="s">
        <v>10</v>
      </c>
      <c r="E250" s="103">
        <v>0</v>
      </c>
      <c r="F250" s="103">
        <v>0</v>
      </c>
      <c r="G250" s="103">
        <v>0</v>
      </c>
      <c r="H250" s="103">
        <v>0</v>
      </c>
      <c r="I250" s="103">
        <v>0</v>
      </c>
      <c r="J250" s="103">
        <v>0</v>
      </c>
      <c r="K250" s="103">
        <v>0</v>
      </c>
      <c r="L250" s="103">
        <v>0</v>
      </c>
      <c r="M250" s="103">
        <v>0</v>
      </c>
    </row>
    <row r="251" spans="1:13" x14ac:dyDescent="0.25">
      <c r="A251" s="325"/>
      <c r="B251" s="328"/>
      <c r="C251" s="21" t="s">
        <v>32</v>
      </c>
      <c r="D251" s="2" t="s">
        <v>19</v>
      </c>
      <c r="E251" s="102">
        <v>3.48</v>
      </c>
      <c r="F251" s="102">
        <v>3.48</v>
      </c>
      <c r="G251" s="102">
        <v>3.48</v>
      </c>
      <c r="H251" s="102">
        <v>3.48</v>
      </c>
      <c r="I251" s="102">
        <v>3.48</v>
      </c>
      <c r="J251" s="102">
        <v>3.48</v>
      </c>
      <c r="K251" s="102">
        <v>3.48</v>
      </c>
      <c r="L251" s="102">
        <v>3.48</v>
      </c>
      <c r="M251" s="102">
        <v>3.48</v>
      </c>
    </row>
    <row r="252" spans="1:13" x14ac:dyDescent="0.25">
      <c r="A252" s="325"/>
      <c r="B252" s="328"/>
      <c r="C252" s="21" t="s">
        <v>33</v>
      </c>
      <c r="D252" s="2" t="s">
        <v>14</v>
      </c>
      <c r="E252" s="102"/>
      <c r="F252" s="102"/>
      <c r="G252" s="102"/>
      <c r="H252" s="102"/>
      <c r="I252" s="102"/>
      <c r="J252" s="102"/>
      <c r="K252" s="102"/>
      <c r="L252" s="102"/>
      <c r="M252" s="102"/>
    </row>
    <row r="253" spans="1:13" x14ac:dyDescent="0.25">
      <c r="A253" s="325"/>
      <c r="B253" s="328"/>
      <c r="C253" s="21" t="s">
        <v>34</v>
      </c>
      <c r="D253" s="2" t="s">
        <v>4</v>
      </c>
      <c r="E253" s="102"/>
      <c r="F253" s="102"/>
      <c r="G253" s="102"/>
      <c r="H253" s="102"/>
      <c r="I253" s="102"/>
      <c r="J253" s="102"/>
      <c r="K253" s="102"/>
      <c r="L253" s="102"/>
      <c r="M253" s="102"/>
    </row>
    <row r="254" spans="1:13" x14ac:dyDescent="0.25">
      <c r="A254" s="325"/>
      <c r="B254" s="328"/>
      <c r="C254" s="21" t="s">
        <v>125</v>
      </c>
      <c r="D254" s="1" t="s">
        <v>19</v>
      </c>
      <c r="E254" s="106">
        <v>0.546875</v>
      </c>
      <c r="F254" s="106">
        <v>0.546875</v>
      </c>
      <c r="G254" s="106">
        <v>0.54687499999999989</v>
      </c>
      <c r="H254" s="106">
        <v>0.546875</v>
      </c>
      <c r="I254" s="106">
        <v>0.546875</v>
      </c>
      <c r="J254" s="106">
        <v>0.546875</v>
      </c>
      <c r="K254" s="106">
        <v>0.546875</v>
      </c>
      <c r="L254" s="106">
        <v>0.546875</v>
      </c>
      <c r="M254" s="106">
        <v>0.546875</v>
      </c>
    </row>
    <row r="255" spans="1:13" x14ac:dyDescent="0.25">
      <c r="A255" s="325"/>
      <c r="B255" s="328"/>
      <c r="C255" s="21" t="s">
        <v>126</v>
      </c>
      <c r="D255" s="1" t="s">
        <v>19</v>
      </c>
      <c r="E255" s="102">
        <v>0.64</v>
      </c>
      <c r="F255" s="102">
        <v>0.64</v>
      </c>
      <c r="G255" s="102">
        <v>0.64</v>
      </c>
      <c r="H255" s="102">
        <v>0.64</v>
      </c>
      <c r="I255" s="102">
        <v>0.64</v>
      </c>
      <c r="J255" s="102">
        <v>0.64</v>
      </c>
      <c r="K255" s="102">
        <v>0.64</v>
      </c>
      <c r="L255" s="102">
        <v>0.64</v>
      </c>
      <c r="M255" s="102">
        <v>0.64</v>
      </c>
    </row>
    <row r="256" spans="1:13" x14ac:dyDescent="0.25">
      <c r="A256" s="325"/>
      <c r="B256" s="328"/>
      <c r="C256" s="24" t="s">
        <v>127</v>
      </c>
      <c r="D256" s="1" t="s">
        <v>4</v>
      </c>
      <c r="E256" s="102">
        <v>20</v>
      </c>
      <c r="F256" s="102">
        <v>20</v>
      </c>
      <c r="G256" s="102">
        <v>20</v>
      </c>
      <c r="H256" s="102">
        <v>20</v>
      </c>
      <c r="I256" s="102">
        <v>20</v>
      </c>
      <c r="J256" s="102">
        <v>20</v>
      </c>
      <c r="K256" s="102">
        <v>20</v>
      </c>
      <c r="L256" s="102">
        <v>20</v>
      </c>
      <c r="M256" s="102">
        <v>20</v>
      </c>
    </row>
    <row r="257" spans="1:13" x14ac:dyDescent="0.25">
      <c r="A257" s="325"/>
      <c r="B257" s="328"/>
      <c r="C257" s="24" t="s">
        <v>128</v>
      </c>
      <c r="D257" s="1" t="s">
        <v>6</v>
      </c>
      <c r="E257" s="107">
        <v>845.66853062101131</v>
      </c>
      <c r="F257" s="107">
        <v>823.13136659302893</v>
      </c>
      <c r="G257" s="107">
        <v>763.03226251840942</v>
      </c>
      <c r="H257" s="107">
        <v>680.39599441580754</v>
      </c>
      <c r="I257" s="107">
        <v>567.71017427589595</v>
      </c>
      <c r="J257" s="107">
        <v>483.57142857142856</v>
      </c>
      <c r="K257" s="107">
        <v>483.57142857142856</v>
      </c>
      <c r="L257" s="107">
        <v>483.57142857142856</v>
      </c>
      <c r="M257" s="107">
        <v>483.57142857142856</v>
      </c>
    </row>
    <row r="258" spans="1:13" x14ac:dyDescent="0.25">
      <c r="A258" s="325"/>
      <c r="B258" s="328"/>
      <c r="C258" s="24" t="s">
        <v>179</v>
      </c>
      <c r="D258" s="1" t="s">
        <v>19</v>
      </c>
      <c r="E258" s="104">
        <v>0</v>
      </c>
      <c r="F258" s="104">
        <v>0</v>
      </c>
      <c r="G258" s="104">
        <v>0</v>
      </c>
      <c r="H258" s="104">
        <v>0</v>
      </c>
      <c r="I258" s="104">
        <v>0</v>
      </c>
      <c r="J258" s="104">
        <v>0</v>
      </c>
      <c r="K258" s="104">
        <v>0</v>
      </c>
      <c r="L258" s="104">
        <v>0</v>
      </c>
      <c r="M258" s="104">
        <v>0</v>
      </c>
    </row>
    <row r="259" spans="1:13" x14ac:dyDescent="0.25">
      <c r="A259" s="325"/>
      <c r="B259" s="328"/>
      <c r="C259" s="21" t="s">
        <v>129</v>
      </c>
      <c r="D259" s="1" t="s">
        <v>8</v>
      </c>
      <c r="E259" s="103">
        <v>49.290721649484539</v>
      </c>
      <c r="F259" s="103">
        <v>65.52783505154639</v>
      </c>
      <c r="G259" s="103">
        <v>108.82680412371134</v>
      </c>
      <c r="H259" s="103">
        <v>168.36288659793814</v>
      </c>
      <c r="I259" s="103">
        <v>249.54845360824743</v>
      </c>
      <c r="J259" s="103">
        <v>411.91958762886594</v>
      </c>
      <c r="K259" s="103">
        <v>574.29072164948457</v>
      </c>
      <c r="L259" s="103">
        <v>574.29072164948457</v>
      </c>
      <c r="M259" s="103">
        <v>574.29072164948457</v>
      </c>
    </row>
    <row r="260" spans="1:13" x14ac:dyDescent="0.25">
      <c r="A260" s="325"/>
      <c r="B260" s="328"/>
      <c r="C260" s="21" t="s">
        <v>130</v>
      </c>
      <c r="D260" s="1" t="s">
        <v>9</v>
      </c>
      <c r="E260" s="102"/>
      <c r="F260" s="102"/>
      <c r="G260" s="102"/>
      <c r="H260" s="102"/>
      <c r="I260" s="102"/>
      <c r="J260" s="102"/>
      <c r="K260" s="102"/>
      <c r="L260" s="102"/>
      <c r="M260" s="102"/>
    </row>
    <row r="261" spans="1:13" x14ac:dyDescent="0.25">
      <c r="A261" s="325"/>
      <c r="B261" s="328"/>
      <c r="C261" s="21" t="s">
        <v>131</v>
      </c>
      <c r="D261" s="1" t="s">
        <v>10</v>
      </c>
      <c r="E261" s="102"/>
      <c r="F261" s="102"/>
      <c r="G261" s="102"/>
      <c r="H261" s="102"/>
      <c r="I261" s="102"/>
      <c r="J261" s="102"/>
      <c r="K261" s="102"/>
      <c r="L261" s="102"/>
      <c r="M261" s="102"/>
    </row>
    <row r="262" spans="1:13" ht="18.75" x14ac:dyDescent="0.25">
      <c r="A262" s="326"/>
      <c r="B262" s="329"/>
      <c r="C262" s="53" t="s">
        <v>132</v>
      </c>
      <c r="D262" s="23" t="s">
        <v>17</v>
      </c>
      <c r="E262" s="102"/>
      <c r="F262" s="102"/>
      <c r="G262" s="102"/>
      <c r="H262" s="102"/>
      <c r="I262" s="102"/>
      <c r="J262" s="102"/>
      <c r="K262" s="102"/>
      <c r="L262" s="102"/>
      <c r="M262" s="102"/>
    </row>
    <row r="263" spans="1:13" x14ac:dyDescent="0.25">
      <c r="A263" s="306">
        <v>16</v>
      </c>
      <c r="B263" s="323" t="s">
        <v>156</v>
      </c>
      <c r="C263" s="21" t="s">
        <v>101</v>
      </c>
      <c r="D263" s="1" t="s">
        <v>4</v>
      </c>
      <c r="E263" s="102">
        <v>40</v>
      </c>
      <c r="F263" s="102">
        <v>40</v>
      </c>
      <c r="G263" s="102">
        <v>40</v>
      </c>
      <c r="H263" s="102">
        <v>40</v>
      </c>
      <c r="I263" s="102">
        <v>40</v>
      </c>
      <c r="J263" s="102">
        <v>40</v>
      </c>
      <c r="K263" s="102">
        <v>40</v>
      </c>
      <c r="L263" s="102">
        <v>40</v>
      </c>
      <c r="M263" s="102">
        <v>40</v>
      </c>
    </row>
    <row r="264" spans="1:13" x14ac:dyDescent="0.25">
      <c r="A264" s="306"/>
      <c r="B264" s="323"/>
      <c r="C264" s="21" t="s">
        <v>5</v>
      </c>
      <c r="D264" s="1" t="s">
        <v>6</v>
      </c>
      <c r="E264" s="103">
        <v>300</v>
      </c>
      <c r="F264" s="103">
        <v>183.33333333333334</v>
      </c>
      <c r="G264" s="103">
        <v>100</v>
      </c>
      <c r="H264" s="103">
        <v>76</v>
      </c>
      <c r="I264" s="103">
        <v>60</v>
      </c>
      <c r="J264" s="103">
        <v>42.857142857142854</v>
      </c>
      <c r="K264" s="103">
        <v>27.058823529411764</v>
      </c>
      <c r="L264" s="103">
        <v>18.421052631578949</v>
      </c>
      <c r="M264" s="103">
        <v>13.75</v>
      </c>
    </row>
    <row r="265" spans="1:13" x14ac:dyDescent="0.25">
      <c r="A265" s="306"/>
      <c r="B265" s="323"/>
      <c r="C265" s="21" t="s">
        <v>172</v>
      </c>
      <c r="D265" s="1" t="s">
        <v>19</v>
      </c>
      <c r="E265" s="104">
        <v>0</v>
      </c>
      <c r="F265" s="104">
        <v>0</v>
      </c>
      <c r="G265" s="104">
        <v>0</v>
      </c>
      <c r="H265" s="104">
        <v>0</v>
      </c>
      <c r="I265" s="104">
        <v>0</v>
      </c>
      <c r="J265" s="104">
        <v>0</v>
      </c>
      <c r="K265" s="104">
        <v>0</v>
      </c>
      <c r="L265" s="104">
        <v>0</v>
      </c>
      <c r="M265" s="104">
        <v>0</v>
      </c>
    </row>
    <row r="266" spans="1:13" x14ac:dyDescent="0.25">
      <c r="A266" s="306"/>
      <c r="B266" s="323"/>
      <c r="C266" s="21" t="s">
        <v>102</v>
      </c>
      <c r="D266" s="1" t="s">
        <v>8</v>
      </c>
      <c r="E266" s="103">
        <v>0</v>
      </c>
      <c r="F266" s="103">
        <v>0</v>
      </c>
      <c r="G266" s="103">
        <v>0</v>
      </c>
      <c r="H266" s="103">
        <v>0</v>
      </c>
      <c r="I266" s="103">
        <v>0</v>
      </c>
      <c r="J266" s="103">
        <v>0</v>
      </c>
      <c r="K266" s="103">
        <v>0</v>
      </c>
      <c r="L266" s="103">
        <v>0</v>
      </c>
      <c r="M266" s="103">
        <v>0</v>
      </c>
    </row>
    <row r="267" spans="1:13" x14ac:dyDescent="0.25">
      <c r="A267" s="306"/>
      <c r="B267" s="323"/>
      <c r="C267" s="21" t="s">
        <v>103</v>
      </c>
      <c r="D267" s="1" t="s">
        <v>9</v>
      </c>
      <c r="E267" s="102"/>
      <c r="F267" s="102"/>
      <c r="G267" s="102"/>
      <c r="H267" s="102"/>
      <c r="I267" s="102"/>
      <c r="J267" s="102"/>
      <c r="K267" s="102"/>
      <c r="L267" s="102"/>
      <c r="M267" s="102"/>
    </row>
    <row r="268" spans="1:13" x14ac:dyDescent="0.25">
      <c r="A268" s="306"/>
      <c r="B268" s="323"/>
      <c r="C268" s="21" t="s">
        <v>104</v>
      </c>
      <c r="D268" s="1" t="s">
        <v>10</v>
      </c>
      <c r="E268" s="102"/>
      <c r="F268" s="102"/>
      <c r="G268" s="102"/>
      <c r="H268" s="102"/>
      <c r="I268" s="102"/>
      <c r="J268" s="102"/>
      <c r="K268" s="102"/>
      <c r="L268" s="102"/>
      <c r="M268" s="102"/>
    </row>
    <row r="269" spans="1:13" x14ac:dyDescent="0.25">
      <c r="A269" s="306"/>
      <c r="B269" s="323"/>
      <c r="C269" s="22" t="s">
        <v>11</v>
      </c>
      <c r="D269" s="23" t="s">
        <v>10</v>
      </c>
      <c r="E269" s="102"/>
      <c r="F269" s="102"/>
      <c r="G269" s="102"/>
      <c r="H269" s="102"/>
      <c r="I269" s="102"/>
      <c r="J269" s="102"/>
      <c r="K269" s="102"/>
      <c r="L269" s="102"/>
      <c r="M269" s="102"/>
    </row>
    <row r="270" spans="1:13" x14ac:dyDescent="0.25">
      <c r="A270" s="306"/>
      <c r="B270" s="323"/>
      <c r="C270" s="21" t="s">
        <v>12</v>
      </c>
      <c r="D270" s="1" t="s">
        <v>7</v>
      </c>
      <c r="E270" s="104">
        <v>1</v>
      </c>
      <c r="F270" s="104">
        <v>1</v>
      </c>
      <c r="G270" s="104">
        <v>1</v>
      </c>
      <c r="H270" s="104">
        <v>1</v>
      </c>
      <c r="I270" s="104">
        <v>1</v>
      </c>
      <c r="J270" s="104">
        <v>1</v>
      </c>
      <c r="K270" s="104">
        <v>1</v>
      </c>
      <c r="L270" s="104">
        <v>1</v>
      </c>
      <c r="M270" s="104">
        <v>1</v>
      </c>
    </row>
    <row r="271" spans="1:13" x14ac:dyDescent="0.25">
      <c r="A271" s="306"/>
      <c r="B271" s="323"/>
      <c r="C271" s="21" t="s">
        <v>13</v>
      </c>
      <c r="D271" s="1" t="s">
        <v>14</v>
      </c>
      <c r="E271" s="103">
        <v>31017</v>
      </c>
      <c r="F271" s="103">
        <v>31902</v>
      </c>
      <c r="G271" s="103">
        <v>34262</v>
      </c>
      <c r="H271" s="103">
        <v>37507</v>
      </c>
      <c r="I271" s="103">
        <v>41932</v>
      </c>
      <c r="J271" s="103">
        <v>50782</v>
      </c>
      <c r="K271" s="103">
        <v>80282</v>
      </c>
      <c r="L271" s="103">
        <v>151952</v>
      </c>
      <c r="M271" s="103">
        <v>292470.28399999999</v>
      </c>
    </row>
    <row r="272" spans="1:13" x14ac:dyDescent="0.25">
      <c r="A272" s="306"/>
      <c r="B272" s="323"/>
      <c r="C272" s="21" t="s">
        <v>15</v>
      </c>
      <c r="D272" s="1" t="s">
        <v>4</v>
      </c>
      <c r="E272" s="102">
        <v>40</v>
      </c>
      <c r="F272" s="102">
        <v>40</v>
      </c>
      <c r="G272" s="102">
        <v>40</v>
      </c>
      <c r="H272" s="102">
        <v>40</v>
      </c>
      <c r="I272" s="102">
        <v>40</v>
      </c>
      <c r="J272" s="102">
        <v>40</v>
      </c>
      <c r="K272" s="102">
        <v>40</v>
      </c>
      <c r="L272" s="102">
        <v>40</v>
      </c>
      <c r="M272" s="102">
        <v>40</v>
      </c>
    </row>
    <row r="273" spans="1:13" x14ac:dyDescent="0.25">
      <c r="A273" s="306">
        <v>17</v>
      </c>
      <c r="B273" s="323" t="s">
        <v>157</v>
      </c>
      <c r="C273" s="21" t="s">
        <v>101</v>
      </c>
      <c r="D273" s="1" t="s">
        <v>4</v>
      </c>
      <c r="E273" s="102">
        <v>40</v>
      </c>
      <c r="F273" s="102">
        <v>40</v>
      </c>
      <c r="G273" s="102">
        <v>40</v>
      </c>
      <c r="H273" s="102">
        <v>40</v>
      </c>
      <c r="I273" s="102">
        <v>40</v>
      </c>
      <c r="J273" s="102">
        <v>40</v>
      </c>
      <c r="K273" s="102">
        <v>40</v>
      </c>
      <c r="L273" s="102">
        <v>40</v>
      </c>
      <c r="M273" s="102">
        <v>40</v>
      </c>
    </row>
    <row r="274" spans="1:13" x14ac:dyDescent="0.25">
      <c r="A274" s="306"/>
      <c r="B274" s="323"/>
      <c r="C274" s="21" t="s">
        <v>5</v>
      </c>
      <c r="D274" s="1" t="s">
        <v>6</v>
      </c>
      <c r="E274" s="102"/>
      <c r="F274" s="102"/>
      <c r="G274" s="102"/>
      <c r="H274" s="102"/>
      <c r="I274" s="102"/>
      <c r="J274" s="102"/>
      <c r="K274" s="102"/>
      <c r="L274" s="102"/>
      <c r="M274" s="102"/>
    </row>
    <row r="275" spans="1:13" x14ac:dyDescent="0.25">
      <c r="A275" s="306"/>
      <c r="B275" s="323"/>
      <c r="C275" s="21" t="s">
        <v>172</v>
      </c>
      <c r="D275" s="1" t="s">
        <v>19</v>
      </c>
      <c r="E275" s="104">
        <v>0</v>
      </c>
      <c r="F275" s="104">
        <v>0</v>
      </c>
      <c r="G275" s="104">
        <v>0</v>
      </c>
      <c r="H275" s="104">
        <v>0</v>
      </c>
      <c r="I275" s="104">
        <v>0</v>
      </c>
      <c r="J275" s="104">
        <v>0</v>
      </c>
      <c r="K275" s="104">
        <v>0</v>
      </c>
      <c r="L275" s="104">
        <v>0</v>
      </c>
      <c r="M275" s="104">
        <v>0</v>
      </c>
    </row>
    <row r="276" spans="1:13" x14ac:dyDescent="0.25">
      <c r="A276" s="306"/>
      <c r="B276" s="323"/>
      <c r="C276" s="21" t="s">
        <v>102</v>
      </c>
      <c r="D276" s="1" t="s">
        <v>8</v>
      </c>
      <c r="E276" s="103">
        <v>0</v>
      </c>
      <c r="F276" s="103">
        <v>0</v>
      </c>
      <c r="G276" s="103">
        <v>0</v>
      </c>
      <c r="H276" s="103">
        <v>0</v>
      </c>
      <c r="I276" s="103">
        <v>0</v>
      </c>
      <c r="J276" s="103">
        <v>0</v>
      </c>
      <c r="K276" s="103">
        <v>0</v>
      </c>
      <c r="L276" s="103">
        <v>0</v>
      </c>
      <c r="M276" s="103">
        <v>0</v>
      </c>
    </row>
    <row r="277" spans="1:13" x14ac:dyDescent="0.25">
      <c r="A277" s="306"/>
      <c r="B277" s="323"/>
      <c r="C277" s="21" t="s">
        <v>103</v>
      </c>
      <c r="D277" s="1" t="s">
        <v>9</v>
      </c>
      <c r="E277" s="102"/>
      <c r="F277" s="102"/>
      <c r="G277" s="102"/>
      <c r="H277" s="102"/>
      <c r="I277" s="102"/>
      <c r="J277" s="102"/>
      <c r="K277" s="102"/>
      <c r="L277" s="102"/>
      <c r="M277" s="102"/>
    </row>
    <row r="278" spans="1:13" x14ac:dyDescent="0.25">
      <c r="A278" s="306"/>
      <c r="B278" s="323"/>
      <c r="C278" s="21" t="s">
        <v>104</v>
      </c>
      <c r="D278" s="1" t="s">
        <v>10</v>
      </c>
      <c r="E278" s="102"/>
      <c r="F278" s="102"/>
      <c r="G278" s="102"/>
      <c r="H278" s="102"/>
      <c r="I278" s="102"/>
      <c r="J278" s="102"/>
      <c r="K278" s="102"/>
      <c r="L278" s="102"/>
      <c r="M278" s="102"/>
    </row>
    <row r="279" spans="1:13" x14ac:dyDescent="0.25">
      <c r="A279" s="306"/>
      <c r="B279" s="323"/>
      <c r="C279" s="22" t="s">
        <v>11</v>
      </c>
      <c r="D279" s="23" t="s">
        <v>10</v>
      </c>
      <c r="E279" s="102"/>
      <c r="F279" s="102"/>
      <c r="G279" s="102"/>
      <c r="H279" s="102"/>
      <c r="I279" s="102"/>
      <c r="J279" s="102"/>
      <c r="K279" s="102"/>
      <c r="L279" s="102"/>
      <c r="M279" s="102"/>
    </row>
    <row r="280" spans="1:13" x14ac:dyDescent="0.25">
      <c r="A280" s="306"/>
      <c r="B280" s="323"/>
      <c r="C280" s="21" t="s">
        <v>12</v>
      </c>
      <c r="D280" s="1" t="s">
        <v>7</v>
      </c>
      <c r="E280" s="104">
        <v>1</v>
      </c>
      <c r="F280" s="104">
        <v>1</v>
      </c>
      <c r="G280" s="104">
        <v>1</v>
      </c>
      <c r="H280" s="104">
        <v>1</v>
      </c>
      <c r="I280" s="104">
        <v>1</v>
      </c>
      <c r="J280" s="104">
        <v>1</v>
      </c>
      <c r="K280" s="104">
        <v>1</v>
      </c>
      <c r="L280" s="104">
        <v>1</v>
      </c>
      <c r="M280" s="104">
        <v>1</v>
      </c>
    </row>
    <row r="281" spans="1:13" x14ac:dyDescent="0.25">
      <c r="A281" s="306"/>
      <c r="B281" s="323"/>
      <c r="C281" s="21" t="s">
        <v>13</v>
      </c>
      <c r="D281" s="1" t="s">
        <v>14</v>
      </c>
      <c r="E281" s="103">
        <v>92256.599999999991</v>
      </c>
      <c r="F281" s="103">
        <v>92691.599999999991</v>
      </c>
      <c r="G281" s="103">
        <v>93851.599999999991</v>
      </c>
      <c r="H281" s="103">
        <v>95446.599999999991</v>
      </c>
      <c r="I281" s="103">
        <v>97621.599999999991</v>
      </c>
      <c r="J281" s="103">
        <v>101971.59999999999</v>
      </c>
      <c r="K281" s="103">
        <v>116471.59999999999</v>
      </c>
      <c r="L281" s="103">
        <v>146921.59999999998</v>
      </c>
      <c r="M281" s="103">
        <v>207821.59999999998</v>
      </c>
    </row>
    <row r="282" spans="1:13" x14ac:dyDescent="0.25">
      <c r="A282" s="306"/>
      <c r="B282" s="323"/>
      <c r="C282" s="21" t="s">
        <v>15</v>
      </c>
      <c r="D282" s="1" t="s">
        <v>4</v>
      </c>
      <c r="E282" s="103">
        <v>40</v>
      </c>
      <c r="F282" s="103">
        <v>40</v>
      </c>
      <c r="G282" s="103">
        <v>40</v>
      </c>
      <c r="H282" s="103">
        <v>40</v>
      </c>
      <c r="I282" s="103">
        <v>40</v>
      </c>
      <c r="J282" s="103">
        <v>40</v>
      </c>
      <c r="K282" s="103">
        <v>40</v>
      </c>
      <c r="L282" s="103">
        <v>40</v>
      </c>
      <c r="M282" s="103">
        <v>40</v>
      </c>
    </row>
  </sheetData>
  <sheetProtection algorithmName="SHA-512" hashValue="M/IC/V3Zxl+1l16dCj2Tn4YQsKJX8Tg99OPqpYjJ3mJfrdGQRUQECuNakS1A293/NeoTgR1WGmo0CP7aVDuwbA==" saltValue="Non1G43ZLAu7YL3VrdNVww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988FD-3C3C-456A-860C-306D915972EE}">
  <sheetPr codeName="Tabelle23"/>
  <dimension ref="A1:BF284"/>
  <sheetViews>
    <sheetView workbookViewId="0">
      <selection activeCell="A2" sqref="A2"/>
    </sheetView>
  </sheetViews>
  <sheetFormatPr baseColWidth="10" defaultRowHeight="15" x14ac:dyDescent="0.25"/>
  <cols>
    <col min="1" max="1" width="17.85546875" customWidth="1"/>
    <col min="2" max="2" width="43" customWidth="1"/>
    <col min="3" max="3" width="12.7109375" customWidth="1"/>
    <col min="4" max="11" width="8.5703125" customWidth="1"/>
    <col min="12" max="12" width="9.5703125" customWidth="1"/>
    <col min="13" max="20" width="8.5703125" customWidth="1"/>
    <col min="21" max="21" width="9.5703125" customWidth="1"/>
    <col min="22" max="26" width="8.5703125" customWidth="1"/>
    <col min="27" max="30" width="9.5703125" customWidth="1"/>
    <col min="31" max="35" width="8.5703125" customWidth="1"/>
    <col min="36" max="39" width="9.5703125" customWidth="1"/>
    <col min="40" max="44" width="8.5703125" customWidth="1"/>
    <col min="45" max="48" width="9.5703125" customWidth="1"/>
    <col min="49" max="53" width="8.5703125" customWidth="1"/>
    <col min="54" max="57" width="9.5703125" customWidth="1"/>
    <col min="58" max="58" width="11.42578125" customWidth="1"/>
  </cols>
  <sheetData>
    <row r="1" spans="1:58" s="30" customFormat="1" ht="15.75" thickBot="1" x14ac:dyDescent="0.3">
      <c r="A1" s="372"/>
      <c r="B1" s="372"/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S1" s="372"/>
      <c r="T1" s="372"/>
      <c r="U1" s="372"/>
      <c r="V1" s="372"/>
      <c r="W1" s="372"/>
      <c r="X1" s="372"/>
      <c r="Y1" s="372"/>
      <c r="Z1" s="372"/>
      <c r="AA1" s="372"/>
      <c r="AB1" s="372"/>
      <c r="AC1" s="372"/>
      <c r="AD1" s="372"/>
      <c r="AE1" s="372"/>
      <c r="AF1" s="372"/>
      <c r="AG1" s="372"/>
      <c r="AH1" s="372"/>
      <c r="AI1" s="372"/>
      <c r="AJ1" s="372"/>
      <c r="AK1" s="372"/>
      <c r="AL1" s="372"/>
      <c r="AM1" s="372"/>
      <c r="AN1" s="372"/>
      <c r="AO1" s="372"/>
      <c r="AP1" s="372"/>
      <c r="AQ1" s="372"/>
      <c r="AR1" s="372"/>
      <c r="AS1" s="372"/>
      <c r="AT1" s="372"/>
      <c r="AU1" s="372"/>
      <c r="AV1" s="372"/>
      <c r="AW1" s="372"/>
      <c r="AX1" s="372"/>
      <c r="AY1" s="372"/>
      <c r="AZ1" s="372"/>
      <c r="BA1" s="372"/>
      <c r="BB1" s="372"/>
      <c r="BC1" s="372"/>
      <c r="BD1" s="372"/>
      <c r="BE1" s="372"/>
    </row>
    <row r="2" spans="1:58" s="30" customFormat="1" ht="15.75" thickBot="1" x14ac:dyDescent="0.3">
      <c r="A2" s="372"/>
      <c r="B2" s="372"/>
      <c r="C2" s="372"/>
      <c r="D2" s="373">
        <v>2023</v>
      </c>
      <c r="E2" s="374"/>
      <c r="F2" s="374"/>
      <c r="G2" s="374"/>
      <c r="H2" s="374"/>
      <c r="I2" s="374"/>
      <c r="J2" s="374"/>
      <c r="K2" s="374"/>
      <c r="L2" s="375"/>
      <c r="M2" s="373">
        <f>D2+5</f>
        <v>2028</v>
      </c>
      <c r="N2" s="374"/>
      <c r="O2" s="374"/>
      <c r="P2" s="374"/>
      <c r="Q2" s="374"/>
      <c r="R2" s="374"/>
      <c r="S2" s="374"/>
      <c r="T2" s="374"/>
      <c r="U2" s="375"/>
      <c r="V2" s="373">
        <f t="shared" ref="V2" si="0">M2+5</f>
        <v>2033</v>
      </c>
      <c r="W2" s="374"/>
      <c r="X2" s="374"/>
      <c r="Y2" s="374"/>
      <c r="Z2" s="374"/>
      <c r="AA2" s="374"/>
      <c r="AB2" s="374"/>
      <c r="AC2" s="374"/>
      <c r="AD2" s="375"/>
      <c r="AE2" s="373">
        <f t="shared" ref="AE2" si="1">V2+5</f>
        <v>2038</v>
      </c>
      <c r="AF2" s="374"/>
      <c r="AG2" s="374"/>
      <c r="AH2" s="374"/>
      <c r="AI2" s="374"/>
      <c r="AJ2" s="374"/>
      <c r="AK2" s="374"/>
      <c r="AL2" s="374"/>
      <c r="AM2" s="375"/>
      <c r="AN2" s="373">
        <f t="shared" ref="AN2" si="2">AE2+5</f>
        <v>2043</v>
      </c>
      <c r="AO2" s="374"/>
      <c r="AP2" s="374"/>
      <c r="AQ2" s="374"/>
      <c r="AR2" s="374"/>
      <c r="AS2" s="374"/>
      <c r="AT2" s="374"/>
      <c r="AU2" s="374"/>
      <c r="AV2" s="375"/>
      <c r="AW2" s="373">
        <f t="shared" ref="AW2" si="3">AN2+5</f>
        <v>2048</v>
      </c>
      <c r="AX2" s="374"/>
      <c r="AY2" s="374"/>
      <c r="AZ2" s="374"/>
      <c r="BA2" s="374"/>
      <c r="BB2" s="374"/>
      <c r="BC2" s="374"/>
      <c r="BD2" s="374"/>
      <c r="BE2" s="375"/>
    </row>
    <row r="3" spans="1:58" ht="15.75" thickBot="1" x14ac:dyDescent="0.3">
      <c r="A3" s="188" t="s">
        <v>0</v>
      </c>
      <c r="B3" s="189" t="s">
        <v>1</v>
      </c>
      <c r="C3" s="189" t="s">
        <v>2</v>
      </c>
      <c r="D3" s="190">
        <v>15</v>
      </c>
      <c r="E3" s="191">
        <v>30</v>
      </c>
      <c r="F3" s="191">
        <v>70</v>
      </c>
      <c r="G3" s="191">
        <v>125</v>
      </c>
      <c r="H3" s="191">
        <v>200</v>
      </c>
      <c r="I3" s="191">
        <v>350</v>
      </c>
      <c r="J3" s="191">
        <v>850</v>
      </c>
      <c r="K3" s="191">
        <v>1900</v>
      </c>
      <c r="L3" s="192">
        <v>4000</v>
      </c>
      <c r="M3" s="190">
        <v>15</v>
      </c>
      <c r="N3" s="191">
        <v>30</v>
      </c>
      <c r="O3" s="191">
        <v>70</v>
      </c>
      <c r="P3" s="191">
        <v>125</v>
      </c>
      <c r="Q3" s="191">
        <v>200</v>
      </c>
      <c r="R3" s="191">
        <v>350</v>
      </c>
      <c r="S3" s="191">
        <v>850</v>
      </c>
      <c r="T3" s="191">
        <v>1900</v>
      </c>
      <c r="U3" s="192">
        <v>4000</v>
      </c>
      <c r="V3" s="190">
        <v>15</v>
      </c>
      <c r="W3" s="191">
        <v>30</v>
      </c>
      <c r="X3" s="191">
        <v>70</v>
      </c>
      <c r="Y3" s="191">
        <v>125</v>
      </c>
      <c r="Z3" s="191">
        <v>200</v>
      </c>
      <c r="AA3" s="191">
        <v>350</v>
      </c>
      <c r="AB3" s="191">
        <v>850</v>
      </c>
      <c r="AC3" s="191">
        <v>1900</v>
      </c>
      <c r="AD3" s="192">
        <v>4000</v>
      </c>
      <c r="AE3" s="190">
        <v>15</v>
      </c>
      <c r="AF3" s="191">
        <v>30</v>
      </c>
      <c r="AG3" s="191">
        <v>70</v>
      </c>
      <c r="AH3" s="191">
        <v>125</v>
      </c>
      <c r="AI3" s="191">
        <v>200</v>
      </c>
      <c r="AJ3" s="191">
        <v>350</v>
      </c>
      <c r="AK3" s="191">
        <v>850</v>
      </c>
      <c r="AL3" s="191">
        <v>1900</v>
      </c>
      <c r="AM3" s="192">
        <v>4000</v>
      </c>
      <c r="AN3" s="190">
        <v>15</v>
      </c>
      <c r="AO3" s="191">
        <v>30</v>
      </c>
      <c r="AP3" s="191">
        <v>70</v>
      </c>
      <c r="AQ3" s="191">
        <v>125</v>
      </c>
      <c r="AR3" s="191">
        <v>200</v>
      </c>
      <c r="AS3" s="191">
        <v>350</v>
      </c>
      <c r="AT3" s="191">
        <v>850</v>
      </c>
      <c r="AU3" s="191">
        <v>1900</v>
      </c>
      <c r="AV3" s="192">
        <v>4000</v>
      </c>
      <c r="AW3" s="190">
        <v>15</v>
      </c>
      <c r="AX3" s="191">
        <v>30</v>
      </c>
      <c r="AY3" s="191">
        <v>70</v>
      </c>
      <c r="AZ3" s="191">
        <v>125</v>
      </c>
      <c r="BA3" s="191">
        <v>200</v>
      </c>
      <c r="BB3" s="191">
        <v>350</v>
      </c>
      <c r="BC3" s="191">
        <v>850</v>
      </c>
      <c r="BD3" s="191">
        <v>1900</v>
      </c>
      <c r="BE3" s="192">
        <v>4000</v>
      </c>
    </row>
    <row r="4" spans="1:58" x14ac:dyDescent="0.25">
      <c r="A4" s="339" t="s">
        <v>3</v>
      </c>
      <c r="B4" s="340" t="s">
        <v>101</v>
      </c>
      <c r="C4" s="340" t="s">
        <v>4</v>
      </c>
      <c r="D4" s="341">
        <v>20</v>
      </c>
      <c r="E4" s="342">
        <v>20</v>
      </c>
      <c r="F4" s="342">
        <v>20</v>
      </c>
      <c r="G4" s="342">
        <v>20</v>
      </c>
      <c r="H4" s="342">
        <v>20</v>
      </c>
      <c r="I4" s="342">
        <v>20</v>
      </c>
      <c r="J4" s="342">
        <v>20</v>
      </c>
      <c r="K4" s="342">
        <v>20</v>
      </c>
      <c r="L4" s="343">
        <v>20</v>
      </c>
      <c r="M4" s="341">
        <v>20</v>
      </c>
      <c r="N4" s="342">
        <v>20</v>
      </c>
      <c r="O4" s="342">
        <v>20</v>
      </c>
      <c r="P4" s="342">
        <v>20</v>
      </c>
      <c r="Q4" s="342">
        <v>20</v>
      </c>
      <c r="R4" s="342">
        <v>20</v>
      </c>
      <c r="S4" s="342">
        <v>20</v>
      </c>
      <c r="T4" s="342">
        <v>20</v>
      </c>
      <c r="U4" s="343">
        <v>20</v>
      </c>
      <c r="V4" s="341">
        <v>20</v>
      </c>
      <c r="W4" s="342">
        <v>20</v>
      </c>
      <c r="X4" s="342">
        <v>20</v>
      </c>
      <c r="Y4" s="342">
        <v>20</v>
      </c>
      <c r="Z4" s="342">
        <v>20</v>
      </c>
      <c r="AA4" s="342">
        <v>20</v>
      </c>
      <c r="AB4" s="342">
        <v>20</v>
      </c>
      <c r="AC4" s="342">
        <v>20</v>
      </c>
      <c r="AD4" s="343">
        <v>20</v>
      </c>
      <c r="AE4" s="344">
        <v>20</v>
      </c>
      <c r="AF4" s="345">
        <v>20</v>
      </c>
      <c r="AG4" s="345">
        <v>20</v>
      </c>
      <c r="AH4" s="345">
        <v>20</v>
      </c>
      <c r="AI4" s="345">
        <v>20</v>
      </c>
      <c r="AJ4" s="345">
        <v>20</v>
      </c>
      <c r="AK4" s="345">
        <v>20</v>
      </c>
      <c r="AL4" s="345">
        <v>20</v>
      </c>
      <c r="AM4" s="346">
        <v>20</v>
      </c>
      <c r="AN4" s="344">
        <v>20</v>
      </c>
      <c r="AO4" s="345">
        <v>20</v>
      </c>
      <c r="AP4" s="345">
        <v>20</v>
      </c>
      <c r="AQ4" s="345">
        <v>20</v>
      </c>
      <c r="AR4" s="345">
        <v>20</v>
      </c>
      <c r="AS4" s="345">
        <v>20</v>
      </c>
      <c r="AT4" s="345">
        <v>20</v>
      </c>
      <c r="AU4" s="345">
        <v>20</v>
      </c>
      <c r="AV4" s="346">
        <v>20</v>
      </c>
      <c r="AW4" s="344">
        <v>20</v>
      </c>
      <c r="AX4" s="345">
        <v>20</v>
      </c>
      <c r="AY4" s="345">
        <v>20</v>
      </c>
      <c r="AZ4" s="345">
        <v>20</v>
      </c>
      <c r="BA4" s="345">
        <v>20</v>
      </c>
      <c r="BB4" s="345">
        <v>20</v>
      </c>
      <c r="BC4" s="345">
        <v>20</v>
      </c>
      <c r="BD4" s="345">
        <v>20</v>
      </c>
      <c r="BE4" s="346">
        <v>20</v>
      </c>
    </row>
    <row r="5" spans="1:58" x14ac:dyDescent="0.25">
      <c r="A5" s="330"/>
      <c r="B5" s="193" t="s">
        <v>5</v>
      </c>
      <c r="C5" s="193" t="s">
        <v>6</v>
      </c>
      <c r="D5" s="196">
        <v>218.34121214018199</v>
      </c>
      <c r="E5" s="197">
        <v>184.87398682120613</v>
      </c>
      <c r="F5" s="197">
        <v>143.96390422813076</v>
      </c>
      <c r="G5" s="197">
        <v>115.96852782183296</v>
      </c>
      <c r="H5" s="197">
        <v>107.31263157894738</v>
      </c>
      <c r="I5" s="197">
        <v>107.00631578947369</v>
      </c>
      <c r="J5" s="197">
        <v>105.98526315789475</v>
      </c>
      <c r="K5" s="197">
        <v>103.84105263157896</v>
      </c>
      <c r="L5" s="198">
        <v>99.55263157894737</v>
      </c>
      <c r="M5" s="196">
        <v>212.90273464055423</v>
      </c>
      <c r="N5" s="197">
        <v>180.29847756137553</v>
      </c>
      <c r="O5" s="197">
        <v>140.44328080448224</v>
      </c>
      <c r="P5" s="197">
        <v>113.16977842477434</v>
      </c>
      <c r="Q5" s="197">
        <v>107.31263157894738</v>
      </c>
      <c r="R5" s="197">
        <v>107.00631578947369</v>
      </c>
      <c r="S5" s="197">
        <v>105.98526315789475</v>
      </c>
      <c r="T5" s="197">
        <v>103.84105263157896</v>
      </c>
      <c r="U5" s="198">
        <v>99.55263157894737</v>
      </c>
      <c r="V5" s="196">
        <v>207.70052243006694</v>
      </c>
      <c r="W5" s="197">
        <v>175.92180364293515</v>
      </c>
      <c r="X5" s="197">
        <v>137.07573863776301</v>
      </c>
      <c r="Y5" s="197">
        <v>110.49280008590137</v>
      </c>
      <c r="Z5" s="197">
        <v>107.31263157894738</v>
      </c>
      <c r="AA5" s="197">
        <v>107.00631578947369</v>
      </c>
      <c r="AB5" s="197">
        <v>105.98526315789475</v>
      </c>
      <c r="AC5" s="197">
        <v>103.84105263157896</v>
      </c>
      <c r="AD5" s="198">
        <v>99.55263157894737</v>
      </c>
      <c r="AE5" s="202">
        <v>202.65582041234001</v>
      </c>
      <c r="AF5" s="203">
        <v>171.6776866187549</v>
      </c>
      <c r="AG5" s="203">
        <v>133.81025064233</v>
      </c>
      <c r="AH5" s="203">
        <v>107.89700245248551</v>
      </c>
      <c r="AI5" s="203">
        <v>107.31263157894738</v>
      </c>
      <c r="AJ5" s="203">
        <v>107.00631578947369</v>
      </c>
      <c r="AK5" s="203">
        <v>105.98526315789475</v>
      </c>
      <c r="AL5" s="203">
        <v>103.84105263157896</v>
      </c>
      <c r="AM5" s="204">
        <v>99.55263157894737</v>
      </c>
      <c r="AN5" s="202">
        <v>197.6111183946131</v>
      </c>
      <c r="AO5" s="203">
        <v>167.43356959457475</v>
      </c>
      <c r="AP5" s="203">
        <v>130.54476264689706</v>
      </c>
      <c r="AQ5" s="203">
        <v>105.30120481906971</v>
      </c>
      <c r="AR5" s="203">
        <v>107.31263157894738</v>
      </c>
      <c r="AS5" s="203">
        <v>107.00631578947369</v>
      </c>
      <c r="AT5" s="203">
        <v>105.98526315789475</v>
      </c>
      <c r="AU5" s="203">
        <v>103.84105263157896</v>
      </c>
      <c r="AV5" s="204">
        <v>99.55263157894737</v>
      </c>
      <c r="AW5" s="202">
        <v>192.56641637688614</v>
      </c>
      <c r="AX5" s="203">
        <v>163.18945257039451</v>
      </c>
      <c r="AY5" s="203">
        <v>127.27927465146402</v>
      </c>
      <c r="AZ5" s="203">
        <v>102.70540718565383</v>
      </c>
      <c r="BA5" s="203">
        <v>107.31263157894738</v>
      </c>
      <c r="BB5" s="203">
        <v>107.00631578947369</v>
      </c>
      <c r="BC5" s="203">
        <v>105.98526315789475</v>
      </c>
      <c r="BD5" s="203">
        <v>103.84105263157896</v>
      </c>
      <c r="BE5" s="204">
        <v>99.55263157894737</v>
      </c>
    </row>
    <row r="6" spans="1:58" x14ac:dyDescent="0.25">
      <c r="A6" s="330"/>
      <c r="B6" s="193" t="s">
        <v>172</v>
      </c>
      <c r="C6" s="193" t="s">
        <v>19</v>
      </c>
      <c r="D6" s="196">
        <v>0</v>
      </c>
      <c r="E6" s="197">
        <v>0</v>
      </c>
      <c r="F6" s="197">
        <v>0</v>
      </c>
      <c r="G6" s="197">
        <v>0</v>
      </c>
      <c r="H6" s="197">
        <v>0</v>
      </c>
      <c r="I6" s="197">
        <v>0</v>
      </c>
      <c r="J6" s="197">
        <v>0</v>
      </c>
      <c r="K6" s="197">
        <v>0</v>
      </c>
      <c r="L6" s="198">
        <v>0</v>
      </c>
      <c r="M6" s="196">
        <v>0</v>
      </c>
      <c r="N6" s="197">
        <v>0</v>
      </c>
      <c r="O6" s="197">
        <v>0</v>
      </c>
      <c r="P6" s="197">
        <v>0</v>
      </c>
      <c r="Q6" s="197">
        <v>0</v>
      </c>
      <c r="R6" s="197">
        <v>0</v>
      </c>
      <c r="S6" s="197">
        <v>0</v>
      </c>
      <c r="T6" s="197">
        <v>0</v>
      </c>
      <c r="U6" s="198">
        <v>0</v>
      </c>
      <c r="V6" s="196">
        <v>0</v>
      </c>
      <c r="W6" s="197">
        <v>0</v>
      </c>
      <c r="X6" s="197">
        <v>0</v>
      </c>
      <c r="Y6" s="197">
        <v>0</v>
      </c>
      <c r="Z6" s="197">
        <v>0</v>
      </c>
      <c r="AA6" s="197">
        <v>0</v>
      </c>
      <c r="AB6" s="197">
        <v>0</v>
      </c>
      <c r="AC6" s="197">
        <v>0</v>
      </c>
      <c r="AD6" s="198">
        <v>0</v>
      </c>
      <c r="AE6" s="205">
        <v>0</v>
      </c>
      <c r="AF6" s="206">
        <v>0</v>
      </c>
      <c r="AG6" s="206">
        <v>0</v>
      </c>
      <c r="AH6" s="206">
        <v>0</v>
      </c>
      <c r="AI6" s="206">
        <v>0</v>
      </c>
      <c r="AJ6" s="206">
        <v>0</v>
      </c>
      <c r="AK6" s="206">
        <v>0</v>
      </c>
      <c r="AL6" s="206">
        <v>0</v>
      </c>
      <c r="AM6" s="207">
        <v>0</v>
      </c>
      <c r="AN6" s="205">
        <v>0</v>
      </c>
      <c r="AO6" s="206">
        <v>0</v>
      </c>
      <c r="AP6" s="206">
        <v>0</v>
      </c>
      <c r="AQ6" s="206">
        <v>0</v>
      </c>
      <c r="AR6" s="206">
        <v>0</v>
      </c>
      <c r="AS6" s="206">
        <v>0</v>
      </c>
      <c r="AT6" s="206">
        <v>0</v>
      </c>
      <c r="AU6" s="206">
        <v>0</v>
      </c>
      <c r="AV6" s="207">
        <v>0</v>
      </c>
      <c r="AW6" s="205">
        <v>0</v>
      </c>
      <c r="AX6" s="206">
        <v>0</v>
      </c>
      <c r="AY6" s="206">
        <v>0</v>
      </c>
      <c r="AZ6" s="206">
        <v>0</v>
      </c>
      <c r="BA6" s="206">
        <v>0</v>
      </c>
      <c r="BB6" s="206">
        <v>0</v>
      </c>
      <c r="BC6" s="206">
        <v>0</v>
      </c>
      <c r="BD6" s="206">
        <v>0</v>
      </c>
      <c r="BE6" s="207">
        <v>0</v>
      </c>
    </row>
    <row r="7" spans="1:58" x14ac:dyDescent="0.25">
      <c r="A7" s="330"/>
      <c r="B7" s="193" t="s">
        <v>102</v>
      </c>
      <c r="C7" s="193" t="s">
        <v>8</v>
      </c>
      <c r="D7" s="196"/>
      <c r="E7" s="197"/>
      <c r="F7" s="197"/>
      <c r="G7" s="197"/>
      <c r="H7" s="197"/>
      <c r="I7" s="197"/>
      <c r="J7" s="197"/>
      <c r="K7" s="197"/>
      <c r="L7" s="198"/>
      <c r="M7" s="196"/>
      <c r="N7" s="197"/>
      <c r="O7" s="197"/>
      <c r="P7" s="197"/>
      <c r="Q7" s="197"/>
      <c r="R7" s="197"/>
      <c r="S7" s="197"/>
      <c r="T7" s="197"/>
      <c r="U7" s="198"/>
      <c r="V7" s="196"/>
      <c r="W7" s="197"/>
      <c r="X7" s="197"/>
      <c r="Y7" s="197"/>
      <c r="Z7" s="197"/>
      <c r="AA7" s="197"/>
      <c r="AB7" s="197"/>
      <c r="AC7" s="197"/>
      <c r="AD7" s="198"/>
      <c r="AE7" s="199"/>
      <c r="AF7" s="200"/>
      <c r="AG7" s="200"/>
      <c r="AH7" s="200"/>
      <c r="AI7" s="200"/>
      <c r="AJ7" s="200"/>
      <c r="AK7" s="200"/>
      <c r="AL7" s="200"/>
      <c r="AM7" s="201"/>
      <c r="AN7" s="199"/>
      <c r="AO7" s="200"/>
      <c r="AP7" s="200"/>
      <c r="AQ7" s="200"/>
      <c r="AR7" s="200"/>
      <c r="AS7" s="200"/>
      <c r="AT7" s="200"/>
      <c r="AU7" s="200"/>
      <c r="AV7" s="201"/>
      <c r="AW7" s="199"/>
      <c r="AX7" s="200"/>
      <c r="AY7" s="200"/>
      <c r="AZ7" s="200"/>
      <c r="BA7" s="200"/>
      <c r="BB7" s="200"/>
      <c r="BC7" s="200"/>
      <c r="BD7" s="200"/>
      <c r="BE7" s="201"/>
    </row>
    <row r="8" spans="1:58" x14ac:dyDescent="0.25">
      <c r="A8" s="330"/>
      <c r="B8" s="193" t="s">
        <v>103</v>
      </c>
      <c r="C8" s="193" t="s">
        <v>9</v>
      </c>
      <c r="D8" s="196">
        <v>6.5502363642054595</v>
      </c>
      <c r="E8" s="197">
        <v>5.5462196046361836</v>
      </c>
      <c r="F8" s="197">
        <v>4.3189171268439228</v>
      </c>
      <c r="G8" s="197">
        <v>3.4790558346549889</v>
      </c>
      <c r="H8" s="197">
        <v>2.0378947368421052</v>
      </c>
      <c r="I8" s="197">
        <v>2.0189473684210526</v>
      </c>
      <c r="J8" s="197">
        <v>1.9557894736842103</v>
      </c>
      <c r="K8" s="197">
        <v>1.8231578947368419</v>
      </c>
      <c r="L8" s="198">
        <v>1.557894736842105</v>
      </c>
      <c r="M8" s="196">
        <v>6.3870820392166268</v>
      </c>
      <c r="N8" s="197">
        <v>5.4089543268412656</v>
      </c>
      <c r="O8" s="197">
        <v>4.2132984241344671</v>
      </c>
      <c r="P8" s="197">
        <v>3.3950933527432299</v>
      </c>
      <c r="Q8" s="197">
        <v>2.0378947368421052</v>
      </c>
      <c r="R8" s="197">
        <v>2.0189473684210526</v>
      </c>
      <c r="S8" s="197">
        <v>1.9557894736842103</v>
      </c>
      <c r="T8" s="197">
        <v>1.8231578947368419</v>
      </c>
      <c r="U8" s="198">
        <v>1.557894736842105</v>
      </c>
      <c r="V8" s="196">
        <v>6.2310156729020081</v>
      </c>
      <c r="W8" s="197">
        <v>5.2776541092880542</v>
      </c>
      <c r="X8" s="197">
        <v>4.1122721591328899</v>
      </c>
      <c r="Y8" s="197">
        <v>3.3147840025770408</v>
      </c>
      <c r="Z8" s="197">
        <v>2.0378947368421052</v>
      </c>
      <c r="AA8" s="197">
        <v>2.0189473684210526</v>
      </c>
      <c r="AB8" s="197">
        <v>1.9557894736842103</v>
      </c>
      <c r="AC8" s="197">
        <v>1.8231578947368419</v>
      </c>
      <c r="AD8" s="198">
        <v>1.557894736842105</v>
      </c>
      <c r="AE8" s="202">
        <v>6.0796746123701997</v>
      </c>
      <c r="AF8" s="203">
        <v>5.1503305985626469</v>
      </c>
      <c r="AG8" s="203">
        <v>4.0143075192698996</v>
      </c>
      <c r="AH8" s="203">
        <v>3.2369100735745651</v>
      </c>
      <c r="AI8" s="203">
        <v>2.0378947368421052</v>
      </c>
      <c r="AJ8" s="203">
        <v>2.0189473684210526</v>
      </c>
      <c r="AK8" s="203">
        <v>1.9557894736842103</v>
      </c>
      <c r="AL8" s="203">
        <v>1.8231578947368419</v>
      </c>
      <c r="AM8" s="204">
        <v>1.557894736842105</v>
      </c>
      <c r="AN8" s="202">
        <v>5.9283335518383931</v>
      </c>
      <c r="AO8" s="203">
        <v>5.0230070878372421</v>
      </c>
      <c r="AP8" s="203">
        <v>3.9163428794069115</v>
      </c>
      <c r="AQ8" s="203">
        <v>3.1590361445720911</v>
      </c>
      <c r="AR8" s="203">
        <v>2.0378947368421052</v>
      </c>
      <c r="AS8" s="203">
        <v>2.0189473684210526</v>
      </c>
      <c r="AT8" s="203">
        <v>1.9557894736842103</v>
      </c>
      <c r="AU8" s="203">
        <v>1.8231578947368419</v>
      </c>
      <c r="AV8" s="204">
        <v>1.557894736842105</v>
      </c>
      <c r="AW8" s="202">
        <v>5.7769924913065838</v>
      </c>
      <c r="AX8" s="203">
        <v>4.8956835771118348</v>
      </c>
      <c r="AY8" s="203">
        <v>3.8183782395439203</v>
      </c>
      <c r="AZ8" s="203">
        <v>3.0811622155696146</v>
      </c>
      <c r="BA8" s="203">
        <v>2.0378947368421052</v>
      </c>
      <c r="BB8" s="203">
        <v>2.0189473684210526</v>
      </c>
      <c r="BC8" s="203">
        <v>1.9557894736842103</v>
      </c>
      <c r="BD8" s="203">
        <v>1.8231578947368419</v>
      </c>
      <c r="BE8" s="204">
        <v>1.557894736842105</v>
      </c>
    </row>
    <row r="9" spans="1:58" x14ac:dyDescent="0.25">
      <c r="A9" s="330"/>
      <c r="B9" s="193" t="s">
        <v>104</v>
      </c>
      <c r="C9" s="193" t="s">
        <v>10</v>
      </c>
      <c r="D9" s="196">
        <v>0</v>
      </c>
      <c r="E9" s="197">
        <v>0</v>
      </c>
      <c r="F9" s="197">
        <v>0</v>
      </c>
      <c r="G9" s="197">
        <v>0</v>
      </c>
      <c r="H9" s="197">
        <v>0</v>
      </c>
      <c r="I9" s="197">
        <v>0</v>
      </c>
      <c r="J9" s="197">
        <v>1.6357894736842103E-3</v>
      </c>
      <c r="K9" s="197">
        <v>1.5031578947368419E-3</v>
      </c>
      <c r="L9" s="198">
        <v>1.2378947368421051E-3</v>
      </c>
      <c r="M9" s="196">
        <v>0</v>
      </c>
      <c r="N9" s="197">
        <v>0</v>
      </c>
      <c r="O9" s="197">
        <v>0</v>
      </c>
      <c r="P9" s="197">
        <v>0</v>
      </c>
      <c r="Q9" s="197">
        <v>0</v>
      </c>
      <c r="R9" s="197">
        <v>0</v>
      </c>
      <c r="S9" s="197">
        <v>1.6357894736842103E-3</v>
      </c>
      <c r="T9" s="197">
        <v>1.5031578947368419E-3</v>
      </c>
      <c r="U9" s="198">
        <v>1.2378947368421051E-3</v>
      </c>
      <c r="V9" s="196">
        <v>0</v>
      </c>
      <c r="W9" s="197">
        <v>0</v>
      </c>
      <c r="X9" s="197">
        <v>0</v>
      </c>
      <c r="Y9" s="197">
        <v>0</v>
      </c>
      <c r="Z9" s="197">
        <v>0</v>
      </c>
      <c r="AA9" s="197">
        <v>0</v>
      </c>
      <c r="AB9" s="197">
        <v>1.6473473684210525E-3</v>
      </c>
      <c r="AC9" s="197">
        <v>1.5133894736842103E-3</v>
      </c>
      <c r="AD9" s="198">
        <v>1.2454736842105263E-3</v>
      </c>
      <c r="AE9" s="202">
        <v>0</v>
      </c>
      <c r="AF9" s="203">
        <v>0</v>
      </c>
      <c r="AG9" s="203">
        <v>0</v>
      </c>
      <c r="AH9" s="203">
        <v>0</v>
      </c>
      <c r="AI9" s="203">
        <v>0</v>
      </c>
      <c r="AJ9" s="203">
        <v>0</v>
      </c>
      <c r="AK9" s="203">
        <v>1.6666105263157894E-3</v>
      </c>
      <c r="AL9" s="203">
        <v>1.5304421052631579E-3</v>
      </c>
      <c r="AM9" s="204">
        <v>1.2581052631578946E-3</v>
      </c>
      <c r="AN9" s="202">
        <v>0</v>
      </c>
      <c r="AO9" s="203">
        <v>0</v>
      </c>
      <c r="AP9" s="203">
        <v>0</v>
      </c>
      <c r="AQ9" s="203">
        <v>0</v>
      </c>
      <c r="AR9" s="203">
        <v>0</v>
      </c>
      <c r="AS9" s="203">
        <v>0</v>
      </c>
      <c r="AT9" s="203">
        <v>1.6858736842105264E-3</v>
      </c>
      <c r="AU9" s="203">
        <v>1.5474947368421053E-3</v>
      </c>
      <c r="AV9" s="204">
        <v>1.2707368421052633E-3</v>
      </c>
      <c r="AW9" s="202">
        <v>0</v>
      </c>
      <c r="AX9" s="203">
        <v>0</v>
      </c>
      <c r="AY9" s="203">
        <v>0</v>
      </c>
      <c r="AZ9" s="203">
        <v>0</v>
      </c>
      <c r="BA9" s="203">
        <v>0</v>
      </c>
      <c r="BB9" s="203">
        <v>0</v>
      </c>
      <c r="BC9" s="203">
        <v>1.7051368421052632E-3</v>
      </c>
      <c r="BD9" s="203">
        <v>1.5645473684210527E-3</v>
      </c>
      <c r="BE9" s="204">
        <v>1.2833684210526316E-3</v>
      </c>
    </row>
    <row r="10" spans="1:58" x14ac:dyDescent="0.25">
      <c r="A10" s="330"/>
      <c r="B10" s="193" t="s">
        <v>11</v>
      </c>
      <c r="C10" s="193" t="s">
        <v>10</v>
      </c>
      <c r="D10" s="196">
        <v>0</v>
      </c>
      <c r="E10" s="197"/>
      <c r="F10" s="197"/>
      <c r="G10" s="197"/>
      <c r="H10" s="197"/>
      <c r="I10" s="197"/>
      <c r="J10" s="197"/>
      <c r="K10" s="197"/>
      <c r="L10" s="198"/>
      <c r="M10" s="196">
        <v>0</v>
      </c>
      <c r="N10" s="197"/>
      <c r="O10" s="197"/>
      <c r="P10" s="197"/>
      <c r="Q10" s="197"/>
      <c r="R10" s="197"/>
      <c r="S10" s="197"/>
      <c r="T10" s="197"/>
      <c r="U10" s="198"/>
      <c r="V10" s="196">
        <v>0</v>
      </c>
      <c r="W10" s="197"/>
      <c r="X10" s="197"/>
      <c r="Y10" s="197"/>
      <c r="Z10" s="197"/>
      <c r="AA10" s="197"/>
      <c r="AB10" s="197"/>
      <c r="AC10" s="197"/>
      <c r="AD10" s="198"/>
      <c r="AE10" s="202">
        <v>0</v>
      </c>
      <c r="AF10" s="200"/>
      <c r="AG10" s="200"/>
      <c r="AH10" s="200"/>
      <c r="AI10" s="200"/>
      <c r="AJ10" s="200"/>
      <c r="AK10" s="200"/>
      <c r="AL10" s="200"/>
      <c r="AM10" s="201"/>
      <c r="AN10" s="202">
        <v>0</v>
      </c>
      <c r="AO10" s="200"/>
      <c r="AP10" s="200"/>
      <c r="AQ10" s="200"/>
      <c r="AR10" s="200"/>
      <c r="AS10" s="200"/>
      <c r="AT10" s="200"/>
      <c r="AU10" s="200"/>
      <c r="AV10" s="201"/>
      <c r="AW10" s="202">
        <v>0</v>
      </c>
      <c r="AX10" s="200"/>
      <c r="AY10" s="200"/>
      <c r="AZ10" s="200"/>
      <c r="BA10" s="200"/>
      <c r="BB10" s="200"/>
      <c r="BC10" s="200"/>
      <c r="BD10" s="200"/>
      <c r="BE10" s="201"/>
    </row>
    <row r="11" spans="1:58" x14ac:dyDescent="0.25">
      <c r="A11" s="330"/>
      <c r="B11" s="193" t="s">
        <v>12</v>
      </c>
      <c r="C11" s="193" t="s">
        <v>7</v>
      </c>
      <c r="D11" s="196">
        <v>0.94349999999999989</v>
      </c>
      <c r="E11" s="197">
        <v>0.94349999999999989</v>
      </c>
      <c r="F11" s="197">
        <v>0.94349999999999989</v>
      </c>
      <c r="G11" s="197">
        <v>0.94349999999999989</v>
      </c>
      <c r="H11" s="197">
        <v>0.94349999999999989</v>
      </c>
      <c r="I11" s="197">
        <v>0.94349999999999989</v>
      </c>
      <c r="J11" s="197">
        <v>0.99</v>
      </c>
      <c r="K11" s="197">
        <v>0.99</v>
      </c>
      <c r="L11" s="198">
        <v>0.99</v>
      </c>
      <c r="M11" s="196">
        <v>0.96599999999999986</v>
      </c>
      <c r="N11" s="197">
        <v>0.96599999999999986</v>
      </c>
      <c r="O11" s="197">
        <v>0.96599999999999986</v>
      </c>
      <c r="P11" s="197">
        <v>0.96599999999999986</v>
      </c>
      <c r="Q11" s="197">
        <v>0.96599999999999986</v>
      </c>
      <c r="R11" s="197">
        <v>0.96599999999999986</v>
      </c>
      <c r="S11" s="197">
        <v>0.99</v>
      </c>
      <c r="T11" s="197">
        <v>0.99</v>
      </c>
      <c r="U11" s="198">
        <v>0.99</v>
      </c>
      <c r="V11" s="196">
        <v>0.9787499999999999</v>
      </c>
      <c r="W11" s="197">
        <v>0.9787499999999999</v>
      </c>
      <c r="X11" s="197">
        <v>0.9787499999999999</v>
      </c>
      <c r="Y11" s="197">
        <v>0.9787499999999999</v>
      </c>
      <c r="Z11" s="197">
        <v>0.9787499999999999</v>
      </c>
      <c r="AA11" s="197">
        <v>0.9787499999999999</v>
      </c>
      <c r="AB11" s="197">
        <v>0.99150000000000005</v>
      </c>
      <c r="AC11" s="197">
        <v>0.99150000000000005</v>
      </c>
      <c r="AD11" s="198">
        <v>0.99150000000000005</v>
      </c>
      <c r="AE11" s="205">
        <v>0.98499999999999988</v>
      </c>
      <c r="AF11" s="206">
        <v>0.98499999999999988</v>
      </c>
      <c r="AG11" s="206">
        <v>0.98499999999999988</v>
      </c>
      <c r="AH11" s="206">
        <v>0.98499999999999988</v>
      </c>
      <c r="AI11" s="206">
        <v>0.98499999999999988</v>
      </c>
      <c r="AJ11" s="206">
        <v>0.98499999999999988</v>
      </c>
      <c r="AK11" s="206">
        <v>0.99399999999999999</v>
      </c>
      <c r="AL11" s="206">
        <v>0.99399999999999999</v>
      </c>
      <c r="AM11" s="207">
        <v>0.99399999999999999</v>
      </c>
      <c r="AN11" s="205">
        <v>0.99124999999999996</v>
      </c>
      <c r="AO11" s="206">
        <v>0.99124999999999996</v>
      </c>
      <c r="AP11" s="206">
        <v>0.99124999999999996</v>
      </c>
      <c r="AQ11" s="206">
        <v>0.99124999999999996</v>
      </c>
      <c r="AR11" s="206">
        <v>0.99124999999999996</v>
      </c>
      <c r="AS11" s="206">
        <v>0.99124999999999996</v>
      </c>
      <c r="AT11" s="206">
        <v>0.99649999999999994</v>
      </c>
      <c r="AU11" s="206">
        <v>0.99649999999999994</v>
      </c>
      <c r="AV11" s="207">
        <v>0.99649999999999994</v>
      </c>
      <c r="AW11" s="205">
        <v>0.99749999999999994</v>
      </c>
      <c r="AX11" s="206">
        <v>0.99749999999999994</v>
      </c>
      <c r="AY11" s="206">
        <v>0.99749999999999994</v>
      </c>
      <c r="AZ11" s="206">
        <v>0.99749999999999994</v>
      </c>
      <c r="BA11" s="206">
        <v>0.99749999999999994</v>
      </c>
      <c r="BB11" s="206">
        <v>0.99749999999999994</v>
      </c>
      <c r="BC11" s="206">
        <v>0.999</v>
      </c>
      <c r="BD11" s="206">
        <v>0.999</v>
      </c>
      <c r="BE11" s="207">
        <v>0.999</v>
      </c>
    </row>
    <row r="12" spans="1:58" x14ac:dyDescent="0.25">
      <c r="A12" s="330"/>
      <c r="B12" s="193" t="s">
        <v>13</v>
      </c>
      <c r="C12" s="193" t="s">
        <v>14</v>
      </c>
      <c r="D12" s="196">
        <v>1524.6</v>
      </c>
      <c r="E12" s="197">
        <v>1749.6</v>
      </c>
      <c r="F12" s="197">
        <v>2349.6</v>
      </c>
      <c r="G12" s="197">
        <v>3174.6</v>
      </c>
      <c r="H12" s="197">
        <v>4299.6000000000004</v>
      </c>
      <c r="I12" s="197">
        <v>14213</v>
      </c>
      <c r="J12" s="197">
        <v>21713</v>
      </c>
      <c r="K12" s="197">
        <v>37463</v>
      </c>
      <c r="L12" s="198">
        <v>68963</v>
      </c>
      <c r="M12" s="196">
        <v>1524.6</v>
      </c>
      <c r="N12" s="197">
        <v>1749.6</v>
      </c>
      <c r="O12" s="197">
        <v>2349.6</v>
      </c>
      <c r="P12" s="197">
        <v>3174.6</v>
      </c>
      <c r="Q12" s="197">
        <v>4299.6000000000004</v>
      </c>
      <c r="R12" s="197">
        <v>14213</v>
      </c>
      <c r="S12" s="197">
        <v>21713</v>
      </c>
      <c r="T12" s="197">
        <v>37463</v>
      </c>
      <c r="U12" s="198">
        <v>68963</v>
      </c>
      <c r="V12" s="196">
        <v>1524.6</v>
      </c>
      <c r="W12" s="197">
        <v>1749.6</v>
      </c>
      <c r="X12" s="197">
        <v>2349.6</v>
      </c>
      <c r="Y12" s="197">
        <v>3174.6</v>
      </c>
      <c r="Z12" s="197">
        <v>4299.6000000000004</v>
      </c>
      <c r="AA12" s="197">
        <v>14213</v>
      </c>
      <c r="AB12" s="197">
        <v>21713</v>
      </c>
      <c r="AC12" s="197">
        <v>37463</v>
      </c>
      <c r="AD12" s="198">
        <v>68963</v>
      </c>
      <c r="AE12" s="202">
        <v>1524.6</v>
      </c>
      <c r="AF12" s="203">
        <v>1749.6</v>
      </c>
      <c r="AG12" s="203">
        <v>2349.6</v>
      </c>
      <c r="AH12" s="203">
        <v>3174.6</v>
      </c>
      <c r="AI12" s="203">
        <v>4299.6000000000004</v>
      </c>
      <c r="AJ12" s="203">
        <v>14213</v>
      </c>
      <c r="AK12" s="203">
        <v>21713</v>
      </c>
      <c r="AL12" s="203">
        <v>37463</v>
      </c>
      <c r="AM12" s="204">
        <v>68963</v>
      </c>
      <c r="AN12" s="202">
        <v>1524.6</v>
      </c>
      <c r="AO12" s="203">
        <v>1749.6</v>
      </c>
      <c r="AP12" s="203">
        <v>2349.6</v>
      </c>
      <c r="AQ12" s="203">
        <v>3174.6</v>
      </c>
      <c r="AR12" s="203">
        <v>4299.6000000000004</v>
      </c>
      <c r="AS12" s="203">
        <v>14213</v>
      </c>
      <c r="AT12" s="203">
        <v>21713</v>
      </c>
      <c r="AU12" s="203">
        <v>37463</v>
      </c>
      <c r="AV12" s="204">
        <v>68963</v>
      </c>
      <c r="AW12" s="202">
        <v>1524.6</v>
      </c>
      <c r="AX12" s="203">
        <v>1749.6</v>
      </c>
      <c r="AY12" s="203">
        <v>2349.6</v>
      </c>
      <c r="AZ12" s="203">
        <v>3174.6</v>
      </c>
      <c r="BA12" s="203">
        <v>4299.6000000000004</v>
      </c>
      <c r="BB12" s="203">
        <v>14213</v>
      </c>
      <c r="BC12" s="203">
        <v>21713</v>
      </c>
      <c r="BD12" s="203">
        <v>37463</v>
      </c>
      <c r="BE12" s="204">
        <v>68963</v>
      </c>
    </row>
    <row r="13" spans="1:58" ht="15.75" thickBot="1" x14ac:dyDescent="0.3">
      <c r="A13" s="332"/>
      <c r="B13" s="194" t="s">
        <v>15</v>
      </c>
      <c r="C13" s="194" t="s">
        <v>4</v>
      </c>
      <c r="D13" s="238">
        <v>40</v>
      </c>
      <c r="E13" s="239">
        <v>40</v>
      </c>
      <c r="F13" s="239">
        <v>40</v>
      </c>
      <c r="G13" s="239">
        <v>40</v>
      </c>
      <c r="H13" s="239">
        <v>40</v>
      </c>
      <c r="I13" s="239">
        <v>40</v>
      </c>
      <c r="J13" s="239">
        <v>40</v>
      </c>
      <c r="K13" s="239">
        <v>40</v>
      </c>
      <c r="L13" s="240">
        <v>40</v>
      </c>
      <c r="M13" s="238">
        <v>40</v>
      </c>
      <c r="N13" s="239">
        <v>40</v>
      </c>
      <c r="O13" s="239">
        <v>40</v>
      </c>
      <c r="P13" s="239">
        <v>40</v>
      </c>
      <c r="Q13" s="239">
        <v>40</v>
      </c>
      <c r="R13" s="239">
        <v>40</v>
      </c>
      <c r="S13" s="239">
        <v>40</v>
      </c>
      <c r="T13" s="239">
        <v>40</v>
      </c>
      <c r="U13" s="240">
        <v>40</v>
      </c>
      <c r="V13" s="238">
        <v>40</v>
      </c>
      <c r="W13" s="239">
        <v>40</v>
      </c>
      <c r="X13" s="239">
        <v>40</v>
      </c>
      <c r="Y13" s="239">
        <v>40</v>
      </c>
      <c r="Z13" s="239">
        <v>40</v>
      </c>
      <c r="AA13" s="239">
        <v>40</v>
      </c>
      <c r="AB13" s="239">
        <v>40</v>
      </c>
      <c r="AC13" s="239">
        <v>40</v>
      </c>
      <c r="AD13" s="240">
        <v>40</v>
      </c>
      <c r="AE13" s="347">
        <v>40</v>
      </c>
      <c r="AF13" s="348">
        <v>40</v>
      </c>
      <c r="AG13" s="348">
        <v>40</v>
      </c>
      <c r="AH13" s="348">
        <v>40</v>
      </c>
      <c r="AI13" s="348">
        <v>40</v>
      </c>
      <c r="AJ13" s="348">
        <v>40</v>
      </c>
      <c r="AK13" s="348">
        <v>40</v>
      </c>
      <c r="AL13" s="348">
        <v>40</v>
      </c>
      <c r="AM13" s="349">
        <v>40</v>
      </c>
      <c r="AN13" s="347">
        <v>40</v>
      </c>
      <c r="AO13" s="348">
        <v>40</v>
      </c>
      <c r="AP13" s="348">
        <v>40</v>
      </c>
      <c r="AQ13" s="348">
        <v>40</v>
      </c>
      <c r="AR13" s="348">
        <v>40</v>
      </c>
      <c r="AS13" s="348">
        <v>40</v>
      </c>
      <c r="AT13" s="348">
        <v>40</v>
      </c>
      <c r="AU13" s="348">
        <v>40</v>
      </c>
      <c r="AV13" s="349">
        <v>40</v>
      </c>
      <c r="AW13" s="347">
        <v>40</v>
      </c>
      <c r="AX13" s="348">
        <v>40</v>
      </c>
      <c r="AY13" s="348">
        <v>40</v>
      </c>
      <c r="AZ13" s="348">
        <v>40</v>
      </c>
      <c r="BA13" s="348">
        <v>40</v>
      </c>
      <c r="BB13" s="348">
        <v>40</v>
      </c>
      <c r="BC13" s="348">
        <v>40</v>
      </c>
      <c r="BD13" s="348">
        <v>40</v>
      </c>
      <c r="BE13" s="349">
        <v>40</v>
      </c>
    </row>
    <row r="14" spans="1:58" x14ac:dyDescent="0.25">
      <c r="A14" s="350" t="s">
        <v>16</v>
      </c>
      <c r="B14" s="351" t="s">
        <v>101</v>
      </c>
      <c r="C14" s="351" t="s">
        <v>4</v>
      </c>
      <c r="D14" s="352">
        <v>20</v>
      </c>
      <c r="E14" s="353">
        <v>20</v>
      </c>
      <c r="F14" s="353">
        <v>20</v>
      </c>
      <c r="G14" s="353">
        <v>20</v>
      </c>
      <c r="H14" s="353">
        <v>20</v>
      </c>
      <c r="I14" s="353">
        <v>20</v>
      </c>
      <c r="J14" s="353">
        <v>20</v>
      </c>
      <c r="K14" s="353">
        <v>20</v>
      </c>
      <c r="L14" s="354">
        <v>20</v>
      </c>
      <c r="M14" s="352">
        <v>20</v>
      </c>
      <c r="N14" s="353">
        <v>20</v>
      </c>
      <c r="O14" s="353">
        <v>20</v>
      </c>
      <c r="P14" s="353">
        <v>20</v>
      </c>
      <c r="Q14" s="353">
        <v>20</v>
      </c>
      <c r="R14" s="353">
        <v>20</v>
      </c>
      <c r="S14" s="353">
        <v>20</v>
      </c>
      <c r="T14" s="353">
        <v>20</v>
      </c>
      <c r="U14" s="354">
        <v>20</v>
      </c>
      <c r="V14" s="352">
        <v>20</v>
      </c>
      <c r="W14" s="353">
        <v>20</v>
      </c>
      <c r="X14" s="353">
        <v>20</v>
      </c>
      <c r="Y14" s="353">
        <v>20</v>
      </c>
      <c r="Z14" s="353">
        <v>20</v>
      </c>
      <c r="AA14" s="353">
        <v>20</v>
      </c>
      <c r="AB14" s="353">
        <v>20</v>
      </c>
      <c r="AC14" s="353">
        <v>20</v>
      </c>
      <c r="AD14" s="354">
        <v>20</v>
      </c>
      <c r="AE14" s="355">
        <v>20</v>
      </c>
      <c r="AF14" s="356">
        <v>20</v>
      </c>
      <c r="AG14" s="356">
        <v>20</v>
      </c>
      <c r="AH14" s="356">
        <v>20</v>
      </c>
      <c r="AI14" s="356">
        <v>20</v>
      </c>
      <c r="AJ14" s="356">
        <v>20</v>
      </c>
      <c r="AK14" s="356">
        <v>20</v>
      </c>
      <c r="AL14" s="356">
        <v>20</v>
      </c>
      <c r="AM14" s="357">
        <v>20</v>
      </c>
      <c r="AN14" s="355">
        <v>20</v>
      </c>
      <c r="AO14" s="356">
        <v>20</v>
      </c>
      <c r="AP14" s="356">
        <v>20</v>
      </c>
      <c r="AQ14" s="356">
        <v>20</v>
      </c>
      <c r="AR14" s="356">
        <v>20</v>
      </c>
      <c r="AS14" s="356">
        <v>20</v>
      </c>
      <c r="AT14" s="356">
        <v>20</v>
      </c>
      <c r="AU14" s="356">
        <v>20</v>
      </c>
      <c r="AV14" s="357">
        <v>20</v>
      </c>
      <c r="AW14" s="355">
        <v>20</v>
      </c>
      <c r="AX14" s="356">
        <v>20</v>
      </c>
      <c r="AY14" s="356">
        <v>20</v>
      </c>
      <c r="AZ14" s="356">
        <v>20</v>
      </c>
      <c r="BA14" s="356">
        <v>20</v>
      </c>
      <c r="BB14" s="356">
        <v>20</v>
      </c>
      <c r="BC14" s="356">
        <v>20</v>
      </c>
      <c r="BD14" s="356">
        <v>20</v>
      </c>
      <c r="BE14" s="357">
        <v>20</v>
      </c>
      <c r="BF14" s="30"/>
    </row>
    <row r="15" spans="1:58" x14ac:dyDescent="0.25">
      <c r="A15" s="331"/>
      <c r="B15" s="195" t="s">
        <v>5</v>
      </c>
      <c r="C15" s="195" t="s">
        <v>6</v>
      </c>
      <c r="D15" s="208">
        <v>558.65265042413671</v>
      </c>
      <c r="E15" s="209">
        <v>352.73550340580886</v>
      </c>
      <c r="F15" s="209">
        <v>201.0695678061135</v>
      </c>
      <c r="G15" s="209">
        <v>136.8683894043277</v>
      </c>
      <c r="H15" s="209">
        <v>120.6</v>
      </c>
      <c r="I15" s="209">
        <v>120.6</v>
      </c>
      <c r="J15" s="209">
        <v>187.07496087792157</v>
      </c>
      <c r="K15" s="209">
        <v>271.30291449905741</v>
      </c>
      <c r="L15" s="210">
        <v>439.75882174132914</v>
      </c>
      <c r="M15" s="208">
        <v>546.16621384855091</v>
      </c>
      <c r="N15" s="209">
        <v>344.85151773440816</v>
      </c>
      <c r="O15" s="209">
        <v>196.57546506841882</v>
      </c>
      <c r="P15" s="209">
        <v>133.8092461921685</v>
      </c>
      <c r="Q15" s="209">
        <v>116.6</v>
      </c>
      <c r="R15" s="209">
        <v>116.6</v>
      </c>
      <c r="S15" s="209">
        <v>183.58935144726829</v>
      </c>
      <c r="T15" s="209">
        <v>266.9570997947219</v>
      </c>
      <c r="U15" s="210">
        <v>433.69259648962918</v>
      </c>
      <c r="V15" s="208">
        <v>533.42832380521168</v>
      </c>
      <c r="W15" s="209">
        <v>336.80876334426267</v>
      </c>
      <c r="X15" s="209">
        <v>191.99085951104519</v>
      </c>
      <c r="Y15" s="209">
        <v>130.68849756004869</v>
      </c>
      <c r="Z15" s="209">
        <v>114.1</v>
      </c>
      <c r="AA15" s="209">
        <v>114.1</v>
      </c>
      <c r="AB15" s="209">
        <v>180.48166857059701</v>
      </c>
      <c r="AC15" s="209">
        <v>263.63042786023721</v>
      </c>
      <c r="AD15" s="210">
        <v>429.92794643951765</v>
      </c>
      <c r="AE15" s="214">
        <v>520.52279811670326</v>
      </c>
      <c r="AF15" s="215">
        <v>328.66016314162061</v>
      </c>
      <c r="AG15" s="215">
        <v>187.34591874055215</v>
      </c>
      <c r="AH15" s="215">
        <v>127.52667864795502</v>
      </c>
      <c r="AI15" s="215">
        <v>112.6</v>
      </c>
      <c r="AJ15" s="215">
        <v>112.6</v>
      </c>
      <c r="AK15" s="215">
        <v>177.62593672991372</v>
      </c>
      <c r="AL15" s="215">
        <v>260.98318443898637</v>
      </c>
      <c r="AM15" s="216">
        <v>427.69767985713173</v>
      </c>
      <c r="AN15" s="214">
        <v>507.61727242819484</v>
      </c>
      <c r="AO15" s="215">
        <v>320.51156293897873</v>
      </c>
      <c r="AP15" s="215">
        <v>182.70097797005911</v>
      </c>
      <c r="AQ15" s="215">
        <v>124.36485973586129</v>
      </c>
      <c r="AR15" s="215">
        <v>111.1</v>
      </c>
      <c r="AS15" s="215">
        <v>111.1</v>
      </c>
      <c r="AT15" s="215">
        <v>174.7702048892304</v>
      </c>
      <c r="AU15" s="215">
        <v>258.33594101773554</v>
      </c>
      <c r="AV15" s="216">
        <v>425.4674132747457</v>
      </c>
      <c r="AW15" s="214">
        <v>494.71174673968642</v>
      </c>
      <c r="AX15" s="215">
        <v>312.36296273633667</v>
      </c>
      <c r="AY15" s="215">
        <v>178.05603719956605</v>
      </c>
      <c r="AZ15" s="215">
        <v>121.20304082376755</v>
      </c>
      <c r="BA15" s="215">
        <v>109.6</v>
      </c>
      <c r="BB15" s="215">
        <v>109.6</v>
      </c>
      <c r="BC15" s="215">
        <v>171.91447304854711</v>
      </c>
      <c r="BD15" s="215">
        <v>255.68869759648467</v>
      </c>
      <c r="BE15" s="216">
        <v>423.23714669235983</v>
      </c>
    </row>
    <row r="16" spans="1:58" x14ac:dyDescent="0.25">
      <c r="A16" s="331"/>
      <c r="B16" s="195" t="s">
        <v>172</v>
      </c>
      <c r="C16" s="195" t="s">
        <v>19</v>
      </c>
      <c r="D16" s="208">
        <v>0</v>
      </c>
      <c r="E16" s="209">
        <v>0</v>
      </c>
      <c r="F16" s="209">
        <v>0</v>
      </c>
      <c r="G16" s="209">
        <v>0</v>
      </c>
      <c r="H16" s="209">
        <v>0</v>
      </c>
      <c r="I16" s="209">
        <v>0</v>
      </c>
      <c r="J16" s="209">
        <v>0</v>
      </c>
      <c r="K16" s="209">
        <v>0</v>
      </c>
      <c r="L16" s="210">
        <v>0</v>
      </c>
      <c r="M16" s="208">
        <v>0</v>
      </c>
      <c r="N16" s="209">
        <v>0</v>
      </c>
      <c r="O16" s="209">
        <v>0</v>
      </c>
      <c r="P16" s="209">
        <v>0</v>
      </c>
      <c r="Q16" s="209">
        <v>0</v>
      </c>
      <c r="R16" s="209">
        <v>0</v>
      </c>
      <c r="S16" s="209">
        <v>0</v>
      </c>
      <c r="T16" s="209">
        <v>0</v>
      </c>
      <c r="U16" s="210">
        <v>0</v>
      </c>
      <c r="V16" s="208">
        <v>0</v>
      </c>
      <c r="W16" s="209">
        <v>0</v>
      </c>
      <c r="X16" s="209">
        <v>0</v>
      </c>
      <c r="Y16" s="209">
        <v>0</v>
      </c>
      <c r="Z16" s="209">
        <v>0</v>
      </c>
      <c r="AA16" s="209">
        <v>0</v>
      </c>
      <c r="AB16" s="209">
        <v>0</v>
      </c>
      <c r="AC16" s="209">
        <v>0</v>
      </c>
      <c r="AD16" s="210">
        <v>0</v>
      </c>
      <c r="AE16" s="217">
        <v>0</v>
      </c>
      <c r="AF16" s="218">
        <v>0</v>
      </c>
      <c r="AG16" s="218">
        <v>0</v>
      </c>
      <c r="AH16" s="218">
        <v>0</v>
      </c>
      <c r="AI16" s="218">
        <v>0</v>
      </c>
      <c r="AJ16" s="218">
        <v>0</v>
      </c>
      <c r="AK16" s="218">
        <v>0</v>
      </c>
      <c r="AL16" s="218">
        <v>0</v>
      </c>
      <c r="AM16" s="219">
        <v>0</v>
      </c>
      <c r="AN16" s="217">
        <v>0</v>
      </c>
      <c r="AO16" s="218">
        <v>0</v>
      </c>
      <c r="AP16" s="218">
        <v>0</v>
      </c>
      <c r="AQ16" s="218">
        <v>0</v>
      </c>
      <c r="AR16" s="218">
        <v>0</v>
      </c>
      <c r="AS16" s="218">
        <v>0</v>
      </c>
      <c r="AT16" s="218">
        <v>0</v>
      </c>
      <c r="AU16" s="218">
        <v>0</v>
      </c>
      <c r="AV16" s="219">
        <v>0</v>
      </c>
      <c r="AW16" s="217">
        <v>0</v>
      </c>
      <c r="AX16" s="218">
        <v>0</v>
      </c>
      <c r="AY16" s="218">
        <v>0</v>
      </c>
      <c r="AZ16" s="218">
        <v>0</v>
      </c>
      <c r="BA16" s="218">
        <v>0</v>
      </c>
      <c r="BB16" s="218">
        <v>0</v>
      </c>
      <c r="BC16" s="218">
        <v>0</v>
      </c>
      <c r="BD16" s="218">
        <v>0</v>
      </c>
      <c r="BE16" s="219">
        <v>0</v>
      </c>
    </row>
    <row r="17" spans="1:58" x14ac:dyDescent="0.25">
      <c r="A17" s="331"/>
      <c r="B17" s="195" t="s">
        <v>102</v>
      </c>
      <c r="C17" s="195" t="s">
        <v>8</v>
      </c>
      <c r="D17" s="208"/>
      <c r="E17" s="209"/>
      <c r="F17" s="209"/>
      <c r="G17" s="209"/>
      <c r="H17" s="209"/>
      <c r="I17" s="209"/>
      <c r="J17" s="209"/>
      <c r="K17" s="209"/>
      <c r="L17" s="210"/>
      <c r="M17" s="208"/>
      <c r="N17" s="209"/>
      <c r="O17" s="209"/>
      <c r="P17" s="209"/>
      <c r="Q17" s="209"/>
      <c r="R17" s="209"/>
      <c r="S17" s="209"/>
      <c r="T17" s="209"/>
      <c r="U17" s="210"/>
      <c r="V17" s="208"/>
      <c r="W17" s="209"/>
      <c r="X17" s="209"/>
      <c r="Y17" s="209"/>
      <c r="Z17" s="209"/>
      <c r="AA17" s="209"/>
      <c r="AB17" s="209"/>
      <c r="AC17" s="209"/>
      <c r="AD17" s="210"/>
      <c r="AE17" s="211"/>
      <c r="AF17" s="212"/>
      <c r="AG17" s="212"/>
      <c r="AH17" s="212"/>
      <c r="AI17" s="212"/>
      <c r="AJ17" s="212"/>
      <c r="AK17" s="212"/>
      <c r="AL17" s="212"/>
      <c r="AM17" s="213"/>
      <c r="AN17" s="211"/>
      <c r="AO17" s="212"/>
      <c r="AP17" s="212"/>
      <c r="AQ17" s="212"/>
      <c r="AR17" s="212"/>
      <c r="AS17" s="212"/>
      <c r="AT17" s="212"/>
      <c r="AU17" s="212"/>
      <c r="AV17" s="213"/>
      <c r="AW17" s="211"/>
      <c r="AX17" s="212"/>
      <c r="AY17" s="212"/>
      <c r="AZ17" s="212"/>
      <c r="BA17" s="212"/>
      <c r="BB17" s="212"/>
      <c r="BC17" s="212"/>
      <c r="BD17" s="212"/>
      <c r="BE17" s="213"/>
    </row>
    <row r="18" spans="1:58" x14ac:dyDescent="0.25">
      <c r="A18" s="331"/>
      <c r="B18" s="195" t="s">
        <v>103</v>
      </c>
      <c r="C18" s="195" t="s">
        <v>9</v>
      </c>
      <c r="D18" s="208">
        <v>33.519159025448168</v>
      </c>
      <c r="E18" s="209">
        <v>21.16413020434851</v>
      </c>
      <c r="F18" s="209">
        <v>12.0641740683668</v>
      </c>
      <c r="G18" s="209">
        <v>8.2121033642596579</v>
      </c>
      <c r="H18" s="209">
        <v>7.7476375167543381</v>
      </c>
      <c r="I18" s="209">
        <v>7.7476375167543381</v>
      </c>
      <c r="J18" s="209">
        <v>7.3651642626194009</v>
      </c>
      <c r="K18" s="209">
        <v>6.7473228520937312</v>
      </c>
      <c r="L18" s="210">
        <v>5.5116400310423916</v>
      </c>
      <c r="M18" s="208">
        <v>32.769972830913019</v>
      </c>
      <c r="N18" s="209">
        <v>20.691091064064466</v>
      </c>
      <c r="O18" s="209">
        <v>11.79452790410512</v>
      </c>
      <c r="P18" s="209">
        <v>8.0285547715301089</v>
      </c>
      <c r="Q18" s="209">
        <v>7.5737355939785713</v>
      </c>
      <c r="R18" s="209">
        <v>7.5737355939785713</v>
      </c>
      <c r="S18" s="209">
        <v>7.1924080591053237</v>
      </c>
      <c r="T18" s="209">
        <v>6.5764174258485379</v>
      </c>
      <c r="U18" s="210">
        <v>5.3444361593349683</v>
      </c>
      <c r="V18" s="208">
        <v>32.00569942831266</v>
      </c>
      <c r="W18" s="209">
        <v>20.208525800655735</v>
      </c>
      <c r="X18" s="209">
        <v>11.519451570662699</v>
      </c>
      <c r="Y18" s="209">
        <v>7.8413098536029162</v>
      </c>
      <c r="Z18" s="209">
        <v>7.3972147894767417</v>
      </c>
      <c r="AA18" s="209">
        <v>7.3972147894767417</v>
      </c>
      <c r="AB18" s="209">
        <v>7.0259562857838622</v>
      </c>
      <c r="AC18" s="209">
        <v>6.4262310105876717</v>
      </c>
      <c r="AD18" s="210">
        <v>5.2267804601952914</v>
      </c>
      <c r="AE18" s="214">
        <v>31.231367887002168</v>
      </c>
      <c r="AF18" s="215">
        <v>19.71960978849722</v>
      </c>
      <c r="AG18" s="215">
        <v>11.240755124433118</v>
      </c>
      <c r="AH18" s="215">
        <v>7.6516007188772948</v>
      </c>
      <c r="AI18" s="215">
        <v>7.218948063824203</v>
      </c>
      <c r="AJ18" s="215">
        <v>7.218948063824203</v>
      </c>
      <c r="AK18" s="215">
        <v>6.8637074659241435</v>
      </c>
      <c r="AL18" s="215">
        <v>6.2898572693163546</v>
      </c>
      <c r="AM18" s="216">
        <v>5.1421568761007768</v>
      </c>
      <c r="AN18" s="214">
        <v>30.457036345691673</v>
      </c>
      <c r="AO18" s="215">
        <v>19.230693776338708</v>
      </c>
      <c r="AP18" s="215">
        <v>10.962058678203539</v>
      </c>
      <c r="AQ18" s="215">
        <v>7.4618915841516733</v>
      </c>
      <c r="AR18" s="215">
        <v>7.0406813381716651</v>
      </c>
      <c r="AS18" s="215">
        <v>7.0406813381716651</v>
      </c>
      <c r="AT18" s="215">
        <v>6.7014586460644257</v>
      </c>
      <c r="AU18" s="215">
        <v>6.1534835280450384</v>
      </c>
      <c r="AV18" s="216">
        <v>5.0575332920062639</v>
      </c>
      <c r="AW18" s="214">
        <v>29.682704804381178</v>
      </c>
      <c r="AX18" s="215">
        <v>18.741777764180195</v>
      </c>
      <c r="AY18" s="215">
        <v>10.683362231973959</v>
      </c>
      <c r="AZ18" s="215">
        <v>7.2721824494260519</v>
      </c>
      <c r="BA18" s="215">
        <v>6.8624146125191272</v>
      </c>
      <c r="BB18" s="215">
        <v>6.8624146125191272</v>
      </c>
      <c r="BC18" s="215">
        <v>6.5392098262047078</v>
      </c>
      <c r="BD18" s="215">
        <v>6.0171097867737213</v>
      </c>
      <c r="BE18" s="216">
        <v>4.9729097079117501</v>
      </c>
    </row>
    <row r="19" spans="1:58" x14ac:dyDescent="0.25">
      <c r="A19" s="331"/>
      <c r="B19" s="195" t="s">
        <v>104</v>
      </c>
      <c r="C19" s="195" t="s">
        <v>10</v>
      </c>
      <c r="D19" s="208">
        <v>0</v>
      </c>
      <c r="E19" s="209">
        <v>0</v>
      </c>
      <c r="F19" s="209">
        <v>0</v>
      </c>
      <c r="G19" s="209">
        <v>0</v>
      </c>
      <c r="H19" s="209">
        <v>0</v>
      </c>
      <c r="I19" s="209">
        <v>0</v>
      </c>
      <c r="J19" s="209">
        <v>1.8177407782710754E-3</v>
      </c>
      <c r="K19" s="209">
        <v>1.8177407782710754E-3</v>
      </c>
      <c r="L19" s="210">
        <v>1.8177407782710754E-3</v>
      </c>
      <c r="M19" s="208">
        <v>0</v>
      </c>
      <c r="N19" s="209">
        <v>0</v>
      </c>
      <c r="O19" s="209">
        <v>0</v>
      </c>
      <c r="P19" s="209">
        <v>0</v>
      </c>
      <c r="Q19" s="209">
        <v>0</v>
      </c>
      <c r="R19" s="209">
        <v>0</v>
      </c>
      <c r="S19" s="209">
        <v>2.1041043506444756E-3</v>
      </c>
      <c r="T19" s="209">
        <v>2.1041043506444756E-3</v>
      </c>
      <c r="U19" s="210">
        <v>2.1041043506444756E-3</v>
      </c>
      <c r="V19" s="208">
        <v>0</v>
      </c>
      <c r="W19" s="209">
        <v>0</v>
      </c>
      <c r="X19" s="209">
        <v>0</v>
      </c>
      <c r="Y19" s="209">
        <v>0</v>
      </c>
      <c r="Z19" s="209">
        <v>0</v>
      </c>
      <c r="AA19" s="209">
        <v>0</v>
      </c>
      <c r="AB19" s="209">
        <v>2.2616043154498459E-3</v>
      </c>
      <c r="AC19" s="209">
        <v>2.2616043154498459E-3</v>
      </c>
      <c r="AD19" s="210">
        <v>2.2616043154498459E-3</v>
      </c>
      <c r="AE19" s="214">
        <v>0</v>
      </c>
      <c r="AF19" s="215">
        <v>0</v>
      </c>
      <c r="AG19" s="215">
        <v>0</v>
      </c>
      <c r="AH19" s="215">
        <v>0</v>
      </c>
      <c r="AI19" s="215">
        <v>0</v>
      </c>
      <c r="AJ19" s="215">
        <v>0</v>
      </c>
      <c r="AK19" s="215">
        <v>2.3331952085431959E-3</v>
      </c>
      <c r="AL19" s="215">
        <v>2.3331952085431959E-3</v>
      </c>
      <c r="AM19" s="216">
        <v>2.3331952085431959E-3</v>
      </c>
      <c r="AN19" s="214">
        <v>0</v>
      </c>
      <c r="AO19" s="215">
        <v>0</v>
      </c>
      <c r="AP19" s="215">
        <v>0</v>
      </c>
      <c r="AQ19" s="215">
        <v>0</v>
      </c>
      <c r="AR19" s="215">
        <v>0</v>
      </c>
      <c r="AS19" s="215">
        <v>0</v>
      </c>
      <c r="AT19" s="215">
        <v>2.4047861016365463E-3</v>
      </c>
      <c r="AU19" s="215">
        <v>2.4047861016365463E-3</v>
      </c>
      <c r="AV19" s="216">
        <v>2.4047861016365463E-3</v>
      </c>
      <c r="AW19" s="214">
        <v>0</v>
      </c>
      <c r="AX19" s="215">
        <v>0</v>
      </c>
      <c r="AY19" s="215">
        <v>0</v>
      </c>
      <c r="AZ19" s="215">
        <v>0</v>
      </c>
      <c r="BA19" s="215">
        <v>0</v>
      </c>
      <c r="BB19" s="215">
        <v>0</v>
      </c>
      <c r="BC19" s="215">
        <v>2.4763769947298963E-3</v>
      </c>
      <c r="BD19" s="215">
        <v>2.4763769947298963E-3</v>
      </c>
      <c r="BE19" s="216">
        <v>2.4763769947298963E-3</v>
      </c>
    </row>
    <row r="20" spans="1:58" x14ac:dyDescent="0.25">
      <c r="A20" s="331"/>
      <c r="B20" s="195" t="s">
        <v>11</v>
      </c>
      <c r="C20" s="195" t="s">
        <v>10</v>
      </c>
      <c r="D20" s="208">
        <v>0</v>
      </c>
      <c r="E20" s="209">
        <v>0</v>
      </c>
      <c r="F20" s="209">
        <v>0</v>
      </c>
      <c r="G20" s="209">
        <v>0</v>
      </c>
      <c r="H20" s="209">
        <v>0</v>
      </c>
      <c r="I20" s="209">
        <v>0</v>
      </c>
      <c r="J20" s="209">
        <v>0</v>
      </c>
      <c r="K20" s="209">
        <v>0</v>
      </c>
      <c r="L20" s="210">
        <v>0</v>
      </c>
      <c r="M20" s="208">
        <v>0</v>
      </c>
      <c r="N20" s="209">
        <v>0</v>
      </c>
      <c r="O20" s="209">
        <v>0</v>
      </c>
      <c r="P20" s="209">
        <v>0</v>
      </c>
      <c r="Q20" s="209">
        <v>0</v>
      </c>
      <c r="R20" s="209">
        <v>0</v>
      </c>
      <c r="S20" s="209">
        <v>0</v>
      </c>
      <c r="T20" s="209">
        <v>0</v>
      </c>
      <c r="U20" s="210">
        <v>0</v>
      </c>
      <c r="V20" s="208">
        <v>0</v>
      </c>
      <c r="W20" s="209">
        <v>0</v>
      </c>
      <c r="X20" s="209">
        <v>0</v>
      </c>
      <c r="Y20" s="209">
        <v>0</v>
      </c>
      <c r="Z20" s="209">
        <v>0</v>
      </c>
      <c r="AA20" s="209">
        <v>0</v>
      </c>
      <c r="AB20" s="209">
        <v>0</v>
      </c>
      <c r="AC20" s="209">
        <v>0</v>
      </c>
      <c r="AD20" s="210">
        <v>0</v>
      </c>
      <c r="AE20" s="214">
        <v>0</v>
      </c>
      <c r="AF20" s="215">
        <v>0</v>
      </c>
      <c r="AG20" s="215">
        <v>0</v>
      </c>
      <c r="AH20" s="215">
        <v>0</v>
      </c>
      <c r="AI20" s="215">
        <v>0</v>
      </c>
      <c r="AJ20" s="215">
        <v>0</v>
      </c>
      <c r="AK20" s="215">
        <v>0</v>
      </c>
      <c r="AL20" s="215">
        <v>0</v>
      </c>
      <c r="AM20" s="216">
        <v>0</v>
      </c>
      <c r="AN20" s="214">
        <v>0</v>
      </c>
      <c r="AO20" s="215">
        <v>0</v>
      </c>
      <c r="AP20" s="215">
        <v>0</v>
      </c>
      <c r="AQ20" s="215">
        <v>0</v>
      </c>
      <c r="AR20" s="215">
        <v>0</v>
      </c>
      <c r="AS20" s="215">
        <v>0</v>
      </c>
      <c r="AT20" s="215">
        <v>0</v>
      </c>
      <c r="AU20" s="215">
        <v>0</v>
      </c>
      <c r="AV20" s="216">
        <v>0</v>
      </c>
      <c r="AW20" s="214">
        <v>0</v>
      </c>
      <c r="AX20" s="215">
        <v>0</v>
      </c>
      <c r="AY20" s="215">
        <v>0</v>
      </c>
      <c r="AZ20" s="215">
        <v>0</v>
      </c>
      <c r="BA20" s="215">
        <v>0</v>
      </c>
      <c r="BB20" s="215">
        <v>0</v>
      </c>
      <c r="BC20" s="215">
        <v>0</v>
      </c>
      <c r="BD20" s="215">
        <v>0</v>
      </c>
      <c r="BE20" s="216">
        <v>0</v>
      </c>
    </row>
    <row r="21" spans="1:58" x14ac:dyDescent="0.25">
      <c r="A21" s="331"/>
      <c r="B21" s="195" t="s">
        <v>12</v>
      </c>
      <c r="C21" s="195" t="s">
        <v>7</v>
      </c>
      <c r="D21" s="208">
        <v>0.66</v>
      </c>
      <c r="E21" s="209">
        <v>0.66</v>
      </c>
      <c r="F21" s="209">
        <v>0.66</v>
      </c>
      <c r="G21" s="209">
        <v>0.66</v>
      </c>
      <c r="H21" s="209">
        <v>0.66</v>
      </c>
      <c r="I21" s="209">
        <v>0.66</v>
      </c>
      <c r="J21" s="209">
        <v>0.66</v>
      </c>
      <c r="K21" s="209">
        <v>0.95899999999999996</v>
      </c>
      <c r="L21" s="210">
        <v>0.95899999999999996</v>
      </c>
      <c r="M21" s="208">
        <v>0.76000000000000023</v>
      </c>
      <c r="N21" s="209">
        <v>0.76000000000000023</v>
      </c>
      <c r="O21" s="209">
        <v>0.76000000000000023</v>
      </c>
      <c r="P21" s="209">
        <v>0.76000000000000023</v>
      </c>
      <c r="Q21" s="209">
        <v>0.76000000000000023</v>
      </c>
      <c r="R21" s="209">
        <v>0.76000000000000023</v>
      </c>
      <c r="S21" s="209">
        <v>0.76000000000000023</v>
      </c>
      <c r="T21" s="209">
        <v>0.95733333333333326</v>
      </c>
      <c r="U21" s="210">
        <v>0.95733333333333326</v>
      </c>
      <c r="V21" s="208">
        <v>0.81200000000000028</v>
      </c>
      <c r="W21" s="209">
        <v>0.81200000000000028</v>
      </c>
      <c r="X21" s="209">
        <v>0.81200000000000028</v>
      </c>
      <c r="Y21" s="209">
        <v>0.81200000000000028</v>
      </c>
      <c r="Z21" s="209">
        <v>0.81200000000000028</v>
      </c>
      <c r="AA21" s="209">
        <v>0.81200000000000028</v>
      </c>
      <c r="AB21" s="209">
        <v>0.81200000000000028</v>
      </c>
      <c r="AC21" s="209">
        <v>0.95641666666666658</v>
      </c>
      <c r="AD21" s="210">
        <v>0.95641666666666658</v>
      </c>
      <c r="AE21" s="217">
        <v>0.83200000000000029</v>
      </c>
      <c r="AF21" s="218">
        <v>0.83200000000000029</v>
      </c>
      <c r="AG21" s="218">
        <v>0.83200000000000029</v>
      </c>
      <c r="AH21" s="218">
        <v>0.83200000000000029</v>
      </c>
      <c r="AI21" s="218">
        <v>0.83200000000000029</v>
      </c>
      <c r="AJ21" s="218">
        <v>0.83200000000000029</v>
      </c>
      <c r="AK21" s="218">
        <v>0.83200000000000029</v>
      </c>
      <c r="AL21" s="218">
        <v>0.95599999999999996</v>
      </c>
      <c r="AM21" s="219">
        <v>0.95599999999999996</v>
      </c>
      <c r="AN21" s="217">
        <v>0.85200000000000031</v>
      </c>
      <c r="AO21" s="218">
        <v>0.85200000000000031</v>
      </c>
      <c r="AP21" s="218">
        <v>0.85200000000000031</v>
      </c>
      <c r="AQ21" s="218">
        <v>0.85200000000000031</v>
      </c>
      <c r="AR21" s="218">
        <v>0.85200000000000031</v>
      </c>
      <c r="AS21" s="218">
        <v>0.85200000000000031</v>
      </c>
      <c r="AT21" s="218">
        <v>0.85200000000000031</v>
      </c>
      <c r="AU21" s="218">
        <v>0.95558333333333323</v>
      </c>
      <c r="AV21" s="219">
        <v>0.95558333333333323</v>
      </c>
      <c r="AW21" s="217">
        <v>0.87200000000000033</v>
      </c>
      <c r="AX21" s="218">
        <v>0.87200000000000033</v>
      </c>
      <c r="AY21" s="218">
        <v>0.87200000000000033</v>
      </c>
      <c r="AZ21" s="218">
        <v>0.87200000000000033</v>
      </c>
      <c r="BA21" s="218">
        <v>0.87200000000000033</v>
      </c>
      <c r="BB21" s="218">
        <v>0.87200000000000033</v>
      </c>
      <c r="BC21" s="218">
        <v>0.87200000000000033</v>
      </c>
      <c r="BD21" s="218">
        <v>0.95516666666666661</v>
      </c>
      <c r="BE21" s="219">
        <v>0.95516666666666661</v>
      </c>
    </row>
    <row r="22" spans="1:58" x14ac:dyDescent="0.25">
      <c r="A22" s="331"/>
      <c r="B22" s="195" t="s">
        <v>13</v>
      </c>
      <c r="C22" s="195" t="s">
        <v>14</v>
      </c>
      <c r="D22" s="208"/>
      <c r="E22" s="209"/>
      <c r="F22" s="209"/>
      <c r="G22" s="209"/>
      <c r="H22" s="209"/>
      <c r="I22" s="209"/>
      <c r="J22" s="209"/>
      <c r="K22" s="209"/>
      <c r="L22" s="210"/>
      <c r="M22" s="208"/>
      <c r="N22" s="209"/>
      <c r="O22" s="209"/>
      <c r="P22" s="209"/>
      <c r="Q22" s="209"/>
      <c r="R22" s="209"/>
      <c r="S22" s="209"/>
      <c r="T22" s="209"/>
      <c r="U22" s="210"/>
      <c r="V22" s="208"/>
      <c r="W22" s="209"/>
      <c r="X22" s="209"/>
      <c r="Y22" s="209"/>
      <c r="Z22" s="209"/>
      <c r="AA22" s="209"/>
      <c r="AB22" s="209"/>
      <c r="AC22" s="209"/>
      <c r="AD22" s="210"/>
      <c r="AE22" s="211"/>
      <c r="AF22" s="212"/>
      <c r="AG22" s="212"/>
      <c r="AH22" s="212"/>
      <c r="AI22" s="212"/>
      <c r="AJ22" s="212"/>
      <c r="AK22" s="212"/>
      <c r="AL22" s="212"/>
      <c r="AM22" s="213"/>
      <c r="AN22" s="211"/>
      <c r="AO22" s="212"/>
      <c r="AP22" s="212"/>
      <c r="AQ22" s="212"/>
      <c r="AR22" s="212"/>
      <c r="AS22" s="212"/>
      <c r="AT22" s="212"/>
      <c r="AU22" s="212"/>
      <c r="AV22" s="213"/>
      <c r="AW22" s="211"/>
      <c r="AX22" s="212"/>
      <c r="AY22" s="212"/>
      <c r="AZ22" s="212"/>
      <c r="BA22" s="212"/>
      <c r="BB22" s="212"/>
      <c r="BC22" s="212"/>
      <c r="BD22" s="212"/>
      <c r="BE22" s="213"/>
    </row>
    <row r="23" spans="1:58" ht="15.75" thickBot="1" x14ac:dyDescent="0.3">
      <c r="A23" s="358"/>
      <c r="B23" s="359" t="s">
        <v>15</v>
      </c>
      <c r="C23" s="359" t="s">
        <v>4</v>
      </c>
      <c r="D23" s="360"/>
      <c r="E23" s="361"/>
      <c r="F23" s="361"/>
      <c r="G23" s="361"/>
      <c r="H23" s="361"/>
      <c r="I23" s="361"/>
      <c r="J23" s="361"/>
      <c r="K23" s="361"/>
      <c r="L23" s="362"/>
      <c r="M23" s="360"/>
      <c r="N23" s="361"/>
      <c r="O23" s="361"/>
      <c r="P23" s="361"/>
      <c r="Q23" s="361"/>
      <c r="R23" s="361"/>
      <c r="S23" s="361"/>
      <c r="T23" s="361"/>
      <c r="U23" s="362"/>
      <c r="V23" s="360"/>
      <c r="W23" s="361"/>
      <c r="X23" s="361"/>
      <c r="Y23" s="361"/>
      <c r="Z23" s="361"/>
      <c r="AA23" s="361"/>
      <c r="AB23" s="361"/>
      <c r="AC23" s="361"/>
      <c r="AD23" s="362"/>
      <c r="AE23" s="363"/>
      <c r="AF23" s="364"/>
      <c r="AG23" s="364"/>
      <c r="AH23" s="364"/>
      <c r="AI23" s="364"/>
      <c r="AJ23" s="364"/>
      <c r="AK23" s="364"/>
      <c r="AL23" s="364"/>
      <c r="AM23" s="365"/>
      <c r="AN23" s="363"/>
      <c r="AO23" s="364"/>
      <c r="AP23" s="364"/>
      <c r="AQ23" s="364"/>
      <c r="AR23" s="364"/>
      <c r="AS23" s="364"/>
      <c r="AT23" s="364"/>
      <c r="AU23" s="364"/>
      <c r="AV23" s="365"/>
      <c r="AW23" s="363"/>
      <c r="AX23" s="364"/>
      <c r="AY23" s="364"/>
      <c r="AZ23" s="364"/>
      <c r="BA23" s="364"/>
      <c r="BB23" s="364"/>
      <c r="BC23" s="364"/>
      <c r="BD23" s="364"/>
      <c r="BE23" s="365"/>
    </row>
    <row r="24" spans="1:58" x14ac:dyDescent="0.25">
      <c r="A24" s="339" t="s">
        <v>144</v>
      </c>
      <c r="B24" s="340" t="s">
        <v>101</v>
      </c>
      <c r="C24" s="340" t="s">
        <v>4</v>
      </c>
      <c r="D24" s="341">
        <v>20</v>
      </c>
      <c r="E24" s="342">
        <v>20</v>
      </c>
      <c r="F24" s="342">
        <v>20</v>
      </c>
      <c r="G24" s="342">
        <v>20</v>
      </c>
      <c r="H24" s="342">
        <v>20</v>
      </c>
      <c r="I24" s="342">
        <v>20</v>
      </c>
      <c r="J24" s="342">
        <v>20</v>
      </c>
      <c r="K24" s="342">
        <v>20</v>
      </c>
      <c r="L24" s="343">
        <v>20</v>
      </c>
      <c r="M24" s="341">
        <v>20</v>
      </c>
      <c r="N24" s="342">
        <v>20</v>
      </c>
      <c r="O24" s="342">
        <v>20</v>
      </c>
      <c r="P24" s="342">
        <v>20</v>
      </c>
      <c r="Q24" s="342">
        <v>20</v>
      </c>
      <c r="R24" s="342">
        <v>20</v>
      </c>
      <c r="S24" s="342">
        <v>20</v>
      </c>
      <c r="T24" s="342">
        <v>20</v>
      </c>
      <c r="U24" s="343">
        <v>20</v>
      </c>
      <c r="V24" s="341">
        <v>20</v>
      </c>
      <c r="W24" s="342">
        <v>20</v>
      </c>
      <c r="X24" s="342">
        <v>20</v>
      </c>
      <c r="Y24" s="342">
        <v>20</v>
      </c>
      <c r="Z24" s="342">
        <v>20</v>
      </c>
      <c r="AA24" s="342">
        <v>20</v>
      </c>
      <c r="AB24" s="342">
        <v>20</v>
      </c>
      <c r="AC24" s="342">
        <v>20</v>
      </c>
      <c r="AD24" s="343">
        <v>20</v>
      </c>
      <c r="AE24" s="344">
        <v>20</v>
      </c>
      <c r="AF24" s="345">
        <v>20</v>
      </c>
      <c r="AG24" s="345">
        <v>20</v>
      </c>
      <c r="AH24" s="345">
        <v>20</v>
      </c>
      <c r="AI24" s="345">
        <v>20</v>
      </c>
      <c r="AJ24" s="345">
        <v>20</v>
      </c>
      <c r="AK24" s="345">
        <v>20</v>
      </c>
      <c r="AL24" s="345">
        <v>20</v>
      </c>
      <c r="AM24" s="346">
        <v>20</v>
      </c>
      <c r="AN24" s="344">
        <v>20</v>
      </c>
      <c r="AO24" s="345">
        <v>20</v>
      </c>
      <c r="AP24" s="345">
        <v>20</v>
      </c>
      <c r="AQ24" s="345">
        <v>20</v>
      </c>
      <c r="AR24" s="345">
        <v>20</v>
      </c>
      <c r="AS24" s="345">
        <v>20</v>
      </c>
      <c r="AT24" s="345">
        <v>20</v>
      </c>
      <c r="AU24" s="345">
        <v>20</v>
      </c>
      <c r="AV24" s="346">
        <v>20</v>
      </c>
      <c r="AW24" s="344">
        <v>20</v>
      </c>
      <c r="AX24" s="345">
        <v>20</v>
      </c>
      <c r="AY24" s="345">
        <v>20</v>
      </c>
      <c r="AZ24" s="345">
        <v>20</v>
      </c>
      <c r="BA24" s="345">
        <v>20</v>
      </c>
      <c r="BB24" s="345">
        <v>20</v>
      </c>
      <c r="BC24" s="345">
        <v>20</v>
      </c>
      <c r="BD24" s="345">
        <v>20</v>
      </c>
      <c r="BE24" s="346">
        <v>20</v>
      </c>
      <c r="BF24" s="30"/>
    </row>
    <row r="25" spans="1:58" x14ac:dyDescent="0.25">
      <c r="A25" s="330"/>
      <c r="B25" s="193" t="s">
        <v>5</v>
      </c>
      <c r="C25" s="193" t="s">
        <v>6</v>
      </c>
      <c r="D25" s="196">
        <v>939.47924488610727</v>
      </c>
      <c r="E25" s="197">
        <v>670.86780042435419</v>
      </c>
      <c r="F25" s="197">
        <v>523.42631254470632</v>
      </c>
      <c r="G25" s="197">
        <v>523.42631254470632</v>
      </c>
      <c r="H25" s="197">
        <v>523.42631254470632</v>
      </c>
      <c r="I25" s="197">
        <v>523.42631254470632</v>
      </c>
      <c r="J25" s="197">
        <v>1136.3124641115969</v>
      </c>
      <c r="K25" s="197">
        <v>988.42533284709032</v>
      </c>
      <c r="L25" s="198">
        <v>868.76381718516643</v>
      </c>
      <c r="M25" s="196">
        <v>865.6981523557846</v>
      </c>
      <c r="N25" s="197">
        <v>618.18184751144668</v>
      </c>
      <c r="O25" s="197">
        <v>482.31953407260886</v>
      </c>
      <c r="P25" s="197">
        <v>482.31953407260886</v>
      </c>
      <c r="Q25" s="197">
        <v>482.31953407260886</v>
      </c>
      <c r="R25" s="197">
        <v>482.31953407260886</v>
      </c>
      <c r="S25" s="197">
        <v>1136.3124641115969</v>
      </c>
      <c r="T25" s="197">
        <v>988.42533284709032</v>
      </c>
      <c r="U25" s="198">
        <v>868.76381718516643</v>
      </c>
      <c r="V25" s="196">
        <v>822.90511868819738</v>
      </c>
      <c r="W25" s="197">
        <v>587.62399482196031</v>
      </c>
      <c r="X25" s="197">
        <v>458.47760255879234</v>
      </c>
      <c r="Y25" s="197">
        <v>458.47760255879234</v>
      </c>
      <c r="Z25" s="197">
        <v>458.47760255879234</v>
      </c>
      <c r="AA25" s="197">
        <v>458.47760255879234</v>
      </c>
      <c r="AB25" s="197">
        <v>1133.7480098003448</v>
      </c>
      <c r="AC25" s="197">
        <v>986.22674801231153</v>
      </c>
      <c r="AD25" s="198">
        <v>866.85752357634294</v>
      </c>
      <c r="AE25" s="202">
        <v>800.77079092910083</v>
      </c>
      <c r="AF25" s="203">
        <v>571.81820894808823</v>
      </c>
      <c r="AG25" s="203">
        <v>446.14556901716315</v>
      </c>
      <c r="AH25" s="203">
        <v>446.14556901716315</v>
      </c>
      <c r="AI25" s="203">
        <v>446.14556901716315</v>
      </c>
      <c r="AJ25" s="203">
        <v>446.14556901716315</v>
      </c>
      <c r="AK25" s="203">
        <v>1129.4706178785063</v>
      </c>
      <c r="AL25" s="203">
        <v>982.55924743473179</v>
      </c>
      <c r="AM25" s="204">
        <v>863.67730421521264</v>
      </c>
      <c r="AN25" s="202">
        <v>778.63646317000416</v>
      </c>
      <c r="AO25" s="203">
        <v>556.01242307421592</v>
      </c>
      <c r="AP25" s="203">
        <v>433.81353547553391</v>
      </c>
      <c r="AQ25" s="203">
        <v>433.81353547553391</v>
      </c>
      <c r="AR25" s="203">
        <v>433.81353547553391</v>
      </c>
      <c r="AS25" s="203">
        <v>433.81353547553391</v>
      </c>
      <c r="AT25" s="203">
        <v>1125.1890967142162</v>
      </c>
      <c r="AU25" s="203">
        <v>978.8877535076831</v>
      </c>
      <c r="AV25" s="204">
        <v>860.49325281850611</v>
      </c>
      <c r="AW25" s="202">
        <v>756.50213541090761</v>
      </c>
      <c r="AX25" s="203">
        <v>540.20663720034383</v>
      </c>
      <c r="AY25" s="203">
        <v>421.48150193390472</v>
      </c>
      <c r="AZ25" s="203">
        <v>421.48150193390472</v>
      </c>
      <c r="BA25" s="203">
        <v>421.48150193390472</v>
      </c>
      <c r="BB25" s="203">
        <v>421.48150193390472</v>
      </c>
      <c r="BC25" s="203">
        <v>1120.903443434433</v>
      </c>
      <c r="BD25" s="203">
        <v>975.21226311391229</v>
      </c>
      <c r="BE25" s="204">
        <v>857.30536609258718</v>
      </c>
    </row>
    <row r="26" spans="1:58" x14ac:dyDescent="0.25">
      <c r="A26" s="330"/>
      <c r="B26" s="193" t="s">
        <v>172</v>
      </c>
      <c r="C26" s="193" t="s">
        <v>19</v>
      </c>
      <c r="D26" s="196">
        <v>0.35</v>
      </c>
      <c r="E26" s="197">
        <v>0.35</v>
      </c>
      <c r="F26" s="197">
        <v>0.35</v>
      </c>
      <c r="G26" s="197">
        <v>0.35</v>
      </c>
      <c r="H26" s="197">
        <v>0.35</v>
      </c>
      <c r="I26" s="197">
        <v>0.35</v>
      </c>
      <c r="J26" s="197">
        <v>0.35</v>
      </c>
      <c r="K26" s="197">
        <v>0.35</v>
      </c>
      <c r="L26" s="198">
        <v>0.35</v>
      </c>
      <c r="M26" s="196">
        <v>0.35</v>
      </c>
      <c r="N26" s="197">
        <v>0.35</v>
      </c>
      <c r="O26" s="197">
        <v>0.35</v>
      </c>
      <c r="P26" s="197">
        <v>0.35</v>
      </c>
      <c r="Q26" s="197">
        <v>0.35</v>
      </c>
      <c r="R26" s="197">
        <v>0.35</v>
      </c>
      <c r="S26" s="197">
        <v>0.35</v>
      </c>
      <c r="T26" s="197">
        <v>0.35</v>
      </c>
      <c r="U26" s="198">
        <v>0.35</v>
      </c>
      <c r="V26" s="196">
        <v>0</v>
      </c>
      <c r="W26" s="197">
        <v>0</v>
      </c>
      <c r="X26" s="197">
        <v>0</v>
      </c>
      <c r="Y26" s="197">
        <v>0</v>
      </c>
      <c r="Z26" s="197">
        <v>0</v>
      </c>
      <c r="AA26" s="197">
        <v>0</v>
      </c>
      <c r="AB26" s="197">
        <v>0</v>
      </c>
      <c r="AC26" s="197">
        <v>0</v>
      </c>
      <c r="AD26" s="198">
        <v>0</v>
      </c>
      <c r="AE26" s="205">
        <v>0</v>
      </c>
      <c r="AF26" s="206">
        <v>0</v>
      </c>
      <c r="AG26" s="206">
        <v>0</v>
      </c>
      <c r="AH26" s="206">
        <v>0</v>
      </c>
      <c r="AI26" s="206">
        <v>0</v>
      </c>
      <c r="AJ26" s="206">
        <v>0</v>
      </c>
      <c r="AK26" s="206">
        <v>0</v>
      </c>
      <c r="AL26" s="206">
        <v>0</v>
      </c>
      <c r="AM26" s="207">
        <v>0</v>
      </c>
      <c r="AN26" s="205">
        <v>0</v>
      </c>
      <c r="AO26" s="206">
        <v>0</v>
      </c>
      <c r="AP26" s="206">
        <v>0</v>
      </c>
      <c r="AQ26" s="206">
        <v>0</v>
      </c>
      <c r="AR26" s="206">
        <v>0</v>
      </c>
      <c r="AS26" s="206">
        <v>0</v>
      </c>
      <c r="AT26" s="206">
        <v>0</v>
      </c>
      <c r="AU26" s="206">
        <v>0</v>
      </c>
      <c r="AV26" s="207">
        <v>0</v>
      </c>
      <c r="AW26" s="205">
        <v>0</v>
      </c>
      <c r="AX26" s="206">
        <v>0</v>
      </c>
      <c r="AY26" s="206">
        <v>0</v>
      </c>
      <c r="AZ26" s="206">
        <v>0</v>
      </c>
      <c r="BA26" s="206">
        <v>0</v>
      </c>
      <c r="BB26" s="206">
        <v>0</v>
      </c>
      <c r="BC26" s="206">
        <v>0</v>
      </c>
      <c r="BD26" s="206">
        <v>0</v>
      </c>
      <c r="BE26" s="207">
        <v>0</v>
      </c>
    </row>
    <row r="27" spans="1:58" x14ac:dyDescent="0.25">
      <c r="A27" s="330"/>
      <c r="B27" s="193" t="s">
        <v>102</v>
      </c>
      <c r="C27" s="193" t="s">
        <v>8</v>
      </c>
      <c r="D27" s="196"/>
      <c r="E27" s="197"/>
      <c r="F27" s="197"/>
      <c r="G27" s="197"/>
      <c r="H27" s="197"/>
      <c r="I27" s="197"/>
      <c r="J27" s="197"/>
      <c r="K27" s="197"/>
      <c r="L27" s="198"/>
      <c r="M27" s="196"/>
      <c r="N27" s="197"/>
      <c r="O27" s="197"/>
      <c r="P27" s="197"/>
      <c r="Q27" s="197"/>
      <c r="R27" s="197"/>
      <c r="S27" s="197"/>
      <c r="T27" s="197"/>
      <c r="U27" s="198"/>
      <c r="V27" s="196"/>
      <c r="W27" s="197"/>
      <c r="X27" s="197"/>
      <c r="Y27" s="197"/>
      <c r="Z27" s="197"/>
      <c r="AA27" s="197"/>
      <c r="AB27" s="197"/>
      <c r="AC27" s="197"/>
      <c r="AD27" s="198"/>
      <c r="AE27" s="199"/>
      <c r="AF27" s="200"/>
      <c r="AG27" s="200"/>
      <c r="AH27" s="200"/>
      <c r="AI27" s="200"/>
      <c r="AJ27" s="200"/>
      <c r="AK27" s="200"/>
      <c r="AL27" s="200"/>
      <c r="AM27" s="201"/>
      <c r="AN27" s="199"/>
      <c r="AO27" s="200"/>
      <c r="AP27" s="200"/>
      <c r="AQ27" s="200"/>
      <c r="AR27" s="200"/>
      <c r="AS27" s="200"/>
      <c r="AT27" s="200"/>
      <c r="AU27" s="200"/>
      <c r="AV27" s="201"/>
      <c r="AW27" s="199"/>
      <c r="AX27" s="200"/>
      <c r="AY27" s="200"/>
      <c r="AZ27" s="200"/>
      <c r="BA27" s="200"/>
      <c r="BB27" s="200"/>
      <c r="BC27" s="200"/>
      <c r="BD27" s="200"/>
      <c r="BE27" s="201"/>
    </row>
    <row r="28" spans="1:58" x14ac:dyDescent="0.25">
      <c r="A28" s="330"/>
      <c r="B28" s="193" t="s">
        <v>103</v>
      </c>
      <c r="C28" s="193" t="s">
        <v>9</v>
      </c>
      <c r="D28" s="196">
        <v>14.092188673291609</v>
      </c>
      <c r="E28" s="197">
        <v>10.063017006365312</v>
      </c>
      <c r="F28" s="197">
        <v>7.8513946881705952</v>
      </c>
      <c r="G28" s="197">
        <v>7.8513946881705952</v>
      </c>
      <c r="H28" s="197">
        <v>7.8513946881705952</v>
      </c>
      <c r="I28" s="197">
        <v>7.8513946881705952</v>
      </c>
      <c r="J28" s="197">
        <v>1.91</v>
      </c>
      <c r="K28" s="197">
        <v>1.91</v>
      </c>
      <c r="L28" s="198">
        <v>1.91</v>
      </c>
      <c r="M28" s="196">
        <v>12.985472285336769</v>
      </c>
      <c r="N28" s="197">
        <v>9.2727277126716992</v>
      </c>
      <c r="O28" s="197">
        <v>7.234793011089133</v>
      </c>
      <c r="P28" s="197">
        <v>7.234793011089133</v>
      </c>
      <c r="Q28" s="197">
        <v>7.234793011089133</v>
      </c>
      <c r="R28" s="197">
        <v>7.234793011089133</v>
      </c>
      <c r="S28" s="197">
        <v>1.76</v>
      </c>
      <c r="T28" s="197">
        <v>1.76</v>
      </c>
      <c r="U28" s="198">
        <v>1.76</v>
      </c>
      <c r="V28" s="196">
        <v>12.343576780322961</v>
      </c>
      <c r="W28" s="197">
        <v>8.8143599223294036</v>
      </c>
      <c r="X28" s="197">
        <v>6.8771640383818848</v>
      </c>
      <c r="Y28" s="197">
        <v>6.8771640383818848</v>
      </c>
      <c r="Z28" s="197">
        <v>6.8771640383818848</v>
      </c>
      <c r="AA28" s="197">
        <v>6.8771640383818848</v>
      </c>
      <c r="AB28" s="197">
        <v>1.673</v>
      </c>
      <c r="AC28" s="197">
        <v>1.673</v>
      </c>
      <c r="AD28" s="198">
        <v>1.673</v>
      </c>
      <c r="AE28" s="202">
        <v>12.011561863936512</v>
      </c>
      <c r="AF28" s="203">
        <v>8.5772731342213238</v>
      </c>
      <c r="AG28" s="203">
        <v>6.6921835352574464</v>
      </c>
      <c r="AH28" s="203">
        <v>6.6921835352574464</v>
      </c>
      <c r="AI28" s="203">
        <v>6.6921835352574464</v>
      </c>
      <c r="AJ28" s="203">
        <v>6.6921835352574464</v>
      </c>
      <c r="AK28" s="203">
        <v>1.6279999999999999</v>
      </c>
      <c r="AL28" s="203">
        <v>1.6279999999999999</v>
      </c>
      <c r="AM28" s="204">
        <v>1.6279999999999999</v>
      </c>
      <c r="AN28" s="202">
        <v>11.679546947550062</v>
      </c>
      <c r="AO28" s="203">
        <v>8.3401863461132386</v>
      </c>
      <c r="AP28" s="203">
        <v>6.5072030321330079</v>
      </c>
      <c r="AQ28" s="203">
        <v>6.5072030321330079</v>
      </c>
      <c r="AR28" s="203">
        <v>6.5072030321330079</v>
      </c>
      <c r="AS28" s="203">
        <v>6.5072030321330079</v>
      </c>
      <c r="AT28" s="203">
        <v>1.583</v>
      </c>
      <c r="AU28" s="203">
        <v>1.583</v>
      </c>
      <c r="AV28" s="204">
        <v>1.583</v>
      </c>
      <c r="AW28" s="202">
        <v>11.347532031163613</v>
      </c>
      <c r="AX28" s="203">
        <v>8.103099558005157</v>
      </c>
      <c r="AY28" s="203">
        <v>6.3222225290085703</v>
      </c>
      <c r="AZ28" s="203">
        <v>6.3222225290085703</v>
      </c>
      <c r="BA28" s="203">
        <v>6.3222225290085703</v>
      </c>
      <c r="BB28" s="203">
        <v>6.3222225290085703</v>
      </c>
      <c r="BC28" s="203">
        <v>1.538</v>
      </c>
      <c r="BD28" s="203">
        <v>1.538</v>
      </c>
      <c r="BE28" s="204">
        <v>1.538</v>
      </c>
    </row>
    <row r="29" spans="1:58" x14ac:dyDescent="0.25">
      <c r="A29" s="330"/>
      <c r="B29" s="193" t="s">
        <v>104</v>
      </c>
      <c r="C29" s="193" t="s">
        <v>10</v>
      </c>
      <c r="D29" s="196">
        <v>0</v>
      </c>
      <c r="E29" s="197">
        <v>0</v>
      </c>
      <c r="F29" s="197">
        <v>0</v>
      </c>
      <c r="G29" s="197">
        <v>0</v>
      </c>
      <c r="H29" s="197">
        <v>0</v>
      </c>
      <c r="I29" s="197">
        <v>0</v>
      </c>
      <c r="J29" s="197">
        <v>2.1700000000000001E-3</v>
      </c>
      <c r="K29" s="197">
        <v>2.1700000000000001E-3</v>
      </c>
      <c r="L29" s="198">
        <v>2.1700000000000001E-3</v>
      </c>
      <c r="M29" s="196">
        <v>0</v>
      </c>
      <c r="N29" s="197">
        <v>0</v>
      </c>
      <c r="O29" s="197">
        <v>0</v>
      </c>
      <c r="P29" s="197">
        <v>0</v>
      </c>
      <c r="Q29" s="197">
        <v>0</v>
      </c>
      <c r="R29" s="197">
        <v>0</v>
      </c>
      <c r="S29" s="197">
        <v>2.1199999999999999E-3</v>
      </c>
      <c r="T29" s="197">
        <v>2.1199999999999999E-3</v>
      </c>
      <c r="U29" s="198">
        <v>2.1199999999999999E-3</v>
      </c>
      <c r="V29" s="196">
        <v>0</v>
      </c>
      <c r="W29" s="197">
        <v>0</v>
      </c>
      <c r="X29" s="197">
        <v>0</v>
      </c>
      <c r="Y29" s="197">
        <v>0</v>
      </c>
      <c r="Z29" s="197">
        <v>0</v>
      </c>
      <c r="AA29" s="197">
        <v>0</v>
      </c>
      <c r="AB29" s="197">
        <v>2.085E-3</v>
      </c>
      <c r="AC29" s="197">
        <v>2.085E-3</v>
      </c>
      <c r="AD29" s="198">
        <v>2.085E-3</v>
      </c>
      <c r="AE29" s="202">
        <v>0</v>
      </c>
      <c r="AF29" s="203">
        <v>0</v>
      </c>
      <c r="AG29" s="203">
        <v>0</v>
      </c>
      <c r="AH29" s="203">
        <v>0</v>
      </c>
      <c r="AI29" s="203">
        <v>0</v>
      </c>
      <c r="AJ29" s="203">
        <v>0</v>
      </c>
      <c r="AK29" s="203">
        <v>2.0599999999999998E-3</v>
      </c>
      <c r="AL29" s="203">
        <v>2.0599999999999998E-3</v>
      </c>
      <c r="AM29" s="204">
        <v>2.0599999999999998E-3</v>
      </c>
      <c r="AN29" s="202">
        <v>0</v>
      </c>
      <c r="AO29" s="203">
        <v>0</v>
      </c>
      <c r="AP29" s="203">
        <v>0</v>
      </c>
      <c r="AQ29" s="203">
        <v>0</v>
      </c>
      <c r="AR29" s="203">
        <v>0</v>
      </c>
      <c r="AS29" s="203">
        <v>0</v>
      </c>
      <c r="AT29" s="203">
        <v>2.0349999999999999E-3</v>
      </c>
      <c r="AU29" s="203">
        <v>2.0349999999999999E-3</v>
      </c>
      <c r="AV29" s="204">
        <v>2.0349999999999999E-3</v>
      </c>
      <c r="AW29" s="202">
        <v>0</v>
      </c>
      <c r="AX29" s="203">
        <v>0</v>
      </c>
      <c r="AY29" s="203">
        <v>0</v>
      </c>
      <c r="AZ29" s="203">
        <v>0</v>
      </c>
      <c r="BA29" s="203">
        <v>0</v>
      </c>
      <c r="BB29" s="203">
        <v>0</v>
      </c>
      <c r="BC29" s="203">
        <v>2.0100000000000001E-3</v>
      </c>
      <c r="BD29" s="203">
        <v>2.0100000000000001E-3</v>
      </c>
      <c r="BE29" s="204">
        <v>2.0100000000000001E-3</v>
      </c>
    </row>
    <row r="30" spans="1:58" x14ac:dyDescent="0.25">
      <c r="A30" s="330"/>
      <c r="B30" s="193" t="s">
        <v>105</v>
      </c>
      <c r="C30" s="193" t="s">
        <v>320</v>
      </c>
      <c r="D30" s="196">
        <v>0</v>
      </c>
      <c r="E30" s="197">
        <v>0</v>
      </c>
      <c r="F30" s="197">
        <v>0</v>
      </c>
      <c r="G30" s="197">
        <v>0</v>
      </c>
      <c r="H30" s="197">
        <v>0</v>
      </c>
      <c r="I30" s="197">
        <v>0</v>
      </c>
      <c r="J30" s="197">
        <v>0</v>
      </c>
      <c r="K30" s="197">
        <v>0</v>
      </c>
      <c r="L30" s="198">
        <v>0</v>
      </c>
      <c r="M30" s="196">
        <v>0</v>
      </c>
      <c r="N30" s="197">
        <v>0</v>
      </c>
      <c r="O30" s="197">
        <v>0</v>
      </c>
      <c r="P30" s="197">
        <v>0</v>
      </c>
      <c r="Q30" s="197">
        <v>0</v>
      </c>
      <c r="R30" s="197">
        <v>0</v>
      </c>
      <c r="S30" s="197">
        <v>0</v>
      </c>
      <c r="T30" s="197">
        <v>0</v>
      </c>
      <c r="U30" s="198">
        <v>0</v>
      </c>
      <c r="V30" s="196">
        <v>0</v>
      </c>
      <c r="W30" s="197">
        <v>0</v>
      </c>
      <c r="X30" s="197">
        <v>0</v>
      </c>
      <c r="Y30" s="197">
        <v>0</v>
      </c>
      <c r="Z30" s="197">
        <v>0</v>
      </c>
      <c r="AA30" s="197">
        <v>0</v>
      </c>
      <c r="AB30" s="197">
        <v>0</v>
      </c>
      <c r="AC30" s="197">
        <v>0</v>
      </c>
      <c r="AD30" s="198">
        <v>0</v>
      </c>
      <c r="AE30" s="202">
        <v>0</v>
      </c>
      <c r="AF30" s="203">
        <v>0</v>
      </c>
      <c r="AG30" s="203">
        <v>0</v>
      </c>
      <c r="AH30" s="203">
        <v>0</v>
      </c>
      <c r="AI30" s="203">
        <v>0</v>
      </c>
      <c r="AJ30" s="203">
        <v>0</v>
      </c>
      <c r="AK30" s="203">
        <v>0</v>
      </c>
      <c r="AL30" s="203">
        <v>0</v>
      </c>
      <c r="AM30" s="204">
        <v>0</v>
      </c>
      <c r="AN30" s="202">
        <v>0</v>
      </c>
      <c r="AO30" s="203">
        <v>0</v>
      </c>
      <c r="AP30" s="203">
        <v>0</v>
      </c>
      <c r="AQ30" s="203">
        <v>0</v>
      </c>
      <c r="AR30" s="203">
        <v>0</v>
      </c>
      <c r="AS30" s="203">
        <v>0</v>
      </c>
      <c r="AT30" s="203">
        <v>0</v>
      </c>
      <c r="AU30" s="203">
        <v>0</v>
      </c>
      <c r="AV30" s="204">
        <v>0</v>
      </c>
      <c r="AW30" s="202">
        <v>0</v>
      </c>
      <c r="AX30" s="203">
        <v>0</v>
      </c>
      <c r="AY30" s="203">
        <v>0</v>
      </c>
      <c r="AZ30" s="203">
        <v>0</v>
      </c>
      <c r="BA30" s="203">
        <v>0</v>
      </c>
      <c r="BB30" s="203">
        <v>0</v>
      </c>
      <c r="BC30" s="203">
        <v>0</v>
      </c>
      <c r="BD30" s="203">
        <v>0</v>
      </c>
      <c r="BE30" s="204">
        <v>0</v>
      </c>
    </row>
    <row r="31" spans="1:58" x14ac:dyDescent="0.25">
      <c r="A31" s="330"/>
      <c r="B31" s="193" t="s">
        <v>11</v>
      </c>
      <c r="C31" s="193" t="s">
        <v>10</v>
      </c>
      <c r="D31" s="196">
        <v>0</v>
      </c>
      <c r="E31" s="197">
        <v>0</v>
      </c>
      <c r="F31" s="197">
        <v>0</v>
      </c>
      <c r="G31" s="197">
        <v>0</v>
      </c>
      <c r="H31" s="197">
        <v>0</v>
      </c>
      <c r="I31" s="197">
        <v>0</v>
      </c>
      <c r="J31" s="197">
        <v>0</v>
      </c>
      <c r="K31" s="197">
        <v>0</v>
      </c>
      <c r="L31" s="198">
        <v>0</v>
      </c>
      <c r="M31" s="196">
        <v>0</v>
      </c>
      <c r="N31" s="197">
        <v>0</v>
      </c>
      <c r="O31" s="197">
        <v>0</v>
      </c>
      <c r="P31" s="197">
        <v>0</v>
      </c>
      <c r="Q31" s="197">
        <v>0</v>
      </c>
      <c r="R31" s="197">
        <v>0</v>
      </c>
      <c r="S31" s="197">
        <v>0</v>
      </c>
      <c r="T31" s="197">
        <v>0</v>
      </c>
      <c r="U31" s="198">
        <v>0</v>
      </c>
      <c r="V31" s="196">
        <v>0</v>
      </c>
      <c r="W31" s="197">
        <v>0</v>
      </c>
      <c r="X31" s="197">
        <v>0</v>
      </c>
      <c r="Y31" s="197">
        <v>0</v>
      </c>
      <c r="Z31" s="197">
        <v>0</v>
      </c>
      <c r="AA31" s="197">
        <v>0</v>
      </c>
      <c r="AB31" s="197">
        <v>0</v>
      </c>
      <c r="AC31" s="197">
        <v>0</v>
      </c>
      <c r="AD31" s="198">
        <v>0</v>
      </c>
      <c r="AE31" s="202">
        <v>0</v>
      </c>
      <c r="AF31" s="203">
        <v>0</v>
      </c>
      <c r="AG31" s="203">
        <v>0</v>
      </c>
      <c r="AH31" s="203">
        <v>0</v>
      </c>
      <c r="AI31" s="203">
        <v>0</v>
      </c>
      <c r="AJ31" s="203">
        <v>0</v>
      </c>
      <c r="AK31" s="203">
        <v>0</v>
      </c>
      <c r="AL31" s="203">
        <v>0</v>
      </c>
      <c r="AM31" s="204">
        <v>0</v>
      </c>
      <c r="AN31" s="202">
        <v>0</v>
      </c>
      <c r="AO31" s="203">
        <v>0</v>
      </c>
      <c r="AP31" s="203">
        <v>0</v>
      </c>
      <c r="AQ31" s="203">
        <v>0</v>
      </c>
      <c r="AR31" s="203">
        <v>0</v>
      </c>
      <c r="AS31" s="203">
        <v>0</v>
      </c>
      <c r="AT31" s="203">
        <v>0</v>
      </c>
      <c r="AU31" s="203">
        <v>0</v>
      </c>
      <c r="AV31" s="204">
        <v>0</v>
      </c>
      <c r="AW31" s="202">
        <v>0</v>
      </c>
      <c r="AX31" s="203">
        <v>0</v>
      </c>
      <c r="AY31" s="203">
        <v>0</v>
      </c>
      <c r="AZ31" s="203">
        <v>0</v>
      </c>
      <c r="BA31" s="203">
        <v>0</v>
      </c>
      <c r="BB31" s="203">
        <v>0</v>
      </c>
      <c r="BC31" s="203">
        <v>0</v>
      </c>
      <c r="BD31" s="203">
        <v>0</v>
      </c>
      <c r="BE31" s="204">
        <v>0</v>
      </c>
    </row>
    <row r="32" spans="1:58" x14ac:dyDescent="0.25">
      <c r="A32" s="330"/>
      <c r="B32" s="193" t="s">
        <v>18</v>
      </c>
      <c r="C32" s="193" t="s">
        <v>19</v>
      </c>
      <c r="D32" s="196">
        <v>3.59</v>
      </c>
      <c r="E32" s="197">
        <v>3.59</v>
      </c>
      <c r="F32" s="197">
        <v>3.59</v>
      </c>
      <c r="G32" s="197">
        <v>3.59</v>
      </c>
      <c r="H32" s="197">
        <v>3.59</v>
      </c>
      <c r="I32" s="197">
        <v>3.59</v>
      </c>
      <c r="J32" s="197">
        <v>3.59</v>
      </c>
      <c r="K32" s="197">
        <v>3.59</v>
      </c>
      <c r="L32" s="198">
        <v>3.59</v>
      </c>
      <c r="M32" s="196">
        <v>3.7399999999999998</v>
      </c>
      <c r="N32" s="197">
        <v>3.7399999999999998</v>
      </c>
      <c r="O32" s="197">
        <v>3.7399999999999998</v>
      </c>
      <c r="P32" s="197">
        <v>3.7399999999999998</v>
      </c>
      <c r="Q32" s="197">
        <v>3.7399999999999998</v>
      </c>
      <c r="R32" s="197">
        <v>3.7399999999999998</v>
      </c>
      <c r="S32" s="197">
        <v>3.7399999999999998</v>
      </c>
      <c r="T32" s="197">
        <v>3.7399999999999998</v>
      </c>
      <c r="U32" s="198">
        <v>3.7399999999999998</v>
      </c>
      <c r="V32" s="196">
        <v>3.83</v>
      </c>
      <c r="W32" s="197">
        <v>3.83</v>
      </c>
      <c r="X32" s="197">
        <v>3.83</v>
      </c>
      <c r="Y32" s="197">
        <v>3.83</v>
      </c>
      <c r="Z32" s="197">
        <v>3.83</v>
      </c>
      <c r="AA32" s="197">
        <v>3.83</v>
      </c>
      <c r="AB32" s="197">
        <v>3.83</v>
      </c>
      <c r="AC32" s="197">
        <v>3.83</v>
      </c>
      <c r="AD32" s="198">
        <v>3.83</v>
      </c>
      <c r="AE32" s="199">
        <v>3.88</v>
      </c>
      <c r="AF32" s="200">
        <v>3.88</v>
      </c>
      <c r="AG32" s="200">
        <v>3.88</v>
      </c>
      <c r="AH32" s="200">
        <v>3.88</v>
      </c>
      <c r="AI32" s="200">
        <v>3.88</v>
      </c>
      <c r="AJ32" s="200">
        <v>3.88</v>
      </c>
      <c r="AK32" s="200">
        <v>3.88</v>
      </c>
      <c r="AL32" s="200">
        <v>3.88</v>
      </c>
      <c r="AM32" s="201">
        <v>3.88</v>
      </c>
      <c r="AN32" s="199">
        <v>3.9299999999999997</v>
      </c>
      <c r="AO32" s="200">
        <v>3.9299999999999997</v>
      </c>
      <c r="AP32" s="200">
        <v>3.9299999999999997</v>
      </c>
      <c r="AQ32" s="200">
        <v>3.9299999999999997</v>
      </c>
      <c r="AR32" s="200">
        <v>3.9299999999999997</v>
      </c>
      <c r="AS32" s="200">
        <v>3.9299999999999997</v>
      </c>
      <c r="AT32" s="200">
        <v>3.9299999999999997</v>
      </c>
      <c r="AU32" s="200">
        <v>3.9299999999999997</v>
      </c>
      <c r="AV32" s="201">
        <v>3.9299999999999997</v>
      </c>
      <c r="AW32" s="199">
        <v>3.98</v>
      </c>
      <c r="AX32" s="200">
        <v>3.98</v>
      </c>
      <c r="AY32" s="200">
        <v>3.98</v>
      </c>
      <c r="AZ32" s="200">
        <v>3.98</v>
      </c>
      <c r="BA32" s="200">
        <v>3.98</v>
      </c>
      <c r="BB32" s="200">
        <v>3.98</v>
      </c>
      <c r="BC32" s="200">
        <v>3.98</v>
      </c>
      <c r="BD32" s="200">
        <v>3.98</v>
      </c>
      <c r="BE32" s="201">
        <v>3.98</v>
      </c>
    </row>
    <row r="33" spans="1:58" x14ac:dyDescent="0.25">
      <c r="A33" s="330"/>
      <c r="B33" s="193" t="s">
        <v>13</v>
      </c>
      <c r="C33" s="193" t="s">
        <v>14</v>
      </c>
      <c r="D33" s="196"/>
      <c r="E33" s="197"/>
      <c r="F33" s="197"/>
      <c r="G33" s="197"/>
      <c r="H33" s="197"/>
      <c r="I33" s="197"/>
      <c r="J33" s="197"/>
      <c r="K33" s="197"/>
      <c r="L33" s="198"/>
      <c r="M33" s="196"/>
      <c r="N33" s="197"/>
      <c r="O33" s="197"/>
      <c r="P33" s="197"/>
      <c r="Q33" s="197"/>
      <c r="R33" s="197"/>
      <c r="S33" s="197"/>
      <c r="T33" s="197"/>
      <c r="U33" s="198"/>
      <c r="V33" s="196"/>
      <c r="W33" s="197"/>
      <c r="X33" s="197"/>
      <c r="Y33" s="197"/>
      <c r="Z33" s="197"/>
      <c r="AA33" s="197"/>
      <c r="AB33" s="197"/>
      <c r="AC33" s="197"/>
      <c r="AD33" s="198"/>
      <c r="AE33" s="199"/>
      <c r="AF33" s="200"/>
      <c r="AG33" s="200"/>
      <c r="AH33" s="200"/>
      <c r="AI33" s="200"/>
      <c r="AJ33" s="200"/>
      <c r="AK33" s="200"/>
      <c r="AL33" s="200"/>
      <c r="AM33" s="201"/>
      <c r="AN33" s="199"/>
      <c r="AO33" s="200"/>
      <c r="AP33" s="200"/>
      <c r="AQ33" s="200"/>
      <c r="AR33" s="200"/>
      <c r="AS33" s="200"/>
      <c r="AT33" s="200"/>
      <c r="AU33" s="200"/>
      <c r="AV33" s="201"/>
      <c r="AW33" s="199"/>
      <c r="AX33" s="200"/>
      <c r="AY33" s="200"/>
      <c r="AZ33" s="200"/>
      <c r="BA33" s="200"/>
      <c r="BB33" s="200"/>
      <c r="BC33" s="200"/>
      <c r="BD33" s="200"/>
      <c r="BE33" s="201"/>
    </row>
    <row r="34" spans="1:58" ht="15.75" thickBot="1" x14ac:dyDescent="0.3">
      <c r="A34" s="332"/>
      <c r="B34" s="194" t="s">
        <v>15</v>
      </c>
      <c r="C34" s="194" t="s">
        <v>4</v>
      </c>
      <c r="D34" s="238"/>
      <c r="E34" s="239"/>
      <c r="F34" s="239"/>
      <c r="G34" s="239"/>
      <c r="H34" s="239"/>
      <c r="I34" s="239"/>
      <c r="J34" s="239"/>
      <c r="K34" s="239"/>
      <c r="L34" s="240"/>
      <c r="M34" s="238"/>
      <c r="N34" s="239"/>
      <c r="O34" s="239"/>
      <c r="P34" s="239"/>
      <c r="Q34" s="239"/>
      <c r="R34" s="239"/>
      <c r="S34" s="239"/>
      <c r="T34" s="239"/>
      <c r="U34" s="240"/>
      <c r="V34" s="238"/>
      <c r="W34" s="239"/>
      <c r="X34" s="239"/>
      <c r="Y34" s="239"/>
      <c r="Z34" s="239"/>
      <c r="AA34" s="239"/>
      <c r="AB34" s="239"/>
      <c r="AC34" s="239"/>
      <c r="AD34" s="240"/>
      <c r="AE34" s="347"/>
      <c r="AF34" s="348"/>
      <c r="AG34" s="348"/>
      <c r="AH34" s="348"/>
      <c r="AI34" s="348"/>
      <c r="AJ34" s="348"/>
      <c r="AK34" s="348"/>
      <c r="AL34" s="348"/>
      <c r="AM34" s="349"/>
      <c r="AN34" s="347"/>
      <c r="AO34" s="348"/>
      <c r="AP34" s="348"/>
      <c r="AQ34" s="348"/>
      <c r="AR34" s="348"/>
      <c r="AS34" s="348"/>
      <c r="AT34" s="348"/>
      <c r="AU34" s="348"/>
      <c r="AV34" s="349"/>
      <c r="AW34" s="347"/>
      <c r="AX34" s="348"/>
      <c r="AY34" s="348"/>
      <c r="AZ34" s="348"/>
      <c r="BA34" s="348"/>
      <c r="BB34" s="348"/>
      <c r="BC34" s="348"/>
      <c r="BD34" s="348"/>
      <c r="BE34" s="349"/>
    </row>
    <row r="35" spans="1:58" x14ac:dyDescent="0.25">
      <c r="A35" s="350" t="s">
        <v>145</v>
      </c>
      <c r="B35" s="351" t="s">
        <v>101</v>
      </c>
      <c r="C35" s="351" t="s">
        <v>4</v>
      </c>
      <c r="D35" s="352">
        <v>20</v>
      </c>
      <c r="E35" s="353">
        <v>20</v>
      </c>
      <c r="F35" s="353">
        <v>20</v>
      </c>
      <c r="G35" s="353">
        <v>20</v>
      </c>
      <c r="H35" s="353">
        <v>20</v>
      </c>
      <c r="I35" s="353">
        <v>20</v>
      </c>
      <c r="J35" s="353">
        <v>20</v>
      </c>
      <c r="K35" s="353">
        <v>20</v>
      </c>
      <c r="L35" s="354">
        <v>20</v>
      </c>
      <c r="M35" s="352">
        <v>20</v>
      </c>
      <c r="N35" s="353">
        <v>20</v>
      </c>
      <c r="O35" s="353">
        <v>20</v>
      </c>
      <c r="P35" s="353">
        <v>20</v>
      </c>
      <c r="Q35" s="353">
        <v>20</v>
      </c>
      <c r="R35" s="353">
        <v>20</v>
      </c>
      <c r="S35" s="353">
        <v>20</v>
      </c>
      <c r="T35" s="353">
        <v>20</v>
      </c>
      <c r="U35" s="354">
        <v>20</v>
      </c>
      <c r="V35" s="352">
        <v>20</v>
      </c>
      <c r="W35" s="353">
        <v>20</v>
      </c>
      <c r="X35" s="353">
        <v>20</v>
      </c>
      <c r="Y35" s="353">
        <v>20</v>
      </c>
      <c r="Z35" s="353">
        <v>20</v>
      </c>
      <c r="AA35" s="353">
        <v>20</v>
      </c>
      <c r="AB35" s="353">
        <v>20</v>
      </c>
      <c r="AC35" s="353">
        <v>20</v>
      </c>
      <c r="AD35" s="354">
        <v>20</v>
      </c>
      <c r="AE35" s="355">
        <v>20</v>
      </c>
      <c r="AF35" s="356">
        <v>20</v>
      </c>
      <c r="AG35" s="356">
        <v>20</v>
      </c>
      <c r="AH35" s="356">
        <v>20</v>
      </c>
      <c r="AI35" s="356">
        <v>20</v>
      </c>
      <c r="AJ35" s="356">
        <v>20</v>
      </c>
      <c r="AK35" s="356">
        <v>20</v>
      </c>
      <c r="AL35" s="356">
        <v>20</v>
      </c>
      <c r="AM35" s="357">
        <v>20</v>
      </c>
      <c r="AN35" s="355">
        <v>20</v>
      </c>
      <c r="AO35" s="356">
        <v>20</v>
      </c>
      <c r="AP35" s="356">
        <v>20</v>
      </c>
      <c r="AQ35" s="356">
        <v>20</v>
      </c>
      <c r="AR35" s="356">
        <v>20</v>
      </c>
      <c r="AS35" s="356">
        <v>20</v>
      </c>
      <c r="AT35" s="356">
        <v>20</v>
      </c>
      <c r="AU35" s="356">
        <v>20</v>
      </c>
      <c r="AV35" s="357">
        <v>20</v>
      </c>
      <c r="AW35" s="355">
        <v>20</v>
      </c>
      <c r="AX35" s="356">
        <v>20</v>
      </c>
      <c r="AY35" s="356">
        <v>20</v>
      </c>
      <c r="AZ35" s="356">
        <v>20</v>
      </c>
      <c r="BA35" s="356">
        <v>20</v>
      </c>
      <c r="BB35" s="356">
        <v>20</v>
      </c>
      <c r="BC35" s="356">
        <v>20</v>
      </c>
      <c r="BD35" s="356">
        <v>20</v>
      </c>
      <c r="BE35" s="357">
        <v>20</v>
      </c>
      <c r="BF35" s="30"/>
    </row>
    <row r="36" spans="1:58" x14ac:dyDescent="0.25">
      <c r="A36" s="331"/>
      <c r="B36" s="195" t="s">
        <v>5</v>
      </c>
      <c r="C36" s="195" t="s">
        <v>6</v>
      </c>
      <c r="D36" s="208">
        <v>939.47924488610727</v>
      </c>
      <c r="E36" s="209">
        <v>670.86780042435419</v>
      </c>
      <c r="F36" s="209">
        <v>523.42631254470632</v>
      </c>
      <c r="G36" s="209">
        <v>523.42631254470632</v>
      </c>
      <c r="H36" s="209">
        <v>523.42631254470632</v>
      </c>
      <c r="I36" s="209">
        <v>523.42631254470632</v>
      </c>
      <c r="J36" s="209">
        <v>1136.3124641115969</v>
      </c>
      <c r="K36" s="209">
        <v>988.42533284709032</v>
      </c>
      <c r="L36" s="210">
        <v>868.76381718516643</v>
      </c>
      <c r="M36" s="208">
        <v>865.6981523557846</v>
      </c>
      <c r="N36" s="209">
        <v>618.18184751144668</v>
      </c>
      <c r="O36" s="209">
        <v>482.31953407260886</v>
      </c>
      <c r="P36" s="209">
        <v>482.31953407260886</v>
      </c>
      <c r="Q36" s="209">
        <v>482.31953407260886</v>
      </c>
      <c r="R36" s="209">
        <v>482.31953407260886</v>
      </c>
      <c r="S36" s="209">
        <v>1136.3124641115969</v>
      </c>
      <c r="T36" s="209">
        <v>988.42533284709032</v>
      </c>
      <c r="U36" s="210">
        <v>868.76381718516643</v>
      </c>
      <c r="V36" s="208">
        <v>822.90511868819738</v>
      </c>
      <c r="W36" s="209">
        <v>587.62399482196031</v>
      </c>
      <c r="X36" s="209">
        <v>458.47760255879234</v>
      </c>
      <c r="Y36" s="209">
        <v>458.47760255879234</v>
      </c>
      <c r="Z36" s="209">
        <v>458.47760255879234</v>
      </c>
      <c r="AA36" s="209">
        <v>458.47760255879234</v>
      </c>
      <c r="AB36" s="209">
        <v>1133.7480098003448</v>
      </c>
      <c r="AC36" s="209">
        <v>986.22674801231153</v>
      </c>
      <c r="AD36" s="210">
        <v>866.85752357634294</v>
      </c>
      <c r="AE36" s="214">
        <v>800.77079092910083</v>
      </c>
      <c r="AF36" s="215">
        <v>571.81820894808823</v>
      </c>
      <c r="AG36" s="215">
        <v>446.14556901716315</v>
      </c>
      <c r="AH36" s="215">
        <v>446.14556901716315</v>
      </c>
      <c r="AI36" s="215">
        <v>446.14556901716315</v>
      </c>
      <c r="AJ36" s="215">
        <v>446.14556901716315</v>
      </c>
      <c r="AK36" s="215">
        <v>1129.4706178785063</v>
      </c>
      <c r="AL36" s="215">
        <v>982.55924743473179</v>
      </c>
      <c r="AM36" s="216">
        <v>863.67730421521264</v>
      </c>
      <c r="AN36" s="214">
        <v>778.63646317000416</v>
      </c>
      <c r="AO36" s="215">
        <v>556.01242307421592</v>
      </c>
      <c r="AP36" s="215">
        <v>433.81353547553391</v>
      </c>
      <c r="AQ36" s="215">
        <v>433.81353547553391</v>
      </c>
      <c r="AR36" s="215">
        <v>433.81353547553391</v>
      </c>
      <c r="AS36" s="215">
        <v>433.81353547553391</v>
      </c>
      <c r="AT36" s="215">
        <v>1125.1890967142162</v>
      </c>
      <c r="AU36" s="215">
        <v>978.8877535076831</v>
      </c>
      <c r="AV36" s="216">
        <v>860.49325281850611</v>
      </c>
      <c r="AW36" s="214">
        <v>756.50213541090761</v>
      </c>
      <c r="AX36" s="215">
        <v>540.20663720034383</v>
      </c>
      <c r="AY36" s="215">
        <v>421.48150193390472</v>
      </c>
      <c r="AZ36" s="215">
        <v>421.48150193390472</v>
      </c>
      <c r="BA36" s="215">
        <v>421.48150193390472</v>
      </c>
      <c r="BB36" s="215">
        <v>421.48150193390472</v>
      </c>
      <c r="BC36" s="215">
        <v>1120.903443434433</v>
      </c>
      <c r="BD36" s="215">
        <v>975.21226311391229</v>
      </c>
      <c r="BE36" s="216">
        <v>857.30536609258718</v>
      </c>
    </row>
    <row r="37" spans="1:58" x14ac:dyDescent="0.25">
      <c r="A37" s="331"/>
      <c r="B37" s="195" t="s">
        <v>172</v>
      </c>
      <c r="C37" s="195" t="s">
        <v>19</v>
      </c>
      <c r="D37" s="208">
        <v>0.35</v>
      </c>
      <c r="E37" s="209">
        <v>0.35</v>
      </c>
      <c r="F37" s="209">
        <v>0.35</v>
      </c>
      <c r="G37" s="209">
        <v>0.35</v>
      </c>
      <c r="H37" s="209">
        <v>0.35</v>
      </c>
      <c r="I37" s="209">
        <v>0.35</v>
      </c>
      <c r="J37" s="209">
        <v>0.35</v>
      </c>
      <c r="K37" s="209">
        <v>0.35</v>
      </c>
      <c r="L37" s="210">
        <v>0.35</v>
      </c>
      <c r="M37" s="208">
        <v>0.35</v>
      </c>
      <c r="N37" s="209">
        <v>0.35</v>
      </c>
      <c r="O37" s="209">
        <v>0.35</v>
      </c>
      <c r="P37" s="209">
        <v>0.35</v>
      </c>
      <c r="Q37" s="209">
        <v>0.35</v>
      </c>
      <c r="R37" s="209">
        <v>0.35</v>
      </c>
      <c r="S37" s="209">
        <v>0.35</v>
      </c>
      <c r="T37" s="209">
        <v>0.35</v>
      </c>
      <c r="U37" s="210">
        <v>0.35</v>
      </c>
      <c r="V37" s="208">
        <v>0</v>
      </c>
      <c r="W37" s="209">
        <v>0</v>
      </c>
      <c r="X37" s="209">
        <v>0</v>
      </c>
      <c r="Y37" s="209">
        <v>0</v>
      </c>
      <c r="Z37" s="209">
        <v>0</v>
      </c>
      <c r="AA37" s="209">
        <v>0</v>
      </c>
      <c r="AB37" s="209">
        <v>0</v>
      </c>
      <c r="AC37" s="209">
        <v>0</v>
      </c>
      <c r="AD37" s="210">
        <v>0</v>
      </c>
      <c r="AE37" s="217">
        <v>0</v>
      </c>
      <c r="AF37" s="218">
        <v>0</v>
      </c>
      <c r="AG37" s="218">
        <v>0</v>
      </c>
      <c r="AH37" s="218">
        <v>0</v>
      </c>
      <c r="AI37" s="218">
        <v>0</v>
      </c>
      <c r="AJ37" s="218">
        <v>0</v>
      </c>
      <c r="AK37" s="218">
        <v>0</v>
      </c>
      <c r="AL37" s="218">
        <v>0</v>
      </c>
      <c r="AM37" s="219">
        <v>0</v>
      </c>
      <c r="AN37" s="217">
        <v>0</v>
      </c>
      <c r="AO37" s="218">
        <v>0</v>
      </c>
      <c r="AP37" s="218">
        <v>0</v>
      </c>
      <c r="AQ37" s="218">
        <v>0</v>
      </c>
      <c r="AR37" s="218">
        <v>0</v>
      </c>
      <c r="AS37" s="218">
        <v>0</v>
      </c>
      <c r="AT37" s="218">
        <v>0</v>
      </c>
      <c r="AU37" s="218">
        <v>0</v>
      </c>
      <c r="AV37" s="219">
        <v>0</v>
      </c>
      <c r="AW37" s="217">
        <v>0</v>
      </c>
      <c r="AX37" s="218">
        <v>0</v>
      </c>
      <c r="AY37" s="218">
        <v>0</v>
      </c>
      <c r="AZ37" s="218">
        <v>0</v>
      </c>
      <c r="BA37" s="218">
        <v>0</v>
      </c>
      <c r="BB37" s="218">
        <v>0</v>
      </c>
      <c r="BC37" s="218">
        <v>0</v>
      </c>
      <c r="BD37" s="218">
        <v>0</v>
      </c>
      <c r="BE37" s="219">
        <v>0</v>
      </c>
    </row>
    <row r="38" spans="1:58" x14ac:dyDescent="0.25">
      <c r="A38" s="331"/>
      <c r="B38" s="195" t="s">
        <v>102</v>
      </c>
      <c r="C38" s="195" t="s">
        <v>8</v>
      </c>
      <c r="D38" s="208"/>
      <c r="E38" s="209"/>
      <c r="F38" s="209"/>
      <c r="G38" s="209"/>
      <c r="H38" s="209"/>
      <c r="I38" s="209"/>
      <c r="J38" s="209"/>
      <c r="K38" s="209"/>
      <c r="L38" s="210"/>
      <c r="M38" s="208"/>
      <c r="N38" s="209"/>
      <c r="O38" s="209"/>
      <c r="P38" s="209"/>
      <c r="Q38" s="209"/>
      <c r="R38" s="209"/>
      <c r="S38" s="209"/>
      <c r="T38" s="209"/>
      <c r="U38" s="210"/>
      <c r="V38" s="208"/>
      <c r="W38" s="209"/>
      <c r="X38" s="209"/>
      <c r="Y38" s="209"/>
      <c r="Z38" s="209"/>
      <c r="AA38" s="209"/>
      <c r="AB38" s="209"/>
      <c r="AC38" s="209"/>
      <c r="AD38" s="210"/>
      <c r="AE38" s="211"/>
      <c r="AF38" s="212"/>
      <c r="AG38" s="212"/>
      <c r="AH38" s="212"/>
      <c r="AI38" s="212"/>
      <c r="AJ38" s="212"/>
      <c r="AK38" s="212"/>
      <c r="AL38" s="212"/>
      <c r="AM38" s="213"/>
      <c r="AN38" s="211"/>
      <c r="AO38" s="212"/>
      <c r="AP38" s="212"/>
      <c r="AQ38" s="212"/>
      <c r="AR38" s="212"/>
      <c r="AS38" s="212"/>
      <c r="AT38" s="212"/>
      <c r="AU38" s="212"/>
      <c r="AV38" s="213"/>
      <c r="AW38" s="211"/>
      <c r="AX38" s="212"/>
      <c r="AY38" s="212"/>
      <c r="AZ38" s="212"/>
      <c r="BA38" s="212"/>
      <c r="BB38" s="212"/>
      <c r="BC38" s="212"/>
      <c r="BD38" s="212"/>
      <c r="BE38" s="213"/>
    </row>
    <row r="39" spans="1:58" x14ac:dyDescent="0.25">
      <c r="A39" s="331"/>
      <c r="B39" s="195" t="s">
        <v>103</v>
      </c>
      <c r="C39" s="195" t="s">
        <v>9</v>
      </c>
      <c r="D39" s="208">
        <v>14.092188673291609</v>
      </c>
      <c r="E39" s="209">
        <v>10.063017006365312</v>
      </c>
      <c r="F39" s="209">
        <v>7.8513946881705952</v>
      </c>
      <c r="G39" s="209">
        <v>7.8513946881705952</v>
      </c>
      <c r="H39" s="209">
        <v>7.8513946881705952</v>
      </c>
      <c r="I39" s="209">
        <v>7.8513946881705952</v>
      </c>
      <c r="J39" s="209">
        <v>1.91</v>
      </c>
      <c r="K39" s="209">
        <v>1.91</v>
      </c>
      <c r="L39" s="210">
        <v>1.91</v>
      </c>
      <c r="M39" s="208">
        <v>12.985472285336769</v>
      </c>
      <c r="N39" s="209">
        <v>9.2727277126716992</v>
      </c>
      <c r="O39" s="209">
        <v>7.234793011089133</v>
      </c>
      <c r="P39" s="209">
        <v>7.234793011089133</v>
      </c>
      <c r="Q39" s="209">
        <v>7.234793011089133</v>
      </c>
      <c r="R39" s="209">
        <v>7.234793011089133</v>
      </c>
      <c r="S39" s="209">
        <v>1.76</v>
      </c>
      <c r="T39" s="209">
        <v>1.76</v>
      </c>
      <c r="U39" s="210">
        <v>1.76</v>
      </c>
      <c r="V39" s="208">
        <v>12.343576780322961</v>
      </c>
      <c r="W39" s="209">
        <v>8.8143599223294036</v>
      </c>
      <c r="X39" s="209">
        <v>6.8771640383818848</v>
      </c>
      <c r="Y39" s="209">
        <v>6.8771640383818848</v>
      </c>
      <c r="Z39" s="209">
        <v>6.8771640383818848</v>
      </c>
      <c r="AA39" s="209">
        <v>6.8771640383818848</v>
      </c>
      <c r="AB39" s="209">
        <v>1.673</v>
      </c>
      <c r="AC39" s="209">
        <v>1.673</v>
      </c>
      <c r="AD39" s="210">
        <v>1.673</v>
      </c>
      <c r="AE39" s="214">
        <v>12.011561863936512</v>
      </c>
      <c r="AF39" s="215">
        <v>8.5772731342213238</v>
      </c>
      <c r="AG39" s="215">
        <v>6.6921835352574464</v>
      </c>
      <c r="AH39" s="215">
        <v>6.6921835352574464</v>
      </c>
      <c r="AI39" s="215">
        <v>6.6921835352574464</v>
      </c>
      <c r="AJ39" s="215">
        <v>6.6921835352574464</v>
      </c>
      <c r="AK39" s="215">
        <v>1.6279999999999999</v>
      </c>
      <c r="AL39" s="215">
        <v>1.6279999999999999</v>
      </c>
      <c r="AM39" s="216">
        <v>1.6279999999999999</v>
      </c>
      <c r="AN39" s="214">
        <v>11.679546947550062</v>
      </c>
      <c r="AO39" s="215">
        <v>8.3401863461132386</v>
      </c>
      <c r="AP39" s="215">
        <v>6.5072030321330079</v>
      </c>
      <c r="AQ39" s="215">
        <v>6.5072030321330079</v>
      </c>
      <c r="AR39" s="215">
        <v>6.5072030321330079</v>
      </c>
      <c r="AS39" s="215">
        <v>6.5072030321330079</v>
      </c>
      <c r="AT39" s="215">
        <v>1.583</v>
      </c>
      <c r="AU39" s="215">
        <v>1.583</v>
      </c>
      <c r="AV39" s="216">
        <v>1.583</v>
      </c>
      <c r="AW39" s="214">
        <v>11.347532031163613</v>
      </c>
      <c r="AX39" s="215">
        <v>8.103099558005157</v>
      </c>
      <c r="AY39" s="215">
        <v>6.3222225290085703</v>
      </c>
      <c r="AZ39" s="215">
        <v>6.3222225290085703</v>
      </c>
      <c r="BA39" s="215">
        <v>6.3222225290085703</v>
      </c>
      <c r="BB39" s="215">
        <v>6.3222225290085703</v>
      </c>
      <c r="BC39" s="215">
        <v>1.538</v>
      </c>
      <c r="BD39" s="215">
        <v>1.538</v>
      </c>
      <c r="BE39" s="216">
        <v>1.538</v>
      </c>
    </row>
    <row r="40" spans="1:58" x14ac:dyDescent="0.25">
      <c r="A40" s="331"/>
      <c r="B40" s="195" t="s">
        <v>104</v>
      </c>
      <c r="C40" s="195" t="s">
        <v>10</v>
      </c>
      <c r="D40" s="208">
        <v>0</v>
      </c>
      <c r="E40" s="209">
        <v>0</v>
      </c>
      <c r="F40" s="209">
        <v>0</v>
      </c>
      <c r="G40" s="209">
        <v>0</v>
      </c>
      <c r="H40" s="209">
        <v>0</v>
      </c>
      <c r="I40" s="209">
        <v>0</v>
      </c>
      <c r="J40" s="209">
        <v>2.1700000000000001E-3</v>
      </c>
      <c r="K40" s="209">
        <v>2.1700000000000001E-3</v>
      </c>
      <c r="L40" s="210">
        <v>2.1700000000000001E-3</v>
      </c>
      <c r="M40" s="208">
        <v>0</v>
      </c>
      <c r="N40" s="209">
        <v>0</v>
      </c>
      <c r="O40" s="209">
        <v>0</v>
      </c>
      <c r="P40" s="209">
        <v>0</v>
      </c>
      <c r="Q40" s="209">
        <v>0</v>
      </c>
      <c r="R40" s="209">
        <v>0</v>
      </c>
      <c r="S40" s="209">
        <v>2.1199999999999999E-3</v>
      </c>
      <c r="T40" s="209">
        <v>2.1199999999999999E-3</v>
      </c>
      <c r="U40" s="210">
        <v>2.1199999999999999E-3</v>
      </c>
      <c r="V40" s="208">
        <v>0</v>
      </c>
      <c r="W40" s="209">
        <v>0</v>
      </c>
      <c r="X40" s="209">
        <v>0</v>
      </c>
      <c r="Y40" s="209">
        <v>0</v>
      </c>
      <c r="Z40" s="209">
        <v>0</v>
      </c>
      <c r="AA40" s="209">
        <v>0</v>
      </c>
      <c r="AB40" s="209">
        <v>2.085E-3</v>
      </c>
      <c r="AC40" s="209">
        <v>2.085E-3</v>
      </c>
      <c r="AD40" s="210">
        <v>2.085E-3</v>
      </c>
      <c r="AE40" s="214">
        <v>0</v>
      </c>
      <c r="AF40" s="215">
        <v>0</v>
      </c>
      <c r="AG40" s="215">
        <v>0</v>
      </c>
      <c r="AH40" s="215">
        <v>0</v>
      </c>
      <c r="AI40" s="215">
        <v>0</v>
      </c>
      <c r="AJ40" s="215">
        <v>0</v>
      </c>
      <c r="AK40" s="215">
        <v>2.0599999999999998E-3</v>
      </c>
      <c r="AL40" s="215">
        <v>2.0599999999999998E-3</v>
      </c>
      <c r="AM40" s="216">
        <v>2.0599999999999998E-3</v>
      </c>
      <c r="AN40" s="214">
        <v>0</v>
      </c>
      <c r="AO40" s="215">
        <v>0</v>
      </c>
      <c r="AP40" s="215">
        <v>0</v>
      </c>
      <c r="AQ40" s="215">
        <v>0</v>
      </c>
      <c r="AR40" s="215">
        <v>0</v>
      </c>
      <c r="AS40" s="215">
        <v>0</v>
      </c>
      <c r="AT40" s="215">
        <v>2.0349999999999999E-3</v>
      </c>
      <c r="AU40" s="215">
        <v>2.0349999999999999E-3</v>
      </c>
      <c r="AV40" s="216">
        <v>2.0349999999999999E-3</v>
      </c>
      <c r="AW40" s="214">
        <v>0</v>
      </c>
      <c r="AX40" s="215">
        <v>0</v>
      </c>
      <c r="AY40" s="215">
        <v>0</v>
      </c>
      <c r="AZ40" s="215">
        <v>0</v>
      </c>
      <c r="BA40" s="215">
        <v>0</v>
      </c>
      <c r="BB40" s="215">
        <v>0</v>
      </c>
      <c r="BC40" s="215">
        <v>2.0100000000000001E-3</v>
      </c>
      <c r="BD40" s="215">
        <v>2.0100000000000001E-3</v>
      </c>
      <c r="BE40" s="216">
        <v>2.0100000000000001E-3</v>
      </c>
    </row>
    <row r="41" spans="1:58" x14ac:dyDescent="0.25">
      <c r="A41" s="331"/>
      <c r="B41" s="195" t="s">
        <v>105</v>
      </c>
      <c r="C41" s="195" t="s">
        <v>320</v>
      </c>
      <c r="D41" s="208">
        <v>0</v>
      </c>
      <c r="E41" s="209">
        <v>0</v>
      </c>
      <c r="F41" s="209">
        <v>0</v>
      </c>
      <c r="G41" s="209">
        <v>0</v>
      </c>
      <c r="H41" s="209">
        <v>0</v>
      </c>
      <c r="I41" s="209">
        <v>0</v>
      </c>
      <c r="J41" s="209">
        <v>0</v>
      </c>
      <c r="K41" s="209">
        <v>0</v>
      </c>
      <c r="L41" s="210">
        <v>0</v>
      </c>
      <c r="M41" s="208">
        <v>0</v>
      </c>
      <c r="N41" s="209">
        <v>0</v>
      </c>
      <c r="O41" s="209">
        <v>0</v>
      </c>
      <c r="P41" s="209">
        <v>0</v>
      </c>
      <c r="Q41" s="209">
        <v>0</v>
      </c>
      <c r="R41" s="209">
        <v>0</v>
      </c>
      <c r="S41" s="209">
        <v>0</v>
      </c>
      <c r="T41" s="209">
        <v>0</v>
      </c>
      <c r="U41" s="210">
        <v>0</v>
      </c>
      <c r="V41" s="208">
        <v>0</v>
      </c>
      <c r="W41" s="209">
        <v>0</v>
      </c>
      <c r="X41" s="209">
        <v>0</v>
      </c>
      <c r="Y41" s="209">
        <v>0</v>
      </c>
      <c r="Z41" s="209">
        <v>0</v>
      </c>
      <c r="AA41" s="209">
        <v>0</v>
      </c>
      <c r="AB41" s="209">
        <v>0</v>
      </c>
      <c r="AC41" s="209">
        <v>0</v>
      </c>
      <c r="AD41" s="210">
        <v>0</v>
      </c>
      <c r="AE41" s="214">
        <v>0</v>
      </c>
      <c r="AF41" s="215">
        <v>0</v>
      </c>
      <c r="AG41" s="215">
        <v>0</v>
      </c>
      <c r="AH41" s="215">
        <v>0</v>
      </c>
      <c r="AI41" s="215">
        <v>0</v>
      </c>
      <c r="AJ41" s="215">
        <v>0</v>
      </c>
      <c r="AK41" s="215">
        <v>0</v>
      </c>
      <c r="AL41" s="215">
        <v>0</v>
      </c>
      <c r="AM41" s="216">
        <v>0</v>
      </c>
      <c r="AN41" s="214">
        <v>0</v>
      </c>
      <c r="AO41" s="215">
        <v>0</v>
      </c>
      <c r="AP41" s="215">
        <v>0</v>
      </c>
      <c r="AQ41" s="215">
        <v>0</v>
      </c>
      <c r="AR41" s="215">
        <v>0</v>
      </c>
      <c r="AS41" s="215">
        <v>0</v>
      </c>
      <c r="AT41" s="215">
        <v>0</v>
      </c>
      <c r="AU41" s="215">
        <v>0</v>
      </c>
      <c r="AV41" s="216">
        <v>0</v>
      </c>
      <c r="AW41" s="214">
        <v>0</v>
      </c>
      <c r="AX41" s="215">
        <v>0</v>
      </c>
      <c r="AY41" s="215">
        <v>0</v>
      </c>
      <c r="AZ41" s="215">
        <v>0</v>
      </c>
      <c r="BA41" s="215">
        <v>0</v>
      </c>
      <c r="BB41" s="215">
        <v>0</v>
      </c>
      <c r="BC41" s="215">
        <v>0</v>
      </c>
      <c r="BD41" s="215">
        <v>0</v>
      </c>
      <c r="BE41" s="216">
        <v>0</v>
      </c>
    </row>
    <row r="42" spans="1:58" x14ac:dyDescent="0.25">
      <c r="A42" s="331"/>
      <c r="B42" s="195" t="s">
        <v>11</v>
      </c>
      <c r="C42" s="195" t="s">
        <v>10</v>
      </c>
      <c r="D42" s="208">
        <v>0</v>
      </c>
      <c r="E42" s="209">
        <v>0</v>
      </c>
      <c r="F42" s="209">
        <v>0</v>
      </c>
      <c r="G42" s="209">
        <v>0</v>
      </c>
      <c r="H42" s="209">
        <v>0</v>
      </c>
      <c r="I42" s="209">
        <v>0</v>
      </c>
      <c r="J42" s="209">
        <v>0</v>
      </c>
      <c r="K42" s="209">
        <v>0</v>
      </c>
      <c r="L42" s="210">
        <v>0</v>
      </c>
      <c r="M42" s="208">
        <v>0</v>
      </c>
      <c r="N42" s="209">
        <v>0</v>
      </c>
      <c r="O42" s="209">
        <v>0</v>
      </c>
      <c r="P42" s="209">
        <v>0</v>
      </c>
      <c r="Q42" s="209">
        <v>0</v>
      </c>
      <c r="R42" s="209">
        <v>0</v>
      </c>
      <c r="S42" s="209">
        <v>0</v>
      </c>
      <c r="T42" s="209">
        <v>0</v>
      </c>
      <c r="U42" s="210">
        <v>0</v>
      </c>
      <c r="V42" s="208">
        <v>0</v>
      </c>
      <c r="W42" s="209">
        <v>0</v>
      </c>
      <c r="X42" s="209">
        <v>0</v>
      </c>
      <c r="Y42" s="209">
        <v>0</v>
      </c>
      <c r="Z42" s="209">
        <v>0</v>
      </c>
      <c r="AA42" s="209">
        <v>0</v>
      </c>
      <c r="AB42" s="209">
        <v>0</v>
      </c>
      <c r="AC42" s="209">
        <v>0</v>
      </c>
      <c r="AD42" s="210">
        <v>0</v>
      </c>
      <c r="AE42" s="214">
        <v>0</v>
      </c>
      <c r="AF42" s="215">
        <v>0</v>
      </c>
      <c r="AG42" s="215">
        <v>0</v>
      </c>
      <c r="AH42" s="215">
        <v>0</v>
      </c>
      <c r="AI42" s="215">
        <v>0</v>
      </c>
      <c r="AJ42" s="215">
        <v>0</v>
      </c>
      <c r="AK42" s="215">
        <v>0</v>
      </c>
      <c r="AL42" s="215">
        <v>0</v>
      </c>
      <c r="AM42" s="216">
        <v>0</v>
      </c>
      <c r="AN42" s="214">
        <v>0</v>
      </c>
      <c r="AO42" s="215">
        <v>0</v>
      </c>
      <c r="AP42" s="215">
        <v>0</v>
      </c>
      <c r="AQ42" s="215">
        <v>0</v>
      </c>
      <c r="AR42" s="215">
        <v>0</v>
      </c>
      <c r="AS42" s="215">
        <v>0</v>
      </c>
      <c r="AT42" s="215">
        <v>0</v>
      </c>
      <c r="AU42" s="215">
        <v>0</v>
      </c>
      <c r="AV42" s="216">
        <v>0</v>
      </c>
      <c r="AW42" s="214">
        <v>0</v>
      </c>
      <c r="AX42" s="215">
        <v>0</v>
      </c>
      <c r="AY42" s="215">
        <v>0</v>
      </c>
      <c r="AZ42" s="215">
        <v>0</v>
      </c>
      <c r="BA42" s="215">
        <v>0</v>
      </c>
      <c r="BB42" s="215">
        <v>0</v>
      </c>
      <c r="BC42" s="215">
        <v>0</v>
      </c>
      <c r="BD42" s="215">
        <v>0</v>
      </c>
      <c r="BE42" s="216">
        <v>0</v>
      </c>
    </row>
    <row r="43" spans="1:58" x14ac:dyDescent="0.25">
      <c r="A43" s="331"/>
      <c r="B43" s="195" t="s">
        <v>18</v>
      </c>
      <c r="C43" s="195" t="s">
        <v>19</v>
      </c>
      <c r="D43" s="208">
        <v>3.34</v>
      </c>
      <c r="E43" s="209">
        <v>3.34</v>
      </c>
      <c r="F43" s="209">
        <v>3.34</v>
      </c>
      <c r="G43" s="209">
        <v>3.34</v>
      </c>
      <c r="H43" s="209">
        <v>3.34</v>
      </c>
      <c r="I43" s="209">
        <v>3.34</v>
      </c>
      <c r="J43" s="209">
        <v>3.34</v>
      </c>
      <c r="K43" s="209">
        <v>3.34</v>
      </c>
      <c r="L43" s="210">
        <v>3.34</v>
      </c>
      <c r="M43" s="208">
        <v>3.4899999999999998</v>
      </c>
      <c r="N43" s="209">
        <v>3.4899999999999998</v>
      </c>
      <c r="O43" s="209">
        <v>3.4899999999999998</v>
      </c>
      <c r="P43" s="209">
        <v>3.4899999999999998</v>
      </c>
      <c r="Q43" s="209">
        <v>3.4899999999999998</v>
      </c>
      <c r="R43" s="209">
        <v>3.4899999999999998</v>
      </c>
      <c r="S43" s="209">
        <v>3.4899999999999998</v>
      </c>
      <c r="T43" s="209">
        <v>3.4899999999999998</v>
      </c>
      <c r="U43" s="210">
        <v>3.4899999999999998</v>
      </c>
      <c r="V43" s="208">
        <v>3.58</v>
      </c>
      <c r="W43" s="209">
        <v>3.58</v>
      </c>
      <c r="X43" s="209">
        <v>3.58</v>
      </c>
      <c r="Y43" s="209">
        <v>3.58</v>
      </c>
      <c r="Z43" s="209">
        <v>3.58</v>
      </c>
      <c r="AA43" s="209">
        <v>3.58</v>
      </c>
      <c r="AB43" s="209">
        <v>3.58</v>
      </c>
      <c r="AC43" s="209">
        <v>3.58</v>
      </c>
      <c r="AD43" s="210">
        <v>3.58</v>
      </c>
      <c r="AE43" s="211">
        <v>3.63</v>
      </c>
      <c r="AF43" s="212">
        <v>3.63</v>
      </c>
      <c r="AG43" s="212">
        <v>3.63</v>
      </c>
      <c r="AH43" s="212">
        <v>3.63</v>
      </c>
      <c r="AI43" s="212">
        <v>3.63</v>
      </c>
      <c r="AJ43" s="212">
        <v>3.63</v>
      </c>
      <c r="AK43" s="212">
        <v>3.63</v>
      </c>
      <c r="AL43" s="212">
        <v>3.63</v>
      </c>
      <c r="AM43" s="213">
        <v>3.63</v>
      </c>
      <c r="AN43" s="211">
        <v>3.6799999999999997</v>
      </c>
      <c r="AO43" s="212">
        <v>3.6799999999999997</v>
      </c>
      <c r="AP43" s="212">
        <v>3.6799999999999997</v>
      </c>
      <c r="AQ43" s="212">
        <v>3.6799999999999997</v>
      </c>
      <c r="AR43" s="212">
        <v>3.6799999999999997</v>
      </c>
      <c r="AS43" s="212">
        <v>3.6799999999999997</v>
      </c>
      <c r="AT43" s="212">
        <v>3.6799999999999997</v>
      </c>
      <c r="AU43" s="212">
        <v>3.6799999999999997</v>
      </c>
      <c r="AV43" s="213">
        <v>3.6799999999999997</v>
      </c>
      <c r="AW43" s="211">
        <v>3.73</v>
      </c>
      <c r="AX43" s="212">
        <v>3.73</v>
      </c>
      <c r="AY43" s="212">
        <v>3.73</v>
      </c>
      <c r="AZ43" s="212">
        <v>3.73</v>
      </c>
      <c r="BA43" s="212">
        <v>3.73</v>
      </c>
      <c r="BB43" s="212">
        <v>3.73</v>
      </c>
      <c r="BC43" s="212">
        <v>3.73</v>
      </c>
      <c r="BD43" s="212">
        <v>3.73</v>
      </c>
      <c r="BE43" s="213">
        <v>3.73</v>
      </c>
    </row>
    <row r="44" spans="1:58" x14ac:dyDescent="0.25">
      <c r="A44" s="331"/>
      <c r="B44" s="195" t="s">
        <v>13</v>
      </c>
      <c r="C44" s="195" t="s">
        <v>14</v>
      </c>
      <c r="D44" s="208"/>
      <c r="E44" s="209"/>
      <c r="F44" s="209"/>
      <c r="G44" s="209"/>
      <c r="H44" s="209"/>
      <c r="I44" s="209"/>
      <c r="J44" s="209"/>
      <c r="K44" s="209"/>
      <c r="L44" s="210"/>
      <c r="M44" s="208"/>
      <c r="N44" s="209"/>
      <c r="O44" s="209"/>
      <c r="P44" s="209"/>
      <c r="Q44" s="209"/>
      <c r="R44" s="209"/>
      <c r="S44" s="209"/>
      <c r="T44" s="209"/>
      <c r="U44" s="210"/>
      <c r="V44" s="208"/>
      <c r="W44" s="209"/>
      <c r="X44" s="209"/>
      <c r="Y44" s="209"/>
      <c r="Z44" s="209"/>
      <c r="AA44" s="209"/>
      <c r="AB44" s="209"/>
      <c r="AC44" s="209"/>
      <c r="AD44" s="210"/>
      <c r="AE44" s="211"/>
      <c r="AF44" s="212"/>
      <c r="AG44" s="212"/>
      <c r="AH44" s="212"/>
      <c r="AI44" s="212"/>
      <c r="AJ44" s="212"/>
      <c r="AK44" s="212"/>
      <c r="AL44" s="212"/>
      <c r="AM44" s="213"/>
      <c r="AN44" s="211"/>
      <c r="AO44" s="212"/>
      <c r="AP44" s="212"/>
      <c r="AQ44" s="212"/>
      <c r="AR44" s="212"/>
      <c r="AS44" s="212"/>
      <c r="AT44" s="212"/>
      <c r="AU44" s="212"/>
      <c r="AV44" s="213"/>
      <c r="AW44" s="211"/>
      <c r="AX44" s="212"/>
      <c r="AY44" s="212"/>
      <c r="AZ44" s="212"/>
      <c r="BA44" s="212"/>
      <c r="BB44" s="212"/>
      <c r="BC44" s="212"/>
      <c r="BD44" s="212"/>
      <c r="BE44" s="213"/>
    </row>
    <row r="45" spans="1:58" ht="15.75" thickBot="1" x14ac:dyDescent="0.3">
      <c r="A45" s="358"/>
      <c r="B45" s="359" t="s">
        <v>15</v>
      </c>
      <c r="C45" s="359" t="s">
        <v>4</v>
      </c>
      <c r="D45" s="360"/>
      <c r="E45" s="361"/>
      <c r="F45" s="361"/>
      <c r="G45" s="361"/>
      <c r="H45" s="361"/>
      <c r="I45" s="361"/>
      <c r="J45" s="361"/>
      <c r="K45" s="361"/>
      <c r="L45" s="362"/>
      <c r="M45" s="360"/>
      <c r="N45" s="361"/>
      <c r="O45" s="361"/>
      <c r="P45" s="361"/>
      <c r="Q45" s="361"/>
      <c r="R45" s="361"/>
      <c r="S45" s="361"/>
      <c r="T45" s="361"/>
      <c r="U45" s="362"/>
      <c r="V45" s="360"/>
      <c r="W45" s="361"/>
      <c r="X45" s="361"/>
      <c r="Y45" s="361"/>
      <c r="Z45" s="361"/>
      <c r="AA45" s="361"/>
      <c r="AB45" s="361"/>
      <c r="AC45" s="361"/>
      <c r="AD45" s="362"/>
      <c r="AE45" s="363"/>
      <c r="AF45" s="364"/>
      <c r="AG45" s="364"/>
      <c r="AH45" s="364"/>
      <c r="AI45" s="364"/>
      <c r="AJ45" s="364"/>
      <c r="AK45" s="364"/>
      <c r="AL45" s="364"/>
      <c r="AM45" s="365"/>
      <c r="AN45" s="363"/>
      <c r="AO45" s="364"/>
      <c r="AP45" s="364"/>
      <c r="AQ45" s="364"/>
      <c r="AR45" s="364"/>
      <c r="AS45" s="364"/>
      <c r="AT45" s="364"/>
      <c r="AU45" s="364"/>
      <c r="AV45" s="365"/>
      <c r="AW45" s="363"/>
      <c r="AX45" s="364"/>
      <c r="AY45" s="364"/>
      <c r="AZ45" s="364"/>
      <c r="BA45" s="364"/>
      <c r="BB45" s="364"/>
      <c r="BC45" s="364"/>
      <c r="BD45" s="364"/>
      <c r="BE45" s="365"/>
    </row>
    <row r="46" spans="1:58" x14ac:dyDescent="0.25">
      <c r="A46" s="339" t="s">
        <v>146</v>
      </c>
      <c r="B46" s="340" t="s">
        <v>101</v>
      </c>
      <c r="C46" s="340" t="s">
        <v>4</v>
      </c>
      <c r="D46" s="341">
        <v>20</v>
      </c>
      <c r="E46" s="342">
        <v>20</v>
      </c>
      <c r="F46" s="342">
        <v>20</v>
      </c>
      <c r="G46" s="342">
        <v>20</v>
      </c>
      <c r="H46" s="342">
        <v>20</v>
      </c>
      <c r="I46" s="342">
        <v>20</v>
      </c>
      <c r="J46" s="342">
        <v>20</v>
      </c>
      <c r="K46" s="342">
        <v>20</v>
      </c>
      <c r="L46" s="343">
        <v>20</v>
      </c>
      <c r="M46" s="341">
        <v>20</v>
      </c>
      <c r="N46" s="342">
        <v>20</v>
      </c>
      <c r="O46" s="342">
        <v>20</v>
      </c>
      <c r="P46" s="342">
        <v>20</v>
      </c>
      <c r="Q46" s="342">
        <v>20</v>
      </c>
      <c r="R46" s="342">
        <v>20</v>
      </c>
      <c r="S46" s="342">
        <v>20</v>
      </c>
      <c r="T46" s="342">
        <v>20</v>
      </c>
      <c r="U46" s="343">
        <v>20</v>
      </c>
      <c r="V46" s="341">
        <v>20</v>
      </c>
      <c r="W46" s="342">
        <v>20</v>
      </c>
      <c r="X46" s="342">
        <v>20</v>
      </c>
      <c r="Y46" s="342">
        <v>20</v>
      </c>
      <c r="Z46" s="342">
        <v>20</v>
      </c>
      <c r="AA46" s="342">
        <v>20</v>
      </c>
      <c r="AB46" s="342">
        <v>20</v>
      </c>
      <c r="AC46" s="342">
        <v>20</v>
      </c>
      <c r="AD46" s="343">
        <v>20</v>
      </c>
      <c r="AE46" s="344">
        <v>20</v>
      </c>
      <c r="AF46" s="345">
        <v>20</v>
      </c>
      <c r="AG46" s="345">
        <v>20</v>
      </c>
      <c r="AH46" s="345">
        <v>20</v>
      </c>
      <c r="AI46" s="345">
        <v>20</v>
      </c>
      <c r="AJ46" s="345">
        <v>20</v>
      </c>
      <c r="AK46" s="345">
        <v>20</v>
      </c>
      <c r="AL46" s="345">
        <v>20</v>
      </c>
      <c r="AM46" s="346">
        <v>20</v>
      </c>
      <c r="AN46" s="344">
        <v>20</v>
      </c>
      <c r="AO46" s="345">
        <v>20</v>
      </c>
      <c r="AP46" s="345">
        <v>20</v>
      </c>
      <c r="AQ46" s="345">
        <v>20</v>
      </c>
      <c r="AR46" s="345">
        <v>20</v>
      </c>
      <c r="AS46" s="345">
        <v>20</v>
      </c>
      <c r="AT46" s="345">
        <v>20</v>
      </c>
      <c r="AU46" s="345">
        <v>20</v>
      </c>
      <c r="AV46" s="346">
        <v>20</v>
      </c>
      <c r="AW46" s="344">
        <v>20</v>
      </c>
      <c r="AX46" s="345">
        <v>20</v>
      </c>
      <c r="AY46" s="345">
        <v>20</v>
      </c>
      <c r="AZ46" s="345">
        <v>20</v>
      </c>
      <c r="BA46" s="345">
        <v>20</v>
      </c>
      <c r="BB46" s="345">
        <v>20</v>
      </c>
      <c r="BC46" s="345">
        <v>20</v>
      </c>
      <c r="BD46" s="345">
        <v>20</v>
      </c>
      <c r="BE46" s="346">
        <v>20</v>
      </c>
      <c r="BF46" s="30"/>
    </row>
    <row r="47" spans="1:58" x14ac:dyDescent="0.25">
      <c r="A47" s="330"/>
      <c r="B47" s="193" t="s">
        <v>20</v>
      </c>
      <c r="C47" s="193" t="s">
        <v>6</v>
      </c>
      <c r="D47" s="196">
        <v>939.47924488610727</v>
      </c>
      <c r="E47" s="197">
        <v>670.86780042435419</v>
      </c>
      <c r="F47" s="197">
        <v>523.42631254470632</v>
      </c>
      <c r="G47" s="197">
        <v>523.42631254470632</v>
      </c>
      <c r="H47" s="197">
        <v>523.42631254470632</v>
      </c>
      <c r="I47" s="197">
        <v>523.42631254470632</v>
      </c>
      <c r="J47" s="197">
        <v>1136.3124641115969</v>
      </c>
      <c r="K47" s="197">
        <v>988.42533284709032</v>
      </c>
      <c r="L47" s="198">
        <v>868.76381718516643</v>
      </c>
      <c r="M47" s="196">
        <v>865.6981523557846</v>
      </c>
      <c r="N47" s="197">
        <v>618.18184751144668</v>
      </c>
      <c r="O47" s="197">
        <v>482.31953407260886</v>
      </c>
      <c r="P47" s="197">
        <v>482.31953407260886</v>
      </c>
      <c r="Q47" s="197">
        <v>482.31953407260886</v>
      </c>
      <c r="R47" s="197">
        <v>482.31953407260886</v>
      </c>
      <c r="S47" s="197">
        <v>1136.3124641115969</v>
      </c>
      <c r="T47" s="197">
        <v>988.42533284709032</v>
      </c>
      <c r="U47" s="198">
        <v>868.76381718516643</v>
      </c>
      <c r="V47" s="196">
        <v>822.90511868819738</v>
      </c>
      <c r="W47" s="197">
        <v>587.62399482196031</v>
      </c>
      <c r="X47" s="197">
        <v>458.47760255879234</v>
      </c>
      <c r="Y47" s="197">
        <v>458.47760255879234</v>
      </c>
      <c r="Z47" s="197">
        <v>458.47760255879234</v>
      </c>
      <c r="AA47" s="197">
        <v>458.47760255879234</v>
      </c>
      <c r="AB47" s="197">
        <v>1133.7480098003448</v>
      </c>
      <c r="AC47" s="197">
        <v>986.22674801231153</v>
      </c>
      <c r="AD47" s="198">
        <v>866.85752357634294</v>
      </c>
      <c r="AE47" s="202">
        <v>800.77079092910083</v>
      </c>
      <c r="AF47" s="203">
        <v>571.81820894808823</v>
      </c>
      <c r="AG47" s="203">
        <v>446.14556901716315</v>
      </c>
      <c r="AH47" s="203">
        <v>446.14556901716315</v>
      </c>
      <c r="AI47" s="203">
        <v>446.14556901716315</v>
      </c>
      <c r="AJ47" s="203">
        <v>446.14556901716315</v>
      </c>
      <c r="AK47" s="203">
        <v>1129.4706178785063</v>
      </c>
      <c r="AL47" s="203">
        <v>982.55924743473179</v>
      </c>
      <c r="AM47" s="204">
        <v>863.67730421521264</v>
      </c>
      <c r="AN47" s="202">
        <v>778.63646317000416</v>
      </c>
      <c r="AO47" s="203">
        <v>556.01242307421592</v>
      </c>
      <c r="AP47" s="203">
        <v>433.81353547553391</v>
      </c>
      <c r="AQ47" s="203">
        <v>433.81353547553391</v>
      </c>
      <c r="AR47" s="203">
        <v>433.81353547553391</v>
      </c>
      <c r="AS47" s="203">
        <v>433.81353547553391</v>
      </c>
      <c r="AT47" s="203">
        <v>1125.1890967142162</v>
      </c>
      <c r="AU47" s="203">
        <v>978.8877535076831</v>
      </c>
      <c r="AV47" s="204">
        <v>860.49325281850611</v>
      </c>
      <c r="AW47" s="202">
        <v>756.50213541090761</v>
      </c>
      <c r="AX47" s="203">
        <v>540.20663720034383</v>
      </c>
      <c r="AY47" s="203">
        <v>421.48150193390472</v>
      </c>
      <c r="AZ47" s="203">
        <v>421.48150193390472</v>
      </c>
      <c r="BA47" s="203">
        <v>421.48150193390472</v>
      </c>
      <c r="BB47" s="203">
        <v>421.48150193390472</v>
      </c>
      <c r="BC47" s="203">
        <v>1120.903443434433</v>
      </c>
      <c r="BD47" s="203">
        <v>975.21226311391229</v>
      </c>
      <c r="BE47" s="204">
        <v>857.30536609258718</v>
      </c>
    </row>
    <row r="48" spans="1:58" x14ac:dyDescent="0.25">
      <c r="A48" s="330"/>
      <c r="B48" s="193" t="s">
        <v>172</v>
      </c>
      <c r="C48" s="193" t="s">
        <v>19</v>
      </c>
      <c r="D48" s="196">
        <v>0.35</v>
      </c>
      <c r="E48" s="197">
        <v>0.35</v>
      </c>
      <c r="F48" s="197">
        <v>0.35</v>
      </c>
      <c r="G48" s="197">
        <v>0.35</v>
      </c>
      <c r="H48" s="197">
        <v>0.35</v>
      </c>
      <c r="I48" s="197">
        <v>0.35</v>
      </c>
      <c r="J48" s="197">
        <v>0.35</v>
      </c>
      <c r="K48" s="197">
        <v>0.35</v>
      </c>
      <c r="L48" s="198">
        <v>0.35</v>
      </c>
      <c r="M48" s="196">
        <v>0.35</v>
      </c>
      <c r="N48" s="197">
        <v>0.35</v>
      </c>
      <c r="O48" s="197">
        <v>0.35</v>
      </c>
      <c r="P48" s="197">
        <v>0.35</v>
      </c>
      <c r="Q48" s="197">
        <v>0.35</v>
      </c>
      <c r="R48" s="197">
        <v>0.35</v>
      </c>
      <c r="S48" s="197">
        <v>0.35</v>
      </c>
      <c r="T48" s="197">
        <v>0.35</v>
      </c>
      <c r="U48" s="198">
        <v>0.35</v>
      </c>
      <c r="V48" s="196">
        <v>0</v>
      </c>
      <c r="W48" s="197">
        <v>0</v>
      </c>
      <c r="X48" s="197">
        <v>0</v>
      </c>
      <c r="Y48" s="197">
        <v>0</v>
      </c>
      <c r="Z48" s="197">
        <v>0</v>
      </c>
      <c r="AA48" s="197">
        <v>0</v>
      </c>
      <c r="AB48" s="197">
        <v>0</v>
      </c>
      <c r="AC48" s="197">
        <v>0</v>
      </c>
      <c r="AD48" s="198">
        <v>0</v>
      </c>
      <c r="AE48" s="205">
        <v>0</v>
      </c>
      <c r="AF48" s="206">
        <v>0</v>
      </c>
      <c r="AG48" s="206">
        <v>0</v>
      </c>
      <c r="AH48" s="206">
        <v>0</v>
      </c>
      <c r="AI48" s="206">
        <v>0</v>
      </c>
      <c r="AJ48" s="206">
        <v>0</v>
      </c>
      <c r="AK48" s="206">
        <v>0</v>
      </c>
      <c r="AL48" s="206">
        <v>0</v>
      </c>
      <c r="AM48" s="207">
        <v>0</v>
      </c>
      <c r="AN48" s="205">
        <v>0</v>
      </c>
      <c r="AO48" s="206">
        <v>0</v>
      </c>
      <c r="AP48" s="206">
        <v>0</v>
      </c>
      <c r="AQ48" s="206">
        <v>0</v>
      </c>
      <c r="AR48" s="206">
        <v>0</v>
      </c>
      <c r="AS48" s="206">
        <v>0</v>
      </c>
      <c r="AT48" s="206">
        <v>0</v>
      </c>
      <c r="AU48" s="206">
        <v>0</v>
      </c>
      <c r="AV48" s="207">
        <v>0</v>
      </c>
      <c r="AW48" s="205">
        <v>0</v>
      </c>
      <c r="AX48" s="206">
        <v>0</v>
      </c>
      <c r="AY48" s="206">
        <v>0</v>
      </c>
      <c r="AZ48" s="206">
        <v>0</v>
      </c>
      <c r="BA48" s="206">
        <v>0</v>
      </c>
      <c r="BB48" s="206">
        <v>0</v>
      </c>
      <c r="BC48" s="206">
        <v>0</v>
      </c>
      <c r="BD48" s="206">
        <v>0</v>
      </c>
      <c r="BE48" s="207">
        <v>0</v>
      </c>
    </row>
    <row r="49" spans="1:58" x14ac:dyDescent="0.25">
      <c r="A49" s="330"/>
      <c r="B49" s="193" t="s">
        <v>102</v>
      </c>
      <c r="C49" s="193" t="s">
        <v>8</v>
      </c>
      <c r="D49" s="196"/>
      <c r="E49" s="197"/>
      <c r="F49" s="197"/>
      <c r="G49" s="197"/>
      <c r="H49" s="197"/>
      <c r="I49" s="197"/>
      <c r="J49" s="197"/>
      <c r="K49" s="197"/>
      <c r="L49" s="198"/>
      <c r="M49" s="196"/>
      <c r="N49" s="197"/>
      <c r="O49" s="197"/>
      <c r="P49" s="197"/>
      <c r="Q49" s="197"/>
      <c r="R49" s="197"/>
      <c r="S49" s="197"/>
      <c r="T49" s="197"/>
      <c r="U49" s="198"/>
      <c r="V49" s="196"/>
      <c r="W49" s="197"/>
      <c r="X49" s="197"/>
      <c r="Y49" s="197"/>
      <c r="Z49" s="197"/>
      <c r="AA49" s="197"/>
      <c r="AB49" s="197"/>
      <c r="AC49" s="197"/>
      <c r="AD49" s="198"/>
      <c r="AE49" s="199"/>
      <c r="AF49" s="200"/>
      <c r="AG49" s="200"/>
      <c r="AH49" s="200"/>
      <c r="AI49" s="200"/>
      <c r="AJ49" s="200"/>
      <c r="AK49" s="200"/>
      <c r="AL49" s="200"/>
      <c r="AM49" s="201"/>
      <c r="AN49" s="199"/>
      <c r="AO49" s="200"/>
      <c r="AP49" s="200"/>
      <c r="AQ49" s="200"/>
      <c r="AR49" s="200"/>
      <c r="AS49" s="200"/>
      <c r="AT49" s="200"/>
      <c r="AU49" s="200"/>
      <c r="AV49" s="201"/>
      <c r="AW49" s="199"/>
      <c r="AX49" s="200"/>
      <c r="AY49" s="200"/>
      <c r="AZ49" s="200"/>
      <c r="BA49" s="200"/>
      <c r="BB49" s="200"/>
      <c r="BC49" s="200"/>
      <c r="BD49" s="200"/>
      <c r="BE49" s="201"/>
    </row>
    <row r="50" spans="1:58" x14ac:dyDescent="0.25">
      <c r="A50" s="330"/>
      <c r="B50" s="193" t="s">
        <v>103</v>
      </c>
      <c r="C50" s="193" t="s">
        <v>9</v>
      </c>
      <c r="D50" s="196">
        <v>14.092188673291609</v>
      </c>
      <c r="E50" s="197">
        <v>10.063017006365312</v>
      </c>
      <c r="F50" s="197">
        <v>7.8513946881705952</v>
      </c>
      <c r="G50" s="197">
        <v>7.8513946881705952</v>
      </c>
      <c r="H50" s="197">
        <v>7.8513946881705952</v>
      </c>
      <c r="I50" s="197">
        <v>7.8513946881705952</v>
      </c>
      <c r="J50" s="197">
        <v>1.91</v>
      </c>
      <c r="K50" s="197">
        <v>1.91</v>
      </c>
      <c r="L50" s="198">
        <v>1.91</v>
      </c>
      <c r="M50" s="196">
        <v>12.985472285336769</v>
      </c>
      <c r="N50" s="197">
        <v>9.2727277126716992</v>
      </c>
      <c r="O50" s="197">
        <v>7.234793011089133</v>
      </c>
      <c r="P50" s="197">
        <v>7.234793011089133</v>
      </c>
      <c r="Q50" s="197">
        <v>7.234793011089133</v>
      </c>
      <c r="R50" s="197">
        <v>7.234793011089133</v>
      </c>
      <c r="S50" s="197">
        <v>1.76</v>
      </c>
      <c r="T50" s="197">
        <v>1.76</v>
      </c>
      <c r="U50" s="198">
        <v>1.76</v>
      </c>
      <c r="V50" s="196">
        <v>12.343576780322961</v>
      </c>
      <c r="W50" s="197">
        <v>8.8143599223294036</v>
      </c>
      <c r="X50" s="197">
        <v>6.8771640383818848</v>
      </c>
      <c r="Y50" s="197">
        <v>6.8771640383818848</v>
      </c>
      <c r="Z50" s="197">
        <v>6.8771640383818848</v>
      </c>
      <c r="AA50" s="197">
        <v>6.8771640383818848</v>
      </c>
      <c r="AB50" s="197">
        <v>1.673</v>
      </c>
      <c r="AC50" s="197">
        <v>1.673</v>
      </c>
      <c r="AD50" s="198">
        <v>1.673</v>
      </c>
      <c r="AE50" s="202">
        <v>12.011561863936512</v>
      </c>
      <c r="AF50" s="203">
        <v>8.5772731342213238</v>
      </c>
      <c r="AG50" s="203">
        <v>6.6921835352574464</v>
      </c>
      <c r="AH50" s="203">
        <v>6.6921835352574464</v>
      </c>
      <c r="AI50" s="203">
        <v>6.6921835352574464</v>
      </c>
      <c r="AJ50" s="203">
        <v>6.6921835352574464</v>
      </c>
      <c r="AK50" s="203">
        <v>1.6279999999999999</v>
      </c>
      <c r="AL50" s="203">
        <v>1.6279999999999999</v>
      </c>
      <c r="AM50" s="204">
        <v>1.6279999999999999</v>
      </c>
      <c r="AN50" s="202">
        <v>11.679546947550062</v>
      </c>
      <c r="AO50" s="203">
        <v>8.3401863461132386</v>
      </c>
      <c r="AP50" s="203">
        <v>6.5072030321330079</v>
      </c>
      <c r="AQ50" s="203">
        <v>6.5072030321330079</v>
      </c>
      <c r="AR50" s="203">
        <v>6.5072030321330079</v>
      </c>
      <c r="AS50" s="203">
        <v>6.5072030321330079</v>
      </c>
      <c r="AT50" s="203">
        <v>1.583</v>
      </c>
      <c r="AU50" s="203">
        <v>1.583</v>
      </c>
      <c r="AV50" s="204">
        <v>1.583</v>
      </c>
      <c r="AW50" s="202">
        <v>11.347532031163613</v>
      </c>
      <c r="AX50" s="203">
        <v>8.103099558005157</v>
      </c>
      <c r="AY50" s="203">
        <v>6.3222225290085703</v>
      </c>
      <c r="AZ50" s="203">
        <v>6.3222225290085703</v>
      </c>
      <c r="BA50" s="203">
        <v>6.3222225290085703</v>
      </c>
      <c r="BB50" s="203">
        <v>6.3222225290085703</v>
      </c>
      <c r="BC50" s="203">
        <v>1.538</v>
      </c>
      <c r="BD50" s="203">
        <v>1.538</v>
      </c>
      <c r="BE50" s="204">
        <v>1.538</v>
      </c>
    </row>
    <row r="51" spans="1:58" x14ac:dyDescent="0.25">
      <c r="A51" s="330"/>
      <c r="B51" s="193" t="s">
        <v>104</v>
      </c>
      <c r="C51" s="193" t="s">
        <v>10</v>
      </c>
      <c r="D51" s="196">
        <v>0</v>
      </c>
      <c r="E51" s="197">
        <v>0</v>
      </c>
      <c r="F51" s="197">
        <v>0</v>
      </c>
      <c r="G51" s="197">
        <v>0</v>
      </c>
      <c r="H51" s="197">
        <v>0</v>
      </c>
      <c r="I51" s="197">
        <v>0</v>
      </c>
      <c r="J51" s="197">
        <v>2.1700000000000001E-3</v>
      </c>
      <c r="K51" s="197">
        <v>2.1700000000000001E-3</v>
      </c>
      <c r="L51" s="198">
        <v>2.1700000000000001E-3</v>
      </c>
      <c r="M51" s="196">
        <v>0</v>
      </c>
      <c r="N51" s="197">
        <v>0</v>
      </c>
      <c r="O51" s="197">
        <v>0</v>
      </c>
      <c r="P51" s="197">
        <v>0</v>
      </c>
      <c r="Q51" s="197">
        <v>0</v>
      </c>
      <c r="R51" s="197">
        <v>0</v>
      </c>
      <c r="S51" s="197">
        <v>2.1199999999999999E-3</v>
      </c>
      <c r="T51" s="197">
        <v>2.1199999999999999E-3</v>
      </c>
      <c r="U51" s="198">
        <v>2.1199999999999999E-3</v>
      </c>
      <c r="V51" s="196">
        <v>0</v>
      </c>
      <c r="W51" s="197">
        <v>0</v>
      </c>
      <c r="X51" s="197">
        <v>0</v>
      </c>
      <c r="Y51" s="197">
        <v>0</v>
      </c>
      <c r="Z51" s="197">
        <v>0</v>
      </c>
      <c r="AA51" s="197">
        <v>0</v>
      </c>
      <c r="AB51" s="197">
        <v>2.085E-3</v>
      </c>
      <c r="AC51" s="197">
        <v>2.085E-3</v>
      </c>
      <c r="AD51" s="198">
        <v>2.085E-3</v>
      </c>
      <c r="AE51" s="202">
        <v>0</v>
      </c>
      <c r="AF51" s="203">
        <v>0</v>
      </c>
      <c r="AG51" s="203">
        <v>0</v>
      </c>
      <c r="AH51" s="203">
        <v>0</v>
      </c>
      <c r="AI51" s="203">
        <v>0</v>
      </c>
      <c r="AJ51" s="203">
        <v>0</v>
      </c>
      <c r="AK51" s="203">
        <v>2.0599999999999998E-3</v>
      </c>
      <c r="AL51" s="203">
        <v>2.0599999999999998E-3</v>
      </c>
      <c r="AM51" s="204">
        <v>2.0599999999999998E-3</v>
      </c>
      <c r="AN51" s="202">
        <v>0</v>
      </c>
      <c r="AO51" s="203">
        <v>0</v>
      </c>
      <c r="AP51" s="203">
        <v>0</v>
      </c>
      <c r="AQ51" s="203">
        <v>0</v>
      </c>
      <c r="AR51" s="203">
        <v>0</v>
      </c>
      <c r="AS51" s="203">
        <v>0</v>
      </c>
      <c r="AT51" s="203">
        <v>2.0349999999999999E-3</v>
      </c>
      <c r="AU51" s="203">
        <v>2.0349999999999999E-3</v>
      </c>
      <c r="AV51" s="204">
        <v>2.0349999999999999E-3</v>
      </c>
      <c r="AW51" s="202">
        <v>0</v>
      </c>
      <c r="AX51" s="203">
        <v>0</v>
      </c>
      <c r="AY51" s="203">
        <v>0</v>
      </c>
      <c r="AZ51" s="203">
        <v>0</v>
      </c>
      <c r="BA51" s="203">
        <v>0</v>
      </c>
      <c r="BB51" s="203">
        <v>0</v>
      </c>
      <c r="BC51" s="203">
        <v>2.0100000000000001E-3</v>
      </c>
      <c r="BD51" s="203">
        <v>2.0100000000000001E-3</v>
      </c>
      <c r="BE51" s="204">
        <v>2.0100000000000001E-3</v>
      </c>
    </row>
    <row r="52" spans="1:58" x14ac:dyDescent="0.25">
      <c r="A52" s="330"/>
      <c r="B52" s="193" t="s">
        <v>105</v>
      </c>
      <c r="C52" s="193" t="s">
        <v>320</v>
      </c>
      <c r="D52" s="196">
        <v>0</v>
      </c>
      <c r="E52" s="197">
        <v>0</v>
      </c>
      <c r="F52" s="197">
        <v>0</v>
      </c>
      <c r="G52" s="197">
        <v>0</v>
      </c>
      <c r="H52" s="197">
        <v>0</v>
      </c>
      <c r="I52" s="197">
        <v>0</v>
      </c>
      <c r="J52" s="197">
        <v>0</v>
      </c>
      <c r="K52" s="197">
        <v>0</v>
      </c>
      <c r="L52" s="198">
        <v>0</v>
      </c>
      <c r="M52" s="196">
        <v>0</v>
      </c>
      <c r="N52" s="197">
        <v>0</v>
      </c>
      <c r="O52" s="197">
        <v>0</v>
      </c>
      <c r="P52" s="197">
        <v>0</v>
      </c>
      <c r="Q52" s="197">
        <v>0</v>
      </c>
      <c r="R52" s="197">
        <v>0</v>
      </c>
      <c r="S52" s="197">
        <v>0</v>
      </c>
      <c r="T52" s="197">
        <v>0</v>
      </c>
      <c r="U52" s="198">
        <v>0</v>
      </c>
      <c r="V52" s="196">
        <v>0</v>
      </c>
      <c r="W52" s="197">
        <v>0</v>
      </c>
      <c r="X52" s="197">
        <v>0</v>
      </c>
      <c r="Y52" s="197">
        <v>0</v>
      </c>
      <c r="Z52" s="197">
        <v>0</v>
      </c>
      <c r="AA52" s="197">
        <v>0</v>
      </c>
      <c r="AB52" s="197">
        <v>0</v>
      </c>
      <c r="AC52" s="197">
        <v>0</v>
      </c>
      <c r="AD52" s="198">
        <v>0</v>
      </c>
      <c r="AE52" s="202">
        <v>0</v>
      </c>
      <c r="AF52" s="203">
        <v>0</v>
      </c>
      <c r="AG52" s="203">
        <v>0</v>
      </c>
      <c r="AH52" s="203">
        <v>0</v>
      </c>
      <c r="AI52" s="203">
        <v>0</v>
      </c>
      <c r="AJ52" s="203">
        <v>0</v>
      </c>
      <c r="AK52" s="203">
        <v>0</v>
      </c>
      <c r="AL52" s="203">
        <v>0</v>
      </c>
      <c r="AM52" s="204">
        <v>0</v>
      </c>
      <c r="AN52" s="202">
        <v>0</v>
      </c>
      <c r="AO52" s="203">
        <v>0</v>
      </c>
      <c r="AP52" s="203">
        <v>0</v>
      </c>
      <c r="AQ52" s="203">
        <v>0</v>
      </c>
      <c r="AR52" s="203">
        <v>0</v>
      </c>
      <c r="AS52" s="203">
        <v>0</v>
      </c>
      <c r="AT52" s="203">
        <v>0</v>
      </c>
      <c r="AU52" s="203">
        <v>0</v>
      </c>
      <c r="AV52" s="204">
        <v>0</v>
      </c>
      <c r="AW52" s="202">
        <v>0</v>
      </c>
      <c r="AX52" s="203">
        <v>0</v>
      </c>
      <c r="AY52" s="203">
        <v>0</v>
      </c>
      <c r="AZ52" s="203">
        <v>0</v>
      </c>
      <c r="BA52" s="203">
        <v>0</v>
      </c>
      <c r="BB52" s="203">
        <v>0</v>
      </c>
      <c r="BC52" s="203">
        <v>0</v>
      </c>
      <c r="BD52" s="203">
        <v>0</v>
      </c>
      <c r="BE52" s="204">
        <v>0</v>
      </c>
    </row>
    <row r="53" spans="1:58" x14ac:dyDescent="0.25">
      <c r="A53" s="330"/>
      <c r="B53" s="193" t="s">
        <v>11</v>
      </c>
      <c r="C53" s="193" t="s">
        <v>10</v>
      </c>
      <c r="D53" s="196">
        <v>0</v>
      </c>
      <c r="E53" s="197">
        <v>0</v>
      </c>
      <c r="F53" s="197">
        <v>0</v>
      </c>
      <c r="G53" s="197">
        <v>0</v>
      </c>
      <c r="H53" s="197">
        <v>0</v>
      </c>
      <c r="I53" s="197">
        <v>0</v>
      </c>
      <c r="J53" s="197">
        <v>0</v>
      </c>
      <c r="K53" s="197">
        <v>0</v>
      </c>
      <c r="L53" s="198">
        <v>0</v>
      </c>
      <c r="M53" s="196">
        <v>0</v>
      </c>
      <c r="N53" s="197">
        <v>0</v>
      </c>
      <c r="O53" s="197">
        <v>0</v>
      </c>
      <c r="P53" s="197">
        <v>0</v>
      </c>
      <c r="Q53" s="197">
        <v>0</v>
      </c>
      <c r="R53" s="197">
        <v>0</v>
      </c>
      <c r="S53" s="197">
        <v>0</v>
      </c>
      <c r="T53" s="197">
        <v>0</v>
      </c>
      <c r="U53" s="198">
        <v>0</v>
      </c>
      <c r="V53" s="196">
        <v>0</v>
      </c>
      <c r="W53" s="197">
        <v>0</v>
      </c>
      <c r="X53" s="197">
        <v>0</v>
      </c>
      <c r="Y53" s="197">
        <v>0</v>
      </c>
      <c r="Z53" s="197">
        <v>0</v>
      </c>
      <c r="AA53" s="197">
        <v>0</v>
      </c>
      <c r="AB53" s="197">
        <v>0</v>
      </c>
      <c r="AC53" s="197">
        <v>0</v>
      </c>
      <c r="AD53" s="198">
        <v>0</v>
      </c>
      <c r="AE53" s="202">
        <v>0</v>
      </c>
      <c r="AF53" s="203">
        <v>0</v>
      </c>
      <c r="AG53" s="203">
        <v>0</v>
      </c>
      <c r="AH53" s="203">
        <v>0</v>
      </c>
      <c r="AI53" s="203">
        <v>0</v>
      </c>
      <c r="AJ53" s="203">
        <v>0</v>
      </c>
      <c r="AK53" s="203">
        <v>0</v>
      </c>
      <c r="AL53" s="203">
        <v>0</v>
      </c>
      <c r="AM53" s="204">
        <v>0</v>
      </c>
      <c r="AN53" s="202">
        <v>0</v>
      </c>
      <c r="AO53" s="203">
        <v>0</v>
      </c>
      <c r="AP53" s="203">
        <v>0</v>
      </c>
      <c r="AQ53" s="203">
        <v>0</v>
      </c>
      <c r="AR53" s="203">
        <v>0</v>
      </c>
      <c r="AS53" s="203">
        <v>0</v>
      </c>
      <c r="AT53" s="203">
        <v>0</v>
      </c>
      <c r="AU53" s="203">
        <v>0</v>
      </c>
      <c r="AV53" s="204">
        <v>0</v>
      </c>
      <c r="AW53" s="202">
        <v>0</v>
      </c>
      <c r="AX53" s="203">
        <v>0</v>
      </c>
      <c r="AY53" s="203">
        <v>0</v>
      </c>
      <c r="AZ53" s="203">
        <v>0</v>
      </c>
      <c r="BA53" s="203">
        <v>0</v>
      </c>
      <c r="BB53" s="203">
        <v>0</v>
      </c>
      <c r="BC53" s="203">
        <v>0</v>
      </c>
      <c r="BD53" s="203">
        <v>0</v>
      </c>
      <c r="BE53" s="204">
        <v>0</v>
      </c>
    </row>
    <row r="54" spans="1:58" x14ac:dyDescent="0.25">
      <c r="A54" s="330"/>
      <c r="B54" s="193" t="s">
        <v>18</v>
      </c>
      <c r="C54" s="193" t="s">
        <v>19</v>
      </c>
      <c r="D54" s="196">
        <v>3.09</v>
      </c>
      <c r="E54" s="197">
        <v>3.09</v>
      </c>
      <c r="F54" s="197">
        <v>3.09</v>
      </c>
      <c r="G54" s="197">
        <v>3.09</v>
      </c>
      <c r="H54" s="197">
        <v>3.09</v>
      </c>
      <c r="I54" s="197">
        <v>3.09</v>
      </c>
      <c r="J54" s="197">
        <v>3.09</v>
      </c>
      <c r="K54" s="197">
        <v>3.09</v>
      </c>
      <c r="L54" s="198">
        <v>3.09</v>
      </c>
      <c r="M54" s="196">
        <v>3.2399999999999998</v>
      </c>
      <c r="N54" s="197">
        <v>3.2399999999999998</v>
      </c>
      <c r="O54" s="197">
        <v>3.2399999999999998</v>
      </c>
      <c r="P54" s="197">
        <v>3.2399999999999998</v>
      </c>
      <c r="Q54" s="197">
        <v>3.2399999999999998</v>
      </c>
      <c r="R54" s="197">
        <v>3.2399999999999998</v>
      </c>
      <c r="S54" s="197">
        <v>3.2399999999999998</v>
      </c>
      <c r="T54" s="197">
        <v>3.2399999999999998</v>
      </c>
      <c r="U54" s="198">
        <v>3.2399999999999998</v>
      </c>
      <c r="V54" s="196">
        <v>3.33</v>
      </c>
      <c r="W54" s="197">
        <v>3.33</v>
      </c>
      <c r="X54" s="197">
        <v>3.33</v>
      </c>
      <c r="Y54" s="197">
        <v>3.33</v>
      </c>
      <c r="Z54" s="197">
        <v>3.33</v>
      </c>
      <c r="AA54" s="197">
        <v>3.33</v>
      </c>
      <c r="AB54" s="197">
        <v>3.33</v>
      </c>
      <c r="AC54" s="197">
        <v>3.33</v>
      </c>
      <c r="AD54" s="198">
        <v>3.33</v>
      </c>
      <c r="AE54" s="199">
        <v>3.38</v>
      </c>
      <c r="AF54" s="200">
        <v>3.38</v>
      </c>
      <c r="AG54" s="200">
        <v>3.38</v>
      </c>
      <c r="AH54" s="200">
        <v>3.38</v>
      </c>
      <c r="AI54" s="200">
        <v>3.38</v>
      </c>
      <c r="AJ54" s="200">
        <v>3.38</v>
      </c>
      <c r="AK54" s="200">
        <v>3.38</v>
      </c>
      <c r="AL54" s="200">
        <v>3.38</v>
      </c>
      <c r="AM54" s="201">
        <v>3.38</v>
      </c>
      <c r="AN54" s="199">
        <v>3.4299999999999997</v>
      </c>
      <c r="AO54" s="200">
        <v>3.4299999999999997</v>
      </c>
      <c r="AP54" s="200">
        <v>3.4299999999999997</v>
      </c>
      <c r="AQ54" s="200">
        <v>3.4299999999999997</v>
      </c>
      <c r="AR54" s="200">
        <v>3.4299999999999997</v>
      </c>
      <c r="AS54" s="200">
        <v>3.4299999999999997</v>
      </c>
      <c r="AT54" s="200">
        <v>3.4299999999999997</v>
      </c>
      <c r="AU54" s="200">
        <v>3.4299999999999997</v>
      </c>
      <c r="AV54" s="201">
        <v>3.4299999999999997</v>
      </c>
      <c r="AW54" s="199">
        <v>3.48</v>
      </c>
      <c r="AX54" s="200">
        <v>3.48</v>
      </c>
      <c r="AY54" s="200">
        <v>3.48</v>
      </c>
      <c r="AZ54" s="200">
        <v>3.48</v>
      </c>
      <c r="BA54" s="200">
        <v>3.48</v>
      </c>
      <c r="BB54" s="200">
        <v>3.48</v>
      </c>
      <c r="BC54" s="200">
        <v>3.48</v>
      </c>
      <c r="BD54" s="200">
        <v>3.48</v>
      </c>
      <c r="BE54" s="201">
        <v>3.48</v>
      </c>
    </row>
    <row r="55" spans="1:58" x14ac:dyDescent="0.25">
      <c r="A55" s="330"/>
      <c r="B55" s="193" t="s">
        <v>13</v>
      </c>
      <c r="C55" s="193" t="s">
        <v>14</v>
      </c>
      <c r="D55" s="196"/>
      <c r="E55" s="197"/>
      <c r="F55" s="197"/>
      <c r="G55" s="197"/>
      <c r="H55" s="197"/>
      <c r="I55" s="197"/>
      <c r="J55" s="197"/>
      <c r="K55" s="197"/>
      <c r="L55" s="198"/>
      <c r="M55" s="196"/>
      <c r="N55" s="197"/>
      <c r="O55" s="197"/>
      <c r="P55" s="197"/>
      <c r="Q55" s="197"/>
      <c r="R55" s="197"/>
      <c r="S55" s="197"/>
      <c r="T55" s="197"/>
      <c r="U55" s="198"/>
      <c r="V55" s="196"/>
      <c r="W55" s="197"/>
      <c r="X55" s="197"/>
      <c r="Y55" s="197"/>
      <c r="Z55" s="197"/>
      <c r="AA55" s="197"/>
      <c r="AB55" s="197"/>
      <c r="AC55" s="197"/>
      <c r="AD55" s="198"/>
      <c r="AE55" s="199"/>
      <c r="AF55" s="200"/>
      <c r="AG55" s="200"/>
      <c r="AH55" s="200"/>
      <c r="AI55" s="200"/>
      <c r="AJ55" s="200"/>
      <c r="AK55" s="200"/>
      <c r="AL55" s="200"/>
      <c r="AM55" s="201"/>
      <c r="AN55" s="199"/>
      <c r="AO55" s="200"/>
      <c r="AP55" s="200"/>
      <c r="AQ55" s="200"/>
      <c r="AR55" s="200"/>
      <c r="AS55" s="200"/>
      <c r="AT55" s="200"/>
      <c r="AU55" s="200"/>
      <c r="AV55" s="201"/>
      <c r="AW55" s="199"/>
      <c r="AX55" s="200"/>
      <c r="AY55" s="200"/>
      <c r="AZ55" s="200"/>
      <c r="BA55" s="200"/>
      <c r="BB55" s="200"/>
      <c r="BC55" s="200"/>
      <c r="BD55" s="200"/>
      <c r="BE55" s="201"/>
    </row>
    <row r="56" spans="1:58" ht="15.75" thickBot="1" x14ac:dyDescent="0.3">
      <c r="A56" s="332"/>
      <c r="B56" s="194" t="s">
        <v>15</v>
      </c>
      <c r="C56" s="194" t="s">
        <v>4</v>
      </c>
      <c r="D56" s="238"/>
      <c r="E56" s="239"/>
      <c r="F56" s="239"/>
      <c r="G56" s="239"/>
      <c r="H56" s="239"/>
      <c r="I56" s="239"/>
      <c r="J56" s="239"/>
      <c r="K56" s="239"/>
      <c r="L56" s="240"/>
      <c r="M56" s="238"/>
      <c r="N56" s="239"/>
      <c r="O56" s="239"/>
      <c r="P56" s="239"/>
      <c r="Q56" s="239"/>
      <c r="R56" s="239"/>
      <c r="S56" s="239"/>
      <c r="T56" s="239"/>
      <c r="U56" s="240"/>
      <c r="V56" s="238"/>
      <c r="W56" s="239"/>
      <c r="X56" s="239"/>
      <c r="Y56" s="239"/>
      <c r="Z56" s="239"/>
      <c r="AA56" s="239"/>
      <c r="AB56" s="239"/>
      <c r="AC56" s="239"/>
      <c r="AD56" s="240"/>
      <c r="AE56" s="347"/>
      <c r="AF56" s="348"/>
      <c r="AG56" s="348"/>
      <c r="AH56" s="348"/>
      <c r="AI56" s="348"/>
      <c r="AJ56" s="348"/>
      <c r="AK56" s="348"/>
      <c r="AL56" s="348"/>
      <c r="AM56" s="349"/>
      <c r="AN56" s="347"/>
      <c r="AO56" s="348"/>
      <c r="AP56" s="348"/>
      <c r="AQ56" s="348"/>
      <c r="AR56" s="348"/>
      <c r="AS56" s="348"/>
      <c r="AT56" s="348"/>
      <c r="AU56" s="348"/>
      <c r="AV56" s="349"/>
      <c r="AW56" s="347"/>
      <c r="AX56" s="348"/>
      <c r="AY56" s="348"/>
      <c r="AZ56" s="348"/>
      <c r="BA56" s="348"/>
      <c r="BB56" s="348"/>
      <c r="BC56" s="348"/>
      <c r="BD56" s="348"/>
      <c r="BE56" s="349"/>
    </row>
    <row r="57" spans="1:58" x14ac:dyDescent="0.25">
      <c r="A57" s="350" t="s">
        <v>147</v>
      </c>
      <c r="B57" s="351" t="s">
        <v>101</v>
      </c>
      <c r="C57" s="351" t="s">
        <v>4</v>
      </c>
      <c r="D57" s="352">
        <v>20</v>
      </c>
      <c r="E57" s="353">
        <v>20</v>
      </c>
      <c r="F57" s="353">
        <v>20</v>
      </c>
      <c r="G57" s="353">
        <v>20</v>
      </c>
      <c r="H57" s="353">
        <v>20</v>
      </c>
      <c r="I57" s="353">
        <v>20</v>
      </c>
      <c r="J57" s="353">
        <v>20</v>
      </c>
      <c r="K57" s="353">
        <v>20</v>
      </c>
      <c r="L57" s="354">
        <v>20</v>
      </c>
      <c r="M57" s="352">
        <v>20</v>
      </c>
      <c r="N57" s="353">
        <v>20</v>
      </c>
      <c r="O57" s="353">
        <v>20</v>
      </c>
      <c r="P57" s="353">
        <v>20</v>
      </c>
      <c r="Q57" s="353">
        <v>20</v>
      </c>
      <c r="R57" s="353">
        <v>20</v>
      </c>
      <c r="S57" s="353">
        <v>20</v>
      </c>
      <c r="T57" s="353">
        <v>20</v>
      </c>
      <c r="U57" s="354">
        <v>20</v>
      </c>
      <c r="V57" s="352">
        <v>20</v>
      </c>
      <c r="W57" s="353">
        <v>20</v>
      </c>
      <c r="X57" s="353">
        <v>20</v>
      </c>
      <c r="Y57" s="353">
        <v>20</v>
      </c>
      <c r="Z57" s="353">
        <v>20</v>
      </c>
      <c r="AA57" s="353">
        <v>20</v>
      </c>
      <c r="AB57" s="353">
        <v>20</v>
      </c>
      <c r="AC57" s="353">
        <v>20</v>
      </c>
      <c r="AD57" s="354">
        <v>20</v>
      </c>
      <c r="AE57" s="355">
        <v>20</v>
      </c>
      <c r="AF57" s="356">
        <v>20</v>
      </c>
      <c r="AG57" s="356">
        <v>20</v>
      </c>
      <c r="AH57" s="356">
        <v>20</v>
      </c>
      <c r="AI57" s="356">
        <v>20</v>
      </c>
      <c r="AJ57" s="356">
        <v>20</v>
      </c>
      <c r="AK57" s="356">
        <v>20</v>
      </c>
      <c r="AL57" s="356">
        <v>20</v>
      </c>
      <c r="AM57" s="357">
        <v>20</v>
      </c>
      <c r="AN57" s="355">
        <v>20</v>
      </c>
      <c r="AO57" s="356">
        <v>20</v>
      </c>
      <c r="AP57" s="356">
        <v>20</v>
      </c>
      <c r="AQ57" s="356">
        <v>20</v>
      </c>
      <c r="AR57" s="356">
        <v>20</v>
      </c>
      <c r="AS57" s="356">
        <v>20</v>
      </c>
      <c r="AT57" s="356">
        <v>20</v>
      </c>
      <c r="AU57" s="356">
        <v>20</v>
      </c>
      <c r="AV57" s="357">
        <v>20</v>
      </c>
      <c r="AW57" s="355">
        <v>20</v>
      </c>
      <c r="AX57" s="356">
        <v>20</v>
      </c>
      <c r="AY57" s="356">
        <v>20</v>
      </c>
      <c r="AZ57" s="356">
        <v>20</v>
      </c>
      <c r="BA57" s="356">
        <v>20</v>
      </c>
      <c r="BB57" s="356">
        <v>20</v>
      </c>
      <c r="BC57" s="356">
        <v>20</v>
      </c>
      <c r="BD57" s="356">
        <v>20</v>
      </c>
      <c r="BE57" s="357">
        <v>20</v>
      </c>
      <c r="BF57" s="30"/>
    </row>
    <row r="58" spans="1:58" x14ac:dyDescent="0.25">
      <c r="A58" s="331"/>
      <c r="B58" s="195" t="s">
        <v>20</v>
      </c>
      <c r="C58" s="195" t="s">
        <v>6</v>
      </c>
      <c r="D58" s="208">
        <v>909.21153254208934</v>
      </c>
      <c r="E58" s="209">
        <v>627.05637164757331</v>
      </c>
      <c r="F58" s="209">
        <v>475.93332461067337</v>
      </c>
      <c r="G58" s="209">
        <v>475.93332461067337</v>
      </c>
      <c r="H58" s="209">
        <v>475.93332461067337</v>
      </c>
      <c r="I58" s="209">
        <v>475.93332461067337</v>
      </c>
      <c r="J58" s="209">
        <v>674.78400000000011</v>
      </c>
      <c r="K58" s="209">
        <v>674.78400000000011</v>
      </c>
      <c r="L58" s="210">
        <v>674.78400000000011</v>
      </c>
      <c r="M58" s="208">
        <v>876.88417547131348</v>
      </c>
      <c r="N58" s="209">
        <v>610.32909690692122</v>
      </c>
      <c r="O58" s="209">
        <v>466.55672962478747</v>
      </c>
      <c r="P58" s="209">
        <v>466.55672962478747</v>
      </c>
      <c r="Q58" s="209">
        <v>466.55672962478747</v>
      </c>
      <c r="R58" s="209">
        <v>466.55672962478747</v>
      </c>
      <c r="S58" s="209">
        <v>637.82399999999996</v>
      </c>
      <c r="T58" s="209">
        <v>637.82399999999996</v>
      </c>
      <c r="U58" s="210">
        <v>637.82399999999996</v>
      </c>
      <c r="V58" s="208">
        <v>834.20131814045635</v>
      </c>
      <c r="W58" s="209">
        <v>582.75336672185188</v>
      </c>
      <c r="X58" s="209">
        <v>447.37922190941873</v>
      </c>
      <c r="Y58" s="209">
        <v>447.37922190941873</v>
      </c>
      <c r="Z58" s="209">
        <v>447.37922190941873</v>
      </c>
      <c r="AA58" s="209">
        <v>447.37922190941873</v>
      </c>
      <c r="AB58" s="209">
        <v>613.58399999999995</v>
      </c>
      <c r="AC58" s="209">
        <v>613.58399999999995</v>
      </c>
      <c r="AD58" s="210">
        <v>613.58399999999995</v>
      </c>
      <c r="AE58" s="214">
        <v>786.25871364962575</v>
      </c>
      <c r="AF58" s="215">
        <v>549.26179392174538</v>
      </c>
      <c r="AG58" s="215">
        <v>421.66777237439481</v>
      </c>
      <c r="AH58" s="215">
        <v>421.66777237439481</v>
      </c>
      <c r="AI58" s="215">
        <v>421.66777237439481</v>
      </c>
      <c r="AJ58" s="215">
        <v>421.66777237439481</v>
      </c>
      <c r="AK58" s="215">
        <v>597.82399999999996</v>
      </c>
      <c r="AL58" s="215">
        <v>597.82399999999996</v>
      </c>
      <c r="AM58" s="216">
        <v>597.82399999999996</v>
      </c>
      <c r="AN58" s="214">
        <v>738.31610915879503</v>
      </c>
      <c r="AO58" s="215">
        <v>515.77022112163911</v>
      </c>
      <c r="AP58" s="215">
        <v>395.95632283937084</v>
      </c>
      <c r="AQ58" s="215">
        <v>395.95632283937084</v>
      </c>
      <c r="AR58" s="215">
        <v>395.95632283937084</v>
      </c>
      <c r="AS58" s="215">
        <v>395.95632283937084</v>
      </c>
      <c r="AT58" s="215">
        <v>582.06399999999996</v>
      </c>
      <c r="AU58" s="215">
        <v>582.06399999999996</v>
      </c>
      <c r="AV58" s="216">
        <v>582.06399999999996</v>
      </c>
      <c r="AW58" s="214">
        <v>690.37350466796431</v>
      </c>
      <c r="AX58" s="215">
        <v>482.27864832153284</v>
      </c>
      <c r="AY58" s="215">
        <v>370.24487330434692</v>
      </c>
      <c r="AZ58" s="215">
        <v>370.24487330434692</v>
      </c>
      <c r="BA58" s="215">
        <v>370.24487330434692</v>
      </c>
      <c r="BB58" s="215">
        <v>370.24487330434692</v>
      </c>
      <c r="BC58" s="215">
        <v>566.30399999999997</v>
      </c>
      <c r="BD58" s="215">
        <v>566.30399999999997</v>
      </c>
      <c r="BE58" s="216">
        <v>566.30399999999997</v>
      </c>
    </row>
    <row r="59" spans="1:58" x14ac:dyDescent="0.25">
      <c r="A59" s="331"/>
      <c r="B59" s="195" t="s">
        <v>172</v>
      </c>
      <c r="C59" s="195" t="s">
        <v>19</v>
      </c>
      <c r="D59" s="208">
        <v>0.35</v>
      </c>
      <c r="E59" s="209">
        <v>0.35</v>
      </c>
      <c r="F59" s="209">
        <v>0.35</v>
      </c>
      <c r="G59" s="209">
        <v>0.35</v>
      </c>
      <c r="H59" s="209">
        <v>0.35</v>
      </c>
      <c r="I59" s="209">
        <v>0.35</v>
      </c>
      <c r="J59" s="209">
        <v>0.35</v>
      </c>
      <c r="K59" s="209">
        <v>0.35</v>
      </c>
      <c r="L59" s="210">
        <v>0.35</v>
      </c>
      <c r="M59" s="208">
        <v>0.35</v>
      </c>
      <c r="N59" s="209">
        <v>0.35</v>
      </c>
      <c r="O59" s="209">
        <v>0.35</v>
      </c>
      <c r="P59" s="209">
        <v>0.35</v>
      </c>
      <c r="Q59" s="209">
        <v>0.35</v>
      </c>
      <c r="R59" s="209">
        <v>0.35</v>
      </c>
      <c r="S59" s="209">
        <v>0.35</v>
      </c>
      <c r="T59" s="209">
        <v>0.35</v>
      </c>
      <c r="U59" s="210">
        <v>0.35</v>
      </c>
      <c r="V59" s="208">
        <v>0</v>
      </c>
      <c r="W59" s="209">
        <v>0</v>
      </c>
      <c r="X59" s="209">
        <v>0</v>
      </c>
      <c r="Y59" s="209">
        <v>0</v>
      </c>
      <c r="Z59" s="209">
        <v>0</v>
      </c>
      <c r="AA59" s="209">
        <v>0</v>
      </c>
      <c r="AB59" s="209">
        <v>0</v>
      </c>
      <c r="AC59" s="209">
        <v>0</v>
      </c>
      <c r="AD59" s="210">
        <v>0</v>
      </c>
      <c r="AE59" s="217">
        <v>0</v>
      </c>
      <c r="AF59" s="218">
        <v>0</v>
      </c>
      <c r="AG59" s="218">
        <v>0</v>
      </c>
      <c r="AH59" s="218">
        <v>0</v>
      </c>
      <c r="AI59" s="218">
        <v>0</v>
      </c>
      <c r="AJ59" s="218">
        <v>0</v>
      </c>
      <c r="AK59" s="218">
        <v>0</v>
      </c>
      <c r="AL59" s="218">
        <v>0</v>
      </c>
      <c r="AM59" s="219">
        <v>0</v>
      </c>
      <c r="AN59" s="217">
        <v>0</v>
      </c>
      <c r="AO59" s="218">
        <v>0</v>
      </c>
      <c r="AP59" s="218">
        <v>0</v>
      </c>
      <c r="AQ59" s="218">
        <v>0</v>
      </c>
      <c r="AR59" s="218">
        <v>0</v>
      </c>
      <c r="AS59" s="218">
        <v>0</v>
      </c>
      <c r="AT59" s="218">
        <v>0</v>
      </c>
      <c r="AU59" s="218">
        <v>0</v>
      </c>
      <c r="AV59" s="219">
        <v>0</v>
      </c>
      <c r="AW59" s="217">
        <v>0</v>
      </c>
      <c r="AX59" s="218">
        <v>0</v>
      </c>
      <c r="AY59" s="218">
        <v>0</v>
      </c>
      <c r="AZ59" s="218">
        <v>0</v>
      </c>
      <c r="BA59" s="218">
        <v>0</v>
      </c>
      <c r="BB59" s="218">
        <v>0</v>
      </c>
      <c r="BC59" s="218">
        <v>0</v>
      </c>
      <c r="BD59" s="218">
        <v>0</v>
      </c>
      <c r="BE59" s="219">
        <v>0</v>
      </c>
    </row>
    <row r="60" spans="1:58" x14ac:dyDescent="0.25">
      <c r="A60" s="331"/>
      <c r="B60" s="195" t="s">
        <v>102</v>
      </c>
      <c r="C60" s="195" t="s">
        <v>8</v>
      </c>
      <c r="D60" s="208"/>
      <c r="E60" s="209"/>
      <c r="F60" s="209"/>
      <c r="G60" s="209"/>
      <c r="H60" s="209"/>
      <c r="I60" s="209"/>
      <c r="J60" s="209"/>
      <c r="K60" s="209"/>
      <c r="L60" s="210"/>
      <c r="M60" s="208"/>
      <c r="N60" s="209"/>
      <c r="O60" s="209"/>
      <c r="P60" s="209"/>
      <c r="Q60" s="209"/>
      <c r="R60" s="209"/>
      <c r="S60" s="209"/>
      <c r="T60" s="209"/>
      <c r="U60" s="210"/>
      <c r="V60" s="208"/>
      <c r="W60" s="209"/>
      <c r="X60" s="209"/>
      <c r="Y60" s="209"/>
      <c r="Z60" s="209"/>
      <c r="AA60" s="209"/>
      <c r="AB60" s="209"/>
      <c r="AC60" s="209"/>
      <c r="AD60" s="210"/>
      <c r="AE60" s="211"/>
      <c r="AF60" s="212"/>
      <c r="AG60" s="212"/>
      <c r="AH60" s="212"/>
      <c r="AI60" s="212"/>
      <c r="AJ60" s="212"/>
      <c r="AK60" s="212"/>
      <c r="AL60" s="212"/>
      <c r="AM60" s="213"/>
      <c r="AN60" s="211"/>
      <c r="AO60" s="212"/>
      <c r="AP60" s="212"/>
      <c r="AQ60" s="212"/>
      <c r="AR60" s="212"/>
      <c r="AS60" s="212"/>
      <c r="AT60" s="212"/>
      <c r="AU60" s="212"/>
      <c r="AV60" s="213"/>
      <c r="AW60" s="211"/>
      <c r="AX60" s="212"/>
      <c r="AY60" s="212"/>
      <c r="AZ60" s="212"/>
      <c r="BA60" s="212"/>
      <c r="BB60" s="212"/>
      <c r="BC60" s="212"/>
      <c r="BD60" s="212"/>
      <c r="BE60" s="213"/>
    </row>
    <row r="61" spans="1:58" x14ac:dyDescent="0.25">
      <c r="A61" s="331"/>
      <c r="B61" s="195" t="s">
        <v>103</v>
      </c>
      <c r="C61" s="195" t="s">
        <v>9</v>
      </c>
      <c r="D61" s="208">
        <v>13.638172988131339</v>
      </c>
      <c r="E61" s="209">
        <v>9.4058455747135987</v>
      </c>
      <c r="F61" s="209">
        <v>7.1389998691601004</v>
      </c>
      <c r="G61" s="209">
        <v>7.1389998691601004</v>
      </c>
      <c r="H61" s="209">
        <v>7.1389998691601004</v>
      </c>
      <c r="I61" s="209">
        <v>7.1389998691601004</v>
      </c>
      <c r="J61" s="209">
        <v>1.91</v>
      </c>
      <c r="K61" s="209">
        <v>1.91</v>
      </c>
      <c r="L61" s="210">
        <v>1.91</v>
      </c>
      <c r="M61" s="208">
        <v>13.153262632069701</v>
      </c>
      <c r="N61" s="209">
        <v>9.1549364536038187</v>
      </c>
      <c r="O61" s="209">
        <v>6.9983509443718122</v>
      </c>
      <c r="P61" s="209">
        <v>6.9983509443718122</v>
      </c>
      <c r="Q61" s="209">
        <v>6.9983509443718122</v>
      </c>
      <c r="R61" s="209">
        <v>6.9983509443718122</v>
      </c>
      <c r="S61" s="209">
        <v>1.76</v>
      </c>
      <c r="T61" s="209">
        <v>1.76</v>
      </c>
      <c r="U61" s="210">
        <v>1.76</v>
      </c>
      <c r="V61" s="208">
        <v>12.513019772106844</v>
      </c>
      <c r="W61" s="209">
        <v>8.7413005008277782</v>
      </c>
      <c r="X61" s="209">
        <v>6.7106883286412806</v>
      </c>
      <c r="Y61" s="209">
        <v>6.7106883286412806</v>
      </c>
      <c r="Z61" s="209">
        <v>6.7106883286412806</v>
      </c>
      <c r="AA61" s="209">
        <v>6.7106883286412806</v>
      </c>
      <c r="AB61" s="209">
        <v>1.673</v>
      </c>
      <c r="AC61" s="209">
        <v>1.673</v>
      </c>
      <c r="AD61" s="210">
        <v>1.673</v>
      </c>
      <c r="AE61" s="214">
        <v>11.793880704744385</v>
      </c>
      <c r="AF61" s="215">
        <v>8.2389269088261798</v>
      </c>
      <c r="AG61" s="215">
        <v>6.3250165856159217</v>
      </c>
      <c r="AH61" s="215">
        <v>6.3250165856159217</v>
      </c>
      <c r="AI61" s="215">
        <v>6.3250165856159217</v>
      </c>
      <c r="AJ61" s="215">
        <v>6.3250165856159217</v>
      </c>
      <c r="AK61" s="215">
        <v>1.6279999999999999</v>
      </c>
      <c r="AL61" s="215">
        <v>1.6279999999999999</v>
      </c>
      <c r="AM61" s="216">
        <v>1.6279999999999999</v>
      </c>
      <c r="AN61" s="214">
        <v>11.074741637381925</v>
      </c>
      <c r="AO61" s="215">
        <v>7.7365533168245868</v>
      </c>
      <c r="AP61" s="215">
        <v>5.9393448425905628</v>
      </c>
      <c r="AQ61" s="215">
        <v>5.9393448425905628</v>
      </c>
      <c r="AR61" s="215">
        <v>5.9393448425905628</v>
      </c>
      <c r="AS61" s="215">
        <v>5.9393448425905628</v>
      </c>
      <c r="AT61" s="215">
        <v>1.583</v>
      </c>
      <c r="AU61" s="215">
        <v>1.583</v>
      </c>
      <c r="AV61" s="216">
        <v>1.583</v>
      </c>
      <c r="AW61" s="214">
        <v>10.355602570019464</v>
      </c>
      <c r="AX61" s="215">
        <v>7.234179724822992</v>
      </c>
      <c r="AY61" s="215">
        <v>5.5536730995652039</v>
      </c>
      <c r="AZ61" s="215">
        <v>5.5536730995652039</v>
      </c>
      <c r="BA61" s="215">
        <v>5.5536730995652039</v>
      </c>
      <c r="BB61" s="215">
        <v>5.5536730995652039</v>
      </c>
      <c r="BC61" s="215">
        <v>1.538</v>
      </c>
      <c r="BD61" s="215">
        <v>1.538</v>
      </c>
      <c r="BE61" s="216">
        <v>1.538</v>
      </c>
    </row>
    <row r="62" spans="1:58" x14ac:dyDescent="0.25">
      <c r="A62" s="331"/>
      <c r="B62" s="195" t="s">
        <v>104</v>
      </c>
      <c r="C62" s="195" t="s">
        <v>10</v>
      </c>
      <c r="D62" s="208">
        <v>0</v>
      </c>
      <c r="E62" s="209">
        <v>0</v>
      </c>
      <c r="F62" s="209">
        <v>0</v>
      </c>
      <c r="G62" s="209">
        <v>0</v>
      </c>
      <c r="H62" s="209">
        <v>0</v>
      </c>
      <c r="I62" s="209">
        <v>0</v>
      </c>
      <c r="J62" s="209">
        <v>2.1700000000000001E-3</v>
      </c>
      <c r="K62" s="209">
        <v>2.1700000000000001E-3</v>
      </c>
      <c r="L62" s="210">
        <v>2.1700000000000001E-3</v>
      </c>
      <c r="M62" s="208">
        <v>0</v>
      </c>
      <c r="N62" s="209">
        <v>0</v>
      </c>
      <c r="O62" s="209">
        <v>0</v>
      </c>
      <c r="P62" s="209">
        <v>0</v>
      </c>
      <c r="Q62" s="209">
        <v>0</v>
      </c>
      <c r="R62" s="209">
        <v>0</v>
      </c>
      <c r="S62" s="209">
        <v>2.1199999999999999E-3</v>
      </c>
      <c r="T62" s="209">
        <v>2.1199999999999999E-3</v>
      </c>
      <c r="U62" s="210">
        <v>2.1199999999999999E-3</v>
      </c>
      <c r="V62" s="208">
        <v>0</v>
      </c>
      <c r="W62" s="209">
        <v>0</v>
      </c>
      <c r="X62" s="209">
        <v>0</v>
      </c>
      <c r="Y62" s="209">
        <v>0</v>
      </c>
      <c r="Z62" s="209">
        <v>0</v>
      </c>
      <c r="AA62" s="209">
        <v>0</v>
      </c>
      <c r="AB62" s="209">
        <v>2.085E-3</v>
      </c>
      <c r="AC62" s="209">
        <v>2.085E-3</v>
      </c>
      <c r="AD62" s="210">
        <v>2.085E-3</v>
      </c>
      <c r="AE62" s="214">
        <v>0</v>
      </c>
      <c r="AF62" s="215">
        <v>0</v>
      </c>
      <c r="AG62" s="215">
        <v>0</v>
      </c>
      <c r="AH62" s="215">
        <v>0</v>
      </c>
      <c r="AI62" s="215">
        <v>0</v>
      </c>
      <c r="AJ62" s="215">
        <v>0</v>
      </c>
      <c r="AK62" s="215">
        <v>2.0599999999999998E-3</v>
      </c>
      <c r="AL62" s="215">
        <v>2.0599999999999998E-3</v>
      </c>
      <c r="AM62" s="216">
        <v>2.0599999999999998E-3</v>
      </c>
      <c r="AN62" s="214">
        <v>0</v>
      </c>
      <c r="AO62" s="215">
        <v>0</v>
      </c>
      <c r="AP62" s="215">
        <v>0</v>
      </c>
      <c r="AQ62" s="215">
        <v>0</v>
      </c>
      <c r="AR62" s="215">
        <v>0</v>
      </c>
      <c r="AS62" s="215">
        <v>0</v>
      </c>
      <c r="AT62" s="215">
        <v>2.0349999999999999E-3</v>
      </c>
      <c r="AU62" s="215">
        <v>2.0349999999999999E-3</v>
      </c>
      <c r="AV62" s="216">
        <v>2.0349999999999999E-3</v>
      </c>
      <c r="AW62" s="214">
        <v>0</v>
      </c>
      <c r="AX62" s="215">
        <v>0</v>
      </c>
      <c r="AY62" s="215">
        <v>0</v>
      </c>
      <c r="AZ62" s="215">
        <v>0</v>
      </c>
      <c r="BA62" s="215">
        <v>0</v>
      </c>
      <c r="BB62" s="215">
        <v>0</v>
      </c>
      <c r="BC62" s="215">
        <v>2.0100000000000001E-3</v>
      </c>
      <c r="BD62" s="215">
        <v>2.0100000000000001E-3</v>
      </c>
      <c r="BE62" s="216">
        <v>2.0100000000000001E-3</v>
      </c>
    </row>
    <row r="63" spans="1:58" x14ac:dyDescent="0.25">
      <c r="A63" s="331"/>
      <c r="B63" s="195" t="s">
        <v>105</v>
      </c>
      <c r="C63" s="195" t="s">
        <v>320</v>
      </c>
      <c r="D63" s="208">
        <v>0</v>
      </c>
      <c r="E63" s="209">
        <v>0</v>
      </c>
      <c r="F63" s="209">
        <v>0</v>
      </c>
      <c r="G63" s="209">
        <v>0</v>
      </c>
      <c r="H63" s="209">
        <v>0</v>
      </c>
      <c r="I63" s="209">
        <v>0</v>
      </c>
      <c r="J63" s="209">
        <v>0</v>
      </c>
      <c r="K63" s="209">
        <v>0</v>
      </c>
      <c r="L63" s="210">
        <v>0</v>
      </c>
      <c r="M63" s="208">
        <v>0</v>
      </c>
      <c r="N63" s="209">
        <v>0</v>
      </c>
      <c r="O63" s="209">
        <v>0</v>
      </c>
      <c r="P63" s="209">
        <v>0</v>
      </c>
      <c r="Q63" s="209">
        <v>0</v>
      </c>
      <c r="R63" s="209">
        <v>0</v>
      </c>
      <c r="S63" s="209">
        <v>0</v>
      </c>
      <c r="T63" s="209">
        <v>0</v>
      </c>
      <c r="U63" s="210">
        <v>0</v>
      </c>
      <c r="V63" s="208">
        <v>0</v>
      </c>
      <c r="W63" s="209">
        <v>0</v>
      </c>
      <c r="X63" s="209">
        <v>0</v>
      </c>
      <c r="Y63" s="209">
        <v>0</v>
      </c>
      <c r="Z63" s="209">
        <v>0</v>
      </c>
      <c r="AA63" s="209">
        <v>0</v>
      </c>
      <c r="AB63" s="209">
        <v>0</v>
      </c>
      <c r="AC63" s="209">
        <v>0</v>
      </c>
      <c r="AD63" s="210">
        <v>0</v>
      </c>
      <c r="AE63" s="214">
        <v>0</v>
      </c>
      <c r="AF63" s="215">
        <v>0</v>
      </c>
      <c r="AG63" s="215">
        <v>0</v>
      </c>
      <c r="AH63" s="215">
        <v>0</v>
      </c>
      <c r="AI63" s="215">
        <v>0</v>
      </c>
      <c r="AJ63" s="215">
        <v>0</v>
      </c>
      <c r="AK63" s="215">
        <v>0</v>
      </c>
      <c r="AL63" s="215">
        <v>0</v>
      </c>
      <c r="AM63" s="216">
        <v>0</v>
      </c>
      <c r="AN63" s="214">
        <v>0</v>
      </c>
      <c r="AO63" s="215">
        <v>0</v>
      </c>
      <c r="AP63" s="215">
        <v>0</v>
      </c>
      <c r="AQ63" s="215">
        <v>0</v>
      </c>
      <c r="AR63" s="215">
        <v>0</v>
      </c>
      <c r="AS63" s="215">
        <v>0</v>
      </c>
      <c r="AT63" s="215">
        <v>0</v>
      </c>
      <c r="AU63" s="215">
        <v>0</v>
      </c>
      <c r="AV63" s="216">
        <v>0</v>
      </c>
      <c r="AW63" s="214">
        <v>0</v>
      </c>
      <c r="AX63" s="215">
        <v>0</v>
      </c>
      <c r="AY63" s="215">
        <v>0</v>
      </c>
      <c r="AZ63" s="215">
        <v>0</v>
      </c>
      <c r="BA63" s="215">
        <v>0</v>
      </c>
      <c r="BB63" s="215">
        <v>0</v>
      </c>
      <c r="BC63" s="215">
        <v>0</v>
      </c>
      <c r="BD63" s="215">
        <v>0</v>
      </c>
      <c r="BE63" s="216">
        <v>0</v>
      </c>
    </row>
    <row r="64" spans="1:58" x14ac:dyDescent="0.25">
      <c r="A64" s="331"/>
      <c r="B64" s="195" t="s">
        <v>11</v>
      </c>
      <c r="C64" s="195" t="s">
        <v>10</v>
      </c>
      <c r="D64" s="208">
        <v>0</v>
      </c>
      <c r="E64" s="209">
        <v>0</v>
      </c>
      <c r="F64" s="209">
        <v>0</v>
      </c>
      <c r="G64" s="209">
        <v>0</v>
      </c>
      <c r="H64" s="209">
        <v>0</v>
      </c>
      <c r="I64" s="209">
        <v>0</v>
      </c>
      <c r="J64" s="209">
        <v>0</v>
      </c>
      <c r="K64" s="209">
        <v>0</v>
      </c>
      <c r="L64" s="210">
        <v>0</v>
      </c>
      <c r="M64" s="208">
        <v>0</v>
      </c>
      <c r="N64" s="209">
        <v>0</v>
      </c>
      <c r="O64" s="209">
        <v>0</v>
      </c>
      <c r="P64" s="209">
        <v>0</v>
      </c>
      <c r="Q64" s="209">
        <v>0</v>
      </c>
      <c r="R64" s="209">
        <v>0</v>
      </c>
      <c r="S64" s="209">
        <v>0</v>
      </c>
      <c r="T64" s="209">
        <v>0</v>
      </c>
      <c r="U64" s="210">
        <v>0</v>
      </c>
      <c r="V64" s="208">
        <v>0</v>
      </c>
      <c r="W64" s="209">
        <v>0</v>
      </c>
      <c r="X64" s="209">
        <v>0</v>
      </c>
      <c r="Y64" s="209">
        <v>0</v>
      </c>
      <c r="Z64" s="209">
        <v>0</v>
      </c>
      <c r="AA64" s="209">
        <v>0</v>
      </c>
      <c r="AB64" s="209">
        <v>0</v>
      </c>
      <c r="AC64" s="209">
        <v>0</v>
      </c>
      <c r="AD64" s="210">
        <v>0</v>
      </c>
      <c r="AE64" s="214">
        <v>0</v>
      </c>
      <c r="AF64" s="215">
        <v>0</v>
      </c>
      <c r="AG64" s="215">
        <v>0</v>
      </c>
      <c r="AH64" s="215">
        <v>0</v>
      </c>
      <c r="AI64" s="215">
        <v>0</v>
      </c>
      <c r="AJ64" s="215">
        <v>0</v>
      </c>
      <c r="AK64" s="215">
        <v>0</v>
      </c>
      <c r="AL64" s="215">
        <v>0</v>
      </c>
      <c r="AM64" s="216">
        <v>0</v>
      </c>
      <c r="AN64" s="214">
        <v>0</v>
      </c>
      <c r="AO64" s="215">
        <v>0</v>
      </c>
      <c r="AP64" s="215">
        <v>0</v>
      </c>
      <c r="AQ64" s="215">
        <v>0</v>
      </c>
      <c r="AR64" s="215">
        <v>0</v>
      </c>
      <c r="AS64" s="215">
        <v>0</v>
      </c>
      <c r="AT64" s="215">
        <v>0</v>
      </c>
      <c r="AU64" s="215">
        <v>0</v>
      </c>
      <c r="AV64" s="216">
        <v>0</v>
      </c>
      <c r="AW64" s="214">
        <v>0</v>
      </c>
      <c r="AX64" s="215">
        <v>0</v>
      </c>
      <c r="AY64" s="215">
        <v>0</v>
      </c>
      <c r="AZ64" s="215">
        <v>0</v>
      </c>
      <c r="BA64" s="215">
        <v>0</v>
      </c>
      <c r="BB64" s="215">
        <v>0</v>
      </c>
      <c r="BC64" s="215">
        <v>0</v>
      </c>
      <c r="BD64" s="215">
        <v>0</v>
      </c>
      <c r="BE64" s="216">
        <v>0</v>
      </c>
    </row>
    <row r="65" spans="1:58" x14ac:dyDescent="0.25">
      <c r="A65" s="331"/>
      <c r="B65" s="195" t="s">
        <v>18</v>
      </c>
      <c r="C65" s="195" t="s">
        <v>19</v>
      </c>
      <c r="D65" s="208">
        <v>4.22</v>
      </c>
      <c r="E65" s="209">
        <v>4.22</v>
      </c>
      <c r="F65" s="209">
        <v>4.22</v>
      </c>
      <c r="G65" s="209">
        <v>4.22</v>
      </c>
      <c r="H65" s="209">
        <v>4.22</v>
      </c>
      <c r="I65" s="209">
        <v>4.22</v>
      </c>
      <c r="J65" s="209">
        <v>4.22</v>
      </c>
      <c r="K65" s="209">
        <v>4.22</v>
      </c>
      <c r="L65" s="210">
        <v>4.22</v>
      </c>
      <c r="M65" s="208">
        <v>4.42</v>
      </c>
      <c r="N65" s="209">
        <v>4.42</v>
      </c>
      <c r="O65" s="209">
        <v>4.42</v>
      </c>
      <c r="P65" s="209">
        <v>4.42</v>
      </c>
      <c r="Q65" s="209">
        <v>4.42</v>
      </c>
      <c r="R65" s="209">
        <v>4.42</v>
      </c>
      <c r="S65" s="209">
        <v>4.42</v>
      </c>
      <c r="T65" s="209">
        <v>4.42</v>
      </c>
      <c r="U65" s="210">
        <v>4.42</v>
      </c>
      <c r="V65" s="208">
        <v>4.62</v>
      </c>
      <c r="W65" s="209">
        <v>4.62</v>
      </c>
      <c r="X65" s="209">
        <v>4.62</v>
      </c>
      <c r="Y65" s="209">
        <v>4.62</v>
      </c>
      <c r="Z65" s="209">
        <v>4.62</v>
      </c>
      <c r="AA65" s="209">
        <v>4.62</v>
      </c>
      <c r="AB65" s="209">
        <v>4.62</v>
      </c>
      <c r="AC65" s="209">
        <v>4.62</v>
      </c>
      <c r="AD65" s="210">
        <v>4.62</v>
      </c>
      <c r="AE65" s="211">
        <v>4.82</v>
      </c>
      <c r="AF65" s="212">
        <v>4.82</v>
      </c>
      <c r="AG65" s="212">
        <v>4.82</v>
      </c>
      <c r="AH65" s="212">
        <v>4.82</v>
      </c>
      <c r="AI65" s="212">
        <v>4.82</v>
      </c>
      <c r="AJ65" s="212">
        <v>4.82</v>
      </c>
      <c r="AK65" s="212">
        <v>4.82</v>
      </c>
      <c r="AL65" s="212">
        <v>4.82</v>
      </c>
      <c r="AM65" s="213">
        <v>4.82</v>
      </c>
      <c r="AN65" s="211">
        <v>5.0199999999999996</v>
      </c>
      <c r="AO65" s="212">
        <v>5.0199999999999996</v>
      </c>
      <c r="AP65" s="212">
        <v>5.0199999999999996</v>
      </c>
      <c r="AQ65" s="212">
        <v>5.0199999999999996</v>
      </c>
      <c r="AR65" s="212">
        <v>5.0199999999999996</v>
      </c>
      <c r="AS65" s="212">
        <v>5.0199999999999996</v>
      </c>
      <c r="AT65" s="212">
        <v>5.0199999999999996</v>
      </c>
      <c r="AU65" s="212">
        <v>5.0199999999999996</v>
      </c>
      <c r="AV65" s="213">
        <v>5.0199999999999996</v>
      </c>
      <c r="AW65" s="211">
        <v>5.22</v>
      </c>
      <c r="AX65" s="212">
        <v>5.22</v>
      </c>
      <c r="AY65" s="212">
        <v>5.22</v>
      </c>
      <c r="AZ65" s="212">
        <v>5.22</v>
      </c>
      <c r="BA65" s="212">
        <v>5.22</v>
      </c>
      <c r="BB65" s="212">
        <v>5.22</v>
      </c>
      <c r="BC65" s="212">
        <v>5.22</v>
      </c>
      <c r="BD65" s="212">
        <v>5.22</v>
      </c>
      <c r="BE65" s="213">
        <v>5.22</v>
      </c>
    </row>
    <row r="66" spans="1:58" x14ac:dyDescent="0.25">
      <c r="A66" s="331"/>
      <c r="B66" s="195" t="s">
        <v>13</v>
      </c>
      <c r="C66" s="195" t="s">
        <v>14</v>
      </c>
      <c r="D66" s="208"/>
      <c r="E66" s="209"/>
      <c r="F66" s="209"/>
      <c r="G66" s="209"/>
      <c r="H66" s="209"/>
      <c r="I66" s="209"/>
      <c r="J66" s="209"/>
      <c r="K66" s="209"/>
      <c r="L66" s="210"/>
      <c r="M66" s="208"/>
      <c r="N66" s="209"/>
      <c r="O66" s="209"/>
      <c r="P66" s="209"/>
      <c r="Q66" s="209"/>
      <c r="R66" s="209"/>
      <c r="S66" s="209"/>
      <c r="T66" s="209"/>
      <c r="U66" s="210"/>
      <c r="V66" s="208"/>
      <c r="W66" s="209"/>
      <c r="X66" s="209"/>
      <c r="Y66" s="209"/>
      <c r="Z66" s="209"/>
      <c r="AA66" s="209"/>
      <c r="AB66" s="209"/>
      <c r="AC66" s="209"/>
      <c r="AD66" s="210"/>
      <c r="AE66" s="211"/>
      <c r="AF66" s="212"/>
      <c r="AG66" s="212"/>
      <c r="AH66" s="212"/>
      <c r="AI66" s="212"/>
      <c r="AJ66" s="212"/>
      <c r="AK66" s="212"/>
      <c r="AL66" s="212"/>
      <c r="AM66" s="213"/>
      <c r="AN66" s="211"/>
      <c r="AO66" s="212"/>
      <c r="AP66" s="212"/>
      <c r="AQ66" s="212"/>
      <c r="AR66" s="212"/>
      <c r="AS66" s="212"/>
      <c r="AT66" s="212"/>
      <c r="AU66" s="212"/>
      <c r="AV66" s="213"/>
      <c r="AW66" s="211"/>
      <c r="AX66" s="212"/>
      <c r="AY66" s="212"/>
      <c r="AZ66" s="212"/>
      <c r="BA66" s="212"/>
      <c r="BB66" s="212"/>
      <c r="BC66" s="212"/>
      <c r="BD66" s="212"/>
      <c r="BE66" s="213"/>
    </row>
    <row r="67" spans="1:58" x14ac:dyDescent="0.25">
      <c r="A67" s="331"/>
      <c r="B67" s="195" t="s">
        <v>15</v>
      </c>
      <c r="C67" s="195" t="s">
        <v>4</v>
      </c>
      <c r="D67" s="208"/>
      <c r="E67" s="209"/>
      <c r="F67" s="209"/>
      <c r="G67" s="209"/>
      <c r="H67" s="209"/>
      <c r="I67" s="209"/>
      <c r="J67" s="209"/>
      <c r="K67" s="209"/>
      <c r="L67" s="210"/>
      <c r="M67" s="208"/>
      <c r="N67" s="209"/>
      <c r="O67" s="209"/>
      <c r="P67" s="209"/>
      <c r="Q67" s="209"/>
      <c r="R67" s="209"/>
      <c r="S67" s="209"/>
      <c r="T67" s="209"/>
      <c r="U67" s="210"/>
      <c r="V67" s="208"/>
      <c r="W67" s="209"/>
      <c r="X67" s="209"/>
      <c r="Y67" s="209"/>
      <c r="Z67" s="209"/>
      <c r="AA67" s="209"/>
      <c r="AB67" s="209"/>
      <c r="AC67" s="209"/>
      <c r="AD67" s="210"/>
      <c r="AE67" s="211"/>
      <c r="AF67" s="212"/>
      <c r="AG67" s="212"/>
      <c r="AH67" s="212"/>
      <c r="AI67" s="212"/>
      <c r="AJ67" s="212"/>
      <c r="AK67" s="212"/>
      <c r="AL67" s="212"/>
      <c r="AM67" s="213"/>
      <c r="AN67" s="211"/>
      <c r="AO67" s="212"/>
      <c r="AP67" s="212"/>
      <c r="AQ67" s="212"/>
      <c r="AR67" s="212"/>
      <c r="AS67" s="212"/>
      <c r="AT67" s="212"/>
      <c r="AU67" s="212"/>
      <c r="AV67" s="213"/>
      <c r="AW67" s="211"/>
      <c r="AX67" s="212"/>
      <c r="AY67" s="212"/>
      <c r="AZ67" s="212"/>
      <c r="BA67" s="212"/>
      <c r="BB67" s="212"/>
      <c r="BC67" s="212"/>
      <c r="BD67" s="212"/>
      <c r="BE67" s="213"/>
    </row>
    <row r="68" spans="1:58" x14ac:dyDescent="0.25">
      <c r="A68" s="331"/>
      <c r="B68" s="195" t="s">
        <v>106</v>
      </c>
      <c r="C68" s="195" t="s">
        <v>6</v>
      </c>
      <c r="D68" s="208">
        <v>2419.8158607382284</v>
      </c>
      <c r="E68" s="209">
        <v>1655.7881203031177</v>
      </c>
      <c r="F68" s="209">
        <v>1041.3145241292364</v>
      </c>
      <c r="G68" s="209">
        <v>361.73551248702233</v>
      </c>
      <c r="H68" s="209">
        <v>246.65342336513888</v>
      </c>
      <c r="I68" s="209">
        <v>156.34182589557849</v>
      </c>
      <c r="J68" s="209">
        <v>75.877978739630933</v>
      </c>
      <c r="K68" s="209">
        <v>66.467719198694567</v>
      </c>
      <c r="L68" s="210">
        <v>66.467719198694567</v>
      </c>
      <c r="M68" s="208">
        <v>2542.5468857578812</v>
      </c>
      <c r="N68" s="209">
        <v>1739.7683009926391</v>
      </c>
      <c r="O68" s="209">
        <v>1094.1291208875389</v>
      </c>
      <c r="P68" s="209">
        <v>380.08243340521</v>
      </c>
      <c r="Q68" s="209">
        <v>259.16347752478634</v>
      </c>
      <c r="R68" s="209">
        <v>164.27135179750144</v>
      </c>
      <c r="S68" s="209">
        <v>79.72644599626463</v>
      </c>
      <c r="T68" s="209">
        <v>69.838906006886361</v>
      </c>
      <c r="U68" s="210">
        <v>69.838906006886361</v>
      </c>
      <c r="V68" s="208">
        <v>2677.2372697755504</v>
      </c>
      <c r="W68" s="209">
        <v>1831.9318169832663</v>
      </c>
      <c r="X68" s="209">
        <v>1152.0901647065316</v>
      </c>
      <c r="Y68" s="209">
        <v>400.2171452567311</v>
      </c>
      <c r="Z68" s="209">
        <v>272.89255701854074</v>
      </c>
      <c r="AA68" s="209">
        <v>172.97355964296725</v>
      </c>
      <c r="AB68" s="209">
        <v>83.949921947780794</v>
      </c>
      <c r="AC68" s="209">
        <v>73.53859356117799</v>
      </c>
      <c r="AD68" s="210">
        <v>73.53859356117799</v>
      </c>
      <c r="AE68" s="214">
        <v>2819.9005597918967</v>
      </c>
      <c r="AF68" s="215">
        <v>1929.550889841297</v>
      </c>
      <c r="AG68" s="215">
        <v>1213.482173232652</v>
      </c>
      <c r="AH68" s="215">
        <v>421.5437177304745</v>
      </c>
      <c r="AI68" s="215">
        <v>287.43432006836628</v>
      </c>
      <c r="AJ68" s="215">
        <v>182.19088878412825</v>
      </c>
      <c r="AK68" s="215">
        <v>88.423403695885241</v>
      </c>
      <c r="AL68" s="215">
        <v>77.457281612869494</v>
      </c>
      <c r="AM68" s="216">
        <v>77.457281612869494</v>
      </c>
      <c r="AN68" s="214">
        <v>2962.5638498082421</v>
      </c>
      <c r="AO68" s="215">
        <v>2027.1699626993282</v>
      </c>
      <c r="AP68" s="215">
        <v>1274.8741817587722</v>
      </c>
      <c r="AQ68" s="215">
        <v>442.87029020421795</v>
      </c>
      <c r="AR68" s="215">
        <v>301.97608311819215</v>
      </c>
      <c r="AS68" s="215">
        <v>191.40821792528925</v>
      </c>
      <c r="AT68" s="215">
        <v>92.896885443989731</v>
      </c>
      <c r="AU68" s="215">
        <v>81.375969664560998</v>
      </c>
      <c r="AV68" s="216">
        <v>81.375969664560998</v>
      </c>
      <c r="AW68" s="214">
        <v>3105.227139824588</v>
      </c>
      <c r="AX68" s="215">
        <v>2124.7890355573581</v>
      </c>
      <c r="AY68" s="215">
        <v>1336.2661902848918</v>
      </c>
      <c r="AZ68" s="215">
        <v>464.19686267796163</v>
      </c>
      <c r="BA68" s="215">
        <v>316.51784616801797</v>
      </c>
      <c r="BB68" s="215">
        <v>200.62554706645031</v>
      </c>
      <c r="BC68" s="215">
        <v>97.370367192094207</v>
      </c>
      <c r="BD68" s="215">
        <v>85.294657716252502</v>
      </c>
      <c r="BE68" s="216">
        <v>85.294657716252502</v>
      </c>
    </row>
    <row r="69" spans="1:58" ht="15.75" thickBot="1" x14ac:dyDescent="0.3">
      <c r="A69" s="358"/>
      <c r="B69" s="359" t="s">
        <v>107</v>
      </c>
      <c r="C69" s="359" t="s">
        <v>4</v>
      </c>
      <c r="D69" s="360"/>
      <c r="E69" s="361"/>
      <c r="F69" s="361"/>
      <c r="G69" s="361"/>
      <c r="H69" s="361"/>
      <c r="I69" s="361"/>
      <c r="J69" s="361"/>
      <c r="K69" s="361"/>
      <c r="L69" s="362"/>
      <c r="M69" s="360"/>
      <c r="N69" s="361"/>
      <c r="O69" s="361"/>
      <c r="P69" s="361"/>
      <c r="Q69" s="361"/>
      <c r="R69" s="361"/>
      <c r="S69" s="361"/>
      <c r="T69" s="361"/>
      <c r="U69" s="362"/>
      <c r="V69" s="360"/>
      <c r="W69" s="361"/>
      <c r="X69" s="361"/>
      <c r="Y69" s="361"/>
      <c r="Z69" s="361"/>
      <c r="AA69" s="361"/>
      <c r="AB69" s="361"/>
      <c r="AC69" s="361"/>
      <c r="AD69" s="362"/>
      <c r="AE69" s="363"/>
      <c r="AF69" s="364"/>
      <c r="AG69" s="364"/>
      <c r="AH69" s="364"/>
      <c r="AI69" s="364"/>
      <c r="AJ69" s="364"/>
      <c r="AK69" s="364"/>
      <c r="AL69" s="364"/>
      <c r="AM69" s="365"/>
      <c r="AN69" s="363"/>
      <c r="AO69" s="364"/>
      <c r="AP69" s="364"/>
      <c r="AQ69" s="364"/>
      <c r="AR69" s="364"/>
      <c r="AS69" s="364"/>
      <c r="AT69" s="364"/>
      <c r="AU69" s="364"/>
      <c r="AV69" s="365"/>
      <c r="AW69" s="363"/>
      <c r="AX69" s="364"/>
      <c r="AY69" s="364"/>
      <c r="AZ69" s="364"/>
      <c r="BA69" s="364"/>
      <c r="BB69" s="364"/>
      <c r="BC69" s="364"/>
      <c r="BD69" s="364"/>
      <c r="BE69" s="365"/>
    </row>
    <row r="70" spans="1:58" x14ac:dyDescent="0.25">
      <c r="A70" s="339" t="s">
        <v>148</v>
      </c>
      <c r="B70" s="340" t="s">
        <v>101</v>
      </c>
      <c r="C70" s="340" t="s">
        <v>4</v>
      </c>
      <c r="D70" s="341">
        <v>20</v>
      </c>
      <c r="E70" s="342">
        <v>20</v>
      </c>
      <c r="F70" s="342">
        <v>20</v>
      </c>
      <c r="G70" s="342">
        <v>20</v>
      </c>
      <c r="H70" s="342">
        <v>20</v>
      </c>
      <c r="I70" s="342">
        <v>20</v>
      </c>
      <c r="J70" s="342">
        <v>20</v>
      </c>
      <c r="K70" s="342">
        <v>20</v>
      </c>
      <c r="L70" s="343">
        <v>20</v>
      </c>
      <c r="M70" s="341">
        <v>20</v>
      </c>
      <c r="N70" s="342">
        <v>20</v>
      </c>
      <c r="O70" s="342">
        <v>20</v>
      </c>
      <c r="P70" s="342">
        <v>20</v>
      </c>
      <c r="Q70" s="342">
        <v>20</v>
      </c>
      <c r="R70" s="342">
        <v>20</v>
      </c>
      <c r="S70" s="342">
        <v>20</v>
      </c>
      <c r="T70" s="342">
        <v>20</v>
      </c>
      <c r="U70" s="343">
        <v>20</v>
      </c>
      <c r="V70" s="341">
        <v>20</v>
      </c>
      <c r="W70" s="342">
        <v>20</v>
      </c>
      <c r="X70" s="342">
        <v>20</v>
      </c>
      <c r="Y70" s="342">
        <v>20</v>
      </c>
      <c r="Z70" s="342">
        <v>20</v>
      </c>
      <c r="AA70" s="342">
        <v>20</v>
      </c>
      <c r="AB70" s="342">
        <v>20</v>
      </c>
      <c r="AC70" s="342">
        <v>20</v>
      </c>
      <c r="AD70" s="343">
        <v>20</v>
      </c>
      <c r="AE70" s="344">
        <v>20</v>
      </c>
      <c r="AF70" s="345">
        <v>20</v>
      </c>
      <c r="AG70" s="345">
        <v>20</v>
      </c>
      <c r="AH70" s="345">
        <v>20</v>
      </c>
      <c r="AI70" s="345">
        <v>20</v>
      </c>
      <c r="AJ70" s="345">
        <v>20</v>
      </c>
      <c r="AK70" s="345">
        <v>20</v>
      </c>
      <c r="AL70" s="345">
        <v>20</v>
      </c>
      <c r="AM70" s="346">
        <v>20</v>
      </c>
      <c r="AN70" s="344">
        <v>20</v>
      </c>
      <c r="AO70" s="345">
        <v>20</v>
      </c>
      <c r="AP70" s="345">
        <v>20</v>
      </c>
      <c r="AQ70" s="345">
        <v>20</v>
      </c>
      <c r="AR70" s="345">
        <v>20</v>
      </c>
      <c r="AS70" s="345">
        <v>20</v>
      </c>
      <c r="AT70" s="345">
        <v>20</v>
      </c>
      <c r="AU70" s="345">
        <v>20</v>
      </c>
      <c r="AV70" s="346">
        <v>20</v>
      </c>
      <c r="AW70" s="344">
        <v>20</v>
      </c>
      <c r="AX70" s="345">
        <v>20</v>
      </c>
      <c r="AY70" s="345">
        <v>20</v>
      </c>
      <c r="AZ70" s="345">
        <v>20</v>
      </c>
      <c r="BA70" s="345">
        <v>20</v>
      </c>
      <c r="BB70" s="345">
        <v>20</v>
      </c>
      <c r="BC70" s="345">
        <v>20</v>
      </c>
      <c r="BD70" s="345">
        <v>20</v>
      </c>
      <c r="BE70" s="346">
        <v>20</v>
      </c>
      <c r="BF70" s="30"/>
    </row>
    <row r="71" spans="1:58" x14ac:dyDescent="0.25">
      <c r="A71" s="330"/>
      <c r="B71" s="193" t="s">
        <v>20</v>
      </c>
      <c r="C71" s="193" t="s">
        <v>6</v>
      </c>
      <c r="D71" s="196">
        <v>909.21153254208934</v>
      </c>
      <c r="E71" s="197">
        <v>627.05637164757331</v>
      </c>
      <c r="F71" s="197">
        <v>475.93332461067337</v>
      </c>
      <c r="G71" s="197">
        <v>475.93332461067337</v>
      </c>
      <c r="H71" s="197">
        <v>475.93332461067337</v>
      </c>
      <c r="I71" s="197">
        <v>475.93332461067337</v>
      </c>
      <c r="J71" s="197">
        <v>674.78400000000011</v>
      </c>
      <c r="K71" s="197">
        <v>674.78400000000011</v>
      </c>
      <c r="L71" s="198">
        <v>674.78400000000011</v>
      </c>
      <c r="M71" s="196">
        <v>876.88417547131348</v>
      </c>
      <c r="N71" s="197">
        <v>610.32909690692122</v>
      </c>
      <c r="O71" s="197">
        <v>466.55672962478747</v>
      </c>
      <c r="P71" s="197">
        <v>466.55672962478747</v>
      </c>
      <c r="Q71" s="197">
        <v>466.55672962478747</v>
      </c>
      <c r="R71" s="197">
        <v>466.55672962478747</v>
      </c>
      <c r="S71" s="197">
        <v>637.82399999999996</v>
      </c>
      <c r="T71" s="197">
        <v>637.82399999999996</v>
      </c>
      <c r="U71" s="198">
        <v>637.82399999999996</v>
      </c>
      <c r="V71" s="196">
        <v>834.20131814045635</v>
      </c>
      <c r="W71" s="197">
        <v>582.75336672185188</v>
      </c>
      <c r="X71" s="197">
        <v>447.37922190941873</v>
      </c>
      <c r="Y71" s="197">
        <v>447.37922190941873</v>
      </c>
      <c r="Z71" s="197">
        <v>447.37922190941873</v>
      </c>
      <c r="AA71" s="197">
        <v>447.37922190941873</v>
      </c>
      <c r="AB71" s="197">
        <v>613.58399999999995</v>
      </c>
      <c r="AC71" s="197">
        <v>613.58399999999995</v>
      </c>
      <c r="AD71" s="198">
        <v>613.58399999999995</v>
      </c>
      <c r="AE71" s="202">
        <v>786.25871364962575</v>
      </c>
      <c r="AF71" s="203">
        <v>549.26179392174538</v>
      </c>
      <c r="AG71" s="203">
        <v>421.66777237439481</v>
      </c>
      <c r="AH71" s="203">
        <v>421.66777237439481</v>
      </c>
      <c r="AI71" s="203">
        <v>421.66777237439481</v>
      </c>
      <c r="AJ71" s="203">
        <v>421.66777237439481</v>
      </c>
      <c r="AK71" s="203">
        <v>597.82399999999996</v>
      </c>
      <c r="AL71" s="203">
        <v>597.82399999999996</v>
      </c>
      <c r="AM71" s="204">
        <v>597.82399999999996</v>
      </c>
      <c r="AN71" s="202">
        <v>738.31610915879503</v>
      </c>
      <c r="AO71" s="203">
        <v>515.77022112163911</v>
      </c>
      <c r="AP71" s="203">
        <v>395.95632283937084</v>
      </c>
      <c r="AQ71" s="203">
        <v>395.95632283937084</v>
      </c>
      <c r="AR71" s="203">
        <v>395.95632283937084</v>
      </c>
      <c r="AS71" s="203">
        <v>395.95632283937084</v>
      </c>
      <c r="AT71" s="203">
        <v>582.06399999999996</v>
      </c>
      <c r="AU71" s="203">
        <v>582.06399999999996</v>
      </c>
      <c r="AV71" s="204">
        <v>582.06399999999996</v>
      </c>
      <c r="AW71" s="202">
        <v>690.37350466796431</v>
      </c>
      <c r="AX71" s="203">
        <v>482.27864832153284</v>
      </c>
      <c r="AY71" s="203">
        <v>370.24487330434692</v>
      </c>
      <c r="AZ71" s="203">
        <v>370.24487330434692</v>
      </c>
      <c r="BA71" s="203">
        <v>370.24487330434692</v>
      </c>
      <c r="BB71" s="203">
        <v>370.24487330434692</v>
      </c>
      <c r="BC71" s="203">
        <v>566.30399999999997</v>
      </c>
      <c r="BD71" s="203">
        <v>566.30399999999997</v>
      </c>
      <c r="BE71" s="204">
        <v>566.30399999999997</v>
      </c>
    </row>
    <row r="72" spans="1:58" x14ac:dyDescent="0.25">
      <c r="A72" s="330"/>
      <c r="B72" s="193" t="s">
        <v>172</v>
      </c>
      <c r="C72" s="193" t="s">
        <v>19</v>
      </c>
      <c r="D72" s="196">
        <v>0.35</v>
      </c>
      <c r="E72" s="197">
        <v>0.35</v>
      </c>
      <c r="F72" s="197">
        <v>0.35</v>
      </c>
      <c r="G72" s="197">
        <v>0.35</v>
      </c>
      <c r="H72" s="197">
        <v>0.35</v>
      </c>
      <c r="I72" s="197">
        <v>0.35</v>
      </c>
      <c r="J72" s="197">
        <v>0.35</v>
      </c>
      <c r="K72" s="197">
        <v>0.35</v>
      </c>
      <c r="L72" s="198">
        <v>0.35</v>
      </c>
      <c r="M72" s="196">
        <v>0.35</v>
      </c>
      <c r="N72" s="197">
        <v>0.35</v>
      </c>
      <c r="O72" s="197">
        <v>0.35</v>
      </c>
      <c r="P72" s="197">
        <v>0.35</v>
      </c>
      <c r="Q72" s="197">
        <v>0.35</v>
      </c>
      <c r="R72" s="197">
        <v>0.35</v>
      </c>
      <c r="S72" s="197">
        <v>0.35</v>
      </c>
      <c r="T72" s="197">
        <v>0.35</v>
      </c>
      <c r="U72" s="198">
        <v>0.35</v>
      </c>
      <c r="V72" s="196">
        <v>0</v>
      </c>
      <c r="W72" s="197">
        <v>0</v>
      </c>
      <c r="X72" s="197">
        <v>0</v>
      </c>
      <c r="Y72" s="197">
        <v>0</v>
      </c>
      <c r="Z72" s="197">
        <v>0</v>
      </c>
      <c r="AA72" s="197">
        <v>0</v>
      </c>
      <c r="AB72" s="197">
        <v>0</v>
      </c>
      <c r="AC72" s="197">
        <v>0</v>
      </c>
      <c r="AD72" s="198">
        <v>0</v>
      </c>
      <c r="AE72" s="205">
        <v>0</v>
      </c>
      <c r="AF72" s="206">
        <v>0</v>
      </c>
      <c r="AG72" s="206">
        <v>0</v>
      </c>
      <c r="AH72" s="206">
        <v>0</v>
      </c>
      <c r="AI72" s="206">
        <v>0</v>
      </c>
      <c r="AJ72" s="206">
        <v>0</v>
      </c>
      <c r="AK72" s="206">
        <v>0</v>
      </c>
      <c r="AL72" s="206">
        <v>0</v>
      </c>
      <c r="AM72" s="207">
        <v>0</v>
      </c>
      <c r="AN72" s="205">
        <v>0</v>
      </c>
      <c r="AO72" s="206">
        <v>0</v>
      </c>
      <c r="AP72" s="206">
        <v>0</v>
      </c>
      <c r="AQ72" s="206">
        <v>0</v>
      </c>
      <c r="AR72" s="206">
        <v>0</v>
      </c>
      <c r="AS72" s="206">
        <v>0</v>
      </c>
      <c r="AT72" s="206">
        <v>0</v>
      </c>
      <c r="AU72" s="206">
        <v>0</v>
      </c>
      <c r="AV72" s="207">
        <v>0</v>
      </c>
      <c r="AW72" s="205">
        <v>0</v>
      </c>
      <c r="AX72" s="206">
        <v>0</v>
      </c>
      <c r="AY72" s="206">
        <v>0</v>
      </c>
      <c r="AZ72" s="206">
        <v>0</v>
      </c>
      <c r="BA72" s="206">
        <v>0</v>
      </c>
      <c r="BB72" s="206">
        <v>0</v>
      </c>
      <c r="BC72" s="206">
        <v>0</v>
      </c>
      <c r="BD72" s="206">
        <v>0</v>
      </c>
      <c r="BE72" s="207">
        <v>0</v>
      </c>
    </row>
    <row r="73" spans="1:58" x14ac:dyDescent="0.25">
      <c r="A73" s="330"/>
      <c r="B73" s="193" t="s">
        <v>102</v>
      </c>
      <c r="C73" s="193" t="s">
        <v>8</v>
      </c>
      <c r="D73" s="196"/>
      <c r="E73" s="197"/>
      <c r="F73" s="197"/>
      <c r="G73" s="197"/>
      <c r="H73" s="197"/>
      <c r="I73" s="197"/>
      <c r="J73" s="197"/>
      <c r="K73" s="197"/>
      <c r="L73" s="198"/>
      <c r="M73" s="196"/>
      <c r="N73" s="197"/>
      <c r="O73" s="197"/>
      <c r="P73" s="197"/>
      <c r="Q73" s="197"/>
      <c r="R73" s="197"/>
      <c r="S73" s="197"/>
      <c r="T73" s="197"/>
      <c r="U73" s="198"/>
      <c r="V73" s="196"/>
      <c r="W73" s="197"/>
      <c r="X73" s="197"/>
      <c r="Y73" s="197"/>
      <c r="Z73" s="197"/>
      <c r="AA73" s="197"/>
      <c r="AB73" s="197"/>
      <c r="AC73" s="197"/>
      <c r="AD73" s="198"/>
      <c r="AE73" s="199"/>
      <c r="AF73" s="200"/>
      <c r="AG73" s="200"/>
      <c r="AH73" s="200"/>
      <c r="AI73" s="200"/>
      <c r="AJ73" s="200"/>
      <c r="AK73" s="200"/>
      <c r="AL73" s="200"/>
      <c r="AM73" s="201"/>
      <c r="AN73" s="199"/>
      <c r="AO73" s="200"/>
      <c r="AP73" s="200"/>
      <c r="AQ73" s="200"/>
      <c r="AR73" s="200"/>
      <c r="AS73" s="200"/>
      <c r="AT73" s="200"/>
      <c r="AU73" s="200"/>
      <c r="AV73" s="201"/>
      <c r="AW73" s="199"/>
      <c r="AX73" s="200"/>
      <c r="AY73" s="200"/>
      <c r="AZ73" s="200"/>
      <c r="BA73" s="200"/>
      <c r="BB73" s="200"/>
      <c r="BC73" s="200"/>
      <c r="BD73" s="200"/>
      <c r="BE73" s="201"/>
    </row>
    <row r="74" spans="1:58" x14ac:dyDescent="0.25">
      <c r="A74" s="330"/>
      <c r="B74" s="193" t="s">
        <v>103</v>
      </c>
      <c r="C74" s="193" t="s">
        <v>9</v>
      </c>
      <c r="D74" s="196">
        <v>13.638172988131339</v>
      </c>
      <c r="E74" s="197">
        <v>9.4058455747135987</v>
      </c>
      <c r="F74" s="197">
        <v>7.1389998691601004</v>
      </c>
      <c r="G74" s="197">
        <v>7.1389998691601004</v>
      </c>
      <c r="H74" s="197">
        <v>7.1389998691601004</v>
      </c>
      <c r="I74" s="197">
        <v>7.1389998691601004</v>
      </c>
      <c r="J74" s="197">
        <v>1.91</v>
      </c>
      <c r="K74" s="197">
        <v>1.91</v>
      </c>
      <c r="L74" s="198">
        <v>1.91</v>
      </c>
      <c r="M74" s="196">
        <v>13.153262632069701</v>
      </c>
      <c r="N74" s="197">
        <v>9.1549364536038187</v>
      </c>
      <c r="O74" s="197">
        <v>6.9983509443718122</v>
      </c>
      <c r="P74" s="197">
        <v>6.9983509443718122</v>
      </c>
      <c r="Q74" s="197">
        <v>6.9983509443718122</v>
      </c>
      <c r="R74" s="197">
        <v>6.9983509443718122</v>
      </c>
      <c r="S74" s="197">
        <v>1.76</v>
      </c>
      <c r="T74" s="197">
        <v>1.76</v>
      </c>
      <c r="U74" s="198">
        <v>1.76</v>
      </c>
      <c r="V74" s="196">
        <v>12.513019772106844</v>
      </c>
      <c r="W74" s="197">
        <v>8.7413005008277782</v>
      </c>
      <c r="X74" s="197">
        <v>6.7106883286412806</v>
      </c>
      <c r="Y74" s="197">
        <v>6.7106883286412806</v>
      </c>
      <c r="Z74" s="197">
        <v>6.7106883286412806</v>
      </c>
      <c r="AA74" s="197">
        <v>6.7106883286412806</v>
      </c>
      <c r="AB74" s="197">
        <v>1.673</v>
      </c>
      <c r="AC74" s="197">
        <v>1.673</v>
      </c>
      <c r="AD74" s="198">
        <v>1.673</v>
      </c>
      <c r="AE74" s="202">
        <v>11.793880704744385</v>
      </c>
      <c r="AF74" s="203">
        <v>8.2389269088261798</v>
      </c>
      <c r="AG74" s="203">
        <v>6.3250165856159217</v>
      </c>
      <c r="AH74" s="203">
        <v>6.3250165856159217</v>
      </c>
      <c r="AI74" s="203">
        <v>6.3250165856159217</v>
      </c>
      <c r="AJ74" s="203">
        <v>6.3250165856159217</v>
      </c>
      <c r="AK74" s="203">
        <v>1.6279999999999999</v>
      </c>
      <c r="AL74" s="203">
        <v>1.6279999999999999</v>
      </c>
      <c r="AM74" s="204">
        <v>1.6279999999999999</v>
      </c>
      <c r="AN74" s="202">
        <v>11.074741637381925</v>
      </c>
      <c r="AO74" s="203">
        <v>7.7365533168245868</v>
      </c>
      <c r="AP74" s="203">
        <v>5.9393448425905628</v>
      </c>
      <c r="AQ74" s="203">
        <v>5.9393448425905628</v>
      </c>
      <c r="AR74" s="203">
        <v>5.9393448425905628</v>
      </c>
      <c r="AS74" s="203">
        <v>5.9393448425905628</v>
      </c>
      <c r="AT74" s="203">
        <v>1.583</v>
      </c>
      <c r="AU74" s="203">
        <v>1.583</v>
      </c>
      <c r="AV74" s="204">
        <v>1.583</v>
      </c>
      <c r="AW74" s="202">
        <v>10.355602570019464</v>
      </c>
      <c r="AX74" s="203">
        <v>7.234179724822992</v>
      </c>
      <c r="AY74" s="203">
        <v>5.5536730995652039</v>
      </c>
      <c r="AZ74" s="203">
        <v>5.5536730995652039</v>
      </c>
      <c r="BA74" s="203">
        <v>5.5536730995652039</v>
      </c>
      <c r="BB74" s="203">
        <v>5.5536730995652039</v>
      </c>
      <c r="BC74" s="203">
        <v>1.538</v>
      </c>
      <c r="BD74" s="203">
        <v>1.538</v>
      </c>
      <c r="BE74" s="204">
        <v>1.538</v>
      </c>
    </row>
    <row r="75" spans="1:58" x14ac:dyDescent="0.25">
      <c r="A75" s="330"/>
      <c r="B75" s="193" t="s">
        <v>104</v>
      </c>
      <c r="C75" s="193" t="s">
        <v>10</v>
      </c>
      <c r="D75" s="196">
        <v>0</v>
      </c>
      <c r="E75" s="197">
        <v>0</v>
      </c>
      <c r="F75" s="197">
        <v>0</v>
      </c>
      <c r="G75" s="197">
        <v>0</v>
      </c>
      <c r="H75" s="197">
        <v>0</v>
      </c>
      <c r="I75" s="197">
        <v>0</v>
      </c>
      <c r="J75" s="197">
        <v>2.1700000000000001E-3</v>
      </c>
      <c r="K75" s="197">
        <v>2.1700000000000001E-3</v>
      </c>
      <c r="L75" s="198">
        <v>2.1700000000000001E-3</v>
      </c>
      <c r="M75" s="196">
        <v>0</v>
      </c>
      <c r="N75" s="197">
        <v>0</v>
      </c>
      <c r="O75" s="197">
        <v>0</v>
      </c>
      <c r="P75" s="197">
        <v>0</v>
      </c>
      <c r="Q75" s="197">
        <v>0</v>
      </c>
      <c r="R75" s="197">
        <v>0</v>
      </c>
      <c r="S75" s="197">
        <v>2.1199999999999999E-3</v>
      </c>
      <c r="T75" s="197">
        <v>2.1199999999999999E-3</v>
      </c>
      <c r="U75" s="198">
        <v>2.1199999999999999E-3</v>
      </c>
      <c r="V75" s="196">
        <v>0</v>
      </c>
      <c r="W75" s="197">
        <v>0</v>
      </c>
      <c r="X75" s="197">
        <v>0</v>
      </c>
      <c r="Y75" s="197">
        <v>0</v>
      </c>
      <c r="Z75" s="197">
        <v>0</v>
      </c>
      <c r="AA75" s="197">
        <v>0</v>
      </c>
      <c r="AB75" s="197">
        <v>2.085E-3</v>
      </c>
      <c r="AC75" s="197">
        <v>2.085E-3</v>
      </c>
      <c r="AD75" s="198">
        <v>2.085E-3</v>
      </c>
      <c r="AE75" s="202">
        <v>0</v>
      </c>
      <c r="AF75" s="203">
        <v>0</v>
      </c>
      <c r="AG75" s="203">
        <v>0</v>
      </c>
      <c r="AH75" s="203">
        <v>0</v>
      </c>
      <c r="AI75" s="203">
        <v>0</v>
      </c>
      <c r="AJ75" s="203">
        <v>0</v>
      </c>
      <c r="AK75" s="203">
        <v>2.0599999999999998E-3</v>
      </c>
      <c r="AL75" s="203">
        <v>2.0599999999999998E-3</v>
      </c>
      <c r="AM75" s="204">
        <v>2.0599999999999998E-3</v>
      </c>
      <c r="AN75" s="202">
        <v>0</v>
      </c>
      <c r="AO75" s="203">
        <v>0</v>
      </c>
      <c r="AP75" s="203">
        <v>0</v>
      </c>
      <c r="AQ75" s="203">
        <v>0</v>
      </c>
      <c r="AR75" s="203">
        <v>0</v>
      </c>
      <c r="AS75" s="203">
        <v>0</v>
      </c>
      <c r="AT75" s="203">
        <v>2.0349999999999999E-3</v>
      </c>
      <c r="AU75" s="203">
        <v>2.0349999999999999E-3</v>
      </c>
      <c r="AV75" s="204">
        <v>2.0349999999999999E-3</v>
      </c>
      <c r="AW75" s="202">
        <v>0</v>
      </c>
      <c r="AX75" s="203">
        <v>0</v>
      </c>
      <c r="AY75" s="203">
        <v>0</v>
      </c>
      <c r="AZ75" s="203">
        <v>0</v>
      </c>
      <c r="BA75" s="203">
        <v>0</v>
      </c>
      <c r="BB75" s="203">
        <v>0</v>
      </c>
      <c r="BC75" s="203">
        <v>2.0100000000000001E-3</v>
      </c>
      <c r="BD75" s="203">
        <v>2.0100000000000001E-3</v>
      </c>
      <c r="BE75" s="204">
        <v>2.0100000000000001E-3</v>
      </c>
    </row>
    <row r="76" spans="1:58" x14ac:dyDescent="0.25">
      <c r="A76" s="330"/>
      <c r="B76" s="193" t="s">
        <v>105</v>
      </c>
      <c r="C76" s="193" t="s">
        <v>320</v>
      </c>
      <c r="D76" s="196">
        <v>0</v>
      </c>
      <c r="E76" s="197">
        <v>0</v>
      </c>
      <c r="F76" s="197">
        <v>0</v>
      </c>
      <c r="G76" s="197">
        <v>0</v>
      </c>
      <c r="H76" s="197">
        <v>0</v>
      </c>
      <c r="I76" s="197">
        <v>0</v>
      </c>
      <c r="J76" s="197">
        <v>0</v>
      </c>
      <c r="K76" s="197">
        <v>0</v>
      </c>
      <c r="L76" s="198">
        <v>0</v>
      </c>
      <c r="M76" s="196">
        <v>0</v>
      </c>
      <c r="N76" s="197">
        <v>0</v>
      </c>
      <c r="O76" s="197">
        <v>0</v>
      </c>
      <c r="P76" s="197">
        <v>0</v>
      </c>
      <c r="Q76" s="197">
        <v>0</v>
      </c>
      <c r="R76" s="197">
        <v>0</v>
      </c>
      <c r="S76" s="197">
        <v>0</v>
      </c>
      <c r="T76" s="197">
        <v>0</v>
      </c>
      <c r="U76" s="198">
        <v>0</v>
      </c>
      <c r="V76" s="196">
        <v>0</v>
      </c>
      <c r="W76" s="197">
        <v>0</v>
      </c>
      <c r="X76" s="197">
        <v>0</v>
      </c>
      <c r="Y76" s="197">
        <v>0</v>
      </c>
      <c r="Z76" s="197">
        <v>0</v>
      </c>
      <c r="AA76" s="197">
        <v>0</v>
      </c>
      <c r="AB76" s="197">
        <v>0</v>
      </c>
      <c r="AC76" s="197">
        <v>0</v>
      </c>
      <c r="AD76" s="198">
        <v>0</v>
      </c>
      <c r="AE76" s="202">
        <v>0</v>
      </c>
      <c r="AF76" s="203">
        <v>0</v>
      </c>
      <c r="AG76" s="203">
        <v>0</v>
      </c>
      <c r="AH76" s="203">
        <v>0</v>
      </c>
      <c r="AI76" s="203">
        <v>0</v>
      </c>
      <c r="AJ76" s="203">
        <v>0</v>
      </c>
      <c r="AK76" s="203">
        <v>0</v>
      </c>
      <c r="AL76" s="203">
        <v>0</v>
      </c>
      <c r="AM76" s="204">
        <v>0</v>
      </c>
      <c r="AN76" s="202">
        <v>0</v>
      </c>
      <c r="AO76" s="203">
        <v>0</v>
      </c>
      <c r="AP76" s="203">
        <v>0</v>
      </c>
      <c r="AQ76" s="203">
        <v>0</v>
      </c>
      <c r="AR76" s="203">
        <v>0</v>
      </c>
      <c r="AS76" s="203">
        <v>0</v>
      </c>
      <c r="AT76" s="203">
        <v>0</v>
      </c>
      <c r="AU76" s="203">
        <v>0</v>
      </c>
      <c r="AV76" s="204">
        <v>0</v>
      </c>
      <c r="AW76" s="202">
        <v>0</v>
      </c>
      <c r="AX76" s="203">
        <v>0</v>
      </c>
      <c r="AY76" s="203">
        <v>0</v>
      </c>
      <c r="AZ76" s="203">
        <v>0</v>
      </c>
      <c r="BA76" s="203">
        <v>0</v>
      </c>
      <c r="BB76" s="203">
        <v>0</v>
      </c>
      <c r="BC76" s="203">
        <v>0</v>
      </c>
      <c r="BD76" s="203">
        <v>0</v>
      </c>
      <c r="BE76" s="204">
        <v>0</v>
      </c>
    </row>
    <row r="77" spans="1:58" x14ac:dyDescent="0.25">
      <c r="A77" s="330"/>
      <c r="B77" s="193" t="s">
        <v>11</v>
      </c>
      <c r="C77" s="193" t="s">
        <v>10</v>
      </c>
      <c r="D77" s="196">
        <v>0</v>
      </c>
      <c r="E77" s="197">
        <v>0</v>
      </c>
      <c r="F77" s="197">
        <v>0</v>
      </c>
      <c r="G77" s="197">
        <v>0</v>
      </c>
      <c r="H77" s="197">
        <v>0</v>
      </c>
      <c r="I77" s="197">
        <v>0</v>
      </c>
      <c r="J77" s="197">
        <v>0</v>
      </c>
      <c r="K77" s="197">
        <v>0</v>
      </c>
      <c r="L77" s="198">
        <v>0</v>
      </c>
      <c r="M77" s="196">
        <v>0</v>
      </c>
      <c r="N77" s="197">
        <v>0</v>
      </c>
      <c r="O77" s="197">
        <v>0</v>
      </c>
      <c r="P77" s="197">
        <v>0</v>
      </c>
      <c r="Q77" s="197">
        <v>0</v>
      </c>
      <c r="R77" s="197">
        <v>0</v>
      </c>
      <c r="S77" s="197">
        <v>0</v>
      </c>
      <c r="T77" s="197">
        <v>0</v>
      </c>
      <c r="U77" s="198">
        <v>0</v>
      </c>
      <c r="V77" s="196">
        <v>0</v>
      </c>
      <c r="W77" s="197">
        <v>0</v>
      </c>
      <c r="X77" s="197">
        <v>0</v>
      </c>
      <c r="Y77" s="197">
        <v>0</v>
      </c>
      <c r="Z77" s="197">
        <v>0</v>
      </c>
      <c r="AA77" s="197">
        <v>0</v>
      </c>
      <c r="AB77" s="197">
        <v>0</v>
      </c>
      <c r="AC77" s="197">
        <v>0</v>
      </c>
      <c r="AD77" s="198">
        <v>0</v>
      </c>
      <c r="AE77" s="202">
        <v>0</v>
      </c>
      <c r="AF77" s="203">
        <v>0</v>
      </c>
      <c r="AG77" s="203">
        <v>0</v>
      </c>
      <c r="AH77" s="203">
        <v>0</v>
      </c>
      <c r="AI77" s="203">
        <v>0</v>
      </c>
      <c r="AJ77" s="203">
        <v>0</v>
      </c>
      <c r="AK77" s="203">
        <v>0</v>
      </c>
      <c r="AL77" s="203">
        <v>0</v>
      </c>
      <c r="AM77" s="204">
        <v>0</v>
      </c>
      <c r="AN77" s="202">
        <v>0</v>
      </c>
      <c r="AO77" s="203">
        <v>0</v>
      </c>
      <c r="AP77" s="203">
        <v>0</v>
      </c>
      <c r="AQ77" s="203">
        <v>0</v>
      </c>
      <c r="AR77" s="203">
        <v>0</v>
      </c>
      <c r="AS77" s="203">
        <v>0</v>
      </c>
      <c r="AT77" s="203">
        <v>0</v>
      </c>
      <c r="AU77" s="203">
        <v>0</v>
      </c>
      <c r="AV77" s="204">
        <v>0</v>
      </c>
      <c r="AW77" s="202">
        <v>0</v>
      </c>
      <c r="AX77" s="203">
        <v>0</v>
      </c>
      <c r="AY77" s="203">
        <v>0</v>
      </c>
      <c r="AZ77" s="203">
        <v>0</v>
      </c>
      <c r="BA77" s="203">
        <v>0</v>
      </c>
      <c r="BB77" s="203">
        <v>0</v>
      </c>
      <c r="BC77" s="203">
        <v>0</v>
      </c>
      <c r="BD77" s="203">
        <v>0</v>
      </c>
      <c r="BE77" s="204">
        <v>0</v>
      </c>
    </row>
    <row r="78" spans="1:58" x14ac:dyDescent="0.25">
      <c r="A78" s="330"/>
      <c r="B78" s="193" t="s">
        <v>18</v>
      </c>
      <c r="C78" s="193" t="s">
        <v>19</v>
      </c>
      <c r="D78" s="196">
        <v>3.92</v>
      </c>
      <c r="E78" s="197">
        <v>3.92</v>
      </c>
      <c r="F78" s="197">
        <v>3.92</v>
      </c>
      <c r="G78" s="197">
        <v>3.92</v>
      </c>
      <c r="H78" s="197">
        <v>3.92</v>
      </c>
      <c r="I78" s="197">
        <v>3.92</v>
      </c>
      <c r="J78" s="197">
        <v>3.92</v>
      </c>
      <c r="K78" s="197">
        <v>3.92</v>
      </c>
      <c r="L78" s="198">
        <v>3.92</v>
      </c>
      <c r="M78" s="196">
        <v>4.12</v>
      </c>
      <c r="N78" s="197">
        <v>4.12</v>
      </c>
      <c r="O78" s="197">
        <v>4.12</v>
      </c>
      <c r="P78" s="197">
        <v>4.12</v>
      </c>
      <c r="Q78" s="197">
        <v>4.12</v>
      </c>
      <c r="R78" s="197">
        <v>4.12</v>
      </c>
      <c r="S78" s="197">
        <v>4.12</v>
      </c>
      <c r="T78" s="197">
        <v>4.12</v>
      </c>
      <c r="U78" s="198">
        <v>4.12</v>
      </c>
      <c r="V78" s="196">
        <v>4.3125</v>
      </c>
      <c r="W78" s="197">
        <v>4.3125</v>
      </c>
      <c r="X78" s="197">
        <v>4.3125</v>
      </c>
      <c r="Y78" s="197">
        <v>4.3125</v>
      </c>
      <c r="Z78" s="197">
        <v>4.3125</v>
      </c>
      <c r="AA78" s="197">
        <v>4.3125</v>
      </c>
      <c r="AB78" s="197">
        <v>4.3125</v>
      </c>
      <c r="AC78" s="197">
        <v>4.3125</v>
      </c>
      <c r="AD78" s="198">
        <v>4.3125</v>
      </c>
      <c r="AE78" s="199">
        <v>4.5</v>
      </c>
      <c r="AF78" s="200">
        <v>4.5</v>
      </c>
      <c r="AG78" s="200">
        <v>4.5</v>
      </c>
      <c r="AH78" s="200">
        <v>4.5</v>
      </c>
      <c r="AI78" s="200">
        <v>4.5</v>
      </c>
      <c r="AJ78" s="200">
        <v>4.5</v>
      </c>
      <c r="AK78" s="200">
        <v>4.5</v>
      </c>
      <c r="AL78" s="200">
        <v>4.5</v>
      </c>
      <c r="AM78" s="201">
        <v>4.5</v>
      </c>
      <c r="AN78" s="199">
        <v>4.6875</v>
      </c>
      <c r="AO78" s="200">
        <v>4.6875</v>
      </c>
      <c r="AP78" s="200">
        <v>4.6875</v>
      </c>
      <c r="AQ78" s="200">
        <v>4.6875</v>
      </c>
      <c r="AR78" s="200">
        <v>4.6875</v>
      </c>
      <c r="AS78" s="200">
        <v>4.6875</v>
      </c>
      <c r="AT78" s="200">
        <v>4.6875</v>
      </c>
      <c r="AU78" s="200">
        <v>4.6875</v>
      </c>
      <c r="AV78" s="201">
        <v>4.6875</v>
      </c>
      <c r="AW78" s="199">
        <v>4.875</v>
      </c>
      <c r="AX78" s="200">
        <v>4.875</v>
      </c>
      <c r="AY78" s="200">
        <v>4.875</v>
      </c>
      <c r="AZ78" s="200">
        <v>4.875</v>
      </c>
      <c r="BA78" s="200">
        <v>4.875</v>
      </c>
      <c r="BB78" s="200">
        <v>4.875</v>
      </c>
      <c r="BC78" s="200">
        <v>4.875</v>
      </c>
      <c r="BD78" s="200">
        <v>4.875</v>
      </c>
      <c r="BE78" s="201">
        <v>4.875</v>
      </c>
    </row>
    <row r="79" spans="1:58" x14ac:dyDescent="0.25">
      <c r="A79" s="330"/>
      <c r="B79" s="193" t="s">
        <v>13</v>
      </c>
      <c r="C79" s="193" t="s">
        <v>14</v>
      </c>
      <c r="D79" s="196"/>
      <c r="E79" s="197"/>
      <c r="F79" s="197"/>
      <c r="G79" s="197"/>
      <c r="H79" s="197"/>
      <c r="I79" s="197"/>
      <c r="J79" s="197"/>
      <c r="K79" s="197"/>
      <c r="L79" s="198"/>
      <c r="M79" s="196"/>
      <c r="N79" s="197"/>
      <c r="O79" s="197"/>
      <c r="P79" s="197"/>
      <c r="Q79" s="197"/>
      <c r="R79" s="197"/>
      <c r="S79" s="197"/>
      <c r="T79" s="197"/>
      <c r="U79" s="198"/>
      <c r="V79" s="196"/>
      <c r="W79" s="197"/>
      <c r="X79" s="197"/>
      <c r="Y79" s="197"/>
      <c r="Z79" s="197"/>
      <c r="AA79" s="197"/>
      <c r="AB79" s="197"/>
      <c r="AC79" s="197"/>
      <c r="AD79" s="198"/>
      <c r="AE79" s="199"/>
      <c r="AF79" s="200"/>
      <c r="AG79" s="200"/>
      <c r="AH79" s="200"/>
      <c r="AI79" s="200"/>
      <c r="AJ79" s="200"/>
      <c r="AK79" s="200"/>
      <c r="AL79" s="200"/>
      <c r="AM79" s="201"/>
      <c r="AN79" s="199"/>
      <c r="AO79" s="200"/>
      <c r="AP79" s="200"/>
      <c r="AQ79" s="200"/>
      <c r="AR79" s="200"/>
      <c r="AS79" s="200"/>
      <c r="AT79" s="200"/>
      <c r="AU79" s="200"/>
      <c r="AV79" s="201"/>
      <c r="AW79" s="199"/>
      <c r="AX79" s="200"/>
      <c r="AY79" s="200"/>
      <c r="AZ79" s="200"/>
      <c r="BA79" s="200"/>
      <c r="BB79" s="200"/>
      <c r="BC79" s="200"/>
      <c r="BD79" s="200"/>
      <c r="BE79" s="201"/>
    </row>
    <row r="80" spans="1:58" x14ac:dyDescent="0.25">
      <c r="A80" s="330"/>
      <c r="B80" s="193" t="s">
        <v>15</v>
      </c>
      <c r="C80" s="193" t="s">
        <v>4</v>
      </c>
      <c r="D80" s="196"/>
      <c r="E80" s="197"/>
      <c r="F80" s="197"/>
      <c r="G80" s="197"/>
      <c r="H80" s="197"/>
      <c r="I80" s="197"/>
      <c r="J80" s="197"/>
      <c r="K80" s="197"/>
      <c r="L80" s="198"/>
      <c r="M80" s="196"/>
      <c r="N80" s="197"/>
      <c r="O80" s="197"/>
      <c r="P80" s="197"/>
      <c r="Q80" s="197"/>
      <c r="R80" s="197"/>
      <c r="S80" s="197"/>
      <c r="T80" s="197"/>
      <c r="U80" s="198"/>
      <c r="V80" s="196"/>
      <c r="W80" s="197"/>
      <c r="X80" s="197"/>
      <c r="Y80" s="197"/>
      <c r="Z80" s="197"/>
      <c r="AA80" s="197"/>
      <c r="AB80" s="197"/>
      <c r="AC80" s="197"/>
      <c r="AD80" s="198"/>
      <c r="AE80" s="199"/>
      <c r="AF80" s="200"/>
      <c r="AG80" s="200"/>
      <c r="AH80" s="200"/>
      <c r="AI80" s="200"/>
      <c r="AJ80" s="200"/>
      <c r="AK80" s="200"/>
      <c r="AL80" s="200"/>
      <c r="AM80" s="201"/>
      <c r="AN80" s="199"/>
      <c r="AO80" s="200"/>
      <c r="AP80" s="200"/>
      <c r="AQ80" s="200"/>
      <c r="AR80" s="200"/>
      <c r="AS80" s="200"/>
      <c r="AT80" s="200"/>
      <c r="AU80" s="200"/>
      <c r="AV80" s="201"/>
      <c r="AW80" s="199"/>
      <c r="AX80" s="200"/>
      <c r="AY80" s="200"/>
      <c r="AZ80" s="200"/>
      <c r="BA80" s="200"/>
      <c r="BB80" s="200"/>
      <c r="BC80" s="200"/>
      <c r="BD80" s="200"/>
      <c r="BE80" s="201"/>
    </row>
    <row r="81" spans="1:58" x14ac:dyDescent="0.25">
      <c r="A81" s="330"/>
      <c r="B81" s="193" t="s">
        <v>106</v>
      </c>
      <c r="C81" s="193" t="s">
        <v>6</v>
      </c>
      <c r="D81" s="196">
        <v>2419.8158607382284</v>
      </c>
      <c r="E81" s="197">
        <v>1655.7881203031177</v>
      </c>
      <c r="F81" s="197">
        <v>1041.3145241292364</v>
      </c>
      <c r="G81" s="197">
        <v>361.73551248702233</v>
      </c>
      <c r="H81" s="197">
        <v>246.65342336513888</v>
      </c>
      <c r="I81" s="197">
        <v>156.34182589557849</v>
      </c>
      <c r="J81" s="197">
        <v>75.877978739630933</v>
      </c>
      <c r="K81" s="197">
        <v>66.467719198694567</v>
      </c>
      <c r="L81" s="198">
        <v>66.467719198694567</v>
      </c>
      <c r="M81" s="196">
        <v>2542.5468857578812</v>
      </c>
      <c r="N81" s="197">
        <v>1739.7683009926391</v>
      </c>
      <c r="O81" s="197">
        <v>1094.1291208875389</v>
      </c>
      <c r="P81" s="197">
        <v>380.08243340521</v>
      </c>
      <c r="Q81" s="197">
        <v>259.16347752478634</v>
      </c>
      <c r="R81" s="197">
        <v>164.27135179750144</v>
      </c>
      <c r="S81" s="197">
        <v>79.72644599626463</v>
      </c>
      <c r="T81" s="197">
        <v>69.838906006886361</v>
      </c>
      <c r="U81" s="198">
        <v>69.838906006886361</v>
      </c>
      <c r="V81" s="196">
        <v>2677.2372697755504</v>
      </c>
      <c r="W81" s="197">
        <v>1831.9318169832663</v>
      </c>
      <c r="X81" s="197">
        <v>1152.0901647065316</v>
      </c>
      <c r="Y81" s="197">
        <v>400.2171452567311</v>
      </c>
      <c r="Z81" s="197">
        <v>272.89255701854074</v>
      </c>
      <c r="AA81" s="197">
        <v>172.97355964296725</v>
      </c>
      <c r="AB81" s="197">
        <v>83.949921947780794</v>
      </c>
      <c r="AC81" s="197">
        <v>73.53859356117799</v>
      </c>
      <c r="AD81" s="198">
        <v>73.53859356117799</v>
      </c>
      <c r="AE81" s="202">
        <v>2819.9005597918967</v>
      </c>
      <c r="AF81" s="203">
        <v>1929.550889841297</v>
      </c>
      <c r="AG81" s="203">
        <v>1213.482173232652</v>
      </c>
      <c r="AH81" s="203">
        <v>421.5437177304745</v>
      </c>
      <c r="AI81" s="203">
        <v>287.43432006836628</v>
      </c>
      <c r="AJ81" s="203">
        <v>182.19088878412825</v>
      </c>
      <c r="AK81" s="203">
        <v>88.423403695885241</v>
      </c>
      <c r="AL81" s="203">
        <v>77.457281612869494</v>
      </c>
      <c r="AM81" s="204">
        <v>77.457281612869494</v>
      </c>
      <c r="AN81" s="202">
        <v>2962.5638498082421</v>
      </c>
      <c r="AO81" s="203">
        <v>2027.1699626993282</v>
      </c>
      <c r="AP81" s="203">
        <v>1274.8741817587722</v>
      </c>
      <c r="AQ81" s="203">
        <v>442.87029020421795</v>
      </c>
      <c r="AR81" s="203">
        <v>301.97608311819215</v>
      </c>
      <c r="AS81" s="203">
        <v>191.40821792528925</v>
      </c>
      <c r="AT81" s="203">
        <v>92.896885443989731</v>
      </c>
      <c r="AU81" s="203">
        <v>81.375969664560998</v>
      </c>
      <c r="AV81" s="204">
        <v>81.375969664560998</v>
      </c>
      <c r="AW81" s="202">
        <v>3105.227139824588</v>
      </c>
      <c r="AX81" s="203">
        <v>2124.7890355573581</v>
      </c>
      <c r="AY81" s="203">
        <v>1336.2661902848918</v>
      </c>
      <c r="AZ81" s="203">
        <v>464.19686267796163</v>
      </c>
      <c r="BA81" s="203">
        <v>316.51784616801797</v>
      </c>
      <c r="BB81" s="203">
        <v>200.62554706645031</v>
      </c>
      <c r="BC81" s="203">
        <v>97.370367192094207</v>
      </c>
      <c r="BD81" s="203">
        <v>85.294657716252502</v>
      </c>
      <c r="BE81" s="204">
        <v>85.294657716252502</v>
      </c>
    </row>
    <row r="82" spans="1:58" ht="15.75" thickBot="1" x14ac:dyDescent="0.3">
      <c r="A82" s="332"/>
      <c r="B82" s="194" t="s">
        <v>107</v>
      </c>
      <c r="C82" s="194" t="s">
        <v>4</v>
      </c>
      <c r="D82" s="238"/>
      <c r="E82" s="239"/>
      <c r="F82" s="239"/>
      <c r="G82" s="239"/>
      <c r="H82" s="239"/>
      <c r="I82" s="239"/>
      <c r="J82" s="239"/>
      <c r="K82" s="239"/>
      <c r="L82" s="240"/>
      <c r="M82" s="238"/>
      <c r="N82" s="239"/>
      <c r="O82" s="239"/>
      <c r="P82" s="239"/>
      <c r="Q82" s="239"/>
      <c r="R82" s="239"/>
      <c r="S82" s="239"/>
      <c r="T82" s="239"/>
      <c r="U82" s="240"/>
      <c r="V82" s="238"/>
      <c r="W82" s="239"/>
      <c r="X82" s="239"/>
      <c r="Y82" s="239"/>
      <c r="Z82" s="239"/>
      <c r="AA82" s="239"/>
      <c r="AB82" s="239"/>
      <c r="AC82" s="239"/>
      <c r="AD82" s="240"/>
      <c r="AE82" s="347"/>
      <c r="AF82" s="348"/>
      <c r="AG82" s="348"/>
      <c r="AH82" s="348"/>
      <c r="AI82" s="348"/>
      <c r="AJ82" s="348"/>
      <c r="AK82" s="348"/>
      <c r="AL82" s="348"/>
      <c r="AM82" s="349"/>
      <c r="AN82" s="347"/>
      <c r="AO82" s="348"/>
      <c r="AP82" s="348"/>
      <c r="AQ82" s="348"/>
      <c r="AR82" s="348"/>
      <c r="AS82" s="348"/>
      <c r="AT82" s="348"/>
      <c r="AU82" s="348"/>
      <c r="AV82" s="349"/>
      <c r="AW82" s="347"/>
      <c r="AX82" s="348"/>
      <c r="AY82" s="348"/>
      <c r="AZ82" s="348"/>
      <c r="BA82" s="348"/>
      <c r="BB82" s="348"/>
      <c r="BC82" s="348"/>
      <c r="BD82" s="348"/>
      <c r="BE82" s="349"/>
    </row>
    <row r="83" spans="1:58" x14ac:dyDescent="0.25">
      <c r="A83" s="350" t="s">
        <v>149</v>
      </c>
      <c r="B83" s="351" t="s">
        <v>101</v>
      </c>
      <c r="C83" s="351" t="s">
        <v>4</v>
      </c>
      <c r="D83" s="352">
        <v>20</v>
      </c>
      <c r="E83" s="353">
        <v>20</v>
      </c>
      <c r="F83" s="353">
        <v>20</v>
      </c>
      <c r="G83" s="353">
        <v>20</v>
      </c>
      <c r="H83" s="353">
        <v>20</v>
      </c>
      <c r="I83" s="353">
        <v>20</v>
      </c>
      <c r="J83" s="353">
        <v>20</v>
      </c>
      <c r="K83" s="353">
        <v>20</v>
      </c>
      <c r="L83" s="354">
        <v>20</v>
      </c>
      <c r="M83" s="352">
        <v>20</v>
      </c>
      <c r="N83" s="353">
        <v>20</v>
      </c>
      <c r="O83" s="353">
        <v>20</v>
      </c>
      <c r="P83" s="353">
        <v>20</v>
      </c>
      <c r="Q83" s="353">
        <v>20</v>
      </c>
      <c r="R83" s="353">
        <v>20</v>
      </c>
      <c r="S83" s="353">
        <v>20</v>
      </c>
      <c r="T83" s="353">
        <v>20</v>
      </c>
      <c r="U83" s="354">
        <v>20</v>
      </c>
      <c r="V83" s="352">
        <v>20</v>
      </c>
      <c r="W83" s="353">
        <v>20</v>
      </c>
      <c r="X83" s="353">
        <v>20</v>
      </c>
      <c r="Y83" s="353">
        <v>20</v>
      </c>
      <c r="Z83" s="353">
        <v>20</v>
      </c>
      <c r="AA83" s="353">
        <v>20</v>
      </c>
      <c r="AB83" s="353">
        <v>20</v>
      </c>
      <c r="AC83" s="353">
        <v>20</v>
      </c>
      <c r="AD83" s="354">
        <v>20</v>
      </c>
      <c r="AE83" s="355">
        <v>20</v>
      </c>
      <c r="AF83" s="356">
        <v>20</v>
      </c>
      <c r="AG83" s="356">
        <v>20</v>
      </c>
      <c r="AH83" s="356">
        <v>20</v>
      </c>
      <c r="AI83" s="356">
        <v>20</v>
      </c>
      <c r="AJ83" s="356">
        <v>20</v>
      </c>
      <c r="AK83" s="356">
        <v>20</v>
      </c>
      <c r="AL83" s="356">
        <v>20</v>
      </c>
      <c r="AM83" s="357">
        <v>20</v>
      </c>
      <c r="AN83" s="355">
        <v>20</v>
      </c>
      <c r="AO83" s="356">
        <v>20</v>
      </c>
      <c r="AP83" s="356">
        <v>20</v>
      </c>
      <c r="AQ83" s="356">
        <v>20</v>
      </c>
      <c r="AR83" s="356">
        <v>20</v>
      </c>
      <c r="AS83" s="356">
        <v>20</v>
      </c>
      <c r="AT83" s="356">
        <v>20</v>
      </c>
      <c r="AU83" s="356">
        <v>20</v>
      </c>
      <c r="AV83" s="357">
        <v>20</v>
      </c>
      <c r="AW83" s="355">
        <v>20</v>
      </c>
      <c r="AX83" s="356">
        <v>20</v>
      </c>
      <c r="AY83" s="356">
        <v>20</v>
      </c>
      <c r="AZ83" s="356">
        <v>20</v>
      </c>
      <c r="BA83" s="356">
        <v>20</v>
      </c>
      <c r="BB83" s="356">
        <v>20</v>
      </c>
      <c r="BC83" s="356">
        <v>20</v>
      </c>
      <c r="BD83" s="356">
        <v>20</v>
      </c>
      <c r="BE83" s="357">
        <v>20</v>
      </c>
      <c r="BF83" s="30"/>
    </row>
    <row r="84" spans="1:58" x14ac:dyDescent="0.25">
      <c r="A84" s="331"/>
      <c r="B84" s="195" t="s">
        <v>20</v>
      </c>
      <c r="C84" s="195" t="s">
        <v>6</v>
      </c>
      <c r="D84" s="208">
        <v>909.21153254208934</v>
      </c>
      <c r="E84" s="209">
        <v>627.05637164757331</v>
      </c>
      <c r="F84" s="209">
        <v>475.93332461067337</v>
      </c>
      <c r="G84" s="209">
        <v>475.93332461067337</v>
      </c>
      <c r="H84" s="209">
        <v>475.93332461067337</v>
      </c>
      <c r="I84" s="209">
        <v>475.93332461067337</v>
      </c>
      <c r="J84" s="209">
        <v>674.78400000000011</v>
      </c>
      <c r="K84" s="209">
        <v>674.78400000000011</v>
      </c>
      <c r="L84" s="210">
        <v>674.78400000000011</v>
      </c>
      <c r="M84" s="208">
        <v>876.88417547131348</v>
      </c>
      <c r="N84" s="209">
        <v>610.32909690692122</v>
      </c>
      <c r="O84" s="209">
        <v>466.55672962478747</v>
      </c>
      <c r="P84" s="209">
        <v>466.55672962478747</v>
      </c>
      <c r="Q84" s="209">
        <v>466.55672962478747</v>
      </c>
      <c r="R84" s="209">
        <v>466.55672962478747</v>
      </c>
      <c r="S84" s="209">
        <v>637.82399999999996</v>
      </c>
      <c r="T84" s="209">
        <v>637.82399999999996</v>
      </c>
      <c r="U84" s="210">
        <v>637.82399999999996</v>
      </c>
      <c r="V84" s="208">
        <v>834.20131814045635</v>
      </c>
      <c r="W84" s="209">
        <v>582.75336672185188</v>
      </c>
      <c r="X84" s="209">
        <v>447.37922190941873</v>
      </c>
      <c r="Y84" s="209">
        <v>447.37922190941873</v>
      </c>
      <c r="Z84" s="209">
        <v>447.37922190941873</v>
      </c>
      <c r="AA84" s="209">
        <v>447.37922190941873</v>
      </c>
      <c r="AB84" s="209">
        <v>613.58399999999995</v>
      </c>
      <c r="AC84" s="209">
        <v>613.58399999999995</v>
      </c>
      <c r="AD84" s="210">
        <v>613.58399999999995</v>
      </c>
      <c r="AE84" s="214">
        <v>786.25871364962575</v>
      </c>
      <c r="AF84" s="215">
        <v>549.26179392174538</v>
      </c>
      <c r="AG84" s="215">
        <v>421.66777237439481</v>
      </c>
      <c r="AH84" s="215">
        <v>421.66777237439481</v>
      </c>
      <c r="AI84" s="215">
        <v>421.66777237439481</v>
      </c>
      <c r="AJ84" s="215">
        <v>421.66777237439481</v>
      </c>
      <c r="AK84" s="215">
        <v>597.82399999999996</v>
      </c>
      <c r="AL84" s="215">
        <v>597.82399999999996</v>
      </c>
      <c r="AM84" s="216">
        <v>597.82399999999996</v>
      </c>
      <c r="AN84" s="214">
        <v>738.31610915879503</v>
      </c>
      <c r="AO84" s="215">
        <v>515.77022112163911</v>
      </c>
      <c r="AP84" s="215">
        <v>395.95632283937084</v>
      </c>
      <c r="AQ84" s="215">
        <v>395.95632283937084</v>
      </c>
      <c r="AR84" s="215">
        <v>395.95632283937084</v>
      </c>
      <c r="AS84" s="215">
        <v>395.95632283937084</v>
      </c>
      <c r="AT84" s="215">
        <v>582.06399999999996</v>
      </c>
      <c r="AU84" s="215">
        <v>582.06399999999996</v>
      </c>
      <c r="AV84" s="216">
        <v>582.06399999999996</v>
      </c>
      <c r="AW84" s="214">
        <v>690.37350466796431</v>
      </c>
      <c r="AX84" s="215">
        <v>482.27864832153284</v>
      </c>
      <c r="AY84" s="215">
        <v>370.24487330434692</v>
      </c>
      <c r="AZ84" s="215">
        <v>370.24487330434692</v>
      </c>
      <c r="BA84" s="215">
        <v>370.24487330434692</v>
      </c>
      <c r="BB84" s="215">
        <v>370.24487330434692</v>
      </c>
      <c r="BC84" s="215">
        <v>566.30399999999997</v>
      </c>
      <c r="BD84" s="215">
        <v>566.30399999999997</v>
      </c>
      <c r="BE84" s="216">
        <v>566.30399999999997</v>
      </c>
    </row>
    <row r="85" spans="1:58" x14ac:dyDescent="0.25">
      <c r="A85" s="331"/>
      <c r="B85" s="195" t="s">
        <v>172</v>
      </c>
      <c r="C85" s="195" t="s">
        <v>19</v>
      </c>
      <c r="D85" s="208">
        <v>0.35</v>
      </c>
      <c r="E85" s="209">
        <v>0.35</v>
      </c>
      <c r="F85" s="209">
        <v>0.35</v>
      </c>
      <c r="G85" s="209">
        <v>0.35</v>
      </c>
      <c r="H85" s="209">
        <v>0.35</v>
      </c>
      <c r="I85" s="209">
        <v>0.35</v>
      </c>
      <c r="J85" s="209">
        <v>0.35</v>
      </c>
      <c r="K85" s="209">
        <v>0.35</v>
      </c>
      <c r="L85" s="210">
        <v>0.35</v>
      </c>
      <c r="M85" s="208">
        <v>0.35</v>
      </c>
      <c r="N85" s="209">
        <v>0.35</v>
      </c>
      <c r="O85" s="209">
        <v>0.35</v>
      </c>
      <c r="P85" s="209">
        <v>0.35</v>
      </c>
      <c r="Q85" s="209">
        <v>0.35</v>
      </c>
      <c r="R85" s="209">
        <v>0.35</v>
      </c>
      <c r="S85" s="209">
        <v>0.35</v>
      </c>
      <c r="T85" s="209">
        <v>0.35</v>
      </c>
      <c r="U85" s="210">
        <v>0.35</v>
      </c>
      <c r="V85" s="208">
        <v>0</v>
      </c>
      <c r="W85" s="209">
        <v>0</v>
      </c>
      <c r="X85" s="209">
        <v>0</v>
      </c>
      <c r="Y85" s="209">
        <v>0</v>
      </c>
      <c r="Z85" s="209">
        <v>0</v>
      </c>
      <c r="AA85" s="209">
        <v>0</v>
      </c>
      <c r="AB85" s="209">
        <v>0</v>
      </c>
      <c r="AC85" s="209">
        <v>0</v>
      </c>
      <c r="AD85" s="210">
        <v>0</v>
      </c>
      <c r="AE85" s="217">
        <v>0</v>
      </c>
      <c r="AF85" s="218">
        <v>0</v>
      </c>
      <c r="AG85" s="218">
        <v>0</v>
      </c>
      <c r="AH85" s="218">
        <v>0</v>
      </c>
      <c r="AI85" s="218">
        <v>0</v>
      </c>
      <c r="AJ85" s="218">
        <v>0</v>
      </c>
      <c r="AK85" s="218">
        <v>0</v>
      </c>
      <c r="AL85" s="218">
        <v>0</v>
      </c>
      <c r="AM85" s="219">
        <v>0</v>
      </c>
      <c r="AN85" s="217">
        <v>0</v>
      </c>
      <c r="AO85" s="218">
        <v>0</v>
      </c>
      <c r="AP85" s="218">
        <v>0</v>
      </c>
      <c r="AQ85" s="218">
        <v>0</v>
      </c>
      <c r="AR85" s="218">
        <v>0</v>
      </c>
      <c r="AS85" s="218">
        <v>0</v>
      </c>
      <c r="AT85" s="218">
        <v>0</v>
      </c>
      <c r="AU85" s="218">
        <v>0</v>
      </c>
      <c r="AV85" s="219">
        <v>0</v>
      </c>
      <c r="AW85" s="217">
        <v>0</v>
      </c>
      <c r="AX85" s="218">
        <v>0</v>
      </c>
      <c r="AY85" s="218">
        <v>0</v>
      </c>
      <c r="AZ85" s="218">
        <v>0</v>
      </c>
      <c r="BA85" s="218">
        <v>0</v>
      </c>
      <c r="BB85" s="218">
        <v>0</v>
      </c>
      <c r="BC85" s="218">
        <v>0</v>
      </c>
      <c r="BD85" s="218">
        <v>0</v>
      </c>
      <c r="BE85" s="219">
        <v>0</v>
      </c>
    </row>
    <row r="86" spans="1:58" x14ac:dyDescent="0.25">
      <c r="A86" s="331"/>
      <c r="B86" s="195" t="s">
        <v>102</v>
      </c>
      <c r="C86" s="195" t="s">
        <v>8</v>
      </c>
      <c r="D86" s="208"/>
      <c r="E86" s="209"/>
      <c r="F86" s="209"/>
      <c r="G86" s="209"/>
      <c r="H86" s="209"/>
      <c r="I86" s="209"/>
      <c r="J86" s="209"/>
      <c r="K86" s="209"/>
      <c r="L86" s="210"/>
      <c r="M86" s="208"/>
      <c r="N86" s="209"/>
      <c r="O86" s="209"/>
      <c r="P86" s="209"/>
      <c r="Q86" s="209"/>
      <c r="R86" s="209"/>
      <c r="S86" s="209"/>
      <c r="T86" s="209"/>
      <c r="U86" s="210"/>
      <c r="V86" s="208"/>
      <c r="W86" s="209"/>
      <c r="X86" s="209"/>
      <c r="Y86" s="209"/>
      <c r="Z86" s="209"/>
      <c r="AA86" s="209"/>
      <c r="AB86" s="209"/>
      <c r="AC86" s="209"/>
      <c r="AD86" s="210"/>
      <c r="AE86" s="211"/>
      <c r="AF86" s="212"/>
      <c r="AG86" s="212"/>
      <c r="AH86" s="212"/>
      <c r="AI86" s="212"/>
      <c r="AJ86" s="212"/>
      <c r="AK86" s="212"/>
      <c r="AL86" s="212"/>
      <c r="AM86" s="213"/>
      <c r="AN86" s="211"/>
      <c r="AO86" s="212"/>
      <c r="AP86" s="212"/>
      <c r="AQ86" s="212"/>
      <c r="AR86" s="212"/>
      <c r="AS86" s="212"/>
      <c r="AT86" s="212"/>
      <c r="AU86" s="212"/>
      <c r="AV86" s="213"/>
      <c r="AW86" s="211"/>
      <c r="AX86" s="212"/>
      <c r="AY86" s="212"/>
      <c r="AZ86" s="212"/>
      <c r="BA86" s="212"/>
      <c r="BB86" s="212"/>
      <c r="BC86" s="212"/>
      <c r="BD86" s="212"/>
      <c r="BE86" s="213"/>
    </row>
    <row r="87" spans="1:58" x14ac:dyDescent="0.25">
      <c r="A87" s="331"/>
      <c r="B87" s="195" t="s">
        <v>103</v>
      </c>
      <c r="C87" s="195" t="s">
        <v>9</v>
      </c>
      <c r="D87" s="208">
        <v>13.638172988131339</v>
      </c>
      <c r="E87" s="209">
        <v>9.4058455747135987</v>
      </c>
      <c r="F87" s="209">
        <v>7.1389998691601004</v>
      </c>
      <c r="G87" s="209">
        <v>7.1389998691601004</v>
      </c>
      <c r="H87" s="209">
        <v>7.1389998691601004</v>
      </c>
      <c r="I87" s="209">
        <v>7.1389998691601004</v>
      </c>
      <c r="J87" s="209">
        <v>1.91</v>
      </c>
      <c r="K87" s="209">
        <v>1.91</v>
      </c>
      <c r="L87" s="210">
        <v>1.91</v>
      </c>
      <c r="M87" s="208">
        <v>13.153262632069701</v>
      </c>
      <c r="N87" s="209">
        <v>9.1549364536038187</v>
      </c>
      <c r="O87" s="209">
        <v>6.9983509443718122</v>
      </c>
      <c r="P87" s="209">
        <v>6.9983509443718122</v>
      </c>
      <c r="Q87" s="209">
        <v>6.9983509443718122</v>
      </c>
      <c r="R87" s="209">
        <v>6.9983509443718122</v>
      </c>
      <c r="S87" s="209">
        <v>1.76</v>
      </c>
      <c r="T87" s="209">
        <v>1.76</v>
      </c>
      <c r="U87" s="210">
        <v>1.76</v>
      </c>
      <c r="V87" s="208">
        <v>12.513019772106844</v>
      </c>
      <c r="W87" s="209">
        <v>8.7413005008277782</v>
      </c>
      <c r="X87" s="209">
        <v>6.7106883286412806</v>
      </c>
      <c r="Y87" s="209">
        <v>6.7106883286412806</v>
      </c>
      <c r="Z87" s="209">
        <v>6.7106883286412806</v>
      </c>
      <c r="AA87" s="209">
        <v>6.7106883286412806</v>
      </c>
      <c r="AB87" s="209">
        <v>1.673</v>
      </c>
      <c r="AC87" s="209">
        <v>1.673</v>
      </c>
      <c r="AD87" s="210">
        <v>1.673</v>
      </c>
      <c r="AE87" s="214">
        <v>11.793880704744385</v>
      </c>
      <c r="AF87" s="215">
        <v>8.2389269088261798</v>
      </c>
      <c r="AG87" s="215">
        <v>6.3250165856159217</v>
      </c>
      <c r="AH87" s="215">
        <v>6.3250165856159217</v>
      </c>
      <c r="AI87" s="215">
        <v>6.3250165856159217</v>
      </c>
      <c r="AJ87" s="215">
        <v>6.3250165856159217</v>
      </c>
      <c r="AK87" s="215">
        <v>1.6279999999999999</v>
      </c>
      <c r="AL87" s="215">
        <v>1.6279999999999999</v>
      </c>
      <c r="AM87" s="216">
        <v>1.6279999999999999</v>
      </c>
      <c r="AN87" s="214">
        <v>11.074741637381925</v>
      </c>
      <c r="AO87" s="215">
        <v>7.7365533168245868</v>
      </c>
      <c r="AP87" s="215">
        <v>5.9393448425905628</v>
      </c>
      <c r="AQ87" s="215">
        <v>5.9393448425905628</v>
      </c>
      <c r="AR87" s="215">
        <v>5.9393448425905628</v>
      </c>
      <c r="AS87" s="215">
        <v>5.9393448425905628</v>
      </c>
      <c r="AT87" s="215">
        <v>1.583</v>
      </c>
      <c r="AU87" s="215">
        <v>1.583</v>
      </c>
      <c r="AV87" s="216">
        <v>1.583</v>
      </c>
      <c r="AW87" s="214">
        <v>10.355602570019464</v>
      </c>
      <c r="AX87" s="215">
        <v>7.234179724822992</v>
      </c>
      <c r="AY87" s="215">
        <v>5.5536730995652039</v>
      </c>
      <c r="AZ87" s="215">
        <v>5.5536730995652039</v>
      </c>
      <c r="BA87" s="215">
        <v>5.5536730995652039</v>
      </c>
      <c r="BB87" s="215">
        <v>5.5536730995652039</v>
      </c>
      <c r="BC87" s="215">
        <v>1.538</v>
      </c>
      <c r="BD87" s="215">
        <v>1.538</v>
      </c>
      <c r="BE87" s="216">
        <v>1.538</v>
      </c>
    </row>
    <row r="88" spans="1:58" x14ac:dyDescent="0.25">
      <c r="A88" s="331"/>
      <c r="B88" s="195" t="s">
        <v>104</v>
      </c>
      <c r="C88" s="195" t="s">
        <v>10</v>
      </c>
      <c r="D88" s="208">
        <v>0</v>
      </c>
      <c r="E88" s="209">
        <v>0</v>
      </c>
      <c r="F88" s="209">
        <v>0</v>
      </c>
      <c r="G88" s="209">
        <v>0</v>
      </c>
      <c r="H88" s="209">
        <v>0</v>
      </c>
      <c r="I88" s="209">
        <v>0</v>
      </c>
      <c r="J88" s="209">
        <v>2.1700000000000001E-3</v>
      </c>
      <c r="K88" s="209">
        <v>2.1700000000000001E-3</v>
      </c>
      <c r="L88" s="210">
        <v>2.1700000000000001E-3</v>
      </c>
      <c r="M88" s="208">
        <v>0</v>
      </c>
      <c r="N88" s="209">
        <v>0</v>
      </c>
      <c r="O88" s="209">
        <v>0</v>
      </c>
      <c r="P88" s="209">
        <v>0</v>
      </c>
      <c r="Q88" s="209">
        <v>0</v>
      </c>
      <c r="R88" s="209">
        <v>0</v>
      </c>
      <c r="S88" s="209">
        <v>2.1199999999999999E-3</v>
      </c>
      <c r="T88" s="209">
        <v>2.1199999999999999E-3</v>
      </c>
      <c r="U88" s="210">
        <v>2.1199999999999999E-3</v>
      </c>
      <c r="V88" s="208">
        <v>0</v>
      </c>
      <c r="W88" s="209">
        <v>0</v>
      </c>
      <c r="X88" s="209">
        <v>0</v>
      </c>
      <c r="Y88" s="209">
        <v>0</v>
      </c>
      <c r="Z88" s="209">
        <v>0</v>
      </c>
      <c r="AA88" s="209">
        <v>0</v>
      </c>
      <c r="AB88" s="209">
        <v>2.085E-3</v>
      </c>
      <c r="AC88" s="209">
        <v>2.085E-3</v>
      </c>
      <c r="AD88" s="210">
        <v>2.085E-3</v>
      </c>
      <c r="AE88" s="214">
        <v>0</v>
      </c>
      <c r="AF88" s="215">
        <v>0</v>
      </c>
      <c r="AG88" s="215">
        <v>0</v>
      </c>
      <c r="AH88" s="215">
        <v>0</v>
      </c>
      <c r="AI88" s="215">
        <v>0</v>
      </c>
      <c r="AJ88" s="215">
        <v>0</v>
      </c>
      <c r="AK88" s="215">
        <v>2.0599999999999998E-3</v>
      </c>
      <c r="AL88" s="215">
        <v>2.0599999999999998E-3</v>
      </c>
      <c r="AM88" s="216">
        <v>2.0599999999999998E-3</v>
      </c>
      <c r="AN88" s="214">
        <v>0</v>
      </c>
      <c r="AO88" s="215">
        <v>0</v>
      </c>
      <c r="AP88" s="215">
        <v>0</v>
      </c>
      <c r="AQ88" s="215">
        <v>0</v>
      </c>
      <c r="AR88" s="215">
        <v>0</v>
      </c>
      <c r="AS88" s="215">
        <v>0</v>
      </c>
      <c r="AT88" s="215">
        <v>2.0349999999999999E-3</v>
      </c>
      <c r="AU88" s="215">
        <v>2.0349999999999999E-3</v>
      </c>
      <c r="AV88" s="216">
        <v>2.0349999999999999E-3</v>
      </c>
      <c r="AW88" s="214">
        <v>0</v>
      </c>
      <c r="AX88" s="215">
        <v>0</v>
      </c>
      <c r="AY88" s="215">
        <v>0</v>
      </c>
      <c r="AZ88" s="215">
        <v>0</v>
      </c>
      <c r="BA88" s="215">
        <v>0</v>
      </c>
      <c r="BB88" s="215">
        <v>0</v>
      </c>
      <c r="BC88" s="215">
        <v>2.0100000000000001E-3</v>
      </c>
      <c r="BD88" s="215">
        <v>2.0100000000000001E-3</v>
      </c>
      <c r="BE88" s="216">
        <v>2.0100000000000001E-3</v>
      </c>
    </row>
    <row r="89" spans="1:58" x14ac:dyDescent="0.25">
      <c r="A89" s="331"/>
      <c r="B89" s="195" t="s">
        <v>105</v>
      </c>
      <c r="C89" s="195" t="s">
        <v>320</v>
      </c>
      <c r="D89" s="208">
        <v>0</v>
      </c>
      <c r="E89" s="209">
        <v>0</v>
      </c>
      <c r="F89" s="209">
        <v>0</v>
      </c>
      <c r="G89" s="209">
        <v>0</v>
      </c>
      <c r="H89" s="209">
        <v>0</v>
      </c>
      <c r="I89" s="209">
        <v>0</v>
      </c>
      <c r="J89" s="209">
        <v>0</v>
      </c>
      <c r="K89" s="209">
        <v>0</v>
      </c>
      <c r="L89" s="210">
        <v>0</v>
      </c>
      <c r="M89" s="208">
        <v>0</v>
      </c>
      <c r="N89" s="209">
        <v>0</v>
      </c>
      <c r="O89" s="209">
        <v>0</v>
      </c>
      <c r="P89" s="209">
        <v>0</v>
      </c>
      <c r="Q89" s="209">
        <v>0</v>
      </c>
      <c r="R89" s="209">
        <v>0</v>
      </c>
      <c r="S89" s="209">
        <v>0</v>
      </c>
      <c r="T89" s="209">
        <v>0</v>
      </c>
      <c r="U89" s="210">
        <v>0</v>
      </c>
      <c r="V89" s="208">
        <v>0</v>
      </c>
      <c r="W89" s="209">
        <v>0</v>
      </c>
      <c r="X89" s="209">
        <v>0</v>
      </c>
      <c r="Y89" s="209">
        <v>0</v>
      </c>
      <c r="Z89" s="209">
        <v>0</v>
      </c>
      <c r="AA89" s="209">
        <v>0</v>
      </c>
      <c r="AB89" s="209">
        <v>0</v>
      </c>
      <c r="AC89" s="209">
        <v>0</v>
      </c>
      <c r="AD89" s="210">
        <v>0</v>
      </c>
      <c r="AE89" s="214">
        <v>0</v>
      </c>
      <c r="AF89" s="215">
        <v>0</v>
      </c>
      <c r="AG89" s="215">
        <v>0</v>
      </c>
      <c r="AH89" s="215">
        <v>0</v>
      </c>
      <c r="AI89" s="215">
        <v>0</v>
      </c>
      <c r="AJ89" s="215">
        <v>0</v>
      </c>
      <c r="AK89" s="215">
        <v>0</v>
      </c>
      <c r="AL89" s="215">
        <v>0</v>
      </c>
      <c r="AM89" s="216">
        <v>0</v>
      </c>
      <c r="AN89" s="214">
        <v>0</v>
      </c>
      <c r="AO89" s="215">
        <v>0</v>
      </c>
      <c r="AP89" s="215">
        <v>0</v>
      </c>
      <c r="AQ89" s="215">
        <v>0</v>
      </c>
      <c r="AR89" s="215">
        <v>0</v>
      </c>
      <c r="AS89" s="215">
        <v>0</v>
      </c>
      <c r="AT89" s="215">
        <v>0</v>
      </c>
      <c r="AU89" s="215">
        <v>0</v>
      </c>
      <c r="AV89" s="216">
        <v>0</v>
      </c>
      <c r="AW89" s="214">
        <v>0</v>
      </c>
      <c r="AX89" s="215">
        <v>0</v>
      </c>
      <c r="AY89" s="215">
        <v>0</v>
      </c>
      <c r="AZ89" s="215">
        <v>0</v>
      </c>
      <c r="BA89" s="215">
        <v>0</v>
      </c>
      <c r="BB89" s="215">
        <v>0</v>
      </c>
      <c r="BC89" s="215">
        <v>0</v>
      </c>
      <c r="BD89" s="215">
        <v>0</v>
      </c>
      <c r="BE89" s="216">
        <v>0</v>
      </c>
    </row>
    <row r="90" spans="1:58" x14ac:dyDescent="0.25">
      <c r="A90" s="331"/>
      <c r="B90" s="195" t="s">
        <v>11</v>
      </c>
      <c r="C90" s="195" t="s">
        <v>10</v>
      </c>
      <c r="D90" s="208">
        <v>0</v>
      </c>
      <c r="E90" s="209">
        <v>0</v>
      </c>
      <c r="F90" s="209">
        <v>0</v>
      </c>
      <c r="G90" s="209">
        <v>0</v>
      </c>
      <c r="H90" s="209">
        <v>0</v>
      </c>
      <c r="I90" s="209">
        <v>0</v>
      </c>
      <c r="J90" s="209">
        <v>0</v>
      </c>
      <c r="K90" s="209">
        <v>0</v>
      </c>
      <c r="L90" s="210">
        <v>0</v>
      </c>
      <c r="M90" s="208">
        <v>0</v>
      </c>
      <c r="N90" s="209">
        <v>0</v>
      </c>
      <c r="O90" s="209">
        <v>0</v>
      </c>
      <c r="P90" s="209">
        <v>0</v>
      </c>
      <c r="Q90" s="209">
        <v>0</v>
      </c>
      <c r="R90" s="209">
        <v>0</v>
      </c>
      <c r="S90" s="209">
        <v>0</v>
      </c>
      <c r="T90" s="209">
        <v>0</v>
      </c>
      <c r="U90" s="210">
        <v>0</v>
      </c>
      <c r="V90" s="208">
        <v>0</v>
      </c>
      <c r="W90" s="209">
        <v>0</v>
      </c>
      <c r="X90" s="209">
        <v>0</v>
      </c>
      <c r="Y90" s="209">
        <v>0</v>
      </c>
      <c r="Z90" s="209">
        <v>0</v>
      </c>
      <c r="AA90" s="209">
        <v>0</v>
      </c>
      <c r="AB90" s="209">
        <v>0</v>
      </c>
      <c r="AC90" s="209">
        <v>0</v>
      </c>
      <c r="AD90" s="210">
        <v>0</v>
      </c>
      <c r="AE90" s="214">
        <v>0</v>
      </c>
      <c r="AF90" s="215">
        <v>0</v>
      </c>
      <c r="AG90" s="215">
        <v>0</v>
      </c>
      <c r="AH90" s="215">
        <v>0</v>
      </c>
      <c r="AI90" s="215">
        <v>0</v>
      </c>
      <c r="AJ90" s="215">
        <v>0</v>
      </c>
      <c r="AK90" s="215">
        <v>0</v>
      </c>
      <c r="AL90" s="215">
        <v>0</v>
      </c>
      <c r="AM90" s="216">
        <v>0</v>
      </c>
      <c r="AN90" s="214">
        <v>0</v>
      </c>
      <c r="AO90" s="215">
        <v>0</v>
      </c>
      <c r="AP90" s="215">
        <v>0</v>
      </c>
      <c r="AQ90" s="215">
        <v>0</v>
      </c>
      <c r="AR90" s="215">
        <v>0</v>
      </c>
      <c r="AS90" s="215">
        <v>0</v>
      </c>
      <c r="AT90" s="215">
        <v>0</v>
      </c>
      <c r="AU90" s="215">
        <v>0</v>
      </c>
      <c r="AV90" s="216">
        <v>0</v>
      </c>
      <c r="AW90" s="214">
        <v>0</v>
      </c>
      <c r="AX90" s="215">
        <v>0</v>
      </c>
      <c r="AY90" s="215">
        <v>0</v>
      </c>
      <c r="AZ90" s="215">
        <v>0</v>
      </c>
      <c r="BA90" s="215">
        <v>0</v>
      </c>
      <c r="BB90" s="215">
        <v>0</v>
      </c>
      <c r="BC90" s="215">
        <v>0</v>
      </c>
      <c r="BD90" s="215">
        <v>0</v>
      </c>
      <c r="BE90" s="216">
        <v>0</v>
      </c>
    </row>
    <row r="91" spans="1:58" x14ac:dyDescent="0.25">
      <c r="A91" s="331"/>
      <c r="B91" s="195" t="s">
        <v>18</v>
      </c>
      <c r="C91" s="195" t="s">
        <v>19</v>
      </c>
      <c r="D91" s="208">
        <v>3.62</v>
      </c>
      <c r="E91" s="209">
        <v>3.62</v>
      </c>
      <c r="F91" s="209">
        <v>3.62</v>
      </c>
      <c r="G91" s="209">
        <v>3.62</v>
      </c>
      <c r="H91" s="209">
        <v>3.62</v>
      </c>
      <c r="I91" s="209">
        <v>3.62</v>
      </c>
      <c r="J91" s="209">
        <v>3.62</v>
      </c>
      <c r="K91" s="209">
        <v>3.62</v>
      </c>
      <c r="L91" s="210">
        <v>3.62</v>
      </c>
      <c r="M91" s="208">
        <v>3.82</v>
      </c>
      <c r="N91" s="209">
        <v>3.82</v>
      </c>
      <c r="O91" s="209">
        <v>3.82</v>
      </c>
      <c r="P91" s="209">
        <v>3.82</v>
      </c>
      <c r="Q91" s="209">
        <v>3.82</v>
      </c>
      <c r="R91" s="209">
        <v>3.82</v>
      </c>
      <c r="S91" s="209">
        <v>3.82</v>
      </c>
      <c r="T91" s="209">
        <v>3.82</v>
      </c>
      <c r="U91" s="210">
        <v>3.82</v>
      </c>
      <c r="V91" s="208">
        <v>4.0049999999999999</v>
      </c>
      <c r="W91" s="209">
        <v>4.0049999999999999</v>
      </c>
      <c r="X91" s="209">
        <v>4.0049999999999999</v>
      </c>
      <c r="Y91" s="209">
        <v>4.0049999999999999</v>
      </c>
      <c r="Z91" s="209">
        <v>4.0049999999999999</v>
      </c>
      <c r="AA91" s="209">
        <v>4.0049999999999999</v>
      </c>
      <c r="AB91" s="209">
        <v>4.0049999999999999</v>
      </c>
      <c r="AC91" s="209">
        <v>4.0049999999999999</v>
      </c>
      <c r="AD91" s="210">
        <v>4.0049999999999999</v>
      </c>
      <c r="AE91" s="211">
        <v>4.18</v>
      </c>
      <c r="AF91" s="212">
        <v>4.18</v>
      </c>
      <c r="AG91" s="212">
        <v>4.18</v>
      </c>
      <c r="AH91" s="212">
        <v>4.18</v>
      </c>
      <c r="AI91" s="212">
        <v>4.18</v>
      </c>
      <c r="AJ91" s="212">
        <v>4.18</v>
      </c>
      <c r="AK91" s="212">
        <v>4.18</v>
      </c>
      <c r="AL91" s="212">
        <v>4.18</v>
      </c>
      <c r="AM91" s="213">
        <v>4.18</v>
      </c>
      <c r="AN91" s="211">
        <v>4.3549999999999995</v>
      </c>
      <c r="AO91" s="212">
        <v>4.3549999999999995</v>
      </c>
      <c r="AP91" s="212">
        <v>4.3549999999999995</v>
      </c>
      <c r="AQ91" s="212">
        <v>4.3549999999999995</v>
      </c>
      <c r="AR91" s="212">
        <v>4.3549999999999995</v>
      </c>
      <c r="AS91" s="212">
        <v>4.3549999999999995</v>
      </c>
      <c r="AT91" s="212">
        <v>4.3549999999999995</v>
      </c>
      <c r="AU91" s="212">
        <v>4.3549999999999995</v>
      </c>
      <c r="AV91" s="213">
        <v>4.3549999999999995</v>
      </c>
      <c r="AW91" s="211">
        <v>4.5299999999999994</v>
      </c>
      <c r="AX91" s="212">
        <v>4.5299999999999994</v>
      </c>
      <c r="AY91" s="212">
        <v>4.5299999999999994</v>
      </c>
      <c r="AZ91" s="212">
        <v>4.5299999999999994</v>
      </c>
      <c r="BA91" s="212">
        <v>4.5299999999999994</v>
      </c>
      <c r="BB91" s="212">
        <v>4.5299999999999994</v>
      </c>
      <c r="BC91" s="212">
        <v>4.5299999999999994</v>
      </c>
      <c r="BD91" s="212">
        <v>4.5299999999999994</v>
      </c>
      <c r="BE91" s="213">
        <v>4.5299999999999994</v>
      </c>
    </row>
    <row r="92" spans="1:58" x14ac:dyDescent="0.25">
      <c r="A92" s="331"/>
      <c r="B92" s="195" t="s">
        <v>13</v>
      </c>
      <c r="C92" s="195" t="s">
        <v>14</v>
      </c>
      <c r="D92" s="208"/>
      <c r="E92" s="209"/>
      <c r="F92" s="209"/>
      <c r="G92" s="209"/>
      <c r="H92" s="209"/>
      <c r="I92" s="209"/>
      <c r="J92" s="209"/>
      <c r="K92" s="209"/>
      <c r="L92" s="210"/>
      <c r="M92" s="208"/>
      <c r="N92" s="209"/>
      <c r="O92" s="209"/>
      <c r="P92" s="209"/>
      <c r="Q92" s="209"/>
      <c r="R92" s="209"/>
      <c r="S92" s="209"/>
      <c r="T92" s="209"/>
      <c r="U92" s="210"/>
      <c r="V92" s="208"/>
      <c r="W92" s="209"/>
      <c r="X92" s="209"/>
      <c r="Y92" s="209"/>
      <c r="Z92" s="209"/>
      <c r="AA92" s="209"/>
      <c r="AB92" s="209"/>
      <c r="AC92" s="209"/>
      <c r="AD92" s="210"/>
      <c r="AE92" s="211"/>
      <c r="AF92" s="212"/>
      <c r="AG92" s="212"/>
      <c r="AH92" s="212"/>
      <c r="AI92" s="212"/>
      <c r="AJ92" s="212"/>
      <c r="AK92" s="212"/>
      <c r="AL92" s="212"/>
      <c r="AM92" s="213"/>
      <c r="AN92" s="211"/>
      <c r="AO92" s="212"/>
      <c r="AP92" s="212"/>
      <c r="AQ92" s="212"/>
      <c r="AR92" s="212"/>
      <c r="AS92" s="212"/>
      <c r="AT92" s="212"/>
      <c r="AU92" s="212"/>
      <c r="AV92" s="213"/>
      <c r="AW92" s="211"/>
      <c r="AX92" s="212"/>
      <c r="AY92" s="212"/>
      <c r="AZ92" s="212"/>
      <c r="BA92" s="212"/>
      <c r="BB92" s="212"/>
      <c r="BC92" s="212"/>
      <c r="BD92" s="212"/>
      <c r="BE92" s="213"/>
    </row>
    <row r="93" spans="1:58" x14ac:dyDescent="0.25">
      <c r="A93" s="331"/>
      <c r="B93" s="195" t="s">
        <v>15</v>
      </c>
      <c r="C93" s="195" t="s">
        <v>4</v>
      </c>
      <c r="D93" s="208"/>
      <c r="E93" s="209"/>
      <c r="F93" s="209"/>
      <c r="G93" s="209"/>
      <c r="H93" s="209"/>
      <c r="I93" s="209"/>
      <c r="J93" s="209"/>
      <c r="K93" s="209"/>
      <c r="L93" s="210"/>
      <c r="M93" s="208"/>
      <c r="N93" s="209"/>
      <c r="O93" s="209"/>
      <c r="P93" s="209"/>
      <c r="Q93" s="209"/>
      <c r="R93" s="209"/>
      <c r="S93" s="209"/>
      <c r="T93" s="209"/>
      <c r="U93" s="210"/>
      <c r="V93" s="208"/>
      <c r="W93" s="209"/>
      <c r="X93" s="209"/>
      <c r="Y93" s="209"/>
      <c r="Z93" s="209"/>
      <c r="AA93" s="209"/>
      <c r="AB93" s="209"/>
      <c r="AC93" s="209"/>
      <c r="AD93" s="210"/>
      <c r="AE93" s="211"/>
      <c r="AF93" s="212"/>
      <c r="AG93" s="212"/>
      <c r="AH93" s="212"/>
      <c r="AI93" s="212"/>
      <c r="AJ93" s="212"/>
      <c r="AK93" s="212"/>
      <c r="AL93" s="212"/>
      <c r="AM93" s="213"/>
      <c r="AN93" s="211"/>
      <c r="AO93" s="212"/>
      <c r="AP93" s="212"/>
      <c r="AQ93" s="212"/>
      <c r="AR93" s="212"/>
      <c r="AS93" s="212"/>
      <c r="AT93" s="212"/>
      <c r="AU93" s="212"/>
      <c r="AV93" s="213"/>
      <c r="AW93" s="211"/>
      <c r="AX93" s="212"/>
      <c r="AY93" s="212"/>
      <c r="AZ93" s="212"/>
      <c r="BA93" s="212"/>
      <c r="BB93" s="212"/>
      <c r="BC93" s="212"/>
      <c r="BD93" s="212"/>
      <c r="BE93" s="213"/>
    </row>
    <row r="94" spans="1:58" x14ac:dyDescent="0.25">
      <c r="A94" s="331"/>
      <c r="B94" s="195" t="s">
        <v>106</v>
      </c>
      <c r="C94" s="195" t="s">
        <v>6</v>
      </c>
      <c r="D94" s="208">
        <v>2419.8158607382284</v>
      </c>
      <c r="E94" s="209">
        <v>1655.7881203031177</v>
      </c>
      <c r="F94" s="209">
        <v>1041.3145241292364</v>
      </c>
      <c r="G94" s="209">
        <v>361.73551248702233</v>
      </c>
      <c r="H94" s="209">
        <v>246.65342336513888</v>
      </c>
      <c r="I94" s="209">
        <v>156.34182589557849</v>
      </c>
      <c r="J94" s="209">
        <v>75.877978739630933</v>
      </c>
      <c r="K94" s="209">
        <v>66.467719198694567</v>
      </c>
      <c r="L94" s="210">
        <v>66.467719198694567</v>
      </c>
      <c r="M94" s="208">
        <v>2542.5468857578812</v>
      </c>
      <c r="N94" s="209">
        <v>1739.7683009926391</v>
      </c>
      <c r="O94" s="209">
        <v>1094.1291208875389</v>
      </c>
      <c r="P94" s="209">
        <v>380.08243340521</v>
      </c>
      <c r="Q94" s="209">
        <v>259.16347752478634</v>
      </c>
      <c r="R94" s="209">
        <v>164.27135179750144</v>
      </c>
      <c r="S94" s="209">
        <v>79.72644599626463</v>
      </c>
      <c r="T94" s="209">
        <v>69.838906006886361</v>
      </c>
      <c r="U94" s="210">
        <v>69.838906006886361</v>
      </c>
      <c r="V94" s="208">
        <v>2677.2372697755504</v>
      </c>
      <c r="W94" s="209">
        <v>1831.9318169832663</v>
      </c>
      <c r="X94" s="209">
        <v>1152.0901647065316</v>
      </c>
      <c r="Y94" s="209">
        <v>400.2171452567311</v>
      </c>
      <c r="Z94" s="209">
        <v>272.89255701854074</v>
      </c>
      <c r="AA94" s="209">
        <v>172.97355964296725</v>
      </c>
      <c r="AB94" s="209">
        <v>83.949921947780794</v>
      </c>
      <c r="AC94" s="209">
        <v>73.53859356117799</v>
      </c>
      <c r="AD94" s="210">
        <v>73.53859356117799</v>
      </c>
      <c r="AE94" s="214">
        <v>2819.9005597918967</v>
      </c>
      <c r="AF94" s="215">
        <v>1929.550889841297</v>
      </c>
      <c r="AG94" s="215">
        <v>1213.482173232652</v>
      </c>
      <c r="AH94" s="215">
        <v>421.5437177304745</v>
      </c>
      <c r="AI94" s="215">
        <v>287.43432006836628</v>
      </c>
      <c r="AJ94" s="215">
        <v>182.19088878412825</v>
      </c>
      <c r="AK94" s="215">
        <v>88.423403695885241</v>
      </c>
      <c r="AL94" s="215">
        <v>77.457281612869494</v>
      </c>
      <c r="AM94" s="216">
        <v>77.457281612869494</v>
      </c>
      <c r="AN94" s="214">
        <v>2962.5638498082421</v>
      </c>
      <c r="AO94" s="215">
        <v>2027.1699626993282</v>
      </c>
      <c r="AP94" s="215">
        <v>1274.8741817587722</v>
      </c>
      <c r="AQ94" s="215">
        <v>442.87029020421795</v>
      </c>
      <c r="AR94" s="215">
        <v>301.97608311819215</v>
      </c>
      <c r="AS94" s="215">
        <v>191.40821792528925</v>
      </c>
      <c r="AT94" s="215">
        <v>92.896885443989731</v>
      </c>
      <c r="AU94" s="215">
        <v>81.375969664560998</v>
      </c>
      <c r="AV94" s="216">
        <v>81.375969664560998</v>
      </c>
      <c r="AW94" s="214">
        <v>3105.227139824588</v>
      </c>
      <c r="AX94" s="215">
        <v>2124.7890355573581</v>
      </c>
      <c r="AY94" s="215">
        <v>1336.2661902848918</v>
      </c>
      <c r="AZ94" s="215">
        <v>464.19686267796163</v>
      </c>
      <c r="BA94" s="215">
        <v>316.51784616801797</v>
      </c>
      <c r="BB94" s="215">
        <v>200.62554706645031</v>
      </c>
      <c r="BC94" s="215">
        <v>97.370367192094207</v>
      </c>
      <c r="BD94" s="215">
        <v>85.294657716252502</v>
      </c>
      <c r="BE94" s="216">
        <v>85.294657716252502</v>
      </c>
    </row>
    <row r="95" spans="1:58" ht="15.75" thickBot="1" x14ac:dyDescent="0.3">
      <c r="A95" s="358"/>
      <c r="B95" s="359" t="s">
        <v>107</v>
      </c>
      <c r="C95" s="359" t="s">
        <v>4</v>
      </c>
      <c r="D95" s="360"/>
      <c r="E95" s="361"/>
      <c r="F95" s="361"/>
      <c r="G95" s="361"/>
      <c r="H95" s="361"/>
      <c r="I95" s="361"/>
      <c r="J95" s="361"/>
      <c r="K95" s="361"/>
      <c r="L95" s="362"/>
      <c r="M95" s="360"/>
      <c r="N95" s="361"/>
      <c r="O95" s="361"/>
      <c r="P95" s="361"/>
      <c r="Q95" s="361"/>
      <c r="R95" s="361"/>
      <c r="S95" s="361"/>
      <c r="T95" s="361"/>
      <c r="U95" s="362"/>
      <c r="V95" s="360"/>
      <c r="W95" s="361"/>
      <c r="X95" s="361"/>
      <c r="Y95" s="361"/>
      <c r="Z95" s="361"/>
      <c r="AA95" s="361"/>
      <c r="AB95" s="361"/>
      <c r="AC95" s="361"/>
      <c r="AD95" s="362"/>
      <c r="AE95" s="363"/>
      <c r="AF95" s="364"/>
      <c r="AG95" s="364"/>
      <c r="AH95" s="364"/>
      <c r="AI95" s="364"/>
      <c r="AJ95" s="364"/>
      <c r="AK95" s="364"/>
      <c r="AL95" s="364"/>
      <c r="AM95" s="365"/>
      <c r="AN95" s="363"/>
      <c r="AO95" s="364"/>
      <c r="AP95" s="364"/>
      <c r="AQ95" s="364"/>
      <c r="AR95" s="364"/>
      <c r="AS95" s="364"/>
      <c r="AT95" s="364"/>
      <c r="AU95" s="364"/>
      <c r="AV95" s="365"/>
      <c r="AW95" s="363"/>
      <c r="AX95" s="364"/>
      <c r="AY95" s="364"/>
      <c r="AZ95" s="364"/>
      <c r="BA95" s="364"/>
      <c r="BB95" s="364"/>
      <c r="BC95" s="364"/>
      <c r="BD95" s="364"/>
      <c r="BE95" s="365"/>
    </row>
    <row r="96" spans="1:58" x14ac:dyDescent="0.25">
      <c r="A96" s="339" t="s">
        <v>108</v>
      </c>
      <c r="B96" s="340" t="s">
        <v>109</v>
      </c>
      <c r="C96" s="340" t="s">
        <v>19</v>
      </c>
      <c r="D96" s="341">
        <v>1</v>
      </c>
      <c r="E96" s="342">
        <v>1</v>
      </c>
      <c r="F96" s="342">
        <v>1</v>
      </c>
      <c r="G96" s="342">
        <v>1</v>
      </c>
      <c r="H96" s="342">
        <v>1</v>
      </c>
      <c r="I96" s="342">
        <v>1</v>
      </c>
      <c r="J96" s="342">
        <v>1</v>
      </c>
      <c r="K96" s="342">
        <v>1</v>
      </c>
      <c r="L96" s="343">
        <v>1</v>
      </c>
      <c r="M96" s="341">
        <v>1</v>
      </c>
      <c r="N96" s="342">
        <v>1</v>
      </c>
      <c r="O96" s="342">
        <v>1</v>
      </c>
      <c r="P96" s="342">
        <v>1</v>
      </c>
      <c r="Q96" s="342">
        <v>1</v>
      </c>
      <c r="R96" s="342">
        <v>1</v>
      </c>
      <c r="S96" s="342">
        <v>1</v>
      </c>
      <c r="T96" s="342">
        <v>1</v>
      </c>
      <c r="U96" s="343">
        <v>1</v>
      </c>
      <c r="V96" s="341">
        <v>1</v>
      </c>
      <c r="W96" s="342">
        <v>1</v>
      </c>
      <c r="X96" s="342">
        <v>1</v>
      </c>
      <c r="Y96" s="342">
        <v>1</v>
      </c>
      <c r="Z96" s="342">
        <v>1</v>
      </c>
      <c r="AA96" s="342">
        <v>1</v>
      </c>
      <c r="AB96" s="342">
        <v>1</v>
      </c>
      <c r="AC96" s="342">
        <v>1</v>
      </c>
      <c r="AD96" s="343">
        <v>1</v>
      </c>
      <c r="AE96" s="344">
        <v>1</v>
      </c>
      <c r="AF96" s="345">
        <v>1</v>
      </c>
      <c r="AG96" s="345">
        <v>1</v>
      </c>
      <c r="AH96" s="345">
        <v>1</v>
      </c>
      <c r="AI96" s="345">
        <v>1</v>
      </c>
      <c r="AJ96" s="345">
        <v>1</v>
      </c>
      <c r="AK96" s="345">
        <v>1</v>
      </c>
      <c r="AL96" s="345">
        <v>1</v>
      </c>
      <c r="AM96" s="346">
        <v>1</v>
      </c>
      <c r="AN96" s="344">
        <v>1</v>
      </c>
      <c r="AO96" s="345">
        <v>1</v>
      </c>
      <c r="AP96" s="345">
        <v>1</v>
      </c>
      <c r="AQ96" s="345">
        <v>1</v>
      </c>
      <c r="AR96" s="345">
        <v>1</v>
      </c>
      <c r="AS96" s="345">
        <v>1</v>
      </c>
      <c r="AT96" s="345">
        <v>1</v>
      </c>
      <c r="AU96" s="345">
        <v>1</v>
      </c>
      <c r="AV96" s="346">
        <v>1</v>
      </c>
      <c r="AW96" s="344">
        <v>1</v>
      </c>
      <c r="AX96" s="345">
        <v>1</v>
      </c>
      <c r="AY96" s="345">
        <v>1</v>
      </c>
      <c r="AZ96" s="345">
        <v>1</v>
      </c>
      <c r="BA96" s="345">
        <v>1</v>
      </c>
      <c r="BB96" s="345">
        <v>1</v>
      </c>
      <c r="BC96" s="345">
        <v>1</v>
      </c>
      <c r="BD96" s="345">
        <v>1</v>
      </c>
      <c r="BE96" s="346">
        <v>1</v>
      </c>
      <c r="BF96" s="30"/>
    </row>
    <row r="97" spans="1:57" x14ac:dyDescent="0.25">
      <c r="A97" s="330"/>
      <c r="B97" s="193" t="s">
        <v>21</v>
      </c>
      <c r="C97" s="193" t="s">
        <v>19</v>
      </c>
      <c r="D97" s="196">
        <v>0.35</v>
      </c>
      <c r="E97" s="197">
        <v>0.35</v>
      </c>
      <c r="F97" s="197">
        <v>0.35</v>
      </c>
      <c r="G97" s="197">
        <v>0.35</v>
      </c>
      <c r="H97" s="197">
        <v>0.35</v>
      </c>
      <c r="I97" s="197">
        <v>0.35</v>
      </c>
      <c r="J97" s="197">
        <v>0.35</v>
      </c>
      <c r="K97" s="197">
        <v>0.35</v>
      </c>
      <c r="L97" s="198">
        <v>0.35</v>
      </c>
      <c r="M97" s="196">
        <v>0.35</v>
      </c>
      <c r="N97" s="197">
        <v>0.35</v>
      </c>
      <c r="O97" s="197">
        <v>0.35</v>
      </c>
      <c r="P97" s="197">
        <v>0.35</v>
      </c>
      <c r="Q97" s="197">
        <v>0.35</v>
      </c>
      <c r="R97" s="197">
        <v>0.35</v>
      </c>
      <c r="S97" s="197">
        <v>0.35</v>
      </c>
      <c r="T97" s="197">
        <v>0.35</v>
      </c>
      <c r="U97" s="198">
        <v>0.35</v>
      </c>
      <c r="V97" s="196">
        <v>0.35</v>
      </c>
      <c r="W97" s="197">
        <v>0.35</v>
      </c>
      <c r="X97" s="197">
        <v>0.35</v>
      </c>
      <c r="Y97" s="197">
        <v>0.35</v>
      </c>
      <c r="Z97" s="197">
        <v>0.35</v>
      </c>
      <c r="AA97" s="197">
        <v>0.35</v>
      </c>
      <c r="AB97" s="197">
        <v>0.35</v>
      </c>
      <c r="AC97" s="197">
        <v>0.35</v>
      </c>
      <c r="AD97" s="198">
        <v>0.35</v>
      </c>
      <c r="AE97" s="199">
        <v>0.35</v>
      </c>
      <c r="AF97" s="200">
        <v>0.35</v>
      </c>
      <c r="AG97" s="200">
        <v>0.35</v>
      </c>
      <c r="AH97" s="200">
        <v>0.35</v>
      </c>
      <c r="AI97" s="200">
        <v>0.35</v>
      </c>
      <c r="AJ97" s="200">
        <v>0.35</v>
      </c>
      <c r="AK97" s="200">
        <v>0.35</v>
      </c>
      <c r="AL97" s="200">
        <v>0.35</v>
      </c>
      <c r="AM97" s="201">
        <v>0.35</v>
      </c>
      <c r="AN97" s="199">
        <v>0.35</v>
      </c>
      <c r="AO97" s="200">
        <v>0.35</v>
      </c>
      <c r="AP97" s="200">
        <v>0.35</v>
      </c>
      <c r="AQ97" s="200">
        <v>0.35</v>
      </c>
      <c r="AR97" s="200">
        <v>0.35</v>
      </c>
      <c r="AS97" s="200">
        <v>0.35</v>
      </c>
      <c r="AT97" s="200">
        <v>0.35</v>
      </c>
      <c r="AU97" s="200">
        <v>0.35</v>
      </c>
      <c r="AV97" s="201">
        <v>0.35</v>
      </c>
      <c r="AW97" s="199">
        <v>0.35</v>
      </c>
      <c r="AX97" s="200">
        <v>0.35</v>
      </c>
      <c r="AY97" s="200">
        <v>0.35</v>
      </c>
      <c r="AZ97" s="200">
        <v>0.35</v>
      </c>
      <c r="BA97" s="200">
        <v>0.35</v>
      </c>
      <c r="BB97" s="200">
        <v>0.35</v>
      </c>
      <c r="BC97" s="200">
        <v>0.35</v>
      </c>
      <c r="BD97" s="200">
        <v>0.35</v>
      </c>
      <c r="BE97" s="201">
        <v>0.35</v>
      </c>
    </row>
    <row r="98" spans="1:57" x14ac:dyDescent="0.25">
      <c r="A98" s="330"/>
      <c r="B98" s="193" t="s">
        <v>22</v>
      </c>
      <c r="C98" s="193" t="s">
        <v>4</v>
      </c>
      <c r="D98" s="196">
        <v>20</v>
      </c>
      <c r="E98" s="197">
        <v>20</v>
      </c>
      <c r="F98" s="197">
        <v>20</v>
      </c>
      <c r="G98" s="197">
        <v>20</v>
      </c>
      <c r="H98" s="197">
        <v>20</v>
      </c>
      <c r="I98" s="197">
        <v>20</v>
      </c>
      <c r="J98" s="197">
        <v>20</v>
      </c>
      <c r="K98" s="197">
        <v>20</v>
      </c>
      <c r="L98" s="198">
        <v>20</v>
      </c>
      <c r="M98" s="196">
        <v>20</v>
      </c>
      <c r="N98" s="197">
        <v>20</v>
      </c>
      <c r="O98" s="197">
        <v>20</v>
      </c>
      <c r="P98" s="197">
        <v>20</v>
      </c>
      <c r="Q98" s="197">
        <v>20</v>
      </c>
      <c r="R98" s="197">
        <v>20</v>
      </c>
      <c r="S98" s="197">
        <v>20</v>
      </c>
      <c r="T98" s="197">
        <v>20</v>
      </c>
      <c r="U98" s="198">
        <v>20</v>
      </c>
      <c r="V98" s="196">
        <v>20</v>
      </c>
      <c r="W98" s="197">
        <v>20</v>
      </c>
      <c r="X98" s="197">
        <v>20</v>
      </c>
      <c r="Y98" s="197">
        <v>20</v>
      </c>
      <c r="Z98" s="197">
        <v>20</v>
      </c>
      <c r="AA98" s="197">
        <v>20</v>
      </c>
      <c r="AB98" s="197">
        <v>20</v>
      </c>
      <c r="AC98" s="197">
        <v>20</v>
      </c>
      <c r="AD98" s="198">
        <v>20</v>
      </c>
      <c r="AE98" s="199">
        <v>20</v>
      </c>
      <c r="AF98" s="200">
        <v>20</v>
      </c>
      <c r="AG98" s="200">
        <v>20</v>
      </c>
      <c r="AH98" s="200">
        <v>20</v>
      </c>
      <c r="AI98" s="200">
        <v>20</v>
      </c>
      <c r="AJ98" s="200">
        <v>20</v>
      </c>
      <c r="AK98" s="200">
        <v>20</v>
      </c>
      <c r="AL98" s="200">
        <v>20</v>
      </c>
      <c r="AM98" s="201">
        <v>20</v>
      </c>
      <c r="AN98" s="199">
        <v>20</v>
      </c>
      <c r="AO98" s="200">
        <v>20</v>
      </c>
      <c r="AP98" s="200">
        <v>20</v>
      </c>
      <c r="AQ98" s="200">
        <v>20</v>
      </c>
      <c r="AR98" s="200">
        <v>20</v>
      </c>
      <c r="AS98" s="200">
        <v>20</v>
      </c>
      <c r="AT98" s="200">
        <v>20</v>
      </c>
      <c r="AU98" s="200">
        <v>20</v>
      </c>
      <c r="AV98" s="201">
        <v>20</v>
      </c>
      <c r="AW98" s="199">
        <v>20</v>
      </c>
      <c r="AX98" s="200">
        <v>20</v>
      </c>
      <c r="AY98" s="200">
        <v>20</v>
      </c>
      <c r="AZ98" s="200">
        <v>20</v>
      </c>
      <c r="BA98" s="200">
        <v>20</v>
      </c>
      <c r="BB98" s="200">
        <v>20</v>
      </c>
      <c r="BC98" s="200">
        <v>20</v>
      </c>
      <c r="BD98" s="200">
        <v>20</v>
      </c>
      <c r="BE98" s="201">
        <v>20</v>
      </c>
    </row>
    <row r="99" spans="1:57" x14ac:dyDescent="0.25">
      <c r="A99" s="330"/>
      <c r="B99" s="193" t="s">
        <v>23</v>
      </c>
      <c r="C99" s="193" t="s">
        <v>6</v>
      </c>
      <c r="D99" s="196">
        <v>218.34121214018199</v>
      </c>
      <c r="E99" s="197">
        <v>184.87398682120613</v>
      </c>
      <c r="F99" s="197">
        <v>143.96390422813076</v>
      </c>
      <c r="G99" s="197">
        <v>115.96852782183296</v>
      </c>
      <c r="H99" s="197">
        <v>107.31263157894738</v>
      </c>
      <c r="I99" s="197">
        <v>107.00631578947369</v>
      </c>
      <c r="J99" s="197">
        <v>105.98526315789475</v>
      </c>
      <c r="K99" s="197">
        <v>103.84105263157896</v>
      </c>
      <c r="L99" s="198">
        <v>99.55263157894737</v>
      </c>
      <c r="M99" s="196">
        <v>212.90273464055423</v>
      </c>
      <c r="N99" s="197">
        <v>180.29847756137553</v>
      </c>
      <c r="O99" s="197">
        <v>140.44328080448224</v>
      </c>
      <c r="P99" s="197">
        <v>113.16977842477434</v>
      </c>
      <c r="Q99" s="197">
        <v>107.31263157894738</v>
      </c>
      <c r="R99" s="197">
        <v>107.00631578947369</v>
      </c>
      <c r="S99" s="197">
        <v>105.98526315789475</v>
      </c>
      <c r="T99" s="197">
        <v>103.84105263157896</v>
      </c>
      <c r="U99" s="198">
        <v>99.55263157894737</v>
      </c>
      <c r="V99" s="196">
        <v>207.70052243006694</v>
      </c>
      <c r="W99" s="197">
        <v>175.92180364293515</v>
      </c>
      <c r="X99" s="197">
        <v>137.07573863776301</v>
      </c>
      <c r="Y99" s="197">
        <v>110.49280008590137</v>
      </c>
      <c r="Z99" s="197">
        <v>107.31263157894738</v>
      </c>
      <c r="AA99" s="197">
        <v>107.00631578947369</v>
      </c>
      <c r="AB99" s="197">
        <v>105.98526315789475</v>
      </c>
      <c r="AC99" s="197">
        <v>103.84105263157896</v>
      </c>
      <c r="AD99" s="198">
        <v>99.55263157894737</v>
      </c>
      <c r="AE99" s="202">
        <v>202.65582041234001</v>
      </c>
      <c r="AF99" s="203">
        <v>171.6776866187549</v>
      </c>
      <c r="AG99" s="203">
        <v>133.81025064233</v>
      </c>
      <c r="AH99" s="203">
        <v>107.89700245248551</v>
      </c>
      <c r="AI99" s="203">
        <v>107.31263157894738</v>
      </c>
      <c r="AJ99" s="203">
        <v>107.00631578947369</v>
      </c>
      <c r="AK99" s="203">
        <v>105.98526315789475</v>
      </c>
      <c r="AL99" s="203">
        <v>103.84105263157896</v>
      </c>
      <c r="AM99" s="204">
        <v>99.55263157894737</v>
      </c>
      <c r="AN99" s="202">
        <v>197.6111183946131</v>
      </c>
      <c r="AO99" s="203">
        <v>167.43356959457475</v>
      </c>
      <c r="AP99" s="203">
        <v>130.54476264689706</v>
      </c>
      <c r="AQ99" s="203">
        <v>105.30120481906971</v>
      </c>
      <c r="AR99" s="203">
        <v>107.31263157894738</v>
      </c>
      <c r="AS99" s="203">
        <v>107.00631578947369</v>
      </c>
      <c r="AT99" s="203">
        <v>105.98526315789475</v>
      </c>
      <c r="AU99" s="203">
        <v>103.84105263157896</v>
      </c>
      <c r="AV99" s="204">
        <v>99.55263157894737</v>
      </c>
      <c r="AW99" s="202">
        <v>192.56641637688614</v>
      </c>
      <c r="AX99" s="203">
        <v>163.18945257039451</v>
      </c>
      <c r="AY99" s="203">
        <v>127.27927465146402</v>
      </c>
      <c r="AZ99" s="203">
        <v>102.70540718565383</v>
      </c>
      <c r="BA99" s="203">
        <v>107.31263157894738</v>
      </c>
      <c r="BB99" s="203">
        <v>107.00631578947369</v>
      </c>
      <c r="BC99" s="203">
        <v>105.98526315789475</v>
      </c>
      <c r="BD99" s="203">
        <v>103.84105263157896</v>
      </c>
      <c r="BE99" s="204">
        <v>99.55263157894737</v>
      </c>
    </row>
    <row r="100" spans="1:57" x14ac:dyDescent="0.25">
      <c r="A100" s="330"/>
      <c r="B100" s="193" t="s">
        <v>173</v>
      </c>
      <c r="C100" s="193" t="s">
        <v>19</v>
      </c>
      <c r="D100" s="196">
        <v>0.2</v>
      </c>
      <c r="E100" s="197">
        <v>0.2</v>
      </c>
      <c r="F100" s="197">
        <v>0.2</v>
      </c>
      <c r="G100" s="197">
        <v>0.2</v>
      </c>
      <c r="H100" s="197">
        <v>0.2</v>
      </c>
      <c r="I100" s="197">
        <v>0.2</v>
      </c>
      <c r="J100" s="197">
        <v>0.2</v>
      </c>
      <c r="K100" s="197">
        <v>0.2</v>
      </c>
      <c r="L100" s="198">
        <v>0.2</v>
      </c>
      <c r="M100" s="196">
        <v>0.2</v>
      </c>
      <c r="N100" s="197">
        <v>0.2</v>
      </c>
      <c r="O100" s="197">
        <v>0.2</v>
      </c>
      <c r="P100" s="197">
        <v>0.2</v>
      </c>
      <c r="Q100" s="197">
        <v>0.2</v>
      </c>
      <c r="R100" s="197">
        <v>0.2</v>
      </c>
      <c r="S100" s="197">
        <v>0.2</v>
      </c>
      <c r="T100" s="197">
        <v>0.2</v>
      </c>
      <c r="U100" s="198">
        <v>0.2</v>
      </c>
      <c r="V100" s="196">
        <v>0</v>
      </c>
      <c r="W100" s="197">
        <v>0</v>
      </c>
      <c r="X100" s="197">
        <v>0</v>
      </c>
      <c r="Y100" s="197">
        <v>0</v>
      </c>
      <c r="Z100" s="197">
        <v>0</v>
      </c>
      <c r="AA100" s="197">
        <v>0</v>
      </c>
      <c r="AB100" s="197">
        <v>0</v>
      </c>
      <c r="AC100" s="197">
        <v>0</v>
      </c>
      <c r="AD100" s="198">
        <v>0</v>
      </c>
      <c r="AE100" s="205">
        <v>0</v>
      </c>
      <c r="AF100" s="206">
        <v>0</v>
      </c>
      <c r="AG100" s="206">
        <v>0</v>
      </c>
      <c r="AH100" s="206">
        <v>0</v>
      </c>
      <c r="AI100" s="206">
        <v>0</v>
      </c>
      <c r="AJ100" s="206">
        <v>0</v>
      </c>
      <c r="AK100" s="206">
        <v>0</v>
      </c>
      <c r="AL100" s="206">
        <v>0</v>
      </c>
      <c r="AM100" s="207">
        <v>0</v>
      </c>
      <c r="AN100" s="205">
        <v>0</v>
      </c>
      <c r="AO100" s="206">
        <v>0</v>
      </c>
      <c r="AP100" s="206">
        <v>0</v>
      </c>
      <c r="AQ100" s="206">
        <v>0</v>
      </c>
      <c r="AR100" s="206">
        <v>0</v>
      </c>
      <c r="AS100" s="206">
        <v>0</v>
      </c>
      <c r="AT100" s="206">
        <v>0</v>
      </c>
      <c r="AU100" s="206">
        <v>0</v>
      </c>
      <c r="AV100" s="207">
        <v>0</v>
      </c>
      <c r="AW100" s="205">
        <v>0</v>
      </c>
      <c r="AX100" s="206">
        <v>0</v>
      </c>
      <c r="AY100" s="206">
        <v>0</v>
      </c>
      <c r="AZ100" s="206">
        <v>0</v>
      </c>
      <c r="BA100" s="206">
        <v>0</v>
      </c>
      <c r="BB100" s="206">
        <v>0</v>
      </c>
      <c r="BC100" s="206">
        <v>0</v>
      </c>
      <c r="BD100" s="206">
        <v>0</v>
      </c>
      <c r="BE100" s="207">
        <v>0</v>
      </c>
    </row>
    <row r="101" spans="1:57" x14ac:dyDescent="0.25">
      <c r="A101" s="330"/>
      <c r="B101" s="193" t="s">
        <v>110</v>
      </c>
      <c r="C101" s="193" t="s">
        <v>8</v>
      </c>
      <c r="D101" s="196"/>
      <c r="E101" s="197"/>
      <c r="F101" s="197"/>
      <c r="G101" s="197"/>
      <c r="H101" s="197"/>
      <c r="I101" s="197"/>
      <c r="J101" s="197"/>
      <c r="K101" s="197"/>
      <c r="L101" s="198"/>
      <c r="M101" s="196"/>
      <c r="N101" s="197"/>
      <c r="O101" s="197"/>
      <c r="P101" s="197"/>
      <c r="Q101" s="197"/>
      <c r="R101" s="197"/>
      <c r="S101" s="197"/>
      <c r="T101" s="197"/>
      <c r="U101" s="198"/>
      <c r="V101" s="196"/>
      <c r="W101" s="197"/>
      <c r="X101" s="197"/>
      <c r="Y101" s="197"/>
      <c r="Z101" s="197"/>
      <c r="AA101" s="197"/>
      <c r="AB101" s="197"/>
      <c r="AC101" s="197"/>
      <c r="AD101" s="198"/>
      <c r="AE101" s="199"/>
      <c r="AF101" s="200"/>
      <c r="AG101" s="200"/>
      <c r="AH101" s="200"/>
      <c r="AI101" s="200"/>
      <c r="AJ101" s="200"/>
      <c r="AK101" s="200"/>
      <c r="AL101" s="200"/>
      <c r="AM101" s="201"/>
      <c r="AN101" s="199"/>
      <c r="AO101" s="200"/>
      <c r="AP101" s="200"/>
      <c r="AQ101" s="200"/>
      <c r="AR101" s="200"/>
      <c r="AS101" s="200"/>
      <c r="AT101" s="200"/>
      <c r="AU101" s="200"/>
      <c r="AV101" s="201"/>
      <c r="AW101" s="199"/>
      <c r="AX101" s="200"/>
      <c r="AY101" s="200"/>
      <c r="AZ101" s="200"/>
      <c r="BA101" s="200"/>
      <c r="BB101" s="200"/>
      <c r="BC101" s="200"/>
      <c r="BD101" s="200"/>
      <c r="BE101" s="201"/>
    </row>
    <row r="102" spans="1:57" x14ac:dyDescent="0.25">
      <c r="A102" s="330"/>
      <c r="B102" s="193" t="s">
        <v>111</v>
      </c>
      <c r="C102" s="193" t="s">
        <v>9</v>
      </c>
      <c r="D102" s="196">
        <v>6.5502363642054595</v>
      </c>
      <c r="E102" s="197">
        <v>5.5462196046361836</v>
      </c>
      <c r="F102" s="197">
        <v>4.3189171268439228</v>
      </c>
      <c r="G102" s="197">
        <v>3.4790558346549889</v>
      </c>
      <c r="H102" s="197">
        <v>2.0378947368421052</v>
      </c>
      <c r="I102" s="197">
        <v>2.0189473684210526</v>
      </c>
      <c r="J102" s="197">
        <v>1.9557894736842103</v>
      </c>
      <c r="K102" s="197">
        <v>1.8231578947368419</v>
      </c>
      <c r="L102" s="198">
        <v>1.557894736842105</v>
      </c>
      <c r="M102" s="196">
        <v>6.3870820392166268</v>
      </c>
      <c r="N102" s="197">
        <v>5.4089543268412656</v>
      </c>
      <c r="O102" s="197">
        <v>4.2132984241344671</v>
      </c>
      <c r="P102" s="197">
        <v>3.3950933527432299</v>
      </c>
      <c r="Q102" s="197">
        <v>2.0378947368421052</v>
      </c>
      <c r="R102" s="197">
        <v>2.0189473684210526</v>
      </c>
      <c r="S102" s="197">
        <v>1.9557894736842103</v>
      </c>
      <c r="T102" s="197">
        <v>1.8231578947368419</v>
      </c>
      <c r="U102" s="198">
        <v>1.557894736842105</v>
      </c>
      <c r="V102" s="196">
        <v>6.2310156729020081</v>
      </c>
      <c r="W102" s="197">
        <v>5.2776541092880542</v>
      </c>
      <c r="X102" s="197">
        <v>4.1122721591328899</v>
      </c>
      <c r="Y102" s="197">
        <v>3.3147840025770408</v>
      </c>
      <c r="Z102" s="197">
        <v>2.0378947368421052</v>
      </c>
      <c r="AA102" s="197">
        <v>2.0189473684210526</v>
      </c>
      <c r="AB102" s="197">
        <v>1.9557894736842103</v>
      </c>
      <c r="AC102" s="197">
        <v>1.8231578947368419</v>
      </c>
      <c r="AD102" s="198">
        <v>1.557894736842105</v>
      </c>
      <c r="AE102" s="202">
        <v>6.0796746123701997</v>
      </c>
      <c r="AF102" s="203">
        <v>5.1503305985626469</v>
      </c>
      <c r="AG102" s="203">
        <v>4.0143075192698996</v>
      </c>
      <c r="AH102" s="203">
        <v>3.2369100735745651</v>
      </c>
      <c r="AI102" s="203">
        <v>2.0378947368421052</v>
      </c>
      <c r="AJ102" s="203">
        <v>2.0189473684210526</v>
      </c>
      <c r="AK102" s="203">
        <v>1.9557894736842103</v>
      </c>
      <c r="AL102" s="203">
        <v>1.8231578947368419</v>
      </c>
      <c r="AM102" s="204">
        <v>1.557894736842105</v>
      </c>
      <c r="AN102" s="202">
        <v>5.9283335518383931</v>
      </c>
      <c r="AO102" s="203">
        <v>5.0230070878372421</v>
      </c>
      <c r="AP102" s="203">
        <v>3.9163428794069115</v>
      </c>
      <c r="AQ102" s="203">
        <v>3.1590361445720911</v>
      </c>
      <c r="AR102" s="203">
        <v>2.0378947368421052</v>
      </c>
      <c r="AS102" s="203">
        <v>2.0189473684210526</v>
      </c>
      <c r="AT102" s="203">
        <v>1.9557894736842103</v>
      </c>
      <c r="AU102" s="203">
        <v>1.8231578947368419</v>
      </c>
      <c r="AV102" s="204">
        <v>1.557894736842105</v>
      </c>
      <c r="AW102" s="202">
        <v>5.7769924913065838</v>
      </c>
      <c r="AX102" s="203">
        <v>4.8956835771118348</v>
      </c>
      <c r="AY102" s="203">
        <v>3.8183782395439203</v>
      </c>
      <c r="AZ102" s="203">
        <v>3.0811622155696146</v>
      </c>
      <c r="BA102" s="203">
        <v>2.0378947368421052</v>
      </c>
      <c r="BB102" s="203">
        <v>2.0189473684210526</v>
      </c>
      <c r="BC102" s="203">
        <v>1.9557894736842103</v>
      </c>
      <c r="BD102" s="203">
        <v>1.8231578947368419</v>
      </c>
      <c r="BE102" s="204">
        <v>1.557894736842105</v>
      </c>
    </row>
    <row r="103" spans="1:57" x14ac:dyDescent="0.25">
      <c r="A103" s="330"/>
      <c r="B103" s="193" t="s">
        <v>35</v>
      </c>
      <c r="C103" s="193" t="s">
        <v>10</v>
      </c>
      <c r="D103" s="196">
        <v>0</v>
      </c>
      <c r="E103" s="197">
        <v>0</v>
      </c>
      <c r="F103" s="197">
        <v>0</v>
      </c>
      <c r="G103" s="197">
        <v>0</v>
      </c>
      <c r="H103" s="197">
        <v>0</v>
      </c>
      <c r="I103" s="197">
        <v>0</v>
      </c>
      <c r="J103" s="197">
        <v>1.6357894736842103E-3</v>
      </c>
      <c r="K103" s="197">
        <v>1.5031578947368419E-3</v>
      </c>
      <c r="L103" s="198">
        <v>1.2378947368421051E-3</v>
      </c>
      <c r="M103" s="196">
        <v>0</v>
      </c>
      <c r="N103" s="197">
        <v>0</v>
      </c>
      <c r="O103" s="197">
        <v>0</v>
      </c>
      <c r="P103" s="197">
        <v>0</v>
      </c>
      <c r="Q103" s="197">
        <v>0</v>
      </c>
      <c r="R103" s="197">
        <v>0</v>
      </c>
      <c r="S103" s="197">
        <v>1.6357894736842103E-3</v>
      </c>
      <c r="T103" s="197">
        <v>1.5031578947368419E-3</v>
      </c>
      <c r="U103" s="198">
        <v>1.2378947368421051E-3</v>
      </c>
      <c r="V103" s="196">
        <v>0</v>
      </c>
      <c r="W103" s="197">
        <v>0</v>
      </c>
      <c r="X103" s="197">
        <v>0</v>
      </c>
      <c r="Y103" s="197">
        <v>0</v>
      </c>
      <c r="Z103" s="197">
        <v>0</v>
      </c>
      <c r="AA103" s="197">
        <v>0</v>
      </c>
      <c r="AB103" s="197">
        <v>1.6473473684210525E-3</v>
      </c>
      <c r="AC103" s="197">
        <v>1.5133894736842103E-3</v>
      </c>
      <c r="AD103" s="198">
        <v>1.2454736842105263E-3</v>
      </c>
      <c r="AE103" s="202">
        <v>0</v>
      </c>
      <c r="AF103" s="203">
        <v>0</v>
      </c>
      <c r="AG103" s="203">
        <v>0</v>
      </c>
      <c r="AH103" s="203">
        <v>0</v>
      </c>
      <c r="AI103" s="203">
        <v>0</v>
      </c>
      <c r="AJ103" s="203">
        <v>0</v>
      </c>
      <c r="AK103" s="203">
        <v>1.6666105263157894E-3</v>
      </c>
      <c r="AL103" s="203">
        <v>1.5304421052631579E-3</v>
      </c>
      <c r="AM103" s="204">
        <v>1.2581052631578946E-3</v>
      </c>
      <c r="AN103" s="202">
        <v>0</v>
      </c>
      <c r="AO103" s="203">
        <v>0</v>
      </c>
      <c r="AP103" s="203">
        <v>0</v>
      </c>
      <c r="AQ103" s="203">
        <v>0</v>
      </c>
      <c r="AR103" s="203">
        <v>0</v>
      </c>
      <c r="AS103" s="203">
        <v>0</v>
      </c>
      <c r="AT103" s="203">
        <v>1.6858736842105264E-3</v>
      </c>
      <c r="AU103" s="203">
        <v>1.5474947368421053E-3</v>
      </c>
      <c r="AV103" s="204">
        <v>1.2707368421052633E-3</v>
      </c>
      <c r="AW103" s="202">
        <v>0</v>
      </c>
      <c r="AX103" s="203">
        <v>0</v>
      </c>
      <c r="AY103" s="203">
        <v>0</v>
      </c>
      <c r="AZ103" s="203">
        <v>0</v>
      </c>
      <c r="BA103" s="203">
        <v>0</v>
      </c>
      <c r="BB103" s="203">
        <v>0</v>
      </c>
      <c r="BC103" s="203">
        <v>1.7051368421052632E-3</v>
      </c>
      <c r="BD103" s="203">
        <v>1.5645473684210527E-3</v>
      </c>
      <c r="BE103" s="204">
        <v>1.2833684210526316E-3</v>
      </c>
    </row>
    <row r="104" spans="1:57" x14ac:dyDescent="0.25">
      <c r="A104" s="330"/>
      <c r="B104" s="193" t="s">
        <v>24</v>
      </c>
      <c r="C104" s="193" t="s">
        <v>10</v>
      </c>
      <c r="D104" s="196">
        <v>0</v>
      </c>
      <c r="E104" s="197">
        <v>0</v>
      </c>
      <c r="F104" s="197">
        <v>0</v>
      </c>
      <c r="G104" s="197">
        <v>0</v>
      </c>
      <c r="H104" s="197">
        <v>0</v>
      </c>
      <c r="I104" s="197">
        <v>0</v>
      </c>
      <c r="J104" s="197">
        <v>0</v>
      </c>
      <c r="K104" s="197">
        <v>0</v>
      </c>
      <c r="L104" s="198">
        <v>0</v>
      </c>
      <c r="M104" s="196">
        <v>0</v>
      </c>
      <c r="N104" s="197">
        <v>0</v>
      </c>
      <c r="O104" s="197">
        <v>0</v>
      </c>
      <c r="P104" s="197">
        <v>0</v>
      </c>
      <c r="Q104" s="197">
        <v>0</v>
      </c>
      <c r="R104" s="197">
        <v>0</v>
      </c>
      <c r="S104" s="197">
        <v>0</v>
      </c>
      <c r="T104" s="197">
        <v>0</v>
      </c>
      <c r="U104" s="198">
        <v>0</v>
      </c>
      <c r="V104" s="196">
        <v>0</v>
      </c>
      <c r="W104" s="197">
        <v>0</v>
      </c>
      <c r="X104" s="197">
        <v>0</v>
      </c>
      <c r="Y104" s="197">
        <v>0</v>
      </c>
      <c r="Z104" s="197">
        <v>0</v>
      </c>
      <c r="AA104" s="197">
        <v>0</v>
      </c>
      <c r="AB104" s="197">
        <v>0</v>
      </c>
      <c r="AC104" s="197">
        <v>0</v>
      </c>
      <c r="AD104" s="198">
        <v>0</v>
      </c>
      <c r="AE104" s="205">
        <v>0</v>
      </c>
      <c r="AF104" s="206">
        <v>0</v>
      </c>
      <c r="AG104" s="206">
        <v>0</v>
      </c>
      <c r="AH104" s="206">
        <v>0</v>
      </c>
      <c r="AI104" s="206">
        <v>0</v>
      </c>
      <c r="AJ104" s="206">
        <v>0</v>
      </c>
      <c r="AK104" s="206">
        <v>0</v>
      </c>
      <c r="AL104" s="206">
        <v>0</v>
      </c>
      <c r="AM104" s="207">
        <v>0</v>
      </c>
      <c r="AN104" s="205">
        <v>0</v>
      </c>
      <c r="AO104" s="206">
        <v>0</v>
      </c>
      <c r="AP104" s="206">
        <v>0</v>
      </c>
      <c r="AQ104" s="206">
        <v>0</v>
      </c>
      <c r="AR104" s="206">
        <v>0</v>
      </c>
      <c r="AS104" s="206">
        <v>0</v>
      </c>
      <c r="AT104" s="206">
        <v>0</v>
      </c>
      <c r="AU104" s="206">
        <v>0</v>
      </c>
      <c r="AV104" s="207">
        <v>0</v>
      </c>
      <c r="AW104" s="205">
        <v>0</v>
      </c>
      <c r="AX104" s="206">
        <v>0</v>
      </c>
      <c r="AY104" s="206">
        <v>0</v>
      </c>
      <c r="AZ104" s="206">
        <v>0</v>
      </c>
      <c r="BA104" s="206">
        <v>0</v>
      </c>
      <c r="BB104" s="206">
        <v>0</v>
      </c>
      <c r="BC104" s="206">
        <v>0</v>
      </c>
      <c r="BD104" s="206">
        <v>0</v>
      </c>
      <c r="BE104" s="207">
        <v>0</v>
      </c>
    </row>
    <row r="105" spans="1:57" x14ac:dyDescent="0.25">
      <c r="A105" s="330"/>
      <c r="B105" s="193" t="s">
        <v>25</v>
      </c>
      <c r="C105" s="193" t="s">
        <v>7</v>
      </c>
      <c r="D105" s="196">
        <v>0.94349999999999989</v>
      </c>
      <c r="E105" s="197">
        <v>0.94349999999999989</v>
      </c>
      <c r="F105" s="197">
        <v>0.94349999999999989</v>
      </c>
      <c r="G105" s="197">
        <v>0.94349999999999989</v>
      </c>
      <c r="H105" s="197">
        <v>0.94349999999999989</v>
      </c>
      <c r="I105" s="197">
        <v>0.94349999999999989</v>
      </c>
      <c r="J105" s="197">
        <v>0.99</v>
      </c>
      <c r="K105" s="197">
        <v>0.99</v>
      </c>
      <c r="L105" s="198">
        <v>0.99</v>
      </c>
      <c r="M105" s="196">
        <v>0.96599999999999986</v>
      </c>
      <c r="N105" s="197">
        <v>0.96599999999999986</v>
      </c>
      <c r="O105" s="197">
        <v>0.96599999999999986</v>
      </c>
      <c r="P105" s="197">
        <v>0.96599999999999986</v>
      </c>
      <c r="Q105" s="197">
        <v>0.96599999999999986</v>
      </c>
      <c r="R105" s="197">
        <v>0.96599999999999986</v>
      </c>
      <c r="S105" s="197">
        <v>0.99</v>
      </c>
      <c r="T105" s="197">
        <v>0.99</v>
      </c>
      <c r="U105" s="198">
        <v>0.99</v>
      </c>
      <c r="V105" s="196">
        <v>0.9787499999999999</v>
      </c>
      <c r="W105" s="197">
        <v>0.9787499999999999</v>
      </c>
      <c r="X105" s="197">
        <v>0.9787499999999999</v>
      </c>
      <c r="Y105" s="197">
        <v>0.9787499999999999</v>
      </c>
      <c r="Z105" s="197">
        <v>0.9787499999999999</v>
      </c>
      <c r="AA105" s="197">
        <v>0.9787499999999999</v>
      </c>
      <c r="AB105" s="197">
        <v>0.99150000000000005</v>
      </c>
      <c r="AC105" s="197">
        <v>0.99150000000000005</v>
      </c>
      <c r="AD105" s="198">
        <v>0.99150000000000005</v>
      </c>
      <c r="AE105" s="205">
        <v>0.98499999999999988</v>
      </c>
      <c r="AF105" s="206">
        <v>0.98499999999999988</v>
      </c>
      <c r="AG105" s="206">
        <v>0.98499999999999988</v>
      </c>
      <c r="AH105" s="206">
        <v>0.98499999999999988</v>
      </c>
      <c r="AI105" s="206">
        <v>0.98499999999999988</v>
      </c>
      <c r="AJ105" s="206">
        <v>0.98499999999999988</v>
      </c>
      <c r="AK105" s="206">
        <v>0.99399999999999999</v>
      </c>
      <c r="AL105" s="206">
        <v>0.99399999999999999</v>
      </c>
      <c r="AM105" s="207">
        <v>0.99399999999999999</v>
      </c>
      <c r="AN105" s="205">
        <v>0.99124999999999996</v>
      </c>
      <c r="AO105" s="206">
        <v>0.99124999999999996</v>
      </c>
      <c r="AP105" s="206">
        <v>0.99124999999999996</v>
      </c>
      <c r="AQ105" s="206">
        <v>0.99124999999999996</v>
      </c>
      <c r="AR105" s="206">
        <v>0.99124999999999996</v>
      </c>
      <c r="AS105" s="206">
        <v>0.99124999999999996</v>
      </c>
      <c r="AT105" s="206">
        <v>0.99649999999999994</v>
      </c>
      <c r="AU105" s="206">
        <v>0.99649999999999994</v>
      </c>
      <c r="AV105" s="207">
        <v>0.99649999999999994</v>
      </c>
      <c r="AW105" s="205">
        <v>0.99749999999999994</v>
      </c>
      <c r="AX105" s="206">
        <v>0.99749999999999994</v>
      </c>
      <c r="AY105" s="206">
        <v>0.99749999999999994</v>
      </c>
      <c r="AZ105" s="206">
        <v>0.99749999999999994</v>
      </c>
      <c r="BA105" s="206">
        <v>0.99749999999999994</v>
      </c>
      <c r="BB105" s="206">
        <v>0.99749999999999994</v>
      </c>
      <c r="BC105" s="206">
        <v>0.999</v>
      </c>
      <c r="BD105" s="206">
        <v>0.999</v>
      </c>
      <c r="BE105" s="207">
        <v>0.999</v>
      </c>
    </row>
    <row r="106" spans="1:57" x14ac:dyDescent="0.25">
      <c r="A106" s="330"/>
      <c r="B106" s="193" t="s">
        <v>26</v>
      </c>
      <c r="C106" s="193" t="s">
        <v>14</v>
      </c>
      <c r="D106" s="196">
        <v>1524.6</v>
      </c>
      <c r="E106" s="197">
        <v>1749.6</v>
      </c>
      <c r="F106" s="197">
        <v>2349.6</v>
      </c>
      <c r="G106" s="197">
        <v>3174.6</v>
      </c>
      <c r="H106" s="197">
        <v>4299.6000000000004</v>
      </c>
      <c r="I106" s="197">
        <v>14213</v>
      </c>
      <c r="J106" s="197">
        <v>21713</v>
      </c>
      <c r="K106" s="197">
        <v>37463</v>
      </c>
      <c r="L106" s="198">
        <v>68963</v>
      </c>
      <c r="M106" s="196">
        <v>1524.6</v>
      </c>
      <c r="N106" s="197">
        <v>1749.6</v>
      </c>
      <c r="O106" s="197">
        <v>2349.6</v>
      </c>
      <c r="P106" s="197">
        <v>3174.6</v>
      </c>
      <c r="Q106" s="197">
        <v>4299.6000000000004</v>
      </c>
      <c r="R106" s="197">
        <v>14213</v>
      </c>
      <c r="S106" s="197">
        <v>21713</v>
      </c>
      <c r="T106" s="197">
        <v>37463</v>
      </c>
      <c r="U106" s="198">
        <v>68963</v>
      </c>
      <c r="V106" s="196">
        <v>1524.6</v>
      </c>
      <c r="W106" s="197">
        <v>1749.6</v>
      </c>
      <c r="X106" s="197">
        <v>2349.6</v>
      </c>
      <c r="Y106" s="197">
        <v>3174.6</v>
      </c>
      <c r="Z106" s="197">
        <v>4299.6000000000004</v>
      </c>
      <c r="AA106" s="197">
        <v>14213</v>
      </c>
      <c r="AB106" s="197">
        <v>21713</v>
      </c>
      <c r="AC106" s="197">
        <v>37463</v>
      </c>
      <c r="AD106" s="198">
        <v>68963</v>
      </c>
      <c r="AE106" s="202">
        <v>1524.6</v>
      </c>
      <c r="AF106" s="203">
        <v>1749.6</v>
      </c>
      <c r="AG106" s="203">
        <v>2349.6</v>
      </c>
      <c r="AH106" s="203">
        <v>3174.6</v>
      </c>
      <c r="AI106" s="203">
        <v>4299.6000000000004</v>
      </c>
      <c r="AJ106" s="203">
        <v>14213</v>
      </c>
      <c r="AK106" s="203">
        <v>21713</v>
      </c>
      <c r="AL106" s="203">
        <v>37463</v>
      </c>
      <c r="AM106" s="204">
        <v>68963</v>
      </c>
      <c r="AN106" s="202">
        <v>1524.6</v>
      </c>
      <c r="AO106" s="203">
        <v>1749.6</v>
      </c>
      <c r="AP106" s="203">
        <v>2349.6</v>
      </c>
      <c r="AQ106" s="203">
        <v>3174.6</v>
      </c>
      <c r="AR106" s="203">
        <v>4299.6000000000004</v>
      </c>
      <c r="AS106" s="203">
        <v>14213</v>
      </c>
      <c r="AT106" s="203">
        <v>21713</v>
      </c>
      <c r="AU106" s="203">
        <v>37463</v>
      </c>
      <c r="AV106" s="204">
        <v>68963</v>
      </c>
      <c r="AW106" s="202">
        <v>1524.6</v>
      </c>
      <c r="AX106" s="203">
        <v>1749.6</v>
      </c>
      <c r="AY106" s="203">
        <v>2349.6</v>
      </c>
      <c r="AZ106" s="203">
        <v>3174.6</v>
      </c>
      <c r="BA106" s="203">
        <v>4299.6000000000004</v>
      </c>
      <c r="BB106" s="203">
        <v>14213</v>
      </c>
      <c r="BC106" s="203">
        <v>21713</v>
      </c>
      <c r="BD106" s="203">
        <v>37463</v>
      </c>
      <c r="BE106" s="204">
        <v>68963</v>
      </c>
    </row>
    <row r="107" spans="1:57" x14ac:dyDescent="0.25">
      <c r="A107" s="330"/>
      <c r="B107" s="193" t="s">
        <v>27</v>
      </c>
      <c r="C107" s="193" t="s">
        <v>4</v>
      </c>
      <c r="D107" s="196">
        <v>40</v>
      </c>
      <c r="E107" s="197">
        <v>40</v>
      </c>
      <c r="F107" s="197">
        <v>40</v>
      </c>
      <c r="G107" s="197">
        <v>40</v>
      </c>
      <c r="H107" s="197">
        <v>40</v>
      </c>
      <c r="I107" s="197">
        <v>40</v>
      </c>
      <c r="J107" s="197">
        <v>40</v>
      </c>
      <c r="K107" s="197">
        <v>40</v>
      </c>
      <c r="L107" s="198">
        <v>40</v>
      </c>
      <c r="M107" s="196">
        <v>40</v>
      </c>
      <c r="N107" s="197">
        <v>40</v>
      </c>
      <c r="O107" s="197">
        <v>40</v>
      </c>
      <c r="P107" s="197">
        <v>40</v>
      </c>
      <c r="Q107" s="197">
        <v>40</v>
      </c>
      <c r="R107" s="197">
        <v>40</v>
      </c>
      <c r="S107" s="197">
        <v>40</v>
      </c>
      <c r="T107" s="197">
        <v>40</v>
      </c>
      <c r="U107" s="198">
        <v>40</v>
      </c>
      <c r="V107" s="196">
        <v>40</v>
      </c>
      <c r="W107" s="197">
        <v>40</v>
      </c>
      <c r="X107" s="197">
        <v>40</v>
      </c>
      <c r="Y107" s="197">
        <v>40</v>
      </c>
      <c r="Z107" s="197">
        <v>40</v>
      </c>
      <c r="AA107" s="197">
        <v>40</v>
      </c>
      <c r="AB107" s="197">
        <v>40</v>
      </c>
      <c r="AC107" s="197">
        <v>40</v>
      </c>
      <c r="AD107" s="198">
        <v>40</v>
      </c>
      <c r="AE107" s="199">
        <v>40</v>
      </c>
      <c r="AF107" s="200">
        <v>40</v>
      </c>
      <c r="AG107" s="200">
        <v>40</v>
      </c>
      <c r="AH107" s="200">
        <v>40</v>
      </c>
      <c r="AI107" s="200">
        <v>40</v>
      </c>
      <c r="AJ107" s="200">
        <v>40</v>
      </c>
      <c r="AK107" s="200">
        <v>40</v>
      </c>
      <c r="AL107" s="200">
        <v>40</v>
      </c>
      <c r="AM107" s="201">
        <v>40</v>
      </c>
      <c r="AN107" s="199">
        <v>40</v>
      </c>
      <c r="AO107" s="200">
        <v>40</v>
      </c>
      <c r="AP107" s="200">
        <v>40</v>
      </c>
      <c r="AQ107" s="200">
        <v>40</v>
      </c>
      <c r="AR107" s="200">
        <v>40</v>
      </c>
      <c r="AS107" s="200">
        <v>40</v>
      </c>
      <c r="AT107" s="200">
        <v>40</v>
      </c>
      <c r="AU107" s="200">
        <v>40</v>
      </c>
      <c r="AV107" s="201">
        <v>40</v>
      </c>
      <c r="AW107" s="199">
        <v>40</v>
      </c>
      <c r="AX107" s="200">
        <v>40</v>
      </c>
      <c r="AY107" s="200">
        <v>40</v>
      </c>
      <c r="AZ107" s="200">
        <v>40</v>
      </c>
      <c r="BA107" s="200">
        <v>40</v>
      </c>
      <c r="BB107" s="200">
        <v>40</v>
      </c>
      <c r="BC107" s="200">
        <v>40</v>
      </c>
      <c r="BD107" s="200">
        <v>40</v>
      </c>
      <c r="BE107" s="201">
        <v>40</v>
      </c>
    </row>
    <row r="108" spans="1:57" x14ac:dyDescent="0.25">
      <c r="A108" s="330"/>
      <c r="B108" s="193" t="s">
        <v>112</v>
      </c>
      <c r="C108" s="193" t="s">
        <v>19</v>
      </c>
      <c r="D108" s="196">
        <v>0.5</v>
      </c>
      <c r="E108" s="197">
        <v>0.5</v>
      </c>
      <c r="F108" s="197">
        <v>0.5</v>
      </c>
      <c r="G108" s="197">
        <v>0.5</v>
      </c>
      <c r="H108" s="197">
        <v>0.5</v>
      </c>
      <c r="I108" s="197">
        <v>0.5</v>
      </c>
      <c r="J108" s="197">
        <v>0.5</v>
      </c>
      <c r="K108" s="197">
        <v>0.5</v>
      </c>
      <c r="L108" s="198">
        <v>0.5</v>
      </c>
      <c r="M108" s="196">
        <v>0.5</v>
      </c>
      <c r="N108" s="197">
        <v>0.5</v>
      </c>
      <c r="O108" s="197">
        <v>0.5</v>
      </c>
      <c r="P108" s="197">
        <v>0.5</v>
      </c>
      <c r="Q108" s="197">
        <v>0.5</v>
      </c>
      <c r="R108" s="197">
        <v>0.5</v>
      </c>
      <c r="S108" s="197">
        <v>0.5</v>
      </c>
      <c r="T108" s="197">
        <v>0.5</v>
      </c>
      <c r="U108" s="198">
        <v>0.5</v>
      </c>
      <c r="V108" s="196">
        <v>0.5</v>
      </c>
      <c r="W108" s="197">
        <v>0.5</v>
      </c>
      <c r="X108" s="197">
        <v>0.5</v>
      </c>
      <c r="Y108" s="197">
        <v>0.5</v>
      </c>
      <c r="Z108" s="197">
        <v>0.5</v>
      </c>
      <c r="AA108" s="197">
        <v>0.5</v>
      </c>
      <c r="AB108" s="197">
        <v>0.5</v>
      </c>
      <c r="AC108" s="197">
        <v>0.5</v>
      </c>
      <c r="AD108" s="198">
        <v>0.5</v>
      </c>
      <c r="AE108" s="199">
        <v>0.5</v>
      </c>
      <c r="AF108" s="200">
        <v>0.5</v>
      </c>
      <c r="AG108" s="200">
        <v>0.5</v>
      </c>
      <c r="AH108" s="200">
        <v>0.5</v>
      </c>
      <c r="AI108" s="200">
        <v>0.5</v>
      </c>
      <c r="AJ108" s="200">
        <v>0.5</v>
      </c>
      <c r="AK108" s="200">
        <v>0.5</v>
      </c>
      <c r="AL108" s="200">
        <v>0.5</v>
      </c>
      <c r="AM108" s="201">
        <v>0.5</v>
      </c>
      <c r="AN108" s="199">
        <v>0.5</v>
      </c>
      <c r="AO108" s="200">
        <v>0.5</v>
      </c>
      <c r="AP108" s="200">
        <v>0.5</v>
      </c>
      <c r="AQ108" s="200">
        <v>0.5</v>
      </c>
      <c r="AR108" s="200">
        <v>0.5</v>
      </c>
      <c r="AS108" s="200">
        <v>0.5</v>
      </c>
      <c r="AT108" s="200">
        <v>0.5</v>
      </c>
      <c r="AU108" s="200">
        <v>0.5</v>
      </c>
      <c r="AV108" s="201">
        <v>0.5</v>
      </c>
      <c r="AW108" s="199">
        <v>0.5</v>
      </c>
      <c r="AX108" s="200">
        <v>0.5</v>
      </c>
      <c r="AY108" s="200">
        <v>0.5</v>
      </c>
      <c r="AZ108" s="200">
        <v>0.5</v>
      </c>
      <c r="BA108" s="200">
        <v>0.5</v>
      </c>
      <c r="BB108" s="200">
        <v>0.5</v>
      </c>
      <c r="BC108" s="200">
        <v>0.5</v>
      </c>
      <c r="BD108" s="200">
        <v>0.5</v>
      </c>
      <c r="BE108" s="201">
        <v>0.5</v>
      </c>
    </row>
    <row r="109" spans="1:57" x14ac:dyDescent="0.25">
      <c r="A109" s="330"/>
      <c r="B109" s="193" t="s">
        <v>28</v>
      </c>
      <c r="C109" s="193" t="s">
        <v>19</v>
      </c>
      <c r="D109" s="196">
        <v>1.3</v>
      </c>
      <c r="E109" s="197">
        <v>1.3</v>
      </c>
      <c r="F109" s="197">
        <v>1.3</v>
      </c>
      <c r="G109" s="197">
        <v>1.3</v>
      </c>
      <c r="H109" s="197">
        <v>1.3</v>
      </c>
      <c r="I109" s="197">
        <v>1.3</v>
      </c>
      <c r="J109" s="197">
        <v>1.3</v>
      </c>
      <c r="K109" s="197">
        <v>1.3</v>
      </c>
      <c r="L109" s="198">
        <v>1.3</v>
      </c>
      <c r="M109" s="196">
        <v>1.3</v>
      </c>
      <c r="N109" s="197">
        <v>1.3</v>
      </c>
      <c r="O109" s="197">
        <v>1.3</v>
      </c>
      <c r="P109" s="197">
        <v>1.3</v>
      </c>
      <c r="Q109" s="197">
        <v>1.3</v>
      </c>
      <c r="R109" s="197">
        <v>1.3</v>
      </c>
      <c r="S109" s="197">
        <v>1.3</v>
      </c>
      <c r="T109" s="197">
        <v>1.3</v>
      </c>
      <c r="U109" s="198">
        <v>1.3</v>
      </c>
      <c r="V109" s="196">
        <v>1.3</v>
      </c>
      <c r="W109" s="197">
        <v>1.3</v>
      </c>
      <c r="X109" s="197">
        <v>1.3</v>
      </c>
      <c r="Y109" s="197">
        <v>1.3</v>
      </c>
      <c r="Z109" s="197">
        <v>1.3</v>
      </c>
      <c r="AA109" s="197">
        <v>1.3</v>
      </c>
      <c r="AB109" s="197">
        <v>1.3</v>
      </c>
      <c r="AC109" s="197">
        <v>1.3</v>
      </c>
      <c r="AD109" s="198">
        <v>1.3</v>
      </c>
      <c r="AE109" s="199">
        <v>1.3</v>
      </c>
      <c r="AF109" s="200">
        <v>1.3</v>
      </c>
      <c r="AG109" s="200">
        <v>1.3</v>
      </c>
      <c r="AH109" s="200">
        <v>1.3</v>
      </c>
      <c r="AI109" s="200">
        <v>1.3</v>
      </c>
      <c r="AJ109" s="200">
        <v>1.3</v>
      </c>
      <c r="AK109" s="200">
        <v>1.3</v>
      </c>
      <c r="AL109" s="200">
        <v>1.3</v>
      </c>
      <c r="AM109" s="201">
        <v>1.3</v>
      </c>
      <c r="AN109" s="199">
        <v>1.3</v>
      </c>
      <c r="AO109" s="200">
        <v>1.3</v>
      </c>
      <c r="AP109" s="200">
        <v>1.3</v>
      </c>
      <c r="AQ109" s="200">
        <v>1.3</v>
      </c>
      <c r="AR109" s="200">
        <v>1.3</v>
      </c>
      <c r="AS109" s="200">
        <v>1.3</v>
      </c>
      <c r="AT109" s="200">
        <v>1.3</v>
      </c>
      <c r="AU109" s="200">
        <v>1.3</v>
      </c>
      <c r="AV109" s="201">
        <v>1.3</v>
      </c>
      <c r="AW109" s="199">
        <v>1.3</v>
      </c>
      <c r="AX109" s="200">
        <v>1.3</v>
      </c>
      <c r="AY109" s="200">
        <v>1.3</v>
      </c>
      <c r="AZ109" s="200">
        <v>1.3</v>
      </c>
      <c r="BA109" s="200">
        <v>1.3</v>
      </c>
      <c r="BB109" s="200">
        <v>1.3</v>
      </c>
      <c r="BC109" s="200">
        <v>1.3</v>
      </c>
      <c r="BD109" s="200">
        <v>1.3</v>
      </c>
      <c r="BE109" s="201">
        <v>1.3</v>
      </c>
    </row>
    <row r="110" spans="1:57" x14ac:dyDescent="0.25">
      <c r="A110" s="330"/>
      <c r="B110" s="193" t="s">
        <v>29</v>
      </c>
      <c r="C110" s="193" t="s">
        <v>4</v>
      </c>
      <c r="D110" s="196">
        <v>20</v>
      </c>
      <c r="E110" s="197">
        <v>20</v>
      </c>
      <c r="F110" s="197">
        <v>20</v>
      </c>
      <c r="G110" s="197">
        <v>20</v>
      </c>
      <c r="H110" s="197">
        <v>20</v>
      </c>
      <c r="I110" s="197">
        <v>20</v>
      </c>
      <c r="J110" s="197">
        <v>20</v>
      </c>
      <c r="K110" s="197">
        <v>20</v>
      </c>
      <c r="L110" s="198">
        <v>20</v>
      </c>
      <c r="M110" s="196">
        <v>20</v>
      </c>
      <c r="N110" s="197">
        <v>20</v>
      </c>
      <c r="O110" s="197">
        <v>20</v>
      </c>
      <c r="P110" s="197">
        <v>20</v>
      </c>
      <c r="Q110" s="197">
        <v>20</v>
      </c>
      <c r="R110" s="197">
        <v>20</v>
      </c>
      <c r="S110" s="197">
        <v>20</v>
      </c>
      <c r="T110" s="197">
        <v>20</v>
      </c>
      <c r="U110" s="198">
        <v>20</v>
      </c>
      <c r="V110" s="196">
        <v>20</v>
      </c>
      <c r="W110" s="197">
        <v>20</v>
      </c>
      <c r="X110" s="197">
        <v>20</v>
      </c>
      <c r="Y110" s="197">
        <v>20</v>
      </c>
      <c r="Z110" s="197">
        <v>20</v>
      </c>
      <c r="AA110" s="197">
        <v>20</v>
      </c>
      <c r="AB110" s="197">
        <v>20</v>
      </c>
      <c r="AC110" s="197">
        <v>20</v>
      </c>
      <c r="AD110" s="198">
        <v>20</v>
      </c>
      <c r="AE110" s="199">
        <v>20</v>
      </c>
      <c r="AF110" s="200">
        <v>20</v>
      </c>
      <c r="AG110" s="200">
        <v>20</v>
      </c>
      <c r="AH110" s="200">
        <v>20</v>
      </c>
      <c r="AI110" s="200">
        <v>20</v>
      </c>
      <c r="AJ110" s="200">
        <v>20</v>
      </c>
      <c r="AK110" s="200">
        <v>20</v>
      </c>
      <c r="AL110" s="200">
        <v>20</v>
      </c>
      <c r="AM110" s="201">
        <v>20</v>
      </c>
      <c r="AN110" s="199">
        <v>20</v>
      </c>
      <c r="AO110" s="200">
        <v>20</v>
      </c>
      <c r="AP110" s="200">
        <v>20</v>
      </c>
      <c r="AQ110" s="200">
        <v>20</v>
      </c>
      <c r="AR110" s="200">
        <v>20</v>
      </c>
      <c r="AS110" s="200">
        <v>20</v>
      </c>
      <c r="AT110" s="200">
        <v>20</v>
      </c>
      <c r="AU110" s="200">
        <v>20</v>
      </c>
      <c r="AV110" s="201">
        <v>20</v>
      </c>
      <c r="AW110" s="199">
        <v>20</v>
      </c>
      <c r="AX110" s="200">
        <v>20</v>
      </c>
      <c r="AY110" s="200">
        <v>20</v>
      </c>
      <c r="AZ110" s="200">
        <v>20</v>
      </c>
      <c r="BA110" s="200">
        <v>20</v>
      </c>
      <c r="BB110" s="200">
        <v>20</v>
      </c>
      <c r="BC110" s="200">
        <v>20</v>
      </c>
      <c r="BD110" s="200">
        <v>20</v>
      </c>
      <c r="BE110" s="201">
        <v>20</v>
      </c>
    </row>
    <row r="111" spans="1:57" x14ac:dyDescent="0.25">
      <c r="A111" s="330"/>
      <c r="B111" s="193" t="s">
        <v>30</v>
      </c>
      <c r="C111" s="193" t="s">
        <v>6</v>
      </c>
      <c r="D111" s="196">
        <v>1315.6411009940743</v>
      </c>
      <c r="E111" s="197">
        <v>939.47924488610727</v>
      </c>
      <c r="F111" s="197">
        <v>622.46079352449192</v>
      </c>
      <c r="G111" s="197">
        <v>523.42631254470632</v>
      </c>
      <c r="H111" s="197">
        <v>523.42631254470632</v>
      </c>
      <c r="I111" s="197">
        <v>523.42631254470632</v>
      </c>
      <c r="J111" s="197">
        <v>1281.3816732362875</v>
      </c>
      <c r="K111" s="197">
        <v>1114.6142868924398</v>
      </c>
      <c r="L111" s="198">
        <v>979.67598602574503</v>
      </c>
      <c r="M111" s="196">
        <v>1212.3185014395658</v>
      </c>
      <c r="N111" s="197">
        <v>865.6981523557846</v>
      </c>
      <c r="O111" s="197">
        <v>573.57643801209713</v>
      </c>
      <c r="P111" s="197">
        <v>482.31953407260886</v>
      </c>
      <c r="Q111" s="197">
        <v>482.31953407260886</v>
      </c>
      <c r="R111" s="197">
        <v>482.31953407260886</v>
      </c>
      <c r="S111" s="197">
        <v>1281.3816732362875</v>
      </c>
      <c r="T111" s="197">
        <v>1114.6142868924398</v>
      </c>
      <c r="U111" s="198">
        <v>979.67598602574503</v>
      </c>
      <c r="V111" s="196">
        <v>1152.3913936979507</v>
      </c>
      <c r="W111" s="197">
        <v>822.90511868819738</v>
      </c>
      <c r="X111" s="197">
        <v>545.22351181490808</v>
      </c>
      <c r="Y111" s="197">
        <v>458.47760255879234</v>
      </c>
      <c r="Z111" s="197">
        <v>458.47760255879234</v>
      </c>
      <c r="AA111" s="197">
        <v>458.47760255879234</v>
      </c>
      <c r="AB111" s="197">
        <v>1278.4539485788428</v>
      </c>
      <c r="AC111" s="197">
        <v>1112.1038090399368</v>
      </c>
      <c r="AD111" s="198">
        <v>977.49889242726499</v>
      </c>
      <c r="AE111" s="202">
        <v>1121.3946138315985</v>
      </c>
      <c r="AF111" s="203">
        <v>800.77079092910083</v>
      </c>
      <c r="AG111" s="203">
        <v>530.55820516118979</v>
      </c>
      <c r="AH111" s="203">
        <v>446.14556901716315</v>
      </c>
      <c r="AI111" s="203">
        <v>446.14556901716315</v>
      </c>
      <c r="AJ111" s="203">
        <v>446.14556901716315</v>
      </c>
      <c r="AK111" s="203">
        <v>1273.5710477601447</v>
      </c>
      <c r="AL111" s="203">
        <v>1107.916390593947</v>
      </c>
      <c r="AM111" s="204">
        <v>973.86721871709995</v>
      </c>
      <c r="AN111" s="202">
        <v>1090.397833965246</v>
      </c>
      <c r="AO111" s="203">
        <v>778.63646317000416</v>
      </c>
      <c r="AP111" s="203">
        <v>515.89289850747139</v>
      </c>
      <c r="AQ111" s="203">
        <v>433.81353547553391</v>
      </c>
      <c r="AR111" s="203">
        <v>433.81353547553391</v>
      </c>
      <c r="AS111" s="203">
        <v>433.81353547553391</v>
      </c>
      <c r="AT111" s="203">
        <v>1268.6839450200719</v>
      </c>
      <c r="AU111" s="203">
        <v>1103.7248587624642</v>
      </c>
      <c r="AV111" s="204">
        <v>970.23156182094863</v>
      </c>
      <c r="AW111" s="202">
        <v>1059.4010540988941</v>
      </c>
      <c r="AX111" s="203">
        <v>756.50213541090761</v>
      </c>
      <c r="AY111" s="203">
        <v>501.22759185375315</v>
      </c>
      <c r="AZ111" s="203">
        <v>421.48150193390472</v>
      </c>
      <c r="BA111" s="203">
        <v>421.48150193390472</v>
      </c>
      <c r="BB111" s="203">
        <v>421.48150193390472</v>
      </c>
      <c r="BC111" s="203">
        <v>1263.7926377407807</v>
      </c>
      <c r="BD111" s="203">
        <v>1099.5292106353315</v>
      </c>
      <c r="BE111" s="204">
        <v>966.59191860788746</v>
      </c>
    </row>
    <row r="112" spans="1:57" x14ac:dyDescent="0.25">
      <c r="A112" s="330"/>
      <c r="B112" s="193" t="s">
        <v>174</v>
      </c>
      <c r="C112" s="193" t="s">
        <v>19</v>
      </c>
      <c r="D112" s="196">
        <v>0.35</v>
      </c>
      <c r="E112" s="197">
        <v>0.35</v>
      </c>
      <c r="F112" s="197">
        <v>0.35</v>
      </c>
      <c r="G112" s="197">
        <v>0.35</v>
      </c>
      <c r="H112" s="197">
        <v>0.35</v>
      </c>
      <c r="I112" s="197">
        <v>0.35</v>
      </c>
      <c r="J112" s="197">
        <v>0.35</v>
      </c>
      <c r="K112" s="197">
        <v>0.35</v>
      </c>
      <c r="L112" s="198">
        <v>0.35</v>
      </c>
      <c r="M112" s="196">
        <v>0.35</v>
      </c>
      <c r="N112" s="197">
        <v>0.35</v>
      </c>
      <c r="O112" s="197">
        <v>0.35</v>
      </c>
      <c r="P112" s="197">
        <v>0.35</v>
      </c>
      <c r="Q112" s="197">
        <v>0.35</v>
      </c>
      <c r="R112" s="197">
        <v>0.35</v>
      </c>
      <c r="S112" s="197">
        <v>0.35</v>
      </c>
      <c r="T112" s="197">
        <v>0.35</v>
      </c>
      <c r="U112" s="198">
        <v>0.35</v>
      </c>
      <c r="V112" s="196">
        <v>0</v>
      </c>
      <c r="W112" s="197">
        <v>0</v>
      </c>
      <c r="X112" s="197">
        <v>0</v>
      </c>
      <c r="Y112" s="197">
        <v>0</v>
      </c>
      <c r="Z112" s="197">
        <v>0</v>
      </c>
      <c r="AA112" s="197">
        <v>0</v>
      </c>
      <c r="AB112" s="197">
        <v>0</v>
      </c>
      <c r="AC112" s="197">
        <v>0</v>
      </c>
      <c r="AD112" s="198">
        <v>0</v>
      </c>
      <c r="AE112" s="205">
        <v>0</v>
      </c>
      <c r="AF112" s="206">
        <v>0</v>
      </c>
      <c r="AG112" s="206">
        <v>0</v>
      </c>
      <c r="AH112" s="206">
        <v>0</v>
      </c>
      <c r="AI112" s="206">
        <v>0</v>
      </c>
      <c r="AJ112" s="206">
        <v>0</v>
      </c>
      <c r="AK112" s="206">
        <v>0</v>
      </c>
      <c r="AL112" s="206">
        <v>0</v>
      </c>
      <c r="AM112" s="207">
        <v>0</v>
      </c>
      <c r="AN112" s="205">
        <v>0</v>
      </c>
      <c r="AO112" s="206">
        <v>0</v>
      </c>
      <c r="AP112" s="206">
        <v>0</v>
      </c>
      <c r="AQ112" s="206">
        <v>0</v>
      </c>
      <c r="AR112" s="206">
        <v>0</v>
      </c>
      <c r="AS112" s="206">
        <v>0</v>
      </c>
      <c r="AT112" s="206">
        <v>0</v>
      </c>
      <c r="AU112" s="206">
        <v>0</v>
      </c>
      <c r="AV112" s="207">
        <v>0</v>
      </c>
      <c r="AW112" s="205">
        <v>0</v>
      </c>
      <c r="AX112" s="206">
        <v>0</v>
      </c>
      <c r="AY112" s="206">
        <v>0</v>
      </c>
      <c r="AZ112" s="206">
        <v>0</v>
      </c>
      <c r="BA112" s="206">
        <v>0</v>
      </c>
      <c r="BB112" s="206">
        <v>0</v>
      </c>
      <c r="BC112" s="206">
        <v>0</v>
      </c>
      <c r="BD112" s="206">
        <v>0</v>
      </c>
      <c r="BE112" s="207">
        <v>0</v>
      </c>
    </row>
    <row r="113" spans="1:58" x14ac:dyDescent="0.25">
      <c r="A113" s="330"/>
      <c r="B113" s="193" t="s">
        <v>113</v>
      </c>
      <c r="C113" s="193" t="s">
        <v>8</v>
      </c>
      <c r="D113" s="196"/>
      <c r="E113" s="197"/>
      <c r="F113" s="197"/>
      <c r="G113" s="197"/>
      <c r="H113" s="197"/>
      <c r="I113" s="197"/>
      <c r="J113" s="197"/>
      <c r="K113" s="197"/>
      <c r="L113" s="198"/>
      <c r="M113" s="196"/>
      <c r="N113" s="197"/>
      <c r="O113" s="197"/>
      <c r="P113" s="197"/>
      <c r="Q113" s="197"/>
      <c r="R113" s="197"/>
      <c r="S113" s="197"/>
      <c r="T113" s="197"/>
      <c r="U113" s="198"/>
      <c r="V113" s="196"/>
      <c r="W113" s="197"/>
      <c r="X113" s="197"/>
      <c r="Y113" s="197"/>
      <c r="Z113" s="197"/>
      <c r="AA113" s="197"/>
      <c r="AB113" s="197"/>
      <c r="AC113" s="197"/>
      <c r="AD113" s="198"/>
      <c r="AE113" s="199"/>
      <c r="AF113" s="200"/>
      <c r="AG113" s="200"/>
      <c r="AH113" s="200"/>
      <c r="AI113" s="200"/>
      <c r="AJ113" s="200"/>
      <c r="AK113" s="200"/>
      <c r="AL113" s="200"/>
      <c r="AM113" s="201"/>
      <c r="AN113" s="199"/>
      <c r="AO113" s="200"/>
      <c r="AP113" s="200"/>
      <c r="AQ113" s="200"/>
      <c r="AR113" s="200"/>
      <c r="AS113" s="200"/>
      <c r="AT113" s="200"/>
      <c r="AU113" s="200"/>
      <c r="AV113" s="201"/>
      <c r="AW113" s="199"/>
      <c r="AX113" s="200"/>
      <c r="AY113" s="200"/>
      <c r="AZ113" s="200"/>
      <c r="BA113" s="200"/>
      <c r="BB113" s="200"/>
      <c r="BC113" s="200"/>
      <c r="BD113" s="200"/>
      <c r="BE113" s="201"/>
    </row>
    <row r="114" spans="1:58" x14ac:dyDescent="0.25">
      <c r="A114" s="330"/>
      <c r="B114" s="193" t="s">
        <v>114</v>
      </c>
      <c r="C114" s="193" t="s">
        <v>9</v>
      </c>
      <c r="D114" s="196"/>
      <c r="E114" s="197"/>
      <c r="F114" s="197"/>
      <c r="G114" s="197"/>
      <c r="H114" s="197"/>
      <c r="I114" s="197"/>
      <c r="J114" s="197"/>
      <c r="K114" s="197"/>
      <c r="L114" s="198"/>
      <c r="M114" s="196"/>
      <c r="N114" s="197"/>
      <c r="O114" s="197"/>
      <c r="P114" s="197"/>
      <c r="Q114" s="197"/>
      <c r="R114" s="197"/>
      <c r="S114" s="197"/>
      <c r="T114" s="197"/>
      <c r="U114" s="198"/>
      <c r="V114" s="196"/>
      <c r="W114" s="197"/>
      <c r="X114" s="197"/>
      <c r="Y114" s="197"/>
      <c r="Z114" s="197"/>
      <c r="AA114" s="197"/>
      <c r="AB114" s="197"/>
      <c r="AC114" s="197"/>
      <c r="AD114" s="198"/>
      <c r="AE114" s="199"/>
      <c r="AF114" s="200"/>
      <c r="AG114" s="200"/>
      <c r="AH114" s="200"/>
      <c r="AI114" s="200"/>
      <c r="AJ114" s="200"/>
      <c r="AK114" s="200"/>
      <c r="AL114" s="200"/>
      <c r="AM114" s="201"/>
      <c r="AN114" s="199"/>
      <c r="AO114" s="200"/>
      <c r="AP114" s="200"/>
      <c r="AQ114" s="200"/>
      <c r="AR114" s="200"/>
      <c r="AS114" s="200"/>
      <c r="AT114" s="200"/>
      <c r="AU114" s="200"/>
      <c r="AV114" s="201"/>
      <c r="AW114" s="199"/>
      <c r="AX114" s="200"/>
      <c r="AY114" s="200"/>
      <c r="AZ114" s="200"/>
      <c r="BA114" s="200"/>
      <c r="BB114" s="200"/>
      <c r="BC114" s="200"/>
      <c r="BD114" s="200"/>
      <c r="BE114" s="201"/>
    </row>
    <row r="115" spans="1:58" x14ac:dyDescent="0.25">
      <c r="A115" s="330"/>
      <c r="B115" s="193" t="s">
        <v>115</v>
      </c>
      <c r="C115" s="193" t="s">
        <v>10</v>
      </c>
      <c r="D115" s="196">
        <v>0</v>
      </c>
      <c r="E115" s="197">
        <v>0</v>
      </c>
      <c r="F115" s="197">
        <v>0</v>
      </c>
      <c r="G115" s="197">
        <v>0</v>
      </c>
      <c r="H115" s="197">
        <v>0</v>
      </c>
      <c r="I115" s="197">
        <v>0</v>
      </c>
      <c r="J115" s="197">
        <v>0</v>
      </c>
      <c r="K115" s="197">
        <v>2.1700000000000001E-3</v>
      </c>
      <c r="L115" s="198">
        <v>2.1700000000000001E-3</v>
      </c>
      <c r="M115" s="196">
        <v>0</v>
      </c>
      <c r="N115" s="197">
        <v>0</v>
      </c>
      <c r="O115" s="197">
        <v>0</v>
      </c>
      <c r="P115" s="197">
        <v>0</v>
      </c>
      <c r="Q115" s="197">
        <v>0</v>
      </c>
      <c r="R115" s="197">
        <v>0</v>
      </c>
      <c r="S115" s="197">
        <v>0</v>
      </c>
      <c r="T115" s="197">
        <v>2.1199999999999999E-3</v>
      </c>
      <c r="U115" s="198">
        <v>2.1199999999999999E-3</v>
      </c>
      <c r="V115" s="196">
        <v>0</v>
      </c>
      <c r="W115" s="197">
        <v>0</v>
      </c>
      <c r="X115" s="197">
        <v>0</v>
      </c>
      <c r="Y115" s="197">
        <v>0</v>
      </c>
      <c r="Z115" s="197">
        <v>0</v>
      </c>
      <c r="AA115" s="197">
        <v>0</v>
      </c>
      <c r="AB115" s="197">
        <v>0</v>
      </c>
      <c r="AC115" s="197">
        <v>2.085E-3</v>
      </c>
      <c r="AD115" s="198">
        <v>2.085E-3</v>
      </c>
      <c r="AE115" s="202">
        <v>0</v>
      </c>
      <c r="AF115" s="203">
        <v>0</v>
      </c>
      <c r="AG115" s="203">
        <v>0</v>
      </c>
      <c r="AH115" s="203">
        <v>0</v>
      </c>
      <c r="AI115" s="203">
        <v>0</v>
      </c>
      <c r="AJ115" s="203">
        <v>0</v>
      </c>
      <c r="AK115" s="203">
        <v>0</v>
      </c>
      <c r="AL115" s="203">
        <v>2.0599999999999998E-3</v>
      </c>
      <c r="AM115" s="204">
        <v>2.0599999999999998E-3</v>
      </c>
      <c r="AN115" s="202">
        <v>0</v>
      </c>
      <c r="AO115" s="203">
        <v>0</v>
      </c>
      <c r="AP115" s="203">
        <v>0</v>
      </c>
      <c r="AQ115" s="203">
        <v>0</v>
      </c>
      <c r="AR115" s="203">
        <v>0</v>
      </c>
      <c r="AS115" s="203">
        <v>0</v>
      </c>
      <c r="AT115" s="203">
        <v>0</v>
      </c>
      <c r="AU115" s="203">
        <v>2.0349999999999999E-3</v>
      </c>
      <c r="AV115" s="204">
        <v>2.0349999999999999E-3</v>
      </c>
      <c r="AW115" s="202">
        <v>0</v>
      </c>
      <c r="AX115" s="203">
        <v>0</v>
      </c>
      <c r="AY115" s="203">
        <v>0</v>
      </c>
      <c r="AZ115" s="203">
        <v>0</v>
      </c>
      <c r="BA115" s="203">
        <v>0</v>
      </c>
      <c r="BB115" s="203">
        <v>0</v>
      </c>
      <c r="BC115" s="203">
        <v>0</v>
      </c>
      <c r="BD115" s="203">
        <v>2.0100000000000001E-3</v>
      </c>
      <c r="BE115" s="204">
        <v>2.0100000000000001E-3</v>
      </c>
    </row>
    <row r="116" spans="1:58" x14ac:dyDescent="0.25">
      <c r="A116" s="330"/>
      <c r="B116" s="193" t="s">
        <v>116</v>
      </c>
      <c r="C116" s="193" t="s">
        <v>320</v>
      </c>
      <c r="D116" s="196">
        <v>0</v>
      </c>
      <c r="E116" s="197">
        <v>0</v>
      </c>
      <c r="F116" s="197">
        <v>0</v>
      </c>
      <c r="G116" s="197">
        <v>0</v>
      </c>
      <c r="H116" s="197">
        <v>0</v>
      </c>
      <c r="I116" s="197">
        <v>0</v>
      </c>
      <c r="J116" s="197">
        <v>0</v>
      </c>
      <c r="K116" s="197">
        <v>0</v>
      </c>
      <c r="L116" s="198">
        <v>0</v>
      </c>
      <c r="M116" s="196">
        <v>0</v>
      </c>
      <c r="N116" s="197">
        <v>0</v>
      </c>
      <c r="O116" s="197">
        <v>0</v>
      </c>
      <c r="P116" s="197">
        <v>0</v>
      </c>
      <c r="Q116" s="197">
        <v>0</v>
      </c>
      <c r="R116" s="197">
        <v>0</v>
      </c>
      <c r="S116" s="197">
        <v>0</v>
      </c>
      <c r="T116" s="197">
        <v>0</v>
      </c>
      <c r="U116" s="198">
        <v>0</v>
      </c>
      <c r="V116" s="196">
        <v>0</v>
      </c>
      <c r="W116" s="197">
        <v>0</v>
      </c>
      <c r="X116" s="197">
        <v>0</v>
      </c>
      <c r="Y116" s="197">
        <v>0</v>
      </c>
      <c r="Z116" s="197">
        <v>0</v>
      </c>
      <c r="AA116" s="197">
        <v>0</v>
      </c>
      <c r="AB116" s="197">
        <v>0</v>
      </c>
      <c r="AC116" s="197">
        <v>0</v>
      </c>
      <c r="AD116" s="198">
        <v>0</v>
      </c>
      <c r="AE116" s="202">
        <v>0</v>
      </c>
      <c r="AF116" s="203">
        <v>0</v>
      </c>
      <c r="AG116" s="203">
        <v>0</v>
      </c>
      <c r="AH116" s="203">
        <v>0</v>
      </c>
      <c r="AI116" s="203">
        <v>0</v>
      </c>
      <c r="AJ116" s="203">
        <v>0</v>
      </c>
      <c r="AK116" s="203">
        <v>0</v>
      </c>
      <c r="AL116" s="203">
        <v>0</v>
      </c>
      <c r="AM116" s="204">
        <v>0</v>
      </c>
      <c r="AN116" s="202">
        <v>0</v>
      </c>
      <c r="AO116" s="203">
        <v>0</v>
      </c>
      <c r="AP116" s="203">
        <v>0</v>
      </c>
      <c r="AQ116" s="203">
        <v>0</v>
      </c>
      <c r="AR116" s="203">
        <v>0</v>
      </c>
      <c r="AS116" s="203">
        <v>0</v>
      </c>
      <c r="AT116" s="203">
        <v>0</v>
      </c>
      <c r="AU116" s="203">
        <v>0</v>
      </c>
      <c r="AV116" s="204">
        <v>0</v>
      </c>
      <c r="AW116" s="202">
        <v>0</v>
      </c>
      <c r="AX116" s="203">
        <v>0</v>
      </c>
      <c r="AY116" s="203">
        <v>0</v>
      </c>
      <c r="AZ116" s="203">
        <v>0</v>
      </c>
      <c r="BA116" s="203">
        <v>0</v>
      </c>
      <c r="BB116" s="203">
        <v>0</v>
      </c>
      <c r="BC116" s="203">
        <v>0</v>
      </c>
      <c r="BD116" s="203">
        <v>0</v>
      </c>
      <c r="BE116" s="204">
        <v>0</v>
      </c>
    </row>
    <row r="117" spans="1:58" x14ac:dyDescent="0.25">
      <c r="A117" s="330"/>
      <c r="B117" s="193" t="s">
        <v>31</v>
      </c>
      <c r="C117" s="193" t="s">
        <v>10</v>
      </c>
      <c r="D117" s="196">
        <v>0</v>
      </c>
      <c r="E117" s="197">
        <v>0</v>
      </c>
      <c r="F117" s="197">
        <v>0</v>
      </c>
      <c r="G117" s="197">
        <v>0</v>
      </c>
      <c r="H117" s="197">
        <v>0</v>
      </c>
      <c r="I117" s="197">
        <v>0</v>
      </c>
      <c r="J117" s="197">
        <v>0</v>
      </c>
      <c r="K117" s="197">
        <v>0</v>
      </c>
      <c r="L117" s="198">
        <v>0</v>
      </c>
      <c r="M117" s="196">
        <v>0</v>
      </c>
      <c r="N117" s="197">
        <v>0</v>
      </c>
      <c r="O117" s="197">
        <v>0</v>
      </c>
      <c r="P117" s="197">
        <v>0</v>
      </c>
      <c r="Q117" s="197">
        <v>0</v>
      </c>
      <c r="R117" s="197">
        <v>0</v>
      </c>
      <c r="S117" s="197">
        <v>0</v>
      </c>
      <c r="T117" s="197">
        <v>0</v>
      </c>
      <c r="U117" s="198">
        <v>0</v>
      </c>
      <c r="V117" s="196">
        <v>0</v>
      </c>
      <c r="W117" s="197">
        <v>0</v>
      </c>
      <c r="X117" s="197">
        <v>0</v>
      </c>
      <c r="Y117" s="197">
        <v>0</v>
      </c>
      <c r="Z117" s="197">
        <v>0</v>
      </c>
      <c r="AA117" s="197">
        <v>0</v>
      </c>
      <c r="AB117" s="197">
        <v>0</v>
      </c>
      <c r="AC117" s="197">
        <v>0</v>
      </c>
      <c r="AD117" s="198">
        <v>0</v>
      </c>
      <c r="AE117" s="202">
        <v>0</v>
      </c>
      <c r="AF117" s="203">
        <v>0</v>
      </c>
      <c r="AG117" s="203">
        <v>0</v>
      </c>
      <c r="AH117" s="203">
        <v>0</v>
      </c>
      <c r="AI117" s="203">
        <v>0</v>
      </c>
      <c r="AJ117" s="203">
        <v>0</v>
      </c>
      <c r="AK117" s="203">
        <v>0</v>
      </c>
      <c r="AL117" s="203">
        <v>0</v>
      </c>
      <c r="AM117" s="204">
        <v>0</v>
      </c>
      <c r="AN117" s="202">
        <v>0</v>
      </c>
      <c r="AO117" s="203">
        <v>0</v>
      </c>
      <c r="AP117" s="203">
        <v>0</v>
      </c>
      <c r="AQ117" s="203">
        <v>0</v>
      </c>
      <c r="AR117" s="203">
        <v>0</v>
      </c>
      <c r="AS117" s="203">
        <v>0</v>
      </c>
      <c r="AT117" s="203">
        <v>0</v>
      </c>
      <c r="AU117" s="203">
        <v>0</v>
      </c>
      <c r="AV117" s="204">
        <v>0</v>
      </c>
      <c r="AW117" s="202">
        <v>0</v>
      </c>
      <c r="AX117" s="203">
        <v>0</v>
      </c>
      <c r="AY117" s="203">
        <v>0</v>
      </c>
      <c r="AZ117" s="203">
        <v>0</v>
      </c>
      <c r="BA117" s="203">
        <v>0</v>
      </c>
      <c r="BB117" s="203">
        <v>0</v>
      </c>
      <c r="BC117" s="203">
        <v>0</v>
      </c>
      <c r="BD117" s="203">
        <v>0</v>
      </c>
      <c r="BE117" s="204">
        <v>0</v>
      </c>
    </row>
    <row r="118" spans="1:58" x14ac:dyDescent="0.25">
      <c r="A118" s="330"/>
      <c r="B118" s="193" t="s">
        <v>32</v>
      </c>
      <c r="C118" s="193" t="s">
        <v>19</v>
      </c>
      <c r="D118" s="196">
        <v>3.09</v>
      </c>
      <c r="E118" s="197">
        <v>3.09</v>
      </c>
      <c r="F118" s="197">
        <v>3.09</v>
      </c>
      <c r="G118" s="197">
        <v>3.09</v>
      </c>
      <c r="H118" s="197">
        <v>3.09</v>
      </c>
      <c r="I118" s="197">
        <v>3.09</v>
      </c>
      <c r="J118" s="197">
        <v>3.09</v>
      </c>
      <c r="K118" s="197">
        <v>3.09</v>
      </c>
      <c r="L118" s="198">
        <v>3.09</v>
      </c>
      <c r="M118" s="196">
        <v>3.2399999999999998</v>
      </c>
      <c r="N118" s="197">
        <v>3.2399999999999998</v>
      </c>
      <c r="O118" s="197">
        <v>3.2399999999999998</v>
      </c>
      <c r="P118" s="197">
        <v>3.2399999999999998</v>
      </c>
      <c r="Q118" s="197">
        <v>3.2399999999999998</v>
      </c>
      <c r="R118" s="197">
        <v>3.2399999999999998</v>
      </c>
      <c r="S118" s="197">
        <v>3.2399999999999998</v>
      </c>
      <c r="T118" s="197">
        <v>3.2399999999999998</v>
      </c>
      <c r="U118" s="198">
        <v>3.2399999999999998</v>
      </c>
      <c r="V118" s="196">
        <v>3.33</v>
      </c>
      <c r="W118" s="197">
        <v>3.33</v>
      </c>
      <c r="X118" s="197">
        <v>3.33</v>
      </c>
      <c r="Y118" s="197">
        <v>3.33</v>
      </c>
      <c r="Z118" s="197">
        <v>3.33</v>
      </c>
      <c r="AA118" s="197">
        <v>3.33</v>
      </c>
      <c r="AB118" s="197">
        <v>3.33</v>
      </c>
      <c r="AC118" s="197">
        <v>3.33</v>
      </c>
      <c r="AD118" s="198">
        <v>3.33</v>
      </c>
      <c r="AE118" s="199">
        <v>3.38</v>
      </c>
      <c r="AF118" s="200">
        <v>3.38</v>
      </c>
      <c r="AG118" s="200">
        <v>3.38</v>
      </c>
      <c r="AH118" s="200">
        <v>3.38</v>
      </c>
      <c r="AI118" s="200">
        <v>3.38</v>
      </c>
      <c r="AJ118" s="200">
        <v>3.38</v>
      </c>
      <c r="AK118" s="200">
        <v>3.38</v>
      </c>
      <c r="AL118" s="200">
        <v>3.38</v>
      </c>
      <c r="AM118" s="201">
        <v>3.38</v>
      </c>
      <c r="AN118" s="199">
        <v>3.4299999999999997</v>
      </c>
      <c r="AO118" s="200">
        <v>3.4299999999999997</v>
      </c>
      <c r="AP118" s="200">
        <v>3.4299999999999997</v>
      </c>
      <c r="AQ118" s="200">
        <v>3.4299999999999997</v>
      </c>
      <c r="AR118" s="200">
        <v>3.4299999999999997</v>
      </c>
      <c r="AS118" s="200">
        <v>3.4299999999999997</v>
      </c>
      <c r="AT118" s="200">
        <v>3.4299999999999997</v>
      </c>
      <c r="AU118" s="200">
        <v>3.4299999999999997</v>
      </c>
      <c r="AV118" s="201">
        <v>3.4299999999999997</v>
      </c>
      <c r="AW118" s="199">
        <v>3.48</v>
      </c>
      <c r="AX118" s="200">
        <v>3.48</v>
      </c>
      <c r="AY118" s="200">
        <v>3.48</v>
      </c>
      <c r="AZ118" s="200">
        <v>3.48</v>
      </c>
      <c r="BA118" s="200">
        <v>3.48</v>
      </c>
      <c r="BB118" s="200">
        <v>3.48</v>
      </c>
      <c r="BC118" s="200">
        <v>3.48</v>
      </c>
      <c r="BD118" s="200">
        <v>3.48</v>
      </c>
      <c r="BE118" s="201">
        <v>3.48</v>
      </c>
    </row>
    <row r="119" spans="1:58" x14ac:dyDescent="0.25">
      <c r="A119" s="330"/>
      <c r="B119" s="193" t="s">
        <v>33</v>
      </c>
      <c r="C119" s="193" t="s">
        <v>14</v>
      </c>
      <c r="D119" s="196"/>
      <c r="E119" s="197"/>
      <c r="F119" s="197"/>
      <c r="G119" s="197"/>
      <c r="H119" s="197"/>
      <c r="I119" s="197"/>
      <c r="J119" s="197"/>
      <c r="K119" s="197"/>
      <c r="L119" s="198"/>
      <c r="M119" s="196"/>
      <c r="N119" s="197"/>
      <c r="O119" s="197"/>
      <c r="P119" s="197"/>
      <c r="Q119" s="197"/>
      <c r="R119" s="197"/>
      <c r="S119" s="197"/>
      <c r="T119" s="197"/>
      <c r="U119" s="198"/>
      <c r="V119" s="196"/>
      <c r="W119" s="197"/>
      <c r="X119" s="197"/>
      <c r="Y119" s="197"/>
      <c r="Z119" s="197"/>
      <c r="AA119" s="197"/>
      <c r="AB119" s="197"/>
      <c r="AC119" s="197"/>
      <c r="AD119" s="198"/>
      <c r="AE119" s="199"/>
      <c r="AF119" s="200"/>
      <c r="AG119" s="200"/>
      <c r="AH119" s="200"/>
      <c r="AI119" s="200"/>
      <c r="AJ119" s="200"/>
      <c r="AK119" s="200"/>
      <c r="AL119" s="200"/>
      <c r="AM119" s="201"/>
      <c r="AN119" s="199"/>
      <c r="AO119" s="200"/>
      <c r="AP119" s="200"/>
      <c r="AQ119" s="200"/>
      <c r="AR119" s="200"/>
      <c r="AS119" s="200"/>
      <c r="AT119" s="200"/>
      <c r="AU119" s="200"/>
      <c r="AV119" s="201"/>
      <c r="AW119" s="199"/>
      <c r="AX119" s="200"/>
      <c r="AY119" s="200"/>
      <c r="AZ119" s="200"/>
      <c r="BA119" s="200"/>
      <c r="BB119" s="200"/>
      <c r="BC119" s="200"/>
      <c r="BD119" s="200"/>
      <c r="BE119" s="201"/>
    </row>
    <row r="120" spans="1:58" ht="15.75" thickBot="1" x14ac:dyDescent="0.3">
      <c r="A120" s="332"/>
      <c r="B120" s="194" t="s">
        <v>34</v>
      </c>
      <c r="C120" s="194" t="s">
        <v>4</v>
      </c>
      <c r="D120" s="238"/>
      <c r="E120" s="239"/>
      <c r="F120" s="239"/>
      <c r="G120" s="239"/>
      <c r="H120" s="239"/>
      <c r="I120" s="239"/>
      <c r="J120" s="239"/>
      <c r="K120" s="239"/>
      <c r="L120" s="240"/>
      <c r="M120" s="238"/>
      <c r="N120" s="239"/>
      <c r="O120" s="239"/>
      <c r="P120" s="239"/>
      <c r="Q120" s="239"/>
      <c r="R120" s="239"/>
      <c r="S120" s="239"/>
      <c r="T120" s="239"/>
      <c r="U120" s="240"/>
      <c r="V120" s="238"/>
      <c r="W120" s="239"/>
      <c r="X120" s="239"/>
      <c r="Y120" s="239"/>
      <c r="Z120" s="239"/>
      <c r="AA120" s="239"/>
      <c r="AB120" s="239"/>
      <c r="AC120" s="239"/>
      <c r="AD120" s="240"/>
      <c r="AE120" s="347"/>
      <c r="AF120" s="348"/>
      <c r="AG120" s="348"/>
      <c r="AH120" s="348"/>
      <c r="AI120" s="348"/>
      <c r="AJ120" s="348"/>
      <c r="AK120" s="348"/>
      <c r="AL120" s="348"/>
      <c r="AM120" s="349"/>
      <c r="AN120" s="347"/>
      <c r="AO120" s="348"/>
      <c r="AP120" s="348"/>
      <c r="AQ120" s="348"/>
      <c r="AR120" s="348"/>
      <c r="AS120" s="348"/>
      <c r="AT120" s="348"/>
      <c r="AU120" s="348"/>
      <c r="AV120" s="349"/>
      <c r="AW120" s="347"/>
      <c r="AX120" s="348"/>
      <c r="AY120" s="348"/>
      <c r="AZ120" s="348"/>
      <c r="BA120" s="348"/>
      <c r="BB120" s="348"/>
      <c r="BC120" s="348"/>
      <c r="BD120" s="348"/>
      <c r="BE120" s="349"/>
    </row>
    <row r="121" spans="1:58" x14ac:dyDescent="0.25">
      <c r="A121" s="350" t="s">
        <v>175</v>
      </c>
      <c r="B121" s="351" t="s">
        <v>109</v>
      </c>
      <c r="C121" s="351" t="s">
        <v>19</v>
      </c>
      <c r="D121" s="352">
        <v>1</v>
      </c>
      <c r="E121" s="353">
        <v>1</v>
      </c>
      <c r="F121" s="353">
        <v>1</v>
      </c>
      <c r="G121" s="353">
        <v>1</v>
      </c>
      <c r="H121" s="353">
        <v>1</v>
      </c>
      <c r="I121" s="353">
        <v>1</v>
      </c>
      <c r="J121" s="353">
        <v>1</v>
      </c>
      <c r="K121" s="353">
        <v>1</v>
      </c>
      <c r="L121" s="354">
        <v>1</v>
      </c>
      <c r="M121" s="352">
        <v>1</v>
      </c>
      <c r="N121" s="353">
        <v>1</v>
      </c>
      <c r="O121" s="353">
        <v>1</v>
      </c>
      <c r="P121" s="353">
        <v>1</v>
      </c>
      <c r="Q121" s="353">
        <v>1</v>
      </c>
      <c r="R121" s="353">
        <v>1</v>
      </c>
      <c r="S121" s="353">
        <v>1</v>
      </c>
      <c r="T121" s="353">
        <v>1</v>
      </c>
      <c r="U121" s="354">
        <v>1</v>
      </c>
      <c r="V121" s="352">
        <v>1</v>
      </c>
      <c r="W121" s="353">
        <v>1</v>
      </c>
      <c r="X121" s="353">
        <v>1</v>
      </c>
      <c r="Y121" s="353">
        <v>1</v>
      </c>
      <c r="Z121" s="353">
        <v>1</v>
      </c>
      <c r="AA121" s="353">
        <v>1</v>
      </c>
      <c r="AB121" s="353">
        <v>1</v>
      </c>
      <c r="AC121" s="353">
        <v>1</v>
      </c>
      <c r="AD121" s="354">
        <v>1</v>
      </c>
      <c r="AE121" s="355">
        <v>1</v>
      </c>
      <c r="AF121" s="356">
        <v>1</v>
      </c>
      <c r="AG121" s="356">
        <v>1</v>
      </c>
      <c r="AH121" s="356">
        <v>1</v>
      </c>
      <c r="AI121" s="356">
        <v>1</v>
      </c>
      <c r="AJ121" s="356">
        <v>1</v>
      </c>
      <c r="AK121" s="356">
        <v>1</v>
      </c>
      <c r="AL121" s="356">
        <v>1</v>
      </c>
      <c r="AM121" s="357">
        <v>1</v>
      </c>
      <c r="AN121" s="355">
        <v>1</v>
      </c>
      <c r="AO121" s="356">
        <v>1</v>
      </c>
      <c r="AP121" s="356">
        <v>1</v>
      </c>
      <c r="AQ121" s="356">
        <v>1</v>
      </c>
      <c r="AR121" s="356">
        <v>1</v>
      </c>
      <c r="AS121" s="356">
        <v>1</v>
      </c>
      <c r="AT121" s="356">
        <v>1</v>
      </c>
      <c r="AU121" s="356">
        <v>1</v>
      </c>
      <c r="AV121" s="357">
        <v>1</v>
      </c>
      <c r="AW121" s="355">
        <v>1</v>
      </c>
      <c r="AX121" s="356">
        <v>1</v>
      </c>
      <c r="AY121" s="356">
        <v>1</v>
      </c>
      <c r="AZ121" s="356">
        <v>1</v>
      </c>
      <c r="BA121" s="356">
        <v>1</v>
      </c>
      <c r="BB121" s="356">
        <v>1</v>
      </c>
      <c r="BC121" s="356">
        <v>1</v>
      </c>
      <c r="BD121" s="356">
        <v>1</v>
      </c>
      <c r="BE121" s="357">
        <v>1</v>
      </c>
      <c r="BF121" s="30"/>
    </row>
    <row r="122" spans="1:58" x14ac:dyDescent="0.25">
      <c r="A122" s="331"/>
      <c r="B122" s="195" t="s">
        <v>21</v>
      </c>
      <c r="C122" s="195" t="s">
        <v>19</v>
      </c>
      <c r="D122" s="208">
        <v>0.35</v>
      </c>
      <c r="E122" s="209">
        <v>0.35</v>
      </c>
      <c r="F122" s="209">
        <v>0.35</v>
      </c>
      <c r="G122" s="209">
        <v>0.35</v>
      </c>
      <c r="H122" s="209">
        <v>0.35</v>
      </c>
      <c r="I122" s="209">
        <v>0.35</v>
      </c>
      <c r="J122" s="209">
        <v>0.35</v>
      </c>
      <c r="K122" s="209">
        <v>0.35</v>
      </c>
      <c r="L122" s="210">
        <v>0.35</v>
      </c>
      <c r="M122" s="208">
        <v>0.35</v>
      </c>
      <c r="N122" s="209">
        <v>0.35</v>
      </c>
      <c r="O122" s="209">
        <v>0.35</v>
      </c>
      <c r="P122" s="209">
        <v>0.35</v>
      </c>
      <c r="Q122" s="209">
        <v>0.35</v>
      </c>
      <c r="R122" s="209">
        <v>0.35</v>
      </c>
      <c r="S122" s="209">
        <v>0.35</v>
      </c>
      <c r="T122" s="209">
        <v>0.35</v>
      </c>
      <c r="U122" s="210">
        <v>0.35</v>
      </c>
      <c r="V122" s="208">
        <v>0.35</v>
      </c>
      <c r="W122" s="209">
        <v>0.35</v>
      </c>
      <c r="X122" s="209">
        <v>0.35</v>
      </c>
      <c r="Y122" s="209">
        <v>0.35</v>
      </c>
      <c r="Z122" s="209">
        <v>0.35</v>
      </c>
      <c r="AA122" s="209">
        <v>0.35</v>
      </c>
      <c r="AB122" s="209">
        <v>0.35</v>
      </c>
      <c r="AC122" s="209">
        <v>0.35</v>
      </c>
      <c r="AD122" s="210">
        <v>0.35</v>
      </c>
      <c r="AE122" s="211">
        <v>0.35</v>
      </c>
      <c r="AF122" s="212">
        <v>0.35</v>
      </c>
      <c r="AG122" s="212">
        <v>0.35</v>
      </c>
      <c r="AH122" s="212">
        <v>0.35</v>
      </c>
      <c r="AI122" s="212">
        <v>0.35</v>
      </c>
      <c r="AJ122" s="212">
        <v>0.35</v>
      </c>
      <c r="AK122" s="212">
        <v>0.35</v>
      </c>
      <c r="AL122" s="212">
        <v>0.35</v>
      </c>
      <c r="AM122" s="213">
        <v>0.35</v>
      </c>
      <c r="AN122" s="211">
        <v>0.35</v>
      </c>
      <c r="AO122" s="212">
        <v>0.35</v>
      </c>
      <c r="AP122" s="212">
        <v>0.35</v>
      </c>
      <c r="AQ122" s="212">
        <v>0.35</v>
      </c>
      <c r="AR122" s="212">
        <v>0.35</v>
      </c>
      <c r="AS122" s="212">
        <v>0.35</v>
      </c>
      <c r="AT122" s="212">
        <v>0.35</v>
      </c>
      <c r="AU122" s="212">
        <v>0.35</v>
      </c>
      <c r="AV122" s="213">
        <v>0.35</v>
      </c>
      <c r="AW122" s="211">
        <v>0.35</v>
      </c>
      <c r="AX122" s="212">
        <v>0.35</v>
      </c>
      <c r="AY122" s="212">
        <v>0.35</v>
      </c>
      <c r="AZ122" s="212">
        <v>0.35</v>
      </c>
      <c r="BA122" s="212">
        <v>0.35</v>
      </c>
      <c r="BB122" s="212">
        <v>0.35</v>
      </c>
      <c r="BC122" s="212">
        <v>0.35</v>
      </c>
      <c r="BD122" s="212">
        <v>0.35</v>
      </c>
      <c r="BE122" s="213">
        <v>0.35</v>
      </c>
    </row>
    <row r="123" spans="1:58" x14ac:dyDescent="0.25">
      <c r="A123" s="331"/>
      <c r="B123" s="195" t="s">
        <v>22</v>
      </c>
      <c r="C123" s="195" t="s">
        <v>4</v>
      </c>
      <c r="D123" s="208">
        <v>20</v>
      </c>
      <c r="E123" s="209">
        <v>20</v>
      </c>
      <c r="F123" s="209">
        <v>20</v>
      </c>
      <c r="G123" s="209">
        <v>20</v>
      </c>
      <c r="H123" s="209">
        <v>20</v>
      </c>
      <c r="I123" s="209">
        <v>20</v>
      </c>
      <c r="J123" s="209">
        <v>20</v>
      </c>
      <c r="K123" s="209">
        <v>20</v>
      </c>
      <c r="L123" s="210">
        <v>20</v>
      </c>
      <c r="M123" s="208">
        <v>20</v>
      </c>
      <c r="N123" s="209">
        <v>20</v>
      </c>
      <c r="O123" s="209">
        <v>20</v>
      </c>
      <c r="P123" s="209">
        <v>20</v>
      </c>
      <c r="Q123" s="209">
        <v>20</v>
      </c>
      <c r="R123" s="209">
        <v>20</v>
      </c>
      <c r="S123" s="209">
        <v>20</v>
      </c>
      <c r="T123" s="209">
        <v>20</v>
      </c>
      <c r="U123" s="210">
        <v>20</v>
      </c>
      <c r="V123" s="208">
        <v>20</v>
      </c>
      <c r="W123" s="209">
        <v>20</v>
      </c>
      <c r="X123" s="209">
        <v>20</v>
      </c>
      <c r="Y123" s="209">
        <v>20</v>
      </c>
      <c r="Z123" s="209">
        <v>20</v>
      </c>
      <c r="AA123" s="209">
        <v>20</v>
      </c>
      <c r="AB123" s="209">
        <v>20</v>
      </c>
      <c r="AC123" s="209">
        <v>20</v>
      </c>
      <c r="AD123" s="210">
        <v>20</v>
      </c>
      <c r="AE123" s="211">
        <v>20</v>
      </c>
      <c r="AF123" s="212">
        <v>20</v>
      </c>
      <c r="AG123" s="212">
        <v>20</v>
      </c>
      <c r="AH123" s="212">
        <v>20</v>
      </c>
      <c r="AI123" s="212">
        <v>20</v>
      </c>
      <c r="AJ123" s="212">
        <v>20</v>
      </c>
      <c r="AK123" s="212">
        <v>20</v>
      </c>
      <c r="AL123" s="212">
        <v>20</v>
      </c>
      <c r="AM123" s="213">
        <v>20</v>
      </c>
      <c r="AN123" s="211">
        <v>20</v>
      </c>
      <c r="AO123" s="212">
        <v>20</v>
      </c>
      <c r="AP123" s="212">
        <v>20</v>
      </c>
      <c r="AQ123" s="212">
        <v>20</v>
      </c>
      <c r="AR123" s="212">
        <v>20</v>
      </c>
      <c r="AS123" s="212">
        <v>20</v>
      </c>
      <c r="AT123" s="212">
        <v>20</v>
      </c>
      <c r="AU123" s="212">
        <v>20</v>
      </c>
      <c r="AV123" s="213">
        <v>20</v>
      </c>
      <c r="AW123" s="211">
        <v>20</v>
      </c>
      <c r="AX123" s="212">
        <v>20</v>
      </c>
      <c r="AY123" s="212">
        <v>20</v>
      </c>
      <c r="AZ123" s="212">
        <v>20</v>
      </c>
      <c r="BA123" s="212">
        <v>20</v>
      </c>
      <c r="BB123" s="212">
        <v>20</v>
      </c>
      <c r="BC123" s="212">
        <v>20</v>
      </c>
      <c r="BD123" s="212">
        <v>20</v>
      </c>
      <c r="BE123" s="213">
        <v>20</v>
      </c>
    </row>
    <row r="124" spans="1:58" x14ac:dyDescent="0.25">
      <c r="A124" s="331"/>
      <c r="B124" s="195" t="s">
        <v>23</v>
      </c>
      <c r="C124" s="195" t="s">
        <v>6</v>
      </c>
      <c r="D124" s="208">
        <v>218.34121214018199</v>
      </c>
      <c r="E124" s="209">
        <v>184.87398682120613</v>
      </c>
      <c r="F124" s="209">
        <v>143.96390422813076</v>
      </c>
      <c r="G124" s="209">
        <v>115.96852782183296</v>
      </c>
      <c r="H124" s="209">
        <v>107.31263157894738</v>
      </c>
      <c r="I124" s="209">
        <v>107.00631578947369</v>
      </c>
      <c r="J124" s="209">
        <v>105.98526315789475</v>
      </c>
      <c r="K124" s="209">
        <v>103.84105263157896</v>
      </c>
      <c r="L124" s="210">
        <v>99.55263157894737</v>
      </c>
      <c r="M124" s="208">
        <v>212.90273464055423</v>
      </c>
      <c r="N124" s="209">
        <v>180.29847756137553</v>
      </c>
      <c r="O124" s="209">
        <v>140.44328080448224</v>
      </c>
      <c r="P124" s="209">
        <v>113.16977842477434</v>
      </c>
      <c r="Q124" s="209">
        <v>107.31263157894738</v>
      </c>
      <c r="R124" s="209">
        <v>107.00631578947369</v>
      </c>
      <c r="S124" s="209">
        <v>105.98526315789475</v>
      </c>
      <c r="T124" s="209">
        <v>103.84105263157896</v>
      </c>
      <c r="U124" s="210">
        <v>99.55263157894737</v>
      </c>
      <c r="V124" s="208">
        <v>207.70052243006694</v>
      </c>
      <c r="W124" s="209">
        <v>175.92180364293515</v>
      </c>
      <c r="X124" s="209">
        <v>137.07573863776301</v>
      </c>
      <c r="Y124" s="209">
        <v>110.49280008590137</v>
      </c>
      <c r="Z124" s="209">
        <v>107.31263157894738</v>
      </c>
      <c r="AA124" s="209">
        <v>107.00631578947369</v>
      </c>
      <c r="AB124" s="209">
        <v>105.98526315789475</v>
      </c>
      <c r="AC124" s="209">
        <v>103.84105263157896</v>
      </c>
      <c r="AD124" s="210">
        <v>99.55263157894737</v>
      </c>
      <c r="AE124" s="214">
        <v>202.65582041234001</v>
      </c>
      <c r="AF124" s="215">
        <v>171.6776866187549</v>
      </c>
      <c r="AG124" s="215">
        <v>133.81025064233</v>
      </c>
      <c r="AH124" s="215">
        <v>107.89700245248551</v>
      </c>
      <c r="AI124" s="215">
        <v>107.31263157894738</v>
      </c>
      <c r="AJ124" s="215">
        <v>107.00631578947369</v>
      </c>
      <c r="AK124" s="215">
        <v>105.98526315789475</v>
      </c>
      <c r="AL124" s="215">
        <v>103.84105263157896</v>
      </c>
      <c r="AM124" s="216">
        <v>99.55263157894737</v>
      </c>
      <c r="AN124" s="214">
        <v>197.6111183946131</v>
      </c>
      <c r="AO124" s="215">
        <v>167.43356959457475</v>
      </c>
      <c r="AP124" s="215">
        <v>130.54476264689706</v>
      </c>
      <c r="AQ124" s="215">
        <v>105.30120481906971</v>
      </c>
      <c r="AR124" s="215">
        <v>107.31263157894738</v>
      </c>
      <c r="AS124" s="215">
        <v>107.00631578947369</v>
      </c>
      <c r="AT124" s="215">
        <v>105.98526315789475</v>
      </c>
      <c r="AU124" s="215">
        <v>103.84105263157896</v>
      </c>
      <c r="AV124" s="216">
        <v>99.55263157894737</v>
      </c>
      <c r="AW124" s="214">
        <v>192.56641637688614</v>
      </c>
      <c r="AX124" s="215">
        <v>163.18945257039451</v>
      </c>
      <c r="AY124" s="215">
        <v>127.27927465146402</v>
      </c>
      <c r="AZ124" s="215">
        <v>102.70540718565383</v>
      </c>
      <c r="BA124" s="215">
        <v>107.31263157894738</v>
      </c>
      <c r="BB124" s="215">
        <v>107.00631578947369</v>
      </c>
      <c r="BC124" s="215">
        <v>105.98526315789475</v>
      </c>
      <c r="BD124" s="215">
        <v>103.84105263157896</v>
      </c>
      <c r="BE124" s="216">
        <v>99.55263157894737</v>
      </c>
    </row>
    <row r="125" spans="1:58" x14ac:dyDescent="0.25">
      <c r="A125" s="331"/>
      <c r="B125" s="195" t="s">
        <v>173</v>
      </c>
      <c r="C125" s="195" t="s">
        <v>19</v>
      </c>
      <c r="D125" s="208">
        <v>0</v>
      </c>
      <c r="E125" s="209">
        <v>0</v>
      </c>
      <c r="F125" s="209">
        <v>0</v>
      </c>
      <c r="G125" s="209">
        <v>0</v>
      </c>
      <c r="H125" s="209">
        <v>0</v>
      </c>
      <c r="I125" s="209">
        <v>0</v>
      </c>
      <c r="J125" s="209">
        <v>0</v>
      </c>
      <c r="K125" s="209">
        <v>0</v>
      </c>
      <c r="L125" s="210">
        <v>0</v>
      </c>
      <c r="M125" s="208">
        <v>0</v>
      </c>
      <c r="N125" s="209">
        <v>0</v>
      </c>
      <c r="O125" s="209">
        <v>0</v>
      </c>
      <c r="P125" s="209">
        <v>0</v>
      </c>
      <c r="Q125" s="209">
        <v>0</v>
      </c>
      <c r="R125" s="209">
        <v>0</v>
      </c>
      <c r="S125" s="209">
        <v>0</v>
      </c>
      <c r="T125" s="209">
        <v>0</v>
      </c>
      <c r="U125" s="210">
        <v>0</v>
      </c>
      <c r="V125" s="208">
        <v>0</v>
      </c>
      <c r="W125" s="209">
        <v>0</v>
      </c>
      <c r="X125" s="209">
        <v>0</v>
      </c>
      <c r="Y125" s="209">
        <v>0</v>
      </c>
      <c r="Z125" s="209">
        <v>0</v>
      </c>
      <c r="AA125" s="209">
        <v>0</v>
      </c>
      <c r="AB125" s="209">
        <v>0</v>
      </c>
      <c r="AC125" s="209">
        <v>0</v>
      </c>
      <c r="AD125" s="210">
        <v>0</v>
      </c>
      <c r="AE125" s="217">
        <v>0</v>
      </c>
      <c r="AF125" s="218">
        <v>0</v>
      </c>
      <c r="AG125" s="218">
        <v>0</v>
      </c>
      <c r="AH125" s="218">
        <v>0</v>
      </c>
      <c r="AI125" s="218">
        <v>0</v>
      </c>
      <c r="AJ125" s="218">
        <v>0</v>
      </c>
      <c r="AK125" s="218">
        <v>0</v>
      </c>
      <c r="AL125" s="218">
        <v>0</v>
      </c>
      <c r="AM125" s="219">
        <v>0</v>
      </c>
      <c r="AN125" s="217">
        <v>0</v>
      </c>
      <c r="AO125" s="218">
        <v>0</v>
      </c>
      <c r="AP125" s="218">
        <v>0</v>
      </c>
      <c r="AQ125" s="218">
        <v>0</v>
      </c>
      <c r="AR125" s="218">
        <v>0</v>
      </c>
      <c r="AS125" s="218">
        <v>0</v>
      </c>
      <c r="AT125" s="218">
        <v>0</v>
      </c>
      <c r="AU125" s="218">
        <v>0</v>
      </c>
      <c r="AV125" s="219">
        <v>0</v>
      </c>
      <c r="AW125" s="217">
        <v>0</v>
      </c>
      <c r="AX125" s="218">
        <v>0</v>
      </c>
      <c r="AY125" s="218">
        <v>0</v>
      </c>
      <c r="AZ125" s="218">
        <v>0</v>
      </c>
      <c r="BA125" s="218">
        <v>0</v>
      </c>
      <c r="BB125" s="218">
        <v>0</v>
      </c>
      <c r="BC125" s="218">
        <v>0</v>
      </c>
      <c r="BD125" s="218">
        <v>0</v>
      </c>
      <c r="BE125" s="219">
        <v>0</v>
      </c>
    </row>
    <row r="126" spans="1:58" x14ac:dyDescent="0.25">
      <c r="A126" s="331"/>
      <c r="B126" s="195" t="s">
        <v>110</v>
      </c>
      <c r="C126" s="195" t="s">
        <v>8</v>
      </c>
      <c r="D126" s="208"/>
      <c r="E126" s="209"/>
      <c r="F126" s="209"/>
      <c r="G126" s="209"/>
      <c r="H126" s="209"/>
      <c r="I126" s="209"/>
      <c r="J126" s="209"/>
      <c r="K126" s="209"/>
      <c r="L126" s="210"/>
      <c r="M126" s="208"/>
      <c r="N126" s="209"/>
      <c r="O126" s="209"/>
      <c r="P126" s="209"/>
      <c r="Q126" s="209"/>
      <c r="R126" s="209"/>
      <c r="S126" s="209"/>
      <c r="T126" s="209"/>
      <c r="U126" s="210"/>
      <c r="V126" s="208"/>
      <c r="W126" s="209"/>
      <c r="X126" s="209"/>
      <c r="Y126" s="209"/>
      <c r="Z126" s="209"/>
      <c r="AA126" s="209"/>
      <c r="AB126" s="209"/>
      <c r="AC126" s="209"/>
      <c r="AD126" s="210"/>
      <c r="AE126" s="211"/>
      <c r="AF126" s="212"/>
      <c r="AG126" s="212"/>
      <c r="AH126" s="212"/>
      <c r="AI126" s="212"/>
      <c r="AJ126" s="212"/>
      <c r="AK126" s="212"/>
      <c r="AL126" s="212"/>
      <c r="AM126" s="213"/>
      <c r="AN126" s="211"/>
      <c r="AO126" s="212"/>
      <c r="AP126" s="212"/>
      <c r="AQ126" s="212"/>
      <c r="AR126" s="212"/>
      <c r="AS126" s="212"/>
      <c r="AT126" s="212"/>
      <c r="AU126" s="212"/>
      <c r="AV126" s="213"/>
      <c r="AW126" s="211"/>
      <c r="AX126" s="212"/>
      <c r="AY126" s="212"/>
      <c r="AZ126" s="212"/>
      <c r="BA126" s="212"/>
      <c r="BB126" s="212"/>
      <c r="BC126" s="212"/>
      <c r="BD126" s="212"/>
      <c r="BE126" s="213"/>
    </row>
    <row r="127" spans="1:58" x14ac:dyDescent="0.25">
      <c r="A127" s="331"/>
      <c r="B127" s="195" t="s">
        <v>111</v>
      </c>
      <c r="C127" s="195" t="s">
        <v>9</v>
      </c>
      <c r="D127" s="208">
        <v>6.5502363642054595</v>
      </c>
      <c r="E127" s="209">
        <v>5.5462196046361836</v>
      </c>
      <c r="F127" s="209">
        <v>4.3189171268439228</v>
      </c>
      <c r="G127" s="209">
        <v>3.4790558346549889</v>
      </c>
      <c r="H127" s="209">
        <v>2.0378947368421052</v>
      </c>
      <c r="I127" s="209">
        <v>2.0189473684210526</v>
      </c>
      <c r="J127" s="209">
        <v>1.9557894736842103</v>
      </c>
      <c r="K127" s="209">
        <v>1.8231578947368419</v>
      </c>
      <c r="L127" s="210">
        <v>1.557894736842105</v>
      </c>
      <c r="M127" s="208">
        <v>6.3870820392166268</v>
      </c>
      <c r="N127" s="209">
        <v>5.4089543268412656</v>
      </c>
      <c r="O127" s="209">
        <v>4.2132984241344671</v>
      </c>
      <c r="P127" s="209">
        <v>3.3950933527432299</v>
      </c>
      <c r="Q127" s="209">
        <v>2.0378947368421052</v>
      </c>
      <c r="R127" s="209">
        <v>2.0189473684210526</v>
      </c>
      <c r="S127" s="209">
        <v>1.9557894736842103</v>
      </c>
      <c r="T127" s="209">
        <v>1.8231578947368419</v>
      </c>
      <c r="U127" s="210">
        <v>1.557894736842105</v>
      </c>
      <c r="V127" s="208">
        <v>6.2310156729020081</v>
      </c>
      <c r="W127" s="209">
        <v>5.2776541092880542</v>
      </c>
      <c r="X127" s="209">
        <v>4.1122721591328899</v>
      </c>
      <c r="Y127" s="209">
        <v>3.3147840025770408</v>
      </c>
      <c r="Z127" s="209">
        <v>2.0378947368421052</v>
      </c>
      <c r="AA127" s="209">
        <v>2.0189473684210526</v>
      </c>
      <c r="AB127" s="209">
        <v>1.9557894736842103</v>
      </c>
      <c r="AC127" s="209">
        <v>1.8231578947368419</v>
      </c>
      <c r="AD127" s="210">
        <v>1.557894736842105</v>
      </c>
      <c r="AE127" s="214">
        <v>6.0796746123701997</v>
      </c>
      <c r="AF127" s="215">
        <v>5.1503305985626469</v>
      </c>
      <c r="AG127" s="215">
        <v>4.0143075192698996</v>
      </c>
      <c r="AH127" s="215">
        <v>3.2369100735745651</v>
      </c>
      <c r="AI127" s="215">
        <v>2.0378947368421052</v>
      </c>
      <c r="AJ127" s="215">
        <v>2.0189473684210526</v>
      </c>
      <c r="AK127" s="215">
        <v>1.9557894736842103</v>
      </c>
      <c r="AL127" s="215">
        <v>1.8231578947368419</v>
      </c>
      <c r="AM127" s="216">
        <v>1.557894736842105</v>
      </c>
      <c r="AN127" s="214">
        <v>5.9283335518383931</v>
      </c>
      <c r="AO127" s="215">
        <v>5.0230070878372421</v>
      </c>
      <c r="AP127" s="215">
        <v>3.9163428794069115</v>
      </c>
      <c r="AQ127" s="215">
        <v>3.1590361445720911</v>
      </c>
      <c r="AR127" s="215">
        <v>2.0378947368421052</v>
      </c>
      <c r="AS127" s="215">
        <v>2.0189473684210526</v>
      </c>
      <c r="AT127" s="215">
        <v>1.9557894736842103</v>
      </c>
      <c r="AU127" s="215">
        <v>1.8231578947368419</v>
      </c>
      <c r="AV127" s="216">
        <v>1.557894736842105</v>
      </c>
      <c r="AW127" s="214">
        <v>5.7769924913065838</v>
      </c>
      <c r="AX127" s="215">
        <v>4.8956835771118348</v>
      </c>
      <c r="AY127" s="215">
        <v>3.8183782395439203</v>
      </c>
      <c r="AZ127" s="215">
        <v>3.0811622155696146</v>
      </c>
      <c r="BA127" s="215">
        <v>2.0378947368421052</v>
      </c>
      <c r="BB127" s="215">
        <v>2.0189473684210526</v>
      </c>
      <c r="BC127" s="215">
        <v>1.9557894736842103</v>
      </c>
      <c r="BD127" s="215">
        <v>1.8231578947368419</v>
      </c>
      <c r="BE127" s="216">
        <v>1.557894736842105</v>
      </c>
    </row>
    <row r="128" spans="1:58" x14ac:dyDescent="0.25">
      <c r="A128" s="331"/>
      <c r="B128" s="195" t="s">
        <v>35</v>
      </c>
      <c r="C128" s="195" t="s">
        <v>10</v>
      </c>
      <c r="D128" s="208">
        <v>0</v>
      </c>
      <c r="E128" s="209">
        <v>0</v>
      </c>
      <c r="F128" s="209">
        <v>0</v>
      </c>
      <c r="G128" s="209">
        <v>0</v>
      </c>
      <c r="H128" s="209">
        <v>0</v>
      </c>
      <c r="I128" s="209">
        <v>0</v>
      </c>
      <c r="J128" s="209">
        <v>1.6357894736842103E-3</v>
      </c>
      <c r="K128" s="209">
        <v>1.5031578947368419E-3</v>
      </c>
      <c r="L128" s="210">
        <v>1.2378947368421051E-3</v>
      </c>
      <c r="M128" s="208">
        <v>0</v>
      </c>
      <c r="N128" s="209">
        <v>0</v>
      </c>
      <c r="O128" s="209">
        <v>0</v>
      </c>
      <c r="P128" s="209">
        <v>0</v>
      </c>
      <c r="Q128" s="209">
        <v>0</v>
      </c>
      <c r="R128" s="209">
        <v>0</v>
      </c>
      <c r="S128" s="209">
        <v>1.6357894736842103E-3</v>
      </c>
      <c r="T128" s="209">
        <v>1.5031578947368419E-3</v>
      </c>
      <c r="U128" s="210">
        <v>1.2378947368421051E-3</v>
      </c>
      <c r="V128" s="208">
        <v>0</v>
      </c>
      <c r="W128" s="209">
        <v>0</v>
      </c>
      <c r="X128" s="209">
        <v>0</v>
      </c>
      <c r="Y128" s="209">
        <v>0</v>
      </c>
      <c r="Z128" s="209">
        <v>0</v>
      </c>
      <c r="AA128" s="209">
        <v>0</v>
      </c>
      <c r="AB128" s="209">
        <v>1.6473473684210525E-3</v>
      </c>
      <c r="AC128" s="209">
        <v>1.5133894736842103E-3</v>
      </c>
      <c r="AD128" s="210">
        <v>1.2454736842105263E-3</v>
      </c>
      <c r="AE128" s="214">
        <v>0</v>
      </c>
      <c r="AF128" s="215">
        <v>0</v>
      </c>
      <c r="AG128" s="215">
        <v>0</v>
      </c>
      <c r="AH128" s="215">
        <v>0</v>
      </c>
      <c r="AI128" s="215">
        <v>0</v>
      </c>
      <c r="AJ128" s="215">
        <v>0</v>
      </c>
      <c r="AK128" s="215">
        <v>1.6666105263157894E-3</v>
      </c>
      <c r="AL128" s="215">
        <v>1.5304421052631579E-3</v>
      </c>
      <c r="AM128" s="216">
        <v>1.2581052631578946E-3</v>
      </c>
      <c r="AN128" s="214">
        <v>0</v>
      </c>
      <c r="AO128" s="215">
        <v>0</v>
      </c>
      <c r="AP128" s="215">
        <v>0</v>
      </c>
      <c r="AQ128" s="215">
        <v>0</v>
      </c>
      <c r="AR128" s="215">
        <v>0</v>
      </c>
      <c r="AS128" s="215">
        <v>0</v>
      </c>
      <c r="AT128" s="215">
        <v>1.6858736842105264E-3</v>
      </c>
      <c r="AU128" s="215">
        <v>1.5474947368421053E-3</v>
      </c>
      <c r="AV128" s="216">
        <v>1.2707368421052633E-3</v>
      </c>
      <c r="AW128" s="214">
        <v>0</v>
      </c>
      <c r="AX128" s="215">
        <v>0</v>
      </c>
      <c r="AY128" s="215">
        <v>0</v>
      </c>
      <c r="AZ128" s="215">
        <v>0</v>
      </c>
      <c r="BA128" s="215">
        <v>0</v>
      </c>
      <c r="BB128" s="215">
        <v>0</v>
      </c>
      <c r="BC128" s="215">
        <v>1.7051368421052632E-3</v>
      </c>
      <c r="BD128" s="215">
        <v>1.5645473684210527E-3</v>
      </c>
      <c r="BE128" s="216">
        <v>1.2833684210526316E-3</v>
      </c>
    </row>
    <row r="129" spans="1:57" x14ac:dyDescent="0.25">
      <c r="A129" s="331"/>
      <c r="B129" s="195" t="s">
        <v>24</v>
      </c>
      <c r="C129" s="195" t="s">
        <v>10</v>
      </c>
      <c r="D129" s="208">
        <v>0</v>
      </c>
      <c r="E129" s="209">
        <v>0</v>
      </c>
      <c r="F129" s="209">
        <v>0</v>
      </c>
      <c r="G129" s="209">
        <v>0</v>
      </c>
      <c r="H129" s="209">
        <v>0</v>
      </c>
      <c r="I129" s="209">
        <v>0</v>
      </c>
      <c r="J129" s="209">
        <v>0</v>
      </c>
      <c r="K129" s="209">
        <v>0</v>
      </c>
      <c r="L129" s="210">
        <v>0</v>
      </c>
      <c r="M129" s="208">
        <v>0</v>
      </c>
      <c r="N129" s="209">
        <v>0</v>
      </c>
      <c r="O129" s="209">
        <v>0</v>
      </c>
      <c r="P129" s="209">
        <v>0</v>
      </c>
      <c r="Q129" s="209">
        <v>0</v>
      </c>
      <c r="R129" s="209">
        <v>0</v>
      </c>
      <c r="S129" s="209">
        <v>0</v>
      </c>
      <c r="T129" s="209">
        <v>0</v>
      </c>
      <c r="U129" s="210">
        <v>0</v>
      </c>
      <c r="V129" s="208">
        <v>0</v>
      </c>
      <c r="W129" s="209">
        <v>0</v>
      </c>
      <c r="X129" s="209">
        <v>0</v>
      </c>
      <c r="Y129" s="209">
        <v>0</v>
      </c>
      <c r="Z129" s="209">
        <v>0</v>
      </c>
      <c r="AA129" s="209">
        <v>0</v>
      </c>
      <c r="AB129" s="209">
        <v>0</v>
      </c>
      <c r="AC129" s="209">
        <v>0</v>
      </c>
      <c r="AD129" s="210">
        <v>0</v>
      </c>
      <c r="AE129" s="214">
        <v>0</v>
      </c>
      <c r="AF129" s="215">
        <v>0</v>
      </c>
      <c r="AG129" s="215">
        <v>0</v>
      </c>
      <c r="AH129" s="215">
        <v>0</v>
      </c>
      <c r="AI129" s="215">
        <v>0</v>
      </c>
      <c r="AJ129" s="215">
        <v>0</v>
      </c>
      <c r="AK129" s="215">
        <v>0</v>
      </c>
      <c r="AL129" s="215">
        <v>0</v>
      </c>
      <c r="AM129" s="216">
        <v>0</v>
      </c>
      <c r="AN129" s="214">
        <v>0</v>
      </c>
      <c r="AO129" s="215">
        <v>0</v>
      </c>
      <c r="AP129" s="215">
        <v>0</v>
      </c>
      <c r="AQ129" s="215">
        <v>0</v>
      </c>
      <c r="AR129" s="215">
        <v>0</v>
      </c>
      <c r="AS129" s="215">
        <v>0</v>
      </c>
      <c r="AT129" s="215">
        <v>0</v>
      </c>
      <c r="AU129" s="215">
        <v>0</v>
      </c>
      <c r="AV129" s="216">
        <v>0</v>
      </c>
      <c r="AW129" s="214">
        <v>0</v>
      </c>
      <c r="AX129" s="215">
        <v>0</v>
      </c>
      <c r="AY129" s="215">
        <v>0</v>
      </c>
      <c r="AZ129" s="215">
        <v>0</v>
      </c>
      <c r="BA129" s="215">
        <v>0</v>
      </c>
      <c r="BB129" s="215">
        <v>0</v>
      </c>
      <c r="BC129" s="215">
        <v>0</v>
      </c>
      <c r="BD129" s="215">
        <v>0</v>
      </c>
      <c r="BE129" s="216">
        <v>0</v>
      </c>
    </row>
    <row r="130" spans="1:57" x14ac:dyDescent="0.25">
      <c r="A130" s="331"/>
      <c r="B130" s="195" t="s">
        <v>25</v>
      </c>
      <c r="C130" s="195" t="s">
        <v>7</v>
      </c>
      <c r="D130" s="208">
        <v>0.94349999999999989</v>
      </c>
      <c r="E130" s="209">
        <v>0.94349999999999989</v>
      </c>
      <c r="F130" s="209">
        <v>0.94349999999999989</v>
      </c>
      <c r="G130" s="209">
        <v>0.94349999999999989</v>
      </c>
      <c r="H130" s="209">
        <v>0.94349999999999989</v>
      </c>
      <c r="I130" s="209">
        <v>0.94349999999999989</v>
      </c>
      <c r="J130" s="209">
        <v>0.99</v>
      </c>
      <c r="K130" s="209">
        <v>0.99</v>
      </c>
      <c r="L130" s="210">
        <v>0.99</v>
      </c>
      <c r="M130" s="208">
        <v>0.96599999999999986</v>
      </c>
      <c r="N130" s="209">
        <v>0.96599999999999986</v>
      </c>
      <c r="O130" s="209">
        <v>0.96599999999999986</v>
      </c>
      <c r="P130" s="209">
        <v>0.96599999999999986</v>
      </c>
      <c r="Q130" s="209">
        <v>0.96599999999999986</v>
      </c>
      <c r="R130" s="209">
        <v>0.96599999999999986</v>
      </c>
      <c r="S130" s="209">
        <v>0.99</v>
      </c>
      <c r="T130" s="209">
        <v>0.99</v>
      </c>
      <c r="U130" s="210">
        <v>0.99</v>
      </c>
      <c r="V130" s="208">
        <v>0.9787499999999999</v>
      </c>
      <c r="W130" s="209">
        <v>0.9787499999999999</v>
      </c>
      <c r="X130" s="209">
        <v>0.9787499999999999</v>
      </c>
      <c r="Y130" s="209">
        <v>0.9787499999999999</v>
      </c>
      <c r="Z130" s="209">
        <v>0.9787499999999999</v>
      </c>
      <c r="AA130" s="209">
        <v>0.9787499999999999</v>
      </c>
      <c r="AB130" s="209">
        <v>0.99150000000000005</v>
      </c>
      <c r="AC130" s="209">
        <v>0.99150000000000005</v>
      </c>
      <c r="AD130" s="210">
        <v>0.99150000000000005</v>
      </c>
      <c r="AE130" s="217">
        <v>0.98499999999999988</v>
      </c>
      <c r="AF130" s="218">
        <v>0.98499999999999988</v>
      </c>
      <c r="AG130" s="218">
        <v>0.98499999999999988</v>
      </c>
      <c r="AH130" s="218">
        <v>0.98499999999999988</v>
      </c>
      <c r="AI130" s="218">
        <v>0.98499999999999988</v>
      </c>
      <c r="AJ130" s="218">
        <v>0.98499999999999988</v>
      </c>
      <c r="AK130" s="218">
        <v>0.99399999999999999</v>
      </c>
      <c r="AL130" s="218">
        <v>0.99399999999999999</v>
      </c>
      <c r="AM130" s="219">
        <v>0.99399999999999999</v>
      </c>
      <c r="AN130" s="217">
        <v>0.99124999999999996</v>
      </c>
      <c r="AO130" s="218">
        <v>0.99124999999999996</v>
      </c>
      <c r="AP130" s="218">
        <v>0.99124999999999996</v>
      </c>
      <c r="AQ130" s="218">
        <v>0.99124999999999996</v>
      </c>
      <c r="AR130" s="218">
        <v>0.99124999999999996</v>
      </c>
      <c r="AS130" s="218">
        <v>0.99124999999999996</v>
      </c>
      <c r="AT130" s="218">
        <v>0.99649999999999994</v>
      </c>
      <c r="AU130" s="218">
        <v>0.99649999999999994</v>
      </c>
      <c r="AV130" s="219">
        <v>0.99649999999999994</v>
      </c>
      <c r="AW130" s="217">
        <v>0.99749999999999994</v>
      </c>
      <c r="AX130" s="218">
        <v>0.99749999999999994</v>
      </c>
      <c r="AY130" s="218">
        <v>0.99749999999999994</v>
      </c>
      <c r="AZ130" s="218">
        <v>0.99749999999999994</v>
      </c>
      <c r="BA130" s="218">
        <v>0.99749999999999994</v>
      </c>
      <c r="BB130" s="218">
        <v>0.99749999999999994</v>
      </c>
      <c r="BC130" s="218">
        <v>0.999</v>
      </c>
      <c r="BD130" s="218">
        <v>0.999</v>
      </c>
      <c r="BE130" s="219">
        <v>0.999</v>
      </c>
    </row>
    <row r="131" spans="1:57" x14ac:dyDescent="0.25">
      <c r="A131" s="331"/>
      <c r="B131" s="195" t="s">
        <v>26</v>
      </c>
      <c r="C131" s="195" t="s">
        <v>14</v>
      </c>
      <c r="D131" s="208">
        <v>1524.6</v>
      </c>
      <c r="E131" s="209">
        <v>1749.6</v>
      </c>
      <c r="F131" s="209">
        <v>2349.6</v>
      </c>
      <c r="G131" s="209">
        <v>3174.6</v>
      </c>
      <c r="H131" s="209">
        <v>4299.6000000000004</v>
      </c>
      <c r="I131" s="209">
        <v>14213</v>
      </c>
      <c r="J131" s="209">
        <v>21713</v>
      </c>
      <c r="K131" s="209">
        <v>37463</v>
      </c>
      <c r="L131" s="210">
        <v>68963</v>
      </c>
      <c r="M131" s="208">
        <v>1524.6</v>
      </c>
      <c r="N131" s="209">
        <v>1749.6</v>
      </c>
      <c r="O131" s="209">
        <v>2349.6</v>
      </c>
      <c r="P131" s="209">
        <v>3174.6</v>
      </c>
      <c r="Q131" s="209">
        <v>4299.6000000000004</v>
      </c>
      <c r="R131" s="209">
        <v>14213</v>
      </c>
      <c r="S131" s="209">
        <v>21713</v>
      </c>
      <c r="T131" s="209">
        <v>37463</v>
      </c>
      <c r="U131" s="210">
        <v>68963</v>
      </c>
      <c r="V131" s="208">
        <v>1524.6</v>
      </c>
      <c r="W131" s="209">
        <v>1749.6</v>
      </c>
      <c r="X131" s="209">
        <v>2349.6</v>
      </c>
      <c r="Y131" s="209">
        <v>3174.6</v>
      </c>
      <c r="Z131" s="209">
        <v>4299.6000000000004</v>
      </c>
      <c r="AA131" s="209">
        <v>14213</v>
      </c>
      <c r="AB131" s="209">
        <v>21713</v>
      </c>
      <c r="AC131" s="209">
        <v>37463</v>
      </c>
      <c r="AD131" s="210">
        <v>68963</v>
      </c>
      <c r="AE131" s="214">
        <v>1524.6</v>
      </c>
      <c r="AF131" s="215">
        <v>1749.6</v>
      </c>
      <c r="AG131" s="215">
        <v>2349.6</v>
      </c>
      <c r="AH131" s="215">
        <v>3174.6</v>
      </c>
      <c r="AI131" s="215">
        <v>4299.6000000000004</v>
      </c>
      <c r="AJ131" s="215">
        <v>14213</v>
      </c>
      <c r="AK131" s="215">
        <v>21713</v>
      </c>
      <c r="AL131" s="215">
        <v>37463</v>
      </c>
      <c r="AM131" s="216">
        <v>68963</v>
      </c>
      <c r="AN131" s="214">
        <v>1524.6</v>
      </c>
      <c r="AO131" s="215">
        <v>1749.6</v>
      </c>
      <c r="AP131" s="215">
        <v>2349.6</v>
      </c>
      <c r="AQ131" s="215">
        <v>3174.6</v>
      </c>
      <c r="AR131" s="215">
        <v>4299.6000000000004</v>
      </c>
      <c r="AS131" s="215">
        <v>14213</v>
      </c>
      <c r="AT131" s="215">
        <v>21713</v>
      </c>
      <c r="AU131" s="215">
        <v>37463</v>
      </c>
      <c r="AV131" s="216">
        <v>68963</v>
      </c>
      <c r="AW131" s="214">
        <v>1524.6</v>
      </c>
      <c r="AX131" s="215">
        <v>1749.6</v>
      </c>
      <c r="AY131" s="215">
        <v>2349.6</v>
      </c>
      <c r="AZ131" s="215">
        <v>3174.6</v>
      </c>
      <c r="BA131" s="215">
        <v>4299.6000000000004</v>
      </c>
      <c r="BB131" s="215">
        <v>14213</v>
      </c>
      <c r="BC131" s="215">
        <v>21713</v>
      </c>
      <c r="BD131" s="215">
        <v>37463</v>
      </c>
      <c r="BE131" s="216">
        <v>68963</v>
      </c>
    </row>
    <row r="132" spans="1:57" x14ac:dyDescent="0.25">
      <c r="A132" s="331"/>
      <c r="B132" s="195" t="s">
        <v>27</v>
      </c>
      <c r="C132" s="195" t="s">
        <v>4</v>
      </c>
      <c r="D132" s="208">
        <v>40</v>
      </c>
      <c r="E132" s="209">
        <v>40</v>
      </c>
      <c r="F132" s="209">
        <v>40</v>
      </c>
      <c r="G132" s="209">
        <v>40</v>
      </c>
      <c r="H132" s="209">
        <v>40</v>
      </c>
      <c r="I132" s="209">
        <v>40</v>
      </c>
      <c r="J132" s="209">
        <v>40</v>
      </c>
      <c r="K132" s="209">
        <v>40</v>
      </c>
      <c r="L132" s="210">
        <v>40</v>
      </c>
      <c r="M132" s="208">
        <v>40</v>
      </c>
      <c r="N132" s="209">
        <v>40</v>
      </c>
      <c r="O132" s="209">
        <v>40</v>
      </c>
      <c r="P132" s="209">
        <v>40</v>
      </c>
      <c r="Q132" s="209">
        <v>40</v>
      </c>
      <c r="R132" s="209">
        <v>40</v>
      </c>
      <c r="S132" s="209">
        <v>40</v>
      </c>
      <c r="T132" s="209">
        <v>40</v>
      </c>
      <c r="U132" s="210">
        <v>40</v>
      </c>
      <c r="V132" s="208">
        <v>40</v>
      </c>
      <c r="W132" s="209">
        <v>40</v>
      </c>
      <c r="X132" s="209">
        <v>40</v>
      </c>
      <c r="Y132" s="209">
        <v>40</v>
      </c>
      <c r="Z132" s="209">
        <v>40</v>
      </c>
      <c r="AA132" s="209">
        <v>40</v>
      </c>
      <c r="AB132" s="209">
        <v>40</v>
      </c>
      <c r="AC132" s="209">
        <v>40</v>
      </c>
      <c r="AD132" s="210">
        <v>40</v>
      </c>
      <c r="AE132" s="211">
        <v>40</v>
      </c>
      <c r="AF132" s="212">
        <v>40</v>
      </c>
      <c r="AG132" s="212">
        <v>40</v>
      </c>
      <c r="AH132" s="212">
        <v>40</v>
      </c>
      <c r="AI132" s="212">
        <v>40</v>
      </c>
      <c r="AJ132" s="212">
        <v>40</v>
      </c>
      <c r="AK132" s="212">
        <v>40</v>
      </c>
      <c r="AL132" s="212">
        <v>40</v>
      </c>
      <c r="AM132" s="213">
        <v>40</v>
      </c>
      <c r="AN132" s="211">
        <v>40</v>
      </c>
      <c r="AO132" s="212">
        <v>40</v>
      </c>
      <c r="AP132" s="212">
        <v>40</v>
      </c>
      <c r="AQ132" s="212">
        <v>40</v>
      </c>
      <c r="AR132" s="212">
        <v>40</v>
      </c>
      <c r="AS132" s="212">
        <v>40</v>
      </c>
      <c r="AT132" s="212">
        <v>40</v>
      </c>
      <c r="AU132" s="212">
        <v>40</v>
      </c>
      <c r="AV132" s="213">
        <v>40</v>
      </c>
      <c r="AW132" s="211">
        <v>40</v>
      </c>
      <c r="AX132" s="212">
        <v>40</v>
      </c>
      <c r="AY132" s="212">
        <v>40</v>
      </c>
      <c r="AZ132" s="212">
        <v>40</v>
      </c>
      <c r="BA132" s="212">
        <v>40</v>
      </c>
      <c r="BB132" s="212">
        <v>40</v>
      </c>
      <c r="BC132" s="212">
        <v>40</v>
      </c>
      <c r="BD132" s="212">
        <v>40</v>
      </c>
      <c r="BE132" s="213">
        <v>40</v>
      </c>
    </row>
    <row r="133" spans="1:57" x14ac:dyDescent="0.25">
      <c r="A133" s="331"/>
      <c r="B133" s="195" t="s">
        <v>117</v>
      </c>
      <c r="C133" s="195" t="s">
        <v>19</v>
      </c>
      <c r="D133" s="208">
        <v>0.35</v>
      </c>
      <c r="E133" s="209">
        <v>0.35</v>
      </c>
      <c r="F133" s="209">
        <v>0.35</v>
      </c>
      <c r="G133" s="209">
        <v>0.35</v>
      </c>
      <c r="H133" s="209">
        <v>0.35</v>
      </c>
      <c r="I133" s="209">
        <v>0.35</v>
      </c>
      <c r="J133" s="209">
        <v>0.35</v>
      </c>
      <c r="K133" s="209">
        <v>0.35</v>
      </c>
      <c r="L133" s="210">
        <v>0.35</v>
      </c>
      <c r="M133" s="208">
        <v>0.35</v>
      </c>
      <c r="N133" s="209">
        <v>0.35</v>
      </c>
      <c r="O133" s="209">
        <v>0.35</v>
      </c>
      <c r="P133" s="209">
        <v>0.35</v>
      </c>
      <c r="Q133" s="209">
        <v>0.35</v>
      </c>
      <c r="R133" s="209">
        <v>0.35</v>
      </c>
      <c r="S133" s="209">
        <v>0.35</v>
      </c>
      <c r="T133" s="209">
        <v>0.35</v>
      </c>
      <c r="U133" s="210">
        <v>0.35</v>
      </c>
      <c r="V133" s="208">
        <v>0.35</v>
      </c>
      <c r="W133" s="209">
        <v>0.35</v>
      </c>
      <c r="X133" s="209">
        <v>0.35</v>
      </c>
      <c r="Y133" s="209">
        <v>0.35</v>
      </c>
      <c r="Z133" s="209">
        <v>0.35</v>
      </c>
      <c r="AA133" s="209">
        <v>0.35</v>
      </c>
      <c r="AB133" s="209">
        <v>0.35</v>
      </c>
      <c r="AC133" s="209">
        <v>0.35</v>
      </c>
      <c r="AD133" s="210">
        <v>0.35</v>
      </c>
      <c r="AE133" s="211">
        <v>0.35</v>
      </c>
      <c r="AF133" s="212">
        <v>0.35</v>
      </c>
      <c r="AG133" s="212">
        <v>0.35</v>
      </c>
      <c r="AH133" s="212">
        <v>0.35</v>
      </c>
      <c r="AI133" s="212">
        <v>0.35</v>
      </c>
      <c r="AJ133" s="212">
        <v>0.35</v>
      </c>
      <c r="AK133" s="212">
        <v>0.35</v>
      </c>
      <c r="AL133" s="212">
        <v>0.35</v>
      </c>
      <c r="AM133" s="213">
        <v>0.35</v>
      </c>
      <c r="AN133" s="211">
        <v>0.35</v>
      </c>
      <c r="AO133" s="212">
        <v>0.35</v>
      </c>
      <c r="AP133" s="212">
        <v>0.35</v>
      </c>
      <c r="AQ133" s="212">
        <v>0.35</v>
      </c>
      <c r="AR133" s="212">
        <v>0.35</v>
      </c>
      <c r="AS133" s="212">
        <v>0.35</v>
      </c>
      <c r="AT133" s="212">
        <v>0.35</v>
      </c>
      <c r="AU133" s="212">
        <v>0.35</v>
      </c>
      <c r="AV133" s="213">
        <v>0.35</v>
      </c>
      <c r="AW133" s="211">
        <v>0.35</v>
      </c>
      <c r="AX133" s="212">
        <v>0.35</v>
      </c>
      <c r="AY133" s="212">
        <v>0.35</v>
      </c>
      <c r="AZ133" s="212">
        <v>0.35</v>
      </c>
      <c r="BA133" s="212">
        <v>0.35</v>
      </c>
      <c r="BB133" s="212">
        <v>0.35</v>
      </c>
      <c r="BC133" s="212">
        <v>0.35</v>
      </c>
      <c r="BD133" s="212">
        <v>0.35</v>
      </c>
      <c r="BE133" s="213">
        <v>0.35</v>
      </c>
    </row>
    <row r="134" spans="1:57" x14ac:dyDescent="0.25">
      <c r="A134" s="331"/>
      <c r="B134" s="195" t="s">
        <v>36</v>
      </c>
      <c r="C134" s="195" t="s">
        <v>19</v>
      </c>
      <c r="D134" s="208">
        <v>1.8571428571428572</v>
      </c>
      <c r="E134" s="209">
        <v>1.8571428571428572</v>
      </c>
      <c r="F134" s="209">
        <v>1.8571428571428572</v>
      </c>
      <c r="G134" s="209">
        <v>1.8571428571428572</v>
      </c>
      <c r="H134" s="209">
        <v>1.8571428571428572</v>
      </c>
      <c r="I134" s="209">
        <v>1.8571428571428572</v>
      </c>
      <c r="J134" s="209">
        <v>1.8571428571428572</v>
      </c>
      <c r="K134" s="209">
        <v>1.8571428571428572</v>
      </c>
      <c r="L134" s="210">
        <v>1.8571428571428572</v>
      </c>
      <c r="M134" s="208">
        <v>1.8571428571428572</v>
      </c>
      <c r="N134" s="209">
        <v>1.8571428571428572</v>
      </c>
      <c r="O134" s="209">
        <v>1.8571428571428572</v>
      </c>
      <c r="P134" s="209">
        <v>1.8571428571428572</v>
      </c>
      <c r="Q134" s="209">
        <v>1.8571428571428572</v>
      </c>
      <c r="R134" s="209">
        <v>1.8571428571428572</v>
      </c>
      <c r="S134" s="209">
        <v>1.8571428571428572</v>
      </c>
      <c r="T134" s="209">
        <v>1.8571428571428572</v>
      </c>
      <c r="U134" s="210">
        <v>1.8571428571428572</v>
      </c>
      <c r="V134" s="208">
        <v>1.8571428571428572</v>
      </c>
      <c r="W134" s="209">
        <v>1.8571428571428572</v>
      </c>
      <c r="X134" s="209">
        <v>1.8571428571428572</v>
      </c>
      <c r="Y134" s="209">
        <v>1.8571428571428572</v>
      </c>
      <c r="Z134" s="209">
        <v>1.8571428571428572</v>
      </c>
      <c r="AA134" s="209">
        <v>1.8571428571428572</v>
      </c>
      <c r="AB134" s="209">
        <v>1.8571428571428572</v>
      </c>
      <c r="AC134" s="209">
        <v>1.8571428571428572</v>
      </c>
      <c r="AD134" s="210">
        <v>1.8571428571428572</v>
      </c>
      <c r="AE134" s="211">
        <v>1.8571428571428572</v>
      </c>
      <c r="AF134" s="212">
        <v>1.8571428571428572</v>
      </c>
      <c r="AG134" s="212">
        <v>1.8571428571428572</v>
      </c>
      <c r="AH134" s="212">
        <v>1.8571428571428572</v>
      </c>
      <c r="AI134" s="212">
        <v>1.8571428571428572</v>
      </c>
      <c r="AJ134" s="212">
        <v>1.8571428571428572</v>
      </c>
      <c r="AK134" s="212">
        <v>1.8571428571428572</v>
      </c>
      <c r="AL134" s="212">
        <v>1.8571428571428572</v>
      </c>
      <c r="AM134" s="213">
        <v>1.8571428571428572</v>
      </c>
      <c r="AN134" s="211">
        <v>1.8571428571428572</v>
      </c>
      <c r="AO134" s="212">
        <v>1.8571428571428572</v>
      </c>
      <c r="AP134" s="212">
        <v>1.8571428571428572</v>
      </c>
      <c r="AQ134" s="212">
        <v>1.8571428571428572</v>
      </c>
      <c r="AR134" s="212">
        <v>1.8571428571428572</v>
      </c>
      <c r="AS134" s="212">
        <v>1.8571428571428572</v>
      </c>
      <c r="AT134" s="212">
        <v>1.8571428571428572</v>
      </c>
      <c r="AU134" s="212">
        <v>1.8571428571428572</v>
      </c>
      <c r="AV134" s="213">
        <v>1.8571428571428572</v>
      </c>
      <c r="AW134" s="211">
        <v>1.8571428571428572</v>
      </c>
      <c r="AX134" s="212">
        <v>1.8571428571428572</v>
      </c>
      <c r="AY134" s="212">
        <v>1.8571428571428572</v>
      </c>
      <c r="AZ134" s="212">
        <v>1.8571428571428572</v>
      </c>
      <c r="BA134" s="212">
        <v>1.8571428571428572</v>
      </c>
      <c r="BB134" s="212">
        <v>1.8571428571428572</v>
      </c>
      <c r="BC134" s="212">
        <v>1.8571428571428572</v>
      </c>
      <c r="BD134" s="212">
        <v>1.8571428571428572</v>
      </c>
      <c r="BE134" s="213">
        <v>1.8571428571428572</v>
      </c>
    </row>
    <row r="135" spans="1:57" x14ac:dyDescent="0.25">
      <c r="A135" s="331"/>
      <c r="B135" s="195" t="s">
        <v>37</v>
      </c>
      <c r="C135" s="195" t="s">
        <v>4</v>
      </c>
      <c r="D135" s="208">
        <v>20</v>
      </c>
      <c r="E135" s="209">
        <v>20</v>
      </c>
      <c r="F135" s="209">
        <v>20</v>
      </c>
      <c r="G135" s="209">
        <v>20</v>
      </c>
      <c r="H135" s="209">
        <v>20</v>
      </c>
      <c r="I135" s="209">
        <v>20</v>
      </c>
      <c r="J135" s="209">
        <v>20</v>
      </c>
      <c r="K135" s="209">
        <v>20</v>
      </c>
      <c r="L135" s="210">
        <v>20</v>
      </c>
      <c r="M135" s="208">
        <v>20</v>
      </c>
      <c r="N135" s="209">
        <v>20</v>
      </c>
      <c r="O135" s="209">
        <v>20</v>
      </c>
      <c r="P135" s="209">
        <v>20</v>
      </c>
      <c r="Q135" s="209">
        <v>20</v>
      </c>
      <c r="R135" s="209">
        <v>20</v>
      </c>
      <c r="S135" s="209">
        <v>20</v>
      </c>
      <c r="T135" s="209">
        <v>20</v>
      </c>
      <c r="U135" s="210">
        <v>20</v>
      </c>
      <c r="V135" s="208">
        <v>20</v>
      </c>
      <c r="W135" s="209">
        <v>20</v>
      </c>
      <c r="X135" s="209">
        <v>20</v>
      </c>
      <c r="Y135" s="209">
        <v>20</v>
      </c>
      <c r="Z135" s="209">
        <v>20</v>
      </c>
      <c r="AA135" s="209">
        <v>20</v>
      </c>
      <c r="AB135" s="209">
        <v>20</v>
      </c>
      <c r="AC135" s="209">
        <v>20</v>
      </c>
      <c r="AD135" s="210">
        <v>20</v>
      </c>
      <c r="AE135" s="211">
        <v>20</v>
      </c>
      <c r="AF135" s="212">
        <v>20</v>
      </c>
      <c r="AG135" s="212">
        <v>20</v>
      </c>
      <c r="AH135" s="212">
        <v>20</v>
      </c>
      <c r="AI135" s="212">
        <v>20</v>
      </c>
      <c r="AJ135" s="212">
        <v>20</v>
      </c>
      <c r="AK135" s="212">
        <v>20</v>
      </c>
      <c r="AL135" s="212">
        <v>20</v>
      </c>
      <c r="AM135" s="213">
        <v>20</v>
      </c>
      <c r="AN135" s="211">
        <v>20</v>
      </c>
      <c r="AO135" s="212">
        <v>20</v>
      </c>
      <c r="AP135" s="212">
        <v>20</v>
      </c>
      <c r="AQ135" s="212">
        <v>20</v>
      </c>
      <c r="AR135" s="212">
        <v>20</v>
      </c>
      <c r="AS135" s="212">
        <v>20</v>
      </c>
      <c r="AT135" s="212">
        <v>20</v>
      </c>
      <c r="AU135" s="212">
        <v>20</v>
      </c>
      <c r="AV135" s="213">
        <v>20</v>
      </c>
      <c r="AW135" s="211">
        <v>20</v>
      </c>
      <c r="AX135" s="212">
        <v>20</v>
      </c>
      <c r="AY135" s="212">
        <v>20</v>
      </c>
      <c r="AZ135" s="212">
        <v>20</v>
      </c>
      <c r="BA135" s="212">
        <v>20</v>
      </c>
      <c r="BB135" s="212">
        <v>20</v>
      </c>
      <c r="BC135" s="212">
        <v>20</v>
      </c>
      <c r="BD135" s="212">
        <v>20</v>
      </c>
      <c r="BE135" s="213">
        <v>20</v>
      </c>
    </row>
    <row r="136" spans="1:57" x14ac:dyDescent="0.25">
      <c r="A136" s="331"/>
      <c r="B136" s="195" t="s">
        <v>38</v>
      </c>
      <c r="C136" s="195" t="s">
        <v>6</v>
      </c>
      <c r="D136" s="208">
        <v>6439.2406849033259</v>
      </c>
      <c r="E136" s="209">
        <v>4332.7824241831977</v>
      </c>
      <c r="F136" s="209">
        <v>2669.5160351066907</v>
      </c>
      <c r="G136" s="209">
        <v>2110.1894367812192</v>
      </c>
      <c r="H136" s="209">
        <v>1784.2871082104245</v>
      </c>
      <c r="I136" s="209">
        <v>1409.7428212977536</v>
      </c>
      <c r="J136" s="209">
        <v>1109.4282603302854</v>
      </c>
      <c r="K136" s="209">
        <v>892.85832488167068</v>
      </c>
      <c r="L136" s="210">
        <v>730.28644907126954</v>
      </c>
      <c r="M136" s="208">
        <v>6505.2925894863074</v>
      </c>
      <c r="N136" s="209">
        <v>4401.6753460736363</v>
      </c>
      <c r="O136" s="209">
        <v>2730.489848151858</v>
      </c>
      <c r="P136" s="209">
        <v>2119.9941480339958</v>
      </c>
      <c r="Q136" s="209">
        <v>1761.8425600025264</v>
      </c>
      <c r="R136" s="209">
        <v>1439.7537496450543</v>
      </c>
      <c r="S136" s="209">
        <v>1128.0333292524301</v>
      </c>
      <c r="T136" s="209">
        <v>904.18982423028638</v>
      </c>
      <c r="U136" s="210">
        <v>736.80866636730173</v>
      </c>
      <c r="V136" s="208">
        <v>6446.1263682075942</v>
      </c>
      <c r="W136" s="209">
        <v>4363.6353162151654</v>
      </c>
      <c r="X136" s="209">
        <v>2708.404978638011</v>
      </c>
      <c r="Y136" s="209">
        <v>2101.328882850632</v>
      </c>
      <c r="Z136" s="209">
        <v>1742.9566020172474</v>
      </c>
      <c r="AA136" s="209">
        <v>1429.4675711498674</v>
      </c>
      <c r="AB136" s="209">
        <v>1119.0921583216257</v>
      </c>
      <c r="AC136" s="209">
        <v>896.38245628520338</v>
      </c>
      <c r="AD136" s="210">
        <v>729.96389830866713</v>
      </c>
      <c r="AE136" s="214">
        <v>6304.5457437357918</v>
      </c>
      <c r="AF136" s="215">
        <v>4255.2155768670527</v>
      </c>
      <c r="AG136" s="215">
        <v>2631.5994039092525</v>
      </c>
      <c r="AH136" s="215">
        <v>2072.3743483471271</v>
      </c>
      <c r="AI136" s="215">
        <v>1733.2777911140615</v>
      </c>
      <c r="AJ136" s="215">
        <v>1392.7514739604958</v>
      </c>
      <c r="AK136" s="215">
        <v>1092.1408151125991</v>
      </c>
      <c r="AL136" s="215">
        <v>876.09845826756919</v>
      </c>
      <c r="AM136" s="216">
        <v>714.42976829028339</v>
      </c>
      <c r="AN136" s="214">
        <v>6164.6383832423717</v>
      </c>
      <c r="AO136" s="215">
        <v>4148.5230456644149</v>
      </c>
      <c r="AP136" s="215">
        <v>2556.3762612328273</v>
      </c>
      <c r="AQ136" s="215">
        <v>2029.3996454702053</v>
      </c>
      <c r="AR136" s="215">
        <v>1711.4923611115926</v>
      </c>
      <c r="AS136" s="215">
        <v>1355.2644648583628</v>
      </c>
      <c r="AT136" s="215">
        <v>1064.4923090556324</v>
      </c>
      <c r="AU136" s="215">
        <v>855.19192060813634</v>
      </c>
      <c r="AV136" s="216">
        <v>698.34303740823668</v>
      </c>
      <c r="AW136" s="214">
        <v>6026.3877491334342</v>
      </c>
      <c r="AX136" s="215">
        <v>4043.5340683802879</v>
      </c>
      <c r="AY136" s="215">
        <v>2482.706791769042</v>
      </c>
      <c r="AZ136" s="215">
        <v>1970.6064607058622</v>
      </c>
      <c r="BA136" s="215">
        <v>1675.7711440547848</v>
      </c>
      <c r="BB136" s="215">
        <v>1316.9956928123304</v>
      </c>
      <c r="BC136" s="215">
        <v>1036.1348879875416</v>
      </c>
      <c r="BD136" s="215">
        <v>833.65074245015387</v>
      </c>
      <c r="BE136" s="216">
        <v>681.69161459745465</v>
      </c>
    </row>
    <row r="137" spans="1:57" x14ac:dyDescent="0.25">
      <c r="A137" s="331"/>
      <c r="B137" s="195" t="s">
        <v>176</v>
      </c>
      <c r="C137" s="195" t="s">
        <v>19</v>
      </c>
      <c r="D137" s="208">
        <v>0</v>
      </c>
      <c r="E137" s="209">
        <v>0</v>
      </c>
      <c r="F137" s="209">
        <v>0</v>
      </c>
      <c r="G137" s="209">
        <v>0</v>
      </c>
      <c r="H137" s="209">
        <v>0</v>
      </c>
      <c r="I137" s="209">
        <v>0</v>
      </c>
      <c r="J137" s="209">
        <v>0</v>
      </c>
      <c r="K137" s="209">
        <v>0</v>
      </c>
      <c r="L137" s="210">
        <v>0</v>
      </c>
      <c r="M137" s="208">
        <v>0</v>
      </c>
      <c r="N137" s="209">
        <v>0</v>
      </c>
      <c r="O137" s="209">
        <v>0</v>
      </c>
      <c r="P137" s="209">
        <v>0</v>
      </c>
      <c r="Q137" s="209">
        <v>0</v>
      </c>
      <c r="R137" s="209">
        <v>0</v>
      </c>
      <c r="S137" s="209">
        <v>0</v>
      </c>
      <c r="T137" s="209">
        <v>0</v>
      </c>
      <c r="U137" s="210">
        <v>0</v>
      </c>
      <c r="V137" s="208">
        <v>0</v>
      </c>
      <c r="W137" s="209">
        <v>0</v>
      </c>
      <c r="X137" s="209">
        <v>0</v>
      </c>
      <c r="Y137" s="209">
        <v>0</v>
      </c>
      <c r="Z137" s="209">
        <v>0</v>
      </c>
      <c r="AA137" s="209">
        <v>0</v>
      </c>
      <c r="AB137" s="209">
        <v>0</v>
      </c>
      <c r="AC137" s="209">
        <v>0</v>
      </c>
      <c r="AD137" s="210">
        <v>0</v>
      </c>
      <c r="AE137" s="217">
        <v>0</v>
      </c>
      <c r="AF137" s="218">
        <v>0</v>
      </c>
      <c r="AG137" s="218">
        <v>0</v>
      </c>
      <c r="AH137" s="218">
        <v>0</v>
      </c>
      <c r="AI137" s="218">
        <v>0</v>
      </c>
      <c r="AJ137" s="218">
        <v>0</v>
      </c>
      <c r="AK137" s="218">
        <v>0</v>
      </c>
      <c r="AL137" s="218">
        <v>0</v>
      </c>
      <c r="AM137" s="219">
        <v>0</v>
      </c>
      <c r="AN137" s="217">
        <v>0</v>
      </c>
      <c r="AO137" s="218">
        <v>0</v>
      </c>
      <c r="AP137" s="218">
        <v>0</v>
      </c>
      <c r="AQ137" s="218">
        <v>0</v>
      </c>
      <c r="AR137" s="218">
        <v>0</v>
      </c>
      <c r="AS137" s="218">
        <v>0</v>
      </c>
      <c r="AT137" s="218">
        <v>0</v>
      </c>
      <c r="AU137" s="218">
        <v>0</v>
      </c>
      <c r="AV137" s="219">
        <v>0</v>
      </c>
      <c r="AW137" s="217">
        <v>0</v>
      </c>
      <c r="AX137" s="218">
        <v>0</v>
      </c>
      <c r="AY137" s="218">
        <v>0</v>
      </c>
      <c r="AZ137" s="218">
        <v>0</v>
      </c>
      <c r="BA137" s="218">
        <v>0</v>
      </c>
      <c r="BB137" s="218">
        <v>0</v>
      </c>
      <c r="BC137" s="218">
        <v>0</v>
      </c>
      <c r="BD137" s="218">
        <v>0</v>
      </c>
      <c r="BE137" s="219">
        <v>0</v>
      </c>
    </row>
    <row r="138" spans="1:57" x14ac:dyDescent="0.25">
      <c r="A138" s="331"/>
      <c r="B138" s="195" t="s">
        <v>118</v>
      </c>
      <c r="C138" s="195" t="s">
        <v>8</v>
      </c>
      <c r="D138" s="208"/>
      <c r="E138" s="209"/>
      <c r="F138" s="209"/>
      <c r="G138" s="209"/>
      <c r="H138" s="209"/>
      <c r="I138" s="209"/>
      <c r="J138" s="209"/>
      <c r="K138" s="209"/>
      <c r="L138" s="210"/>
      <c r="M138" s="208"/>
      <c r="N138" s="209"/>
      <c r="O138" s="209"/>
      <c r="P138" s="209"/>
      <c r="Q138" s="209"/>
      <c r="R138" s="209"/>
      <c r="S138" s="209"/>
      <c r="T138" s="209"/>
      <c r="U138" s="210"/>
      <c r="V138" s="208"/>
      <c r="W138" s="209"/>
      <c r="X138" s="209"/>
      <c r="Y138" s="209"/>
      <c r="Z138" s="209"/>
      <c r="AA138" s="209"/>
      <c r="AB138" s="209"/>
      <c r="AC138" s="209"/>
      <c r="AD138" s="210"/>
      <c r="AE138" s="211"/>
      <c r="AF138" s="212"/>
      <c r="AG138" s="212"/>
      <c r="AH138" s="212"/>
      <c r="AI138" s="212"/>
      <c r="AJ138" s="212"/>
      <c r="AK138" s="212"/>
      <c r="AL138" s="212"/>
      <c r="AM138" s="213"/>
      <c r="AN138" s="211"/>
      <c r="AO138" s="212"/>
      <c r="AP138" s="212"/>
      <c r="AQ138" s="212"/>
      <c r="AR138" s="212"/>
      <c r="AS138" s="212"/>
      <c r="AT138" s="212"/>
      <c r="AU138" s="212"/>
      <c r="AV138" s="213"/>
      <c r="AW138" s="211"/>
      <c r="AX138" s="212"/>
      <c r="AY138" s="212"/>
      <c r="AZ138" s="212"/>
      <c r="BA138" s="212"/>
      <c r="BB138" s="212"/>
      <c r="BC138" s="212"/>
      <c r="BD138" s="212"/>
      <c r="BE138" s="213"/>
    </row>
    <row r="139" spans="1:57" x14ac:dyDescent="0.25">
      <c r="A139" s="331"/>
      <c r="B139" s="195" t="s">
        <v>119</v>
      </c>
      <c r="C139" s="195" t="s">
        <v>9</v>
      </c>
      <c r="D139" s="208"/>
      <c r="E139" s="209"/>
      <c r="F139" s="209"/>
      <c r="G139" s="209"/>
      <c r="H139" s="209"/>
      <c r="I139" s="209"/>
      <c r="J139" s="209"/>
      <c r="K139" s="209"/>
      <c r="L139" s="210"/>
      <c r="M139" s="208"/>
      <c r="N139" s="209"/>
      <c r="O139" s="209"/>
      <c r="P139" s="209"/>
      <c r="Q139" s="209"/>
      <c r="R139" s="209"/>
      <c r="S139" s="209"/>
      <c r="T139" s="209"/>
      <c r="U139" s="210"/>
      <c r="V139" s="208"/>
      <c r="W139" s="209"/>
      <c r="X139" s="209"/>
      <c r="Y139" s="209"/>
      <c r="Z139" s="209"/>
      <c r="AA139" s="209"/>
      <c r="AB139" s="209"/>
      <c r="AC139" s="209"/>
      <c r="AD139" s="210"/>
      <c r="AE139" s="211"/>
      <c r="AF139" s="212"/>
      <c r="AG139" s="212"/>
      <c r="AH139" s="212"/>
      <c r="AI139" s="212"/>
      <c r="AJ139" s="212"/>
      <c r="AK139" s="212"/>
      <c r="AL139" s="212"/>
      <c r="AM139" s="213"/>
      <c r="AN139" s="211"/>
      <c r="AO139" s="212"/>
      <c r="AP139" s="212"/>
      <c r="AQ139" s="212"/>
      <c r="AR139" s="212"/>
      <c r="AS139" s="212"/>
      <c r="AT139" s="212"/>
      <c r="AU139" s="212"/>
      <c r="AV139" s="213"/>
      <c r="AW139" s="211"/>
      <c r="AX139" s="212"/>
      <c r="AY139" s="212"/>
      <c r="AZ139" s="212"/>
      <c r="BA139" s="212"/>
      <c r="BB139" s="212"/>
      <c r="BC139" s="212"/>
      <c r="BD139" s="212"/>
      <c r="BE139" s="213"/>
    </row>
    <row r="140" spans="1:57" x14ac:dyDescent="0.25">
      <c r="A140" s="331"/>
      <c r="B140" s="195" t="s">
        <v>39</v>
      </c>
      <c r="C140" s="195" t="s">
        <v>10</v>
      </c>
      <c r="D140" s="208">
        <v>5.4632155805897732E-2</v>
      </c>
      <c r="E140" s="209">
        <v>6.9225169277652349E-2</v>
      </c>
      <c r="F140" s="209">
        <v>5.5072970988733948E-2</v>
      </c>
      <c r="G140" s="209">
        <v>4.6604222305577481E-2</v>
      </c>
      <c r="H140" s="209">
        <v>4.0289223212275231E-2</v>
      </c>
      <c r="I140" s="209">
        <v>2.4583755873341454E-2</v>
      </c>
      <c r="J140" s="209">
        <v>1.9104989606490121E-2</v>
      </c>
      <c r="K140" s="209">
        <v>1.5182594783541725E-2</v>
      </c>
      <c r="L140" s="210">
        <v>1.3307545040231683E-2</v>
      </c>
      <c r="M140" s="208">
        <v>5.4632155805897732E-2</v>
      </c>
      <c r="N140" s="209">
        <v>6.9225169277652349E-2</v>
      </c>
      <c r="O140" s="209">
        <v>5.5072970988733948E-2</v>
      </c>
      <c r="P140" s="209">
        <v>4.6604222305577481E-2</v>
      </c>
      <c r="Q140" s="209">
        <v>4.0289223212275231E-2</v>
      </c>
      <c r="R140" s="209">
        <v>2.4583755873341454E-2</v>
      </c>
      <c r="S140" s="209">
        <v>1.9104989606490121E-2</v>
      </c>
      <c r="T140" s="209">
        <v>1.5182594783541725E-2</v>
      </c>
      <c r="U140" s="210">
        <v>1.3307545040231683E-2</v>
      </c>
      <c r="V140" s="208">
        <v>5.4632155805897732E-2</v>
      </c>
      <c r="W140" s="209">
        <v>6.9225169277652349E-2</v>
      </c>
      <c r="X140" s="209">
        <v>5.5072970988733948E-2</v>
      </c>
      <c r="Y140" s="209">
        <v>4.6604222305577481E-2</v>
      </c>
      <c r="Z140" s="209">
        <v>4.0289223212275231E-2</v>
      </c>
      <c r="AA140" s="209">
        <v>2.4583755873341454E-2</v>
      </c>
      <c r="AB140" s="209">
        <v>1.9104989606490121E-2</v>
      </c>
      <c r="AC140" s="209">
        <v>1.5182594783541725E-2</v>
      </c>
      <c r="AD140" s="210">
        <v>1.3307545040231683E-2</v>
      </c>
      <c r="AE140" s="214">
        <v>5.4632155805897732E-2</v>
      </c>
      <c r="AF140" s="215">
        <v>6.9225169277652349E-2</v>
      </c>
      <c r="AG140" s="215">
        <v>5.5072970988733948E-2</v>
      </c>
      <c r="AH140" s="215">
        <v>4.6604222305577481E-2</v>
      </c>
      <c r="AI140" s="215">
        <v>4.0289223212275231E-2</v>
      </c>
      <c r="AJ140" s="215">
        <v>2.4583755873341454E-2</v>
      </c>
      <c r="AK140" s="215">
        <v>1.9104989606490121E-2</v>
      </c>
      <c r="AL140" s="215">
        <v>1.5182594783541725E-2</v>
      </c>
      <c r="AM140" s="216">
        <v>1.3307545040231683E-2</v>
      </c>
      <c r="AN140" s="214">
        <v>5.4632155805897732E-2</v>
      </c>
      <c r="AO140" s="215">
        <v>6.9225169277652349E-2</v>
      </c>
      <c r="AP140" s="215">
        <v>5.5072970988733948E-2</v>
      </c>
      <c r="AQ140" s="215">
        <v>4.6604222305577481E-2</v>
      </c>
      <c r="AR140" s="215">
        <v>4.0289223212275231E-2</v>
      </c>
      <c r="AS140" s="215">
        <v>2.4583755873341454E-2</v>
      </c>
      <c r="AT140" s="215">
        <v>1.9104989606490121E-2</v>
      </c>
      <c r="AU140" s="215">
        <v>1.5182594783541725E-2</v>
      </c>
      <c r="AV140" s="216">
        <v>1.3307545040231683E-2</v>
      </c>
      <c r="AW140" s="214">
        <v>5.4632155805897732E-2</v>
      </c>
      <c r="AX140" s="215">
        <v>6.9225169277652349E-2</v>
      </c>
      <c r="AY140" s="215">
        <v>5.5072970988733948E-2</v>
      </c>
      <c r="AZ140" s="215">
        <v>4.6604222305577481E-2</v>
      </c>
      <c r="BA140" s="215">
        <v>4.0289223212275231E-2</v>
      </c>
      <c r="BB140" s="215">
        <v>2.4583755873341454E-2</v>
      </c>
      <c r="BC140" s="215">
        <v>1.9104989606490121E-2</v>
      </c>
      <c r="BD140" s="215">
        <v>1.5182594783541725E-2</v>
      </c>
      <c r="BE140" s="216">
        <v>1.3307545040231683E-2</v>
      </c>
    </row>
    <row r="141" spans="1:57" x14ac:dyDescent="0.25">
      <c r="A141" s="331"/>
      <c r="B141" s="195" t="s">
        <v>40</v>
      </c>
      <c r="C141" s="195" t="s">
        <v>10</v>
      </c>
      <c r="D141" s="208">
        <v>0</v>
      </c>
      <c r="E141" s="209">
        <v>0</v>
      </c>
      <c r="F141" s="209">
        <v>0</v>
      </c>
      <c r="G141" s="209">
        <v>0</v>
      </c>
      <c r="H141" s="209">
        <v>0</v>
      </c>
      <c r="I141" s="209">
        <v>0</v>
      </c>
      <c r="J141" s="209">
        <v>0</v>
      </c>
      <c r="K141" s="209">
        <v>0</v>
      </c>
      <c r="L141" s="210">
        <v>0</v>
      </c>
      <c r="M141" s="208">
        <v>0</v>
      </c>
      <c r="N141" s="209">
        <v>0</v>
      </c>
      <c r="O141" s="209">
        <v>0</v>
      </c>
      <c r="P141" s="209">
        <v>0</v>
      </c>
      <c r="Q141" s="209">
        <v>0</v>
      </c>
      <c r="R141" s="209">
        <v>0</v>
      </c>
      <c r="S141" s="209">
        <v>0</v>
      </c>
      <c r="T141" s="209">
        <v>0</v>
      </c>
      <c r="U141" s="210">
        <v>0</v>
      </c>
      <c r="V141" s="208">
        <v>0</v>
      </c>
      <c r="W141" s="209">
        <v>0</v>
      </c>
      <c r="X141" s="209">
        <v>0</v>
      </c>
      <c r="Y141" s="209">
        <v>0</v>
      </c>
      <c r="Z141" s="209">
        <v>0</v>
      </c>
      <c r="AA141" s="209">
        <v>0</v>
      </c>
      <c r="AB141" s="209">
        <v>0</v>
      </c>
      <c r="AC141" s="209">
        <v>0</v>
      </c>
      <c r="AD141" s="210">
        <v>0</v>
      </c>
      <c r="AE141" s="214">
        <v>0</v>
      </c>
      <c r="AF141" s="215">
        <v>0</v>
      </c>
      <c r="AG141" s="215">
        <v>0</v>
      </c>
      <c r="AH141" s="215">
        <v>0</v>
      </c>
      <c r="AI141" s="215">
        <v>0</v>
      </c>
      <c r="AJ141" s="215">
        <v>0</v>
      </c>
      <c r="AK141" s="215">
        <v>0</v>
      </c>
      <c r="AL141" s="215">
        <v>0</v>
      </c>
      <c r="AM141" s="216">
        <v>0</v>
      </c>
      <c r="AN141" s="214">
        <v>0</v>
      </c>
      <c r="AO141" s="215">
        <v>0</v>
      </c>
      <c r="AP141" s="215">
        <v>0</v>
      </c>
      <c r="AQ141" s="215">
        <v>0</v>
      </c>
      <c r="AR141" s="215">
        <v>0</v>
      </c>
      <c r="AS141" s="215">
        <v>0</v>
      </c>
      <c r="AT141" s="215">
        <v>0</v>
      </c>
      <c r="AU141" s="215">
        <v>0</v>
      </c>
      <c r="AV141" s="216">
        <v>0</v>
      </c>
      <c r="AW141" s="214">
        <v>0</v>
      </c>
      <c r="AX141" s="215">
        <v>0</v>
      </c>
      <c r="AY141" s="215">
        <v>0</v>
      </c>
      <c r="AZ141" s="215">
        <v>0</v>
      </c>
      <c r="BA141" s="215">
        <v>0</v>
      </c>
      <c r="BB141" s="215">
        <v>0</v>
      </c>
      <c r="BC141" s="215">
        <v>0</v>
      </c>
      <c r="BD141" s="215">
        <v>0</v>
      </c>
      <c r="BE141" s="216">
        <v>0</v>
      </c>
    </row>
    <row r="142" spans="1:57" x14ac:dyDescent="0.25">
      <c r="A142" s="331"/>
      <c r="B142" s="195" t="s">
        <v>41</v>
      </c>
      <c r="C142" s="195" t="s">
        <v>14</v>
      </c>
      <c r="D142" s="208"/>
      <c r="E142" s="209"/>
      <c r="F142" s="209"/>
      <c r="G142" s="209"/>
      <c r="H142" s="209"/>
      <c r="I142" s="209"/>
      <c r="J142" s="209"/>
      <c r="K142" s="209"/>
      <c r="L142" s="210"/>
      <c r="M142" s="208"/>
      <c r="N142" s="209"/>
      <c r="O142" s="209"/>
      <c r="P142" s="209"/>
      <c r="Q142" s="209"/>
      <c r="R142" s="209"/>
      <c r="S142" s="209"/>
      <c r="T142" s="209"/>
      <c r="U142" s="210"/>
      <c r="V142" s="208"/>
      <c r="W142" s="209"/>
      <c r="X142" s="209"/>
      <c r="Y142" s="209"/>
      <c r="Z142" s="209"/>
      <c r="AA142" s="209"/>
      <c r="AB142" s="209"/>
      <c r="AC142" s="209"/>
      <c r="AD142" s="210"/>
      <c r="AE142" s="211"/>
      <c r="AF142" s="212"/>
      <c r="AG142" s="212"/>
      <c r="AH142" s="212"/>
      <c r="AI142" s="212"/>
      <c r="AJ142" s="212"/>
      <c r="AK142" s="212"/>
      <c r="AL142" s="212"/>
      <c r="AM142" s="213"/>
      <c r="AN142" s="211"/>
      <c r="AO142" s="212"/>
      <c r="AP142" s="212"/>
      <c r="AQ142" s="212"/>
      <c r="AR142" s="212"/>
      <c r="AS142" s="212"/>
      <c r="AT142" s="212"/>
      <c r="AU142" s="212"/>
      <c r="AV142" s="213"/>
      <c r="AW142" s="211"/>
      <c r="AX142" s="212"/>
      <c r="AY142" s="212"/>
      <c r="AZ142" s="212"/>
      <c r="BA142" s="212"/>
      <c r="BB142" s="212"/>
      <c r="BC142" s="212"/>
      <c r="BD142" s="212"/>
      <c r="BE142" s="213"/>
    </row>
    <row r="143" spans="1:57" x14ac:dyDescent="0.25">
      <c r="A143" s="331"/>
      <c r="B143" s="195" t="s">
        <v>42</v>
      </c>
      <c r="C143" s="195" t="s">
        <v>4</v>
      </c>
      <c r="D143" s="208"/>
      <c r="E143" s="209"/>
      <c r="F143" s="209"/>
      <c r="G143" s="209"/>
      <c r="H143" s="209"/>
      <c r="I143" s="209"/>
      <c r="J143" s="209"/>
      <c r="K143" s="209"/>
      <c r="L143" s="210"/>
      <c r="M143" s="208"/>
      <c r="N143" s="209"/>
      <c r="O143" s="209"/>
      <c r="P143" s="209"/>
      <c r="Q143" s="209"/>
      <c r="R143" s="209"/>
      <c r="S143" s="209"/>
      <c r="T143" s="209"/>
      <c r="U143" s="210"/>
      <c r="V143" s="208"/>
      <c r="W143" s="209"/>
      <c r="X143" s="209"/>
      <c r="Y143" s="209"/>
      <c r="Z143" s="209"/>
      <c r="AA143" s="209"/>
      <c r="AB143" s="209"/>
      <c r="AC143" s="209"/>
      <c r="AD143" s="210"/>
      <c r="AE143" s="211"/>
      <c r="AF143" s="212"/>
      <c r="AG143" s="212"/>
      <c r="AH143" s="212"/>
      <c r="AI143" s="212"/>
      <c r="AJ143" s="212"/>
      <c r="AK143" s="212"/>
      <c r="AL143" s="212"/>
      <c r="AM143" s="213"/>
      <c r="AN143" s="211"/>
      <c r="AO143" s="212"/>
      <c r="AP143" s="212"/>
      <c r="AQ143" s="212"/>
      <c r="AR143" s="212"/>
      <c r="AS143" s="212"/>
      <c r="AT143" s="212"/>
      <c r="AU143" s="212"/>
      <c r="AV143" s="213"/>
      <c r="AW143" s="211"/>
      <c r="AX143" s="212"/>
      <c r="AY143" s="212"/>
      <c r="AZ143" s="212"/>
      <c r="BA143" s="212"/>
      <c r="BB143" s="212"/>
      <c r="BC143" s="212"/>
      <c r="BD143" s="212"/>
      <c r="BE143" s="213"/>
    </row>
    <row r="144" spans="1:57" x14ac:dyDescent="0.25">
      <c r="A144" s="331"/>
      <c r="B144" s="195" t="s">
        <v>43</v>
      </c>
      <c r="C144" s="195" t="s">
        <v>7</v>
      </c>
      <c r="D144" s="208">
        <v>0.25</v>
      </c>
      <c r="E144" s="209">
        <v>0.25</v>
      </c>
      <c r="F144" s="209">
        <v>0.25</v>
      </c>
      <c r="G144" s="209">
        <v>0.25</v>
      </c>
      <c r="H144" s="209">
        <v>0.25</v>
      </c>
      <c r="I144" s="209">
        <v>0.25</v>
      </c>
      <c r="J144" s="209">
        <v>0.25</v>
      </c>
      <c r="K144" s="209">
        <v>0.25</v>
      </c>
      <c r="L144" s="210">
        <v>0.25</v>
      </c>
      <c r="M144" s="208">
        <v>0.25</v>
      </c>
      <c r="N144" s="209">
        <v>0.25</v>
      </c>
      <c r="O144" s="209">
        <v>0.25</v>
      </c>
      <c r="P144" s="209">
        <v>0.25</v>
      </c>
      <c r="Q144" s="209">
        <v>0.25</v>
      </c>
      <c r="R144" s="209">
        <v>0.25</v>
      </c>
      <c r="S144" s="209">
        <v>0.25</v>
      </c>
      <c r="T144" s="209">
        <v>0.25</v>
      </c>
      <c r="U144" s="210">
        <v>0.25</v>
      </c>
      <c r="V144" s="208">
        <v>0.25</v>
      </c>
      <c r="W144" s="209">
        <v>0.25</v>
      </c>
      <c r="X144" s="209">
        <v>0.25</v>
      </c>
      <c r="Y144" s="209">
        <v>0.25</v>
      </c>
      <c r="Z144" s="209">
        <v>0.25</v>
      </c>
      <c r="AA144" s="209">
        <v>0.25</v>
      </c>
      <c r="AB144" s="209">
        <v>0.25</v>
      </c>
      <c r="AC144" s="209">
        <v>0.25</v>
      </c>
      <c r="AD144" s="210">
        <v>0.25</v>
      </c>
      <c r="AE144" s="220">
        <v>0.25</v>
      </c>
      <c r="AF144" s="221">
        <v>0.25</v>
      </c>
      <c r="AG144" s="221">
        <v>0.25</v>
      </c>
      <c r="AH144" s="221">
        <v>0.25</v>
      </c>
      <c r="AI144" s="221">
        <v>0.25</v>
      </c>
      <c r="AJ144" s="221">
        <v>0.25</v>
      </c>
      <c r="AK144" s="221">
        <v>0.25</v>
      </c>
      <c r="AL144" s="221">
        <v>0.25</v>
      </c>
      <c r="AM144" s="222">
        <v>0.25</v>
      </c>
      <c r="AN144" s="220">
        <v>0.25</v>
      </c>
      <c r="AO144" s="221">
        <v>0.25</v>
      </c>
      <c r="AP144" s="221">
        <v>0.25</v>
      </c>
      <c r="AQ144" s="221">
        <v>0.25</v>
      </c>
      <c r="AR144" s="221">
        <v>0.25</v>
      </c>
      <c r="AS144" s="221">
        <v>0.25</v>
      </c>
      <c r="AT144" s="221">
        <v>0.25</v>
      </c>
      <c r="AU144" s="221">
        <v>0.25</v>
      </c>
      <c r="AV144" s="222">
        <v>0.25</v>
      </c>
      <c r="AW144" s="220">
        <v>0.25</v>
      </c>
      <c r="AX144" s="221">
        <v>0.25</v>
      </c>
      <c r="AY144" s="221">
        <v>0.25</v>
      </c>
      <c r="AZ144" s="221">
        <v>0.25</v>
      </c>
      <c r="BA144" s="221">
        <v>0.25</v>
      </c>
      <c r="BB144" s="221">
        <v>0.25</v>
      </c>
      <c r="BC144" s="221">
        <v>0.25</v>
      </c>
      <c r="BD144" s="221">
        <v>0.25</v>
      </c>
      <c r="BE144" s="222">
        <v>0.25</v>
      </c>
    </row>
    <row r="145" spans="1:58" x14ac:dyDescent="0.25">
      <c r="A145" s="331"/>
      <c r="B145" s="195" t="s">
        <v>44</v>
      </c>
      <c r="C145" s="195" t="s">
        <v>7</v>
      </c>
      <c r="D145" s="208">
        <v>0.66625430833964439</v>
      </c>
      <c r="E145" s="209">
        <v>0.66367464936796561</v>
      </c>
      <c r="F145" s="209">
        <v>0.65679555877682227</v>
      </c>
      <c r="G145" s="209">
        <v>0.64733680921400016</v>
      </c>
      <c r="H145" s="209">
        <v>0.63443851435560639</v>
      </c>
      <c r="I145" s="209">
        <v>0.4680070358050421</v>
      </c>
      <c r="J145" s="209">
        <v>0.46713859851464173</v>
      </c>
      <c r="K145" s="209">
        <v>0.46531488020480088</v>
      </c>
      <c r="L145" s="210">
        <v>0.47</v>
      </c>
      <c r="M145" s="208">
        <v>0.66625430833964439</v>
      </c>
      <c r="N145" s="209">
        <v>0.66367464936796561</v>
      </c>
      <c r="O145" s="209">
        <v>0.65679555877682227</v>
      </c>
      <c r="P145" s="209">
        <v>0.64733680921400016</v>
      </c>
      <c r="Q145" s="209">
        <v>0.63443851435560639</v>
      </c>
      <c r="R145" s="209">
        <v>0.4680070358050421</v>
      </c>
      <c r="S145" s="209">
        <v>0.46713859851464173</v>
      </c>
      <c r="T145" s="209">
        <v>0.46531488020480088</v>
      </c>
      <c r="U145" s="210">
        <v>0.47</v>
      </c>
      <c r="V145" s="208">
        <v>0.66625430833964439</v>
      </c>
      <c r="W145" s="209">
        <v>0.66367464936796561</v>
      </c>
      <c r="X145" s="209">
        <v>0.65679555877682227</v>
      </c>
      <c r="Y145" s="209">
        <v>0.64733680921400016</v>
      </c>
      <c r="Z145" s="209">
        <v>0.63443851435560639</v>
      </c>
      <c r="AA145" s="209">
        <v>0.4680070358050421</v>
      </c>
      <c r="AB145" s="209">
        <v>0.46713859851464173</v>
      </c>
      <c r="AC145" s="209">
        <v>0.46531488020480088</v>
      </c>
      <c r="AD145" s="210">
        <v>0.47</v>
      </c>
      <c r="AE145" s="217">
        <v>0.66625430833964439</v>
      </c>
      <c r="AF145" s="218">
        <v>0.66367464936796561</v>
      </c>
      <c r="AG145" s="218">
        <v>0.65679555877682227</v>
      </c>
      <c r="AH145" s="218">
        <v>0.64733680921400016</v>
      </c>
      <c r="AI145" s="218">
        <v>0.63443851435560639</v>
      </c>
      <c r="AJ145" s="218">
        <v>0.4680070358050421</v>
      </c>
      <c r="AK145" s="218">
        <v>0.46713859851464173</v>
      </c>
      <c r="AL145" s="218">
        <v>0.46531488020480088</v>
      </c>
      <c r="AM145" s="219">
        <v>0.47</v>
      </c>
      <c r="AN145" s="217">
        <v>0.66625430833964439</v>
      </c>
      <c r="AO145" s="218">
        <v>0.66367464936796561</v>
      </c>
      <c r="AP145" s="218">
        <v>0.65679555877682227</v>
      </c>
      <c r="AQ145" s="218">
        <v>0.64733680921400016</v>
      </c>
      <c r="AR145" s="218">
        <v>0.63443851435560639</v>
      </c>
      <c r="AS145" s="218">
        <v>0.4680070358050421</v>
      </c>
      <c r="AT145" s="218">
        <v>0.46713859851464173</v>
      </c>
      <c r="AU145" s="218">
        <v>0.46531488020480088</v>
      </c>
      <c r="AV145" s="219">
        <v>0.47</v>
      </c>
      <c r="AW145" s="217">
        <v>0.66625430833964439</v>
      </c>
      <c r="AX145" s="218">
        <v>0.66367464936796561</v>
      </c>
      <c r="AY145" s="218">
        <v>0.65679555877682227</v>
      </c>
      <c r="AZ145" s="218">
        <v>0.64733680921400016</v>
      </c>
      <c r="BA145" s="218">
        <v>0.63443851435560639</v>
      </c>
      <c r="BB145" s="218">
        <v>0.4680070358050421</v>
      </c>
      <c r="BC145" s="218">
        <v>0.46713859851464173</v>
      </c>
      <c r="BD145" s="218">
        <v>0.46531488020480088</v>
      </c>
      <c r="BE145" s="219">
        <v>0.47</v>
      </c>
    </row>
    <row r="146" spans="1:58" x14ac:dyDescent="0.25">
      <c r="A146" s="331"/>
      <c r="B146" s="195" t="s">
        <v>45</v>
      </c>
      <c r="C146" s="195" t="s">
        <v>7</v>
      </c>
      <c r="D146" s="208">
        <v>0.25092243745356524</v>
      </c>
      <c r="E146" s="209">
        <v>0.25657675134016689</v>
      </c>
      <c r="F146" s="209">
        <v>0.27165492170443795</v>
      </c>
      <c r="G146" s="209">
        <v>0.29238740595531065</v>
      </c>
      <c r="H146" s="209">
        <v>0.32065897538831889</v>
      </c>
      <c r="I146" s="209">
        <v>0.41290384467151914</v>
      </c>
      <c r="J146" s="209">
        <v>0.41363974384019625</v>
      </c>
      <c r="K146" s="209">
        <v>0.41518513209441815</v>
      </c>
      <c r="L146" s="210">
        <v>0.41599999999999998</v>
      </c>
      <c r="M146" s="208">
        <v>0.25092243745356524</v>
      </c>
      <c r="N146" s="209">
        <v>0.25657675134016689</v>
      </c>
      <c r="O146" s="209">
        <v>0.27165492170443795</v>
      </c>
      <c r="P146" s="209">
        <v>0.29238740595531065</v>
      </c>
      <c r="Q146" s="209">
        <v>0.32065897538831889</v>
      </c>
      <c r="R146" s="209">
        <v>0.41290384467151914</v>
      </c>
      <c r="S146" s="209">
        <v>0.41363974384019625</v>
      </c>
      <c r="T146" s="209">
        <v>0.41518513209441815</v>
      </c>
      <c r="U146" s="210">
        <v>0.41599999999999998</v>
      </c>
      <c r="V146" s="208">
        <v>0.25092243745356524</v>
      </c>
      <c r="W146" s="209">
        <v>0.25657675134016689</v>
      </c>
      <c r="X146" s="209">
        <v>0.27165492170443795</v>
      </c>
      <c r="Y146" s="209">
        <v>0.29238740595531065</v>
      </c>
      <c r="Z146" s="209">
        <v>0.32065897538831889</v>
      </c>
      <c r="AA146" s="209">
        <v>0.41290384467151914</v>
      </c>
      <c r="AB146" s="209">
        <v>0.41363974384019625</v>
      </c>
      <c r="AC146" s="209">
        <v>0.41518513209441815</v>
      </c>
      <c r="AD146" s="210">
        <v>0.41599999999999998</v>
      </c>
      <c r="AE146" s="217">
        <v>0.25092243745356524</v>
      </c>
      <c r="AF146" s="218">
        <v>0.25657675134016689</v>
      </c>
      <c r="AG146" s="218">
        <v>0.27165492170443795</v>
      </c>
      <c r="AH146" s="218">
        <v>0.29238740595531065</v>
      </c>
      <c r="AI146" s="218">
        <v>0.32065897538831889</v>
      </c>
      <c r="AJ146" s="218">
        <v>0.41290384467151914</v>
      </c>
      <c r="AK146" s="218">
        <v>0.41363974384019625</v>
      </c>
      <c r="AL146" s="218">
        <v>0.41518513209441815</v>
      </c>
      <c r="AM146" s="219">
        <v>0.41599999999999998</v>
      </c>
      <c r="AN146" s="217">
        <v>0.25092243745356524</v>
      </c>
      <c r="AO146" s="218">
        <v>0.25657675134016689</v>
      </c>
      <c r="AP146" s="218">
        <v>0.27165492170443795</v>
      </c>
      <c r="AQ146" s="218">
        <v>0.29238740595531065</v>
      </c>
      <c r="AR146" s="218">
        <v>0.32065897538831889</v>
      </c>
      <c r="AS146" s="218">
        <v>0.41290384467151914</v>
      </c>
      <c r="AT146" s="218">
        <v>0.41363974384019625</v>
      </c>
      <c r="AU146" s="218">
        <v>0.41518513209441815</v>
      </c>
      <c r="AV146" s="219">
        <v>0.41599999999999998</v>
      </c>
      <c r="AW146" s="217">
        <v>0.25092243745356524</v>
      </c>
      <c r="AX146" s="218">
        <v>0.25657675134016689</v>
      </c>
      <c r="AY146" s="218">
        <v>0.27165492170443795</v>
      </c>
      <c r="AZ146" s="218">
        <v>0.29238740595531065</v>
      </c>
      <c r="BA146" s="218">
        <v>0.32065897538831889</v>
      </c>
      <c r="BB146" s="218">
        <v>0.41290384467151914</v>
      </c>
      <c r="BC146" s="218">
        <v>0.41363974384019625</v>
      </c>
      <c r="BD146" s="218">
        <v>0.41518513209441815</v>
      </c>
      <c r="BE146" s="219">
        <v>0.41599999999999998</v>
      </c>
    </row>
    <row r="147" spans="1:58" x14ac:dyDescent="0.25">
      <c r="A147" s="331"/>
      <c r="B147" s="195" t="s">
        <v>120</v>
      </c>
      <c r="C147" s="195" t="s">
        <v>10</v>
      </c>
      <c r="D147" s="208">
        <v>0.16</v>
      </c>
      <c r="E147" s="209">
        <v>0.16</v>
      </c>
      <c r="F147" s="209">
        <v>0.16</v>
      </c>
      <c r="G147" s="209">
        <v>0.16</v>
      </c>
      <c r="H147" s="209">
        <v>0.06</v>
      </c>
      <c r="I147" s="209">
        <v>0.05</v>
      </c>
      <c r="J147" s="209">
        <v>4.3999999999999997E-2</v>
      </c>
      <c r="K147" s="209">
        <v>4.3999999999999997E-2</v>
      </c>
      <c r="L147" s="210">
        <v>4.3999999999999997E-2</v>
      </c>
      <c r="M147" s="208">
        <v>0.16</v>
      </c>
      <c r="N147" s="209">
        <v>0.16</v>
      </c>
      <c r="O147" s="209">
        <v>0.16</v>
      </c>
      <c r="P147" s="209">
        <v>0.16</v>
      </c>
      <c r="Q147" s="209">
        <v>0.06</v>
      </c>
      <c r="R147" s="209">
        <v>0.05</v>
      </c>
      <c r="S147" s="209">
        <v>4.3999999999999997E-2</v>
      </c>
      <c r="T147" s="209">
        <v>4.3999999999999997E-2</v>
      </c>
      <c r="U147" s="210">
        <v>4.3999999999999997E-2</v>
      </c>
      <c r="V147" s="208">
        <v>0</v>
      </c>
      <c r="W147" s="209">
        <v>0</v>
      </c>
      <c r="X147" s="209">
        <v>0</v>
      </c>
      <c r="Y147" s="209">
        <v>0</v>
      </c>
      <c r="Z147" s="209">
        <v>0</v>
      </c>
      <c r="AA147" s="209">
        <v>0</v>
      </c>
      <c r="AB147" s="209">
        <v>0</v>
      </c>
      <c r="AC147" s="209">
        <v>0</v>
      </c>
      <c r="AD147" s="210">
        <v>0</v>
      </c>
      <c r="AE147" s="214">
        <v>0</v>
      </c>
      <c r="AF147" s="215">
        <v>0</v>
      </c>
      <c r="AG147" s="215">
        <v>0</v>
      </c>
      <c r="AH147" s="215">
        <v>0</v>
      </c>
      <c r="AI147" s="215">
        <v>0</v>
      </c>
      <c r="AJ147" s="215">
        <v>0</v>
      </c>
      <c r="AK147" s="215">
        <v>0</v>
      </c>
      <c r="AL147" s="215">
        <v>0</v>
      </c>
      <c r="AM147" s="216">
        <v>0</v>
      </c>
      <c r="AN147" s="214">
        <v>0</v>
      </c>
      <c r="AO147" s="215">
        <v>0</v>
      </c>
      <c r="AP147" s="215">
        <v>0</v>
      </c>
      <c r="AQ147" s="215">
        <v>0</v>
      </c>
      <c r="AR147" s="215">
        <v>0</v>
      </c>
      <c r="AS147" s="215">
        <v>0</v>
      </c>
      <c r="AT147" s="215">
        <v>0</v>
      </c>
      <c r="AU147" s="215">
        <v>0</v>
      </c>
      <c r="AV147" s="216">
        <v>0</v>
      </c>
      <c r="AW147" s="214">
        <v>0</v>
      </c>
      <c r="AX147" s="215">
        <v>0</v>
      </c>
      <c r="AY147" s="215">
        <v>0</v>
      </c>
      <c r="AZ147" s="215">
        <v>0</v>
      </c>
      <c r="BA147" s="215">
        <v>0</v>
      </c>
      <c r="BB147" s="215">
        <v>0</v>
      </c>
      <c r="BC147" s="215">
        <v>0</v>
      </c>
      <c r="BD147" s="215">
        <v>0</v>
      </c>
      <c r="BE147" s="216">
        <v>0</v>
      </c>
    </row>
    <row r="148" spans="1:58" x14ac:dyDescent="0.25">
      <c r="A148" s="331"/>
      <c r="B148" s="195" t="s">
        <v>121</v>
      </c>
      <c r="C148" s="195" t="s">
        <v>122</v>
      </c>
      <c r="D148" s="208">
        <v>0.08</v>
      </c>
      <c r="E148" s="209">
        <v>0.08</v>
      </c>
      <c r="F148" s="209">
        <v>0.08</v>
      </c>
      <c r="G148" s="209">
        <v>0.08</v>
      </c>
      <c r="H148" s="209">
        <v>0.03</v>
      </c>
      <c r="I148" s="209">
        <v>0</v>
      </c>
      <c r="J148" s="209">
        <v>0</v>
      </c>
      <c r="K148" s="209">
        <v>0</v>
      </c>
      <c r="L148" s="210">
        <v>0</v>
      </c>
      <c r="M148" s="208">
        <v>0.08</v>
      </c>
      <c r="N148" s="209">
        <v>0.08</v>
      </c>
      <c r="O148" s="209">
        <v>0.08</v>
      </c>
      <c r="P148" s="209">
        <v>0.08</v>
      </c>
      <c r="Q148" s="209">
        <v>0.03</v>
      </c>
      <c r="R148" s="209">
        <v>0</v>
      </c>
      <c r="S148" s="209">
        <v>0</v>
      </c>
      <c r="T148" s="209">
        <v>0</v>
      </c>
      <c r="U148" s="210">
        <v>0</v>
      </c>
      <c r="V148" s="208">
        <v>0</v>
      </c>
      <c r="W148" s="209">
        <v>0</v>
      </c>
      <c r="X148" s="209">
        <v>0</v>
      </c>
      <c r="Y148" s="209">
        <v>0</v>
      </c>
      <c r="Z148" s="209">
        <v>0</v>
      </c>
      <c r="AA148" s="209">
        <v>0</v>
      </c>
      <c r="AB148" s="209">
        <v>0</v>
      </c>
      <c r="AC148" s="209">
        <v>0</v>
      </c>
      <c r="AD148" s="210">
        <v>0</v>
      </c>
      <c r="AE148" s="214">
        <v>0</v>
      </c>
      <c r="AF148" s="215">
        <v>0</v>
      </c>
      <c r="AG148" s="215">
        <v>0</v>
      </c>
      <c r="AH148" s="215">
        <v>0</v>
      </c>
      <c r="AI148" s="215">
        <v>0</v>
      </c>
      <c r="AJ148" s="215">
        <v>0</v>
      </c>
      <c r="AK148" s="215">
        <v>0</v>
      </c>
      <c r="AL148" s="215">
        <v>0</v>
      </c>
      <c r="AM148" s="216">
        <v>0</v>
      </c>
      <c r="AN148" s="214">
        <v>0</v>
      </c>
      <c r="AO148" s="215">
        <v>0</v>
      </c>
      <c r="AP148" s="215">
        <v>0</v>
      </c>
      <c r="AQ148" s="215">
        <v>0</v>
      </c>
      <c r="AR148" s="215">
        <v>0</v>
      </c>
      <c r="AS148" s="215">
        <v>0</v>
      </c>
      <c r="AT148" s="215">
        <v>0</v>
      </c>
      <c r="AU148" s="215">
        <v>0</v>
      </c>
      <c r="AV148" s="216">
        <v>0</v>
      </c>
      <c r="AW148" s="214">
        <v>0</v>
      </c>
      <c r="AX148" s="215">
        <v>0</v>
      </c>
      <c r="AY148" s="215">
        <v>0</v>
      </c>
      <c r="AZ148" s="215">
        <v>0</v>
      </c>
      <c r="BA148" s="215">
        <v>0</v>
      </c>
      <c r="BB148" s="215">
        <v>0</v>
      </c>
      <c r="BC148" s="215">
        <v>0</v>
      </c>
      <c r="BD148" s="215">
        <v>0</v>
      </c>
      <c r="BE148" s="216">
        <v>0</v>
      </c>
    </row>
    <row r="149" spans="1:58" ht="15.75" thickBot="1" x14ac:dyDescent="0.3">
      <c r="A149" s="358"/>
      <c r="B149" s="359" t="s">
        <v>123</v>
      </c>
      <c r="C149" s="359" t="s">
        <v>124</v>
      </c>
      <c r="D149" s="360">
        <v>5.4999999999999997E-3</v>
      </c>
      <c r="E149" s="361">
        <v>5.4999999999999997E-3</v>
      </c>
      <c r="F149" s="361">
        <v>5.4999999999999997E-3</v>
      </c>
      <c r="G149" s="361">
        <v>5.4999999999999997E-3</v>
      </c>
      <c r="H149" s="361">
        <v>5.4999999999999997E-3</v>
      </c>
      <c r="I149" s="361">
        <v>5.4999999999999997E-3</v>
      </c>
      <c r="J149" s="361">
        <v>5.4999999999999997E-3</v>
      </c>
      <c r="K149" s="361">
        <v>5.4999999999999997E-3</v>
      </c>
      <c r="L149" s="362">
        <v>5.4999999999999997E-3</v>
      </c>
      <c r="M149" s="360">
        <v>5.4999999999999997E-3</v>
      </c>
      <c r="N149" s="361">
        <v>5.4999999999999997E-3</v>
      </c>
      <c r="O149" s="361">
        <v>5.4999999999999997E-3</v>
      </c>
      <c r="P149" s="361">
        <v>5.4999999999999997E-3</v>
      </c>
      <c r="Q149" s="361">
        <v>5.4999999999999997E-3</v>
      </c>
      <c r="R149" s="361">
        <v>5.4999999999999997E-3</v>
      </c>
      <c r="S149" s="361">
        <v>5.4999999999999997E-3</v>
      </c>
      <c r="T149" s="361">
        <v>5.4999999999999997E-3</v>
      </c>
      <c r="U149" s="362">
        <v>5.4999999999999997E-3</v>
      </c>
      <c r="V149" s="360">
        <v>0</v>
      </c>
      <c r="W149" s="361">
        <v>0</v>
      </c>
      <c r="X149" s="361">
        <v>0</v>
      </c>
      <c r="Y149" s="361">
        <v>0</v>
      </c>
      <c r="Z149" s="361">
        <v>0</v>
      </c>
      <c r="AA149" s="361">
        <v>0</v>
      </c>
      <c r="AB149" s="361">
        <v>0</v>
      </c>
      <c r="AC149" s="361">
        <v>0</v>
      </c>
      <c r="AD149" s="362">
        <v>0</v>
      </c>
      <c r="AE149" s="363">
        <v>0</v>
      </c>
      <c r="AF149" s="364">
        <v>0</v>
      </c>
      <c r="AG149" s="364">
        <v>0</v>
      </c>
      <c r="AH149" s="364">
        <v>0</v>
      </c>
      <c r="AI149" s="364">
        <v>0</v>
      </c>
      <c r="AJ149" s="364">
        <v>0</v>
      </c>
      <c r="AK149" s="364">
        <v>0</v>
      </c>
      <c r="AL149" s="364">
        <v>0</v>
      </c>
      <c r="AM149" s="365">
        <v>0</v>
      </c>
      <c r="AN149" s="363">
        <v>0</v>
      </c>
      <c r="AO149" s="364">
        <v>0</v>
      </c>
      <c r="AP149" s="364">
        <v>0</v>
      </c>
      <c r="AQ149" s="364">
        <v>0</v>
      </c>
      <c r="AR149" s="364">
        <v>0</v>
      </c>
      <c r="AS149" s="364">
        <v>0</v>
      </c>
      <c r="AT149" s="364">
        <v>0</v>
      </c>
      <c r="AU149" s="364">
        <v>0</v>
      </c>
      <c r="AV149" s="365">
        <v>0</v>
      </c>
      <c r="AW149" s="363">
        <v>0</v>
      </c>
      <c r="AX149" s="364">
        <v>0</v>
      </c>
      <c r="AY149" s="364">
        <v>0</v>
      </c>
      <c r="AZ149" s="364">
        <v>0</v>
      </c>
      <c r="BA149" s="364">
        <v>0</v>
      </c>
      <c r="BB149" s="364">
        <v>0</v>
      </c>
      <c r="BC149" s="364">
        <v>0</v>
      </c>
      <c r="BD149" s="364">
        <v>0</v>
      </c>
      <c r="BE149" s="365">
        <v>0</v>
      </c>
    </row>
    <row r="150" spans="1:58" x14ac:dyDescent="0.25">
      <c r="A150" s="339" t="s">
        <v>177</v>
      </c>
      <c r="B150" s="340" t="s">
        <v>109</v>
      </c>
      <c r="C150" s="340" t="s">
        <v>19</v>
      </c>
      <c r="D150" s="341">
        <v>1</v>
      </c>
      <c r="E150" s="342">
        <v>1</v>
      </c>
      <c r="F150" s="342">
        <v>1</v>
      </c>
      <c r="G150" s="342">
        <v>1</v>
      </c>
      <c r="H150" s="342">
        <v>1</v>
      </c>
      <c r="I150" s="342">
        <v>1</v>
      </c>
      <c r="J150" s="342">
        <v>1</v>
      </c>
      <c r="K150" s="342">
        <v>1</v>
      </c>
      <c r="L150" s="343">
        <v>1</v>
      </c>
      <c r="M150" s="341">
        <v>1</v>
      </c>
      <c r="N150" s="342">
        <v>1</v>
      </c>
      <c r="O150" s="342">
        <v>1</v>
      </c>
      <c r="P150" s="342">
        <v>1</v>
      </c>
      <c r="Q150" s="342">
        <v>1</v>
      </c>
      <c r="R150" s="342">
        <v>1</v>
      </c>
      <c r="S150" s="342">
        <v>1</v>
      </c>
      <c r="T150" s="342">
        <v>1</v>
      </c>
      <c r="U150" s="343">
        <v>1</v>
      </c>
      <c r="V150" s="341">
        <v>1</v>
      </c>
      <c r="W150" s="342">
        <v>1</v>
      </c>
      <c r="X150" s="342">
        <v>1</v>
      </c>
      <c r="Y150" s="342">
        <v>1</v>
      </c>
      <c r="Z150" s="342">
        <v>1</v>
      </c>
      <c r="AA150" s="342">
        <v>1</v>
      </c>
      <c r="AB150" s="342">
        <v>1</v>
      </c>
      <c r="AC150" s="342">
        <v>1</v>
      </c>
      <c r="AD150" s="343">
        <v>1</v>
      </c>
      <c r="AE150" s="344">
        <v>1</v>
      </c>
      <c r="AF150" s="345">
        <v>1</v>
      </c>
      <c r="AG150" s="345">
        <v>1</v>
      </c>
      <c r="AH150" s="345">
        <v>1</v>
      </c>
      <c r="AI150" s="345">
        <v>1</v>
      </c>
      <c r="AJ150" s="345">
        <v>1</v>
      </c>
      <c r="AK150" s="345">
        <v>1</v>
      </c>
      <c r="AL150" s="345">
        <v>1</v>
      </c>
      <c r="AM150" s="346">
        <v>1</v>
      </c>
      <c r="AN150" s="344">
        <v>1</v>
      </c>
      <c r="AO150" s="345">
        <v>1</v>
      </c>
      <c r="AP150" s="345">
        <v>1</v>
      </c>
      <c r="AQ150" s="345">
        <v>1</v>
      </c>
      <c r="AR150" s="345">
        <v>1</v>
      </c>
      <c r="AS150" s="345">
        <v>1</v>
      </c>
      <c r="AT150" s="345">
        <v>1</v>
      </c>
      <c r="AU150" s="345">
        <v>1</v>
      </c>
      <c r="AV150" s="346">
        <v>1</v>
      </c>
      <c r="AW150" s="344">
        <v>1</v>
      </c>
      <c r="AX150" s="345">
        <v>1</v>
      </c>
      <c r="AY150" s="345">
        <v>1</v>
      </c>
      <c r="AZ150" s="345">
        <v>1</v>
      </c>
      <c r="BA150" s="345">
        <v>1</v>
      </c>
      <c r="BB150" s="345">
        <v>1</v>
      </c>
      <c r="BC150" s="345">
        <v>1</v>
      </c>
      <c r="BD150" s="345">
        <v>1</v>
      </c>
      <c r="BE150" s="346">
        <v>1</v>
      </c>
      <c r="BF150" s="30"/>
    </row>
    <row r="151" spans="1:58" x14ac:dyDescent="0.25">
      <c r="A151" s="330"/>
      <c r="B151" s="193" t="s">
        <v>21</v>
      </c>
      <c r="C151" s="193" t="s">
        <v>19</v>
      </c>
      <c r="D151" s="196">
        <v>0.35</v>
      </c>
      <c r="E151" s="197">
        <v>0.35</v>
      </c>
      <c r="F151" s="197">
        <v>0.35</v>
      </c>
      <c r="G151" s="197">
        <v>0.35</v>
      </c>
      <c r="H151" s="197">
        <v>0.35</v>
      </c>
      <c r="I151" s="197">
        <v>0.35</v>
      </c>
      <c r="J151" s="197">
        <v>0.35</v>
      </c>
      <c r="K151" s="197">
        <v>0.35</v>
      </c>
      <c r="L151" s="198">
        <v>0.35</v>
      </c>
      <c r="M151" s="196">
        <v>0.35</v>
      </c>
      <c r="N151" s="197">
        <v>0.35</v>
      </c>
      <c r="O151" s="197">
        <v>0.35</v>
      </c>
      <c r="P151" s="197">
        <v>0.35</v>
      </c>
      <c r="Q151" s="197">
        <v>0.35</v>
      </c>
      <c r="R151" s="197">
        <v>0.35</v>
      </c>
      <c r="S151" s="197">
        <v>0.35</v>
      </c>
      <c r="T151" s="197">
        <v>0.35</v>
      </c>
      <c r="U151" s="198">
        <v>0.35</v>
      </c>
      <c r="V151" s="196">
        <v>0.35</v>
      </c>
      <c r="W151" s="197">
        <v>0.35</v>
      </c>
      <c r="X151" s="197">
        <v>0.35</v>
      </c>
      <c r="Y151" s="197">
        <v>0.35</v>
      </c>
      <c r="Z151" s="197">
        <v>0.35</v>
      </c>
      <c r="AA151" s="197">
        <v>0.35</v>
      </c>
      <c r="AB151" s="197">
        <v>0.35</v>
      </c>
      <c r="AC151" s="197">
        <v>0.35</v>
      </c>
      <c r="AD151" s="198">
        <v>0.35</v>
      </c>
      <c r="AE151" s="199">
        <v>0.35</v>
      </c>
      <c r="AF151" s="200">
        <v>0.35</v>
      </c>
      <c r="AG151" s="200">
        <v>0.35</v>
      </c>
      <c r="AH151" s="200">
        <v>0.35</v>
      </c>
      <c r="AI151" s="200">
        <v>0.35</v>
      </c>
      <c r="AJ151" s="200">
        <v>0.35</v>
      </c>
      <c r="AK151" s="200">
        <v>0.35</v>
      </c>
      <c r="AL151" s="200">
        <v>0.35</v>
      </c>
      <c r="AM151" s="201">
        <v>0.35</v>
      </c>
      <c r="AN151" s="199">
        <v>0.35</v>
      </c>
      <c r="AO151" s="200">
        <v>0.35</v>
      </c>
      <c r="AP151" s="200">
        <v>0.35</v>
      </c>
      <c r="AQ151" s="200">
        <v>0.35</v>
      </c>
      <c r="AR151" s="200">
        <v>0.35</v>
      </c>
      <c r="AS151" s="200">
        <v>0.35</v>
      </c>
      <c r="AT151" s="200">
        <v>0.35</v>
      </c>
      <c r="AU151" s="200">
        <v>0.35</v>
      </c>
      <c r="AV151" s="201">
        <v>0.35</v>
      </c>
      <c r="AW151" s="199">
        <v>0.35</v>
      </c>
      <c r="AX151" s="200">
        <v>0.35</v>
      </c>
      <c r="AY151" s="200">
        <v>0.35</v>
      </c>
      <c r="AZ151" s="200">
        <v>0.35</v>
      </c>
      <c r="BA151" s="200">
        <v>0.35</v>
      </c>
      <c r="BB151" s="200">
        <v>0.35</v>
      </c>
      <c r="BC151" s="200">
        <v>0.35</v>
      </c>
      <c r="BD151" s="200">
        <v>0.35</v>
      </c>
      <c r="BE151" s="201">
        <v>0.35</v>
      </c>
    </row>
    <row r="152" spans="1:58" x14ac:dyDescent="0.25">
      <c r="A152" s="330"/>
      <c r="B152" s="193" t="s">
        <v>22</v>
      </c>
      <c r="C152" s="193" t="s">
        <v>4</v>
      </c>
      <c r="D152" s="196">
        <v>20</v>
      </c>
      <c r="E152" s="197">
        <v>20</v>
      </c>
      <c r="F152" s="197">
        <v>20</v>
      </c>
      <c r="G152" s="197">
        <v>20</v>
      </c>
      <c r="H152" s="197">
        <v>20</v>
      </c>
      <c r="I152" s="197">
        <v>20</v>
      </c>
      <c r="J152" s="197">
        <v>20</v>
      </c>
      <c r="K152" s="197">
        <v>20</v>
      </c>
      <c r="L152" s="198">
        <v>20</v>
      </c>
      <c r="M152" s="196">
        <v>20</v>
      </c>
      <c r="N152" s="197">
        <v>20</v>
      </c>
      <c r="O152" s="197">
        <v>20</v>
      </c>
      <c r="P152" s="197">
        <v>20</v>
      </c>
      <c r="Q152" s="197">
        <v>20</v>
      </c>
      <c r="R152" s="197">
        <v>20</v>
      </c>
      <c r="S152" s="197">
        <v>20</v>
      </c>
      <c r="T152" s="197">
        <v>20</v>
      </c>
      <c r="U152" s="198">
        <v>20</v>
      </c>
      <c r="V152" s="196">
        <v>20</v>
      </c>
      <c r="W152" s="197">
        <v>20</v>
      </c>
      <c r="X152" s="197">
        <v>20</v>
      </c>
      <c r="Y152" s="197">
        <v>20</v>
      </c>
      <c r="Z152" s="197">
        <v>20</v>
      </c>
      <c r="AA152" s="197">
        <v>20</v>
      </c>
      <c r="AB152" s="197">
        <v>20</v>
      </c>
      <c r="AC152" s="197">
        <v>20</v>
      </c>
      <c r="AD152" s="198">
        <v>20</v>
      </c>
      <c r="AE152" s="199">
        <v>20</v>
      </c>
      <c r="AF152" s="200">
        <v>20</v>
      </c>
      <c r="AG152" s="200">
        <v>20</v>
      </c>
      <c r="AH152" s="200">
        <v>20</v>
      </c>
      <c r="AI152" s="200">
        <v>20</v>
      </c>
      <c r="AJ152" s="200">
        <v>20</v>
      </c>
      <c r="AK152" s="200">
        <v>20</v>
      </c>
      <c r="AL152" s="200">
        <v>20</v>
      </c>
      <c r="AM152" s="201">
        <v>20</v>
      </c>
      <c r="AN152" s="199">
        <v>20</v>
      </c>
      <c r="AO152" s="200">
        <v>20</v>
      </c>
      <c r="AP152" s="200">
        <v>20</v>
      </c>
      <c r="AQ152" s="200">
        <v>20</v>
      </c>
      <c r="AR152" s="200">
        <v>20</v>
      </c>
      <c r="AS152" s="200">
        <v>20</v>
      </c>
      <c r="AT152" s="200">
        <v>20</v>
      </c>
      <c r="AU152" s="200">
        <v>20</v>
      </c>
      <c r="AV152" s="201">
        <v>20</v>
      </c>
      <c r="AW152" s="199">
        <v>20</v>
      </c>
      <c r="AX152" s="200">
        <v>20</v>
      </c>
      <c r="AY152" s="200">
        <v>20</v>
      </c>
      <c r="AZ152" s="200">
        <v>20</v>
      </c>
      <c r="BA152" s="200">
        <v>20</v>
      </c>
      <c r="BB152" s="200">
        <v>20</v>
      </c>
      <c r="BC152" s="200">
        <v>20</v>
      </c>
      <c r="BD152" s="200">
        <v>20</v>
      </c>
      <c r="BE152" s="201">
        <v>20</v>
      </c>
    </row>
    <row r="153" spans="1:58" x14ac:dyDescent="0.25">
      <c r="A153" s="330"/>
      <c r="B153" s="193" t="s">
        <v>23</v>
      </c>
      <c r="C153" s="193" t="s">
        <v>6</v>
      </c>
      <c r="D153" s="196">
        <v>218.34121214018199</v>
      </c>
      <c r="E153" s="197">
        <v>184.87398682120613</v>
      </c>
      <c r="F153" s="197">
        <v>143.96390422813076</v>
      </c>
      <c r="G153" s="197">
        <v>115.96852782183296</v>
      </c>
      <c r="H153" s="197">
        <v>107.31263157894738</v>
      </c>
      <c r="I153" s="197">
        <v>107.00631578947369</v>
      </c>
      <c r="J153" s="197">
        <v>105.98526315789475</v>
      </c>
      <c r="K153" s="197">
        <v>103.84105263157896</v>
      </c>
      <c r="L153" s="198">
        <v>99.55263157894737</v>
      </c>
      <c r="M153" s="196">
        <v>212.90273464055423</v>
      </c>
      <c r="N153" s="197">
        <v>180.29847756137553</v>
      </c>
      <c r="O153" s="197">
        <v>140.44328080448224</v>
      </c>
      <c r="P153" s="197">
        <v>113.16977842477434</v>
      </c>
      <c r="Q153" s="197">
        <v>107.31263157894738</v>
      </c>
      <c r="R153" s="197">
        <v>107.00631578947369</v>
      </c>
      <c r="S153" s="197">
        <v>105.98526315789475</v>
      </c>
      <c r="T153" s="197">
        <v>103.84105263157896</v>
      </c>
      <c r="U153" s="198">
        <v>99.55263157894737</v>
      </c>
      <c r="V153" s="196">
        <v>207.70052243006694</v>
      </c>
      <c r="W153" s="197">
        <v>175.92180364293515</v>
      </c>
      <c r="X153" s="197">
        <v>137.07573863776301</v>
      </c>
      <c r="Y153" s="197">
        <v>110.49280008590137</v>
      </c>
      <c r="Z153" s="197">
        <v>107.31263157894738</v>
      </c>
      <c r="AA153" s="197">
        <v>107.00631578947369</v>
      </c>
      <c r="AB153" s="197">
        <v>105.98526315789475</v>
      </c>
      <c r="AC153" s="197">
        <v>103.84105263157896</v>
      </c>
      <c r="AD153" s="198">
        <v>99.55263157894737</v>
      </c>
      <c r="AE153" s="202">
        <v>202.65582041234001</v>
      </c>
      <c r="AF153" s="203">
        <v>171.6776866187549</v>
      </c>
      <c r="AG153" s="203">
        <v>133.81025064233</v>
      </c>
      <c r="AH153" s="203">
        <v>107.89700245248551</v>
      </c>
      <c r="AI153" s="203">
        <v>107.31263157894738</v>
      </c>
      <c r="AJ153" s="203">
        <v>107.00631578947369</v>
      </c>
      <c r="AK153" s="203">
        <v>105.98526315789475</v>
      </c>
      <c r="AL153" s="203">
        <v>103.84105263157896</v>
      </c>
      <c r="AM153" s="204">
        <v>99.55263157894737</v>
      </c>
      <c r="AN153" s="202">
        <v>197.6111183946131</v>
      </c>
      <c r="AO153" s="203">
        <v>167.43356959457475</v>
      </c>
      <c r="AP153" s="203">
        <v>130.54476264689706</v>
      </c>
      <c r="AQ153" s="203">
        <v>105.30120481906971</v>
      </c>
      <c r="AR153" s="203">
        <v>107.31263157894738</v>
      </c>
      <c r="AS153" s="203">
        <v>107.00631578947369</v>
      </c>
      <c r="AT153" s="203">
        <v>105.98526315789475</v>
      </c>
      <c r="AU153" s="203">
        <v>103.84105263157896</v>
      </c>
      <c r="AV153" s="204">
        <v>99.55263157894737</v>
      </c>
      <c r="AW153" s="202">
        <v>192.56641637688614</v>
      </c>
      <c r="AX153" s="203">
        <v>163.18945257039451</v>
      </c>
      <c r="AY153" s="203">
        <v>127.27927465146402</v>
      </c>
      <c r="AZ153" s="203">
        <v>102.70540718565383</v>
      </c>
      <c r="BA153" s="203">
        <v>107.31263157894738</v>
      </c>
      <c r="BB153" s="203">
        <v>107.00631578947369</v>
      </c>
      <c r="BC153" s="203">
        <v>105.98526315789475</v>
      </c>
      <c r="BD153" s="203">
        <v>103.84105263157896</v>
      </c>
      <c r="BE153" s="204">
        <v>99.55263157894737</v>
      </c>
    </row>
    <row r="154" spans="1:58" x14ac:dyDescent="0.25">
      <c r="A154" s="330"/>
      <c r="B154" s="193" t="s">
        <v>173</v>
      </c>
      <c r="C154" s="193" t="s">
        <v>19</v>
      </c>
      <c r="D154" s="196">
        <v>0</v>
      </c>
      <c r="E154" s="197">
        <v>0</v>
      </c>
      <c r="F154" s="197">
        <v>0</v>
      </c>
      <c r="G154" s="197">
        <v>0</v>
      </c>
      <c r="H154" s="197">
        <v>0</v>
      </c>
      <c r="I154" s="197">
        <v>0</v>
      </c>
      <c r="J154" s="197">
        <v>0</v>
      </c>
      <c r="K154" s="197">
        <v>0</v>
      </c>
      <c r="L154" s="198">
        <v>0</v>
      </c>
      <c r="M154" s="196">
        <v>0</v>
      </c>
      <c r="N154" s="197">
        <v>0</v>
      </c>
      <c r="O154" s="197">
        <v>0</v>
      </c>
      <c r="P154" s="197">
        <v>0</v>
      </c>
      <c r="Q154" s="197">
        <v>0</v>
      </c>
      <c r="R154" s="197">
        <v>0</v>
      </c>
      <c r="S154" s="197">
        <v>0</v>
      </c>
      <c r="T154" s="197">
        <v>0</v>
      </c>
      <c r="U154" s="198">
        <v>0</v>
      </c>
      <c r="V154" s="196">
        <v>0</v>
      </c>
      <c r="W154" s="197">
        <v>0</v>
      </c>
      <c r="X154" s="197">
        <v>0</v>
      </c>
      <c r="Y154" s="197">
        <v>0</v>
      </c>
      <c r="Z154" s="197">
        <v>0</v>
      </c>
      <c r="AA154" s="197">
        <v>0</v>
      </c>
      <c r="AB154" s="197">
        <v>0</v>
      </c>
      <c r="AC154" s="197">
        <v>0</v>
      </c>
      <c r="AD154" s="198">
        <v>0</v>
      </c>
      <c r="AE154" s="205">
        <v>0</v>
      </c>
      <c r="AF154" s="206">
        <v>0</v>
      </c>
      <c r="AG154" s="206">
        <v>0</v>
      </c>
      <c r="AH154" s="206">
        <v>0</v>
      </c>
      <c r="AI154" s="206">
        <v>0</v>
      </c>
      <c r="AJ154" s="206">
        <v>0</v>
      </c>
      <c r="AK154" s="206">
        <v>0</v>
      </c>
      <c r="AL154" s="206">
        <v>0</v>
      </c>
      <c r="AM154" s="207">
        <v>0</v>
      </c>
      <c r="AN154" s="205">
        <v>0</v>
      </c>
      <c r="AO154" s="206">
        <v>0</v>
      </c>
      <c r="AP154" s="206">
        <v>0</v>
      </c>
      <c r="AQ154" s="206">
        <v>0</v>
      </c>
      <c r="AR154" s="206">
        <v>0</v>
      </c>
      <c r="AS154" s="206">
        <v>0</v>
      </c>
      <c r="AT154" s="206">
        <v>0</v>
      </c>
      <c r="AU154" s="206">
        <v>0</v>
      </c>
      <c r="AV154" s="207">
        <v>0</v>
      </c>
      <c r="AW154" s="205">
        <v>0</v>
      </c>
      <c r="AX154" s="206">
        <v>0</v>
      </c>
      <c r="AY154" s="206">
        <v>0</v>
      </c>
      <c r="AZ154" s="206">
        <v>0</v>
      </c>
      <c r="BA154" s="206">
        <v>0</v>
      </c>
      <c r="BB154" s="206">
        <v>0</v>
      </c>
      <c r="BC154" s="206">
        <v>0</v>
      </c>
      <c r="BD154" s="206">
        <v>0</v>
      </c>
      <c r="BE154" s="207">
        <v>0</v>
      </c>
    </row>
    <row r="155" spans="1:58" x14ac:dyDescent="0.25">
      <c r="A155" s="330"/>
      <c r="B155" s="193" t="s">
        <v>110</v>
      </c>
      <c r="C155" s="193" t="s">
        <v>8</v>
      </c>
      <c r="D155" s="196"/>
      <c r="E155" s="197"/>
      <c r="F155" s="197"/>
      <c r="G155" s="197"/>
      <c r="H155" s="197"/>
      <c r="I155" s="197"/>
      <c r="J155" s="197"/>
      <c r="K155" s="197"/>
      <c r="L155" s="198"/>
      <c r="M155" s="196"/>
      <c r="N155" s="197"/>
      <c r="O155" s="197"/>
      <c r="P155" s="197"/>
      <c r="Q155" s="197"/>
      <c r="R155" s="197"/>
      <c r="S155" s="197"/>
      <c r="T155" s="197"/>
      <c r="U155" s="198"/>
      <c r="V155" s="196"/>
      <c r="W155" s="197"/>
      <c r="X155" s="197"/>
      <c r="Y155" s="197"/>
      <c r="Z155" s="197"/>
      <c r="AA155" s="197"/>
      <c r="AB155" s="197"/>
      <c r="AC155" s="197"/>
      <c r="AD155" s="198"/>
      <c r="AE155" s="199"/>
      <c r="AF155" s="200"/>
      <c r="AG155" s="200"/>
      <c r="AH155" s="200"/>
      <c r="AI155" s="200"/>
      <c r="AJ155" s="200"/>
      <c r="AK155" s="200"/>
      <c r="AL155" s="200"/>
      <c r="AM155" s="201"/>
      <c r="AN155" s="199"/>
      <c r="AO155" s="200"/>
      <c r="AP155" s="200"/>
      <c r="AQ155" s="200"/>
      <c r="AR155" s="200"/>
      <c r="AS155" s="200"/>
      <c r="AT155" s="200"/>
      <c r="AU155" s="200"/>
      <c r="AV155" s="201"/>
      <c r="AW155" s="199"/>
      <c r="AX155" s="200"/>
      <c r="AY155" s="200"/>
      <c r="AZ155" s="200"/>
      <c r="BA155" s="200"/>
      <c r="BB155" s="200"/>
      <c r="BC155" s="200"/>
      <c r="BD155" s="200"/>
      <c r="BE155" s="201"/>
    </row>
    <row r="156" spans="1:58" x14ac:dyDescent="0.25">
      <c r="A156" s="330"/>
      <c r="B156" s="193" t="s">
        <v>111</v>
      </c>
      <c r="C156" s="193" t="s">
        <v>9</v>
      </c>
      <c r="D156" s="196">
        <v>6.5502363642054595</v>
      </c>
      <c r="E156" s="197">
        <v>5.5462196046361836</v>
      </c>
      <c r="F156" s="197">
        <v>4.3189171268439228</v>
      </c>
      <c r="G156" s="197">
        <v>3.4790558346549889</v>
      </c>
      <c r="H156" s="197">
        <v>2.0378947368421052</v>
      </c>
      <c r="I156" s="197">
        <v>2.0189473684210526</v>
      </c>
      <c r="J156" s="197">
        <v>1.9557894736842103</v>
      </c>
      <c r="K156" s="197">
        <v>1.8231578947368419</v>
      </c>
      <c r="L156" s="198">
        <v>1.557894736842105</v>
      </c>
      <c r="M156" s="196">
        <v>6.3870820392166268</v>
      </c>
      <c r="N156" s="197">
        <v>5.4089543268412656</v>
      </c>
      <c r="O156" s="197">
        <v>4.2132984241344671</v>
      </c>
      <c r="P156" s="197">
        <v>3.3950933527432299</v>
      </c>
      <c r="Q156" s="197">
        <v>2.0378947368421052</v>
      </c>
      <c r="R156" s="197">
        <v>2.0189473684210526</v>
      </c>
      <c r="S156" s="197">
        <v>1.9557894736842103</v>
      </c>
      <c r="T156" s="197">
        <v>1.8231578947368419</v>
      </c>
      <c r="U156" s="198">
        <v>1.557894736842105</v>
      </c>
      <c r="V156" s="196">
        <v>6.2310156729020081</v>
      </c>
      <c r="W156" s="197">
        <v>5.2776541092880542</v>
      </c>
      <c r="X156" s="197">
        <v>4.1122721591328899</v>
      </c>
      <c r="Y156" s="197">
        <v>3.3147840025770408</v>
      </c>
      <c r="Z156" s="197">
        <v>2.0378947368421052</v>
      </c>
      <c r="AA156" s="197">
        <v>2.0189473684210526</v>
      </c>
      <c r="AB156" s="197">
        <v>1.9557894736842103</v>
      </c>
      <c r="AC156" s="197">
        <v>1.8231578947368419</v>
      </c>
      <c r="AD156" s="198">
        <v>1.557894736842105</v>
      </c>
      <c r="AE156" s="202">
        <v>6.0796746123701997</v>
      </c>
      <c r="AF156" s="203">
        <v>5.1503305985626469</v>
      </c>
      <c r="AG156" s="203">
        <v>4.0143075192698996</v>
      </c>
      <c r="AH156" s="203">
        <v>3.2369100735745651</v>
      </c>
      <c r="AI156" s="203">
        <v>2.0378947368421052</v>
      </c>
      <c r="AJ156" s="203">
        <v>2.0189473684210526</v>
      </c>
      <c r="AK156" s="203">
        <v>1.9557894736842103</v>
      </c>
      <c r="AL156" s="203">
        <v>1.8231578947368419</v>
      </c>
      <c r="AM156" s="204">
        <v>1.557894736842105</v>
      </c>
      <c r="AN156" s="202">
        <v>5.9283335518383931</v>
      </c>
      <c r="AO156" s="203">
        <v>5.0230070878372421</v>
      </c>
      <c r="AP156" s="203">
        <v>3.9163428794069115</v>
      </c>
      <c r="AQ156" s="203">
        <v>3.1590361445720911</v>
      </c>
      <c r="AR156" s="203">
        <v>2.0378947368421052</v>
      </c>
      <c r="AS156" s="203">
        <v>2.0189473684210526</v>
      </c>
      <c r="AT156" s="203">
        <v>1.9557894736842103</v>
      </c>
      <c r="AU156" s="203">
        <v>1.8231578947368419</v>
      </c>
      <c r="AV156" s="204">
        <v>1.557894736842105</v>
      </c>
      <c r="AW156" s="202">
        <v>5.7769924913065838</v>
      </c>
      <c r="AX156" s="203">
        <v>4.8956835771118348</v>
      </c>
      <c r="AY156" s="203">
        <v>3.8183782395439203</v>
      </c>
      <c r="AZ156" s="203">
        <v>3.0811622155696146</v>
      </c>
      <c r="BA156" s="203">
        <v>2.0378947368421052</v>
      </c>
      <c r="BB156" s="203">
        <v>2.0189473684210526</v>
      </c>
      <c r="BC156" s="203">
        <v>1.9557894736842103</v>
      </c>
      <c r="BD156" s="203">
        <v>1.8231578947368419</v>
      </c>
      <c r="BE156" s="204">
        <v>1.557894736842105</v>
      </c>
    </row>
    <row r="157" spans="1:58" x14ac:dyDescent="0.25">
      <c r="A157" s="330"/>
      <c r="B157" s="193" t="s">
        <v>35</v>
      </c>
      <c r="C157" s="193" t="s">
        <v>10</v>
      </c>
      <c r="D157" s="196">
        <v>0</v>
      </c>
      <c r="E157" s="197">
        <v>0</v>
      </c>
      <c r="F157" s="197">
        <v>0</v>
      </c>
      <c r="G157" s="197">
        <v>0</v>
      </c>
      <c r="H157" s="197">
        <v>0</v>
      </c>
      <c r="I157" s="197">
        <v>0</v>
      </c>
      <c r="J157" s="197">
        <v>1.6357894736842103E-3</v>
      </c>
      <c r="K157" s="197">
        <v>1.5031578947368419E-3</v>
      </c>
      <c r="L157" s="198">
        <v>1.2378947368421051E-3</v>
      </c>
      <c r="M157" s="196">
        <v>0</v>
      </c>
      <c r="N157" s="197">
        <v>0</v>
      </c>
      <c r="O157" s="197">
        <v>0</v>
      </c>
      <c r="P157" s="197">
        <v>0</v>
      </c>
      <c r="Q157" s="197">
        <v>0</v>
      </c>
      <c r="R157" s="197">
        <v>0</v>
      </c>
      <c r="S157" s="197">
        <v>1.6357894736842103E-3</v>
      </c>
      <c r="T157" s="197">
        <v>1.5031578947368419E-3</v>
      </c>
      <c r="U157" s="198">
        <v>1.2378947368421051E-3</v>
      </c>
      <c r="V157" s="196">
        <v>0</v>
      </c>
      <c r="W157" s="197">
        <v>0</v>
      </c>
      <c r="X157" s="197">
        <v>0</v>
      </c>
      <c r="Y157" s="197">
        <v>0</v>
      </c>
      <c r="Z157" s="197">
        <v>0</v>
      </c>
      <c r="AA157" s="197">
        <v>0</v>
      </c>
      <c r="AB157" s="197">
        <v>1.6473473684210525E-3</v>
      </c>
      <c r="AC157" s="197">
        <v>1.5133894736842103E-3</v>
      </c>
      <c r="AD157" s="198">
        <v>1.2454736842105263E-3</v>
      </c>
      <c r="AE157" s="202">
        <v>0</v>
      </c>
      <c r="AF157" s="203">
        <v>0</v>
      </c>
      <c r="AG157" s="203">
        <v>0</v>
      </c>
      <c r="AH157" s="203">
        <v>0</v>
      </c>
      <c r="AI157" s="203">
        <v>0</v>
      </c>
      <c r="AJ157" s="203">
        <v>0</v>
      </c>
      <c r="AK157" s="203">
        <v>1.6666105263157894E-3</v>
      </c>
      <c r="AL157" s="203">
        <v>1.5304421052631579E-3</v>
      </c>
      <c r="AM157" s="204">
        <v>1.2581052631578946E-3</v>
      </c>
      <c r="AN157" s="202">
        <v>0</v>
      </c>
      <c r="AO157" s="203">
        <v>0</v>
      </c>
      <c r="AP157" s="203">
        <v>0</v>
      </c>
      <c r="AQ157" s="203">
        <v>0</v>
      </c>
      <c r="AR157" s="203">
        <v>0</v>
      </c>
      <c r="AS157" s="203">
        <v>0</v>
      </c>
      <c r="AT157" s="203">
        <v>1.6858736842105264E-3</v>
      </c>
      <c r="AU157" s="203">
        <v>1.5474947368421053E-3</v>
      </c>
      <c r="AV157" s="204">
        <v>1.2707368421052633E-3</v>
      </c>
      <c r="AW157" s="202">
        <v>0</v>
      </c>
      <c r="AX157" s="203">
        <v>0</v>
      </c>
      <c r="AY157" s="203">
        <v>0</v>
      </c>
      <c r="AZ157" s="203">
        <v>0</v>
      </c>
      <c r="BA157" s="203">
        <v>0</v>
      </c>
      <c r="BB157" s="203">
        <v>0</v>
      </c>
      <c r="BC157" s="203">
        <v>1.7051368421052632E-3</v>
      </c>
      <c r="BD157" s="203">
        <v>1.5645473684210527E-3</v>
      </c>
      <c r="BE157" s="204">
        <v>1.2833684210526316E-3</v>
      </c>
    </row>
    <row r="158" spans="1:58" x14ac:dyDescent="0.25">
      <c r="A158" s="330"/>
      <c r="B158" s="193" t="s">
        <v>24</v>
      </c>
      <c r="C158" s="193" t="s">
        <v>10</v>
      </c>
      <c r="D158" s="196">
        <v>0</v>
      </c>
      <c r="E158" s="197">
        <v>0</v>
      </c>
      <c r="F158" s="197">
        <v>0</v>
      </c>
      <c r="G158" s="197">
        <v>0</v>
      </c>
      <c r="H158" s="197">
        <v>0</v>
      </c>
      <c r="I158" s="197">
        <v>0</v>
      </c>
      <c r="J158" s="197">
        <v>0</v>
      </c>
      <c r="K158" s="197">
        <v>0</v>
      </c>
      <c r="L158" s="198">
        <v>0</v>
      </c>
      <c r="M158" s="196">
        <v>0</v>
      </c>
      <c r="N158" s="197">
        <v>0</v>
      </c>
      <c r="O158" s="197">
        <v>0</v>
      </c>
      <c r="P158" s="197">
        <v>0</v>
      </c>
      <c r="Q158" s="197">
        <v>0</v>
      </c>
      <c r="R158" s="197">
        <v>0</v>
      </c>
      <c r="S158" s="197">
        <v>0</v>
      </c>
      <c r="T158" s="197">
        <v>0</v>
      </c>
      <c r="U158" s="198">
        <v>0</v>
      </c>
      <c r="V158" s="196">
        <v>0</v>
      </c>
      <c r="W158" s="197">
        <v>0</v>
      </c>
      <c r="X158" s="197">
        <v>0</v>
      </c>
      <c r="Y158" s="197">
        <v>0</v>
      </c>
      <c r="Z158" s="197">
        <v>0</v>
      </c>
      <c r="AA158" s="197">
        <v>0</v>
      </c>
      <c r="AB158" s="197">
        <v>0</v>
      </c>
      <c r="AC158" s="197">
        <v>0</v>
      </c>
      <c r="AD158" s="198">
        <v>0</v>
      </c>
      <c r="AE158" s="202">
        <v>0</v>
      </c>
      <c r="AF158" s="203">
        <v>0</v>
      </c>
      <c r="AG158" s="203">
        <v>0</v>
      </c>
      <c r="AH158" s="203">
        <v>0</v>
      </c>
      <c r="AI158" s="203">
        <v>0</v>
      </c>
      <c r="AJ158" s="203">
        <v>0</v>
      </c>
      <c r="AK158" s="203">
        <v>0</v>
      </c>
      <c r="AL158" s="203">
        <v>0</v>
      </c>
      <c r="AM158" s="204">
        <v>0</v>
      </c>
      <c r="AN158" s="202">
        <v>0</v>
      </c>
      <c r="AO158" s="203">
        <v>0</v>
      </c>
      <c r="AP158" s="203">
        <v>0</v>
      </c>
      <c r="AQ158" s="203">
        <v>0</v>
      </c>
      <c r="AR158" s="203">
        <v>0</v>
      </c>
      <c r="AS158" s="203">
        <v>0</v>
      </c>
      <c r="AT158" s="203">
        <v>0</v>
      </c>
      <c r="AU158" s="203">
        <v>0</v>
      </c>
      <c r="AV158" s="204">
        <v>0</v>
      </c>
      <c r="AW158" s="202">
        <v>0</v>
      </c>
      <c r="AX158" s="203">
        <v>0</v>
      </c>
      <c r="AY158" s="203">
        <v>0</v>
      </c>
      <c r="AZ158" s="203">
        <v>0</v>
      </c>
      <c r="BA158" s="203">
        <v>0</v>
      </c>
      <c r="BB158" s="203">
        <v>0</v>
      </c>
      <c r="BC158" s="203">
        <v>0</v>
      </c>
      <c r="BD158" s="203">
        <v>0</v>
      </c>
      <c r="BE158" s="204">
        <v>0</v>
      </c>
    </row>
    <row r="159" spans="1:58" x14ac:dyDescent="0.25">
      <c r="A159" s="330"/>
      <c r="B159" s="193" t="s">
        <v>25</v>
      </c>
      <c r="C159" s="193" t="s">
        <v>7</v>
      </c>
      <c r="D159" s="196">
        <v>0.94349999999999989</v>
      </c>
      <c r="E159" s="197">
        <v>0.94349999999999989</v>
      </c>
      <c r="F159" s="197">
        <v>0.94349999999999989</v>
      </c>
      <c r="G159" s="197">
        <v>0.94349999999999989</v>
      </c>
      <c r="H159" s="197">
        <v>0.94349999999999989</v>
      </c>
      <c r="I159" s="197">
        <v>0.94349999999999989</v>
      </c>
      <c r="J159" s="197">
        <v>0.99</v>
      </c>
      <c r="K159" s="197">
        <v>0.99</v>
      </c>
      <c r="L159" s="198">
        <v>0.99</v>
      </c>
      <c r="M159" s="196">
        <v>0.96599999999999986</v>
      </c>
      <c r="N159" s="197">
        <v>0.96599999999999986</v>
      </c>
      <c r="O159" s="197">
        <v>0.96599999999999986</v>
      </c>
      <c r="P159" s="197">
        <v>0.96599999999999986</v>
      </c>
      <c r="Q159" s="197">
        <v>0.96599999999999986</v>
      </c>
      <c r="R159" s="197">
        <v>0.96599999999999986</v>
      </c>
      <c r="S159" s="197">
        <v>0.99</v>
      </c>
      <c r="T159" s="197">
        <v>0.99</v>
      </c>
      <c r="U159" s="198">
        <v>0.99</v>
      </c>
      <c r="V159" s="196">
        <v>0.9787499999999999</v>
      </c>
      <c r="W159" s="197">
        <v>0.9787499999999999</v>
      </c>
      <c r="X159" s="197">
        <v>0.9787499999999999</v>
      </c>
      <c r="Y159" s="197">
        <v>0.9787499999999999</v>
      </c>
      <c r="Z159" s="197">
        <v>0.9787499999999999</v>
      </c>
      <c r="AA159" s="197">
        <v>0.9787499999999999</v>
      </c>
      <c r="AB159" s="197">
        <v>0.99150000000000005</v>
      </c>
      <c r="AC159" s="197">
        <v>0.99150000000000005</v>
      </c>
      <c r="AD159" s="198">
        <v>0.99150000000000005</v>
      </c>
      <c r="AE159" s="199">
        <v>0.98499999999999988</v>
      </c>
      <c r="AF159" s="200">
        <v>0.98499999999999988</v>
      </c>
      <c r="AG159" s="200">
        <v>0.98499999999999988</v>
      </c>
      <c r="AH159" s="200">
        <v>0.98499999999999988</v>
      </c>
      <c r="AI159" s="200">
        <v>0.98499999999999988</v>
      </c>
      <c r="AJ159" s="200">
        <v>0.98499999999999988</v>
      </c>
      <c r="AK159" s="200">
        <v>0.99399999999999999</v>
      </c>
      <c r="AL159" s="200">
        <v>0.99399999999999999</v>
      </c>
      <c r="AM159" s="201">
        <v>0.99399999999999999</v>
      </c>
      <c r="AN159" s="199">
        <v>0.99124999999999996</v>
      </c>
      <c r="AO159" s="200">
        <v>0.99124999999999996</v>
      </c>
      <c r="AP159" s="200">
        <v>0.99124999999999996</v>
      </c>
      <c r="AQ159" s="200">
        <v>0.99124999999999996</v>
      </c>
      <c r="AR159" s="200">
        <v>0.99124999999999996</v>
      </c>
      <c r="AS159" s="200">
        <v>0.99124999999999996</v>
      </c>
      <c r="AT159" s="200">
        <v>0.99649999999999994</v>
      </c>
      <c r="AU159" s="200">
        <v>0.99649999999999994</v>
      </c>
      <c r="AV159" s="201">
        <v>0.99649999999999994</v>
      </c>
      <c r="AW159" s="199">
        <v>0.99749999999999994</v>
      </c>
      <c r="AX159" s="200">
        <v>0.99749999999999994</v>
      </c>
      <c r="AY159" s="200">
        <v>0.99749999999999994</v>
      </c>
      <c r="AZ159" s="200">
        <v>0.99749999999999994</v>
      </c>
      <c r="BA159" s="200">
        <v>0.99749999999999994</v>
      </c>
      <c r="BB159" s="200">
        <v>0.99749999999999994</v>
      </c>
      <c r="BC159" s="200">
        <v>0.999</v>
      </c>
      <c r="BD159" s="200">
        <v>0.999</v>
      </c>
      <c r="BE159" s="201">
        <v>0.999</v>
      </c>
    </row>
    <row r="160" spans="1:58" x14ac:dyDescent="0.25">
      <c r="A160" s="330"/>
      <c r="B160" s="193" t="s">
        <v>26</v>
      </c>
      <c r="C160" s="193" t="s">
        <v>14</v>
      </c>
      <c r="D160" s="196">
        <v>1524.6</v>
      </c>
      <c r="E160" s="197">
        <v>1749.6</v>
      </c>
      <c r="F160" s="197">
        <v>2349.6</v>
      </c>
      <c r="G160" s="197">
        <v>3174.6</v>
      </c>
      <c r="H160" s="197">
        <v>4299.6000000000004</v>
      </c>
      <c r="I160" s="197">
        <v>14213</v>
      </c>
      <c r="J160" s="197">
        <v>21713</v>
      </c>
      <c r="K160" s="197">
        <v>37463</v>
      </c>
      <c r="L160" s="198">
        <v>68963</v>
      </c>
      <c r="M160" s="196">
        <v>1524.6</v>
      </c>
      <c r="N160" s="197">
        <v>1749.6</v>
      </c>
      <c r="O160" s="197">
        <v>2349.6</v>
      </c>
      <c r="P160" s="197">
        <v>3174.6</v>
      </c>
      <c r="Q160" s="197">
        <v>4299.6000000000004</v>
      </c>
      <c r="R160" s="197">
        <v>14213</v>
      </c>
      <c r="S160" s="197">
        <v>21713</v>
      </c>
      <c r="T160" s="197">
        <v>37463</v>
      </c>
      <c r="U160" s="198">
        <v>68963</v>
      </c>
      <c r="V160" s="196">
        <v>1524.6</v>
      </c>
      <c r="W160" s="197">
        <v>1749.6</v>
      </c>
      <c r="X160" s="197">
        <v>2349.6</v>
      </c>
      <c r="Y160" s="197">
        <v>3174.6</v>
      </c>
      <c r="Z160" s="197">
        <v>4299.6000000000004</v>
      </c>
      <c r="AA160" s="197">
        <v>14213</v>
      </c>
      <c r="AB160" s="197">
        <v>21713</v>
      </c>
      <c r="AC160" s="197">
        <v>37463</v>
      </c>
      <c r="AD160" s="198">
        <v>68963</v>
      </c>
      <c r="AE160" s="202">
        <v>1524.6</v>
      </c>
      <c r="AF160" s="203">
        <v>1749.6</v>
      </c>
      <c r="AG160" s="203">
        <v>2349.6</v>
      </c>
      <c r="AH160" s="203">
        <v>3174.6</v>
      </c>
      <c r="AI160" s="203">
        <v>4299.6000000000004</v>
      </c>
      <c r="AJ160" s="203">
        <v>14213</v>
      </c>
      <c r="AK160" s="203">
        <v>21713</v>
      </c>
      <c r="AL160" s="203">
        <v>37463</v>
      </c>
      <c r="AM160" s="204">
        <v>68963</v>
      </c>
      <c r="AN160" s="202">
        <v>1524.6</v>
      </c>
      <c r="AO160" s="203">
        <v>1749.6</v>
      </c>
      <c r="AP160" s="203">
        <v>2349.6</v>
      </c>
      <c r="AQ160" s="203">
        <v>3174.6</v>
      </c>
      <c r="AR160" s="203">
        <v>4299.6000000000004</v>
      </c>
      <c r="AS160" s="203">
        <v>14213</v>
      </c>
      <c r="AT160" s="203">
        <v>21713</v>
      </c>
      <c r="AU160" s="203">
        <v>37463</v>
      </c>
      <c r="AV160" s="204">
        <v>68963</v>
      </c>
      <c r="AW160" s="202">
        <v>1524.6</v>
      </c>
      <c r="AX160" s="203">
        <v>1749.6</v>
      </c>
      <c r="AY160" s="203">
        <v>2349.6</v>
      </c>
      <c r="AZ160" s="203">
        <v>3174.6</v>
      </c>
      <c r="BA160" s="203">
        <v>4299.6000000000004</v>
      </c>
      <c r="BB160" s="203">
        <v>14213</v>
      </c>
      <c r="BC160" s="203">
        <v>21713</v>
      </c>
      <c r="BD160" s="203">
        <v>37463</v>
      </c>
      <c r="BE160" s="204">
        <v>68963</v>
      </c>
    </row>
    <row r="161" spans="1:57" x14ac:dyDescent="0.25">
      <c r="A161" s="330"/>
      <c r="B161" s="193" t="s">
        <v>27</v>
      </c>
      <c r="C161" s="193" t="s">
        <v>4</v>
      </c>
      <c r="D161" s="196">
        <v>40</v>
      </c>
      <c r="E161" s="197">
        <v>40</v>
      </c>
      <c r="F161" s="197">
        <v>40</v>
      </c>
      <c r="G161" s="197">
        <v>40</v>
      </c>
      <c r="H161" s="197">
        <v>40</v>
      </c>
      <c r="I161" s="197">
        <v>40</v>
      </c>
      <c r="J161" s="197">
        <v>40</v>
      </c>
      <c r="K161" s="197">
        <v>40</v>
      </c>
      <c r="L161" s="198">
        <v>40</v>
      </c>
      <c r="M161" s="196">
        <v>40</v>
      </c>
      <c r="N161" s="197">
        <v>40</v>
      </c>
      <c r="O161" s="197">
        <v>40</v>
      </c>
      <c r="P161" s="197">
        <v>40</v>
      </c>
      <c r="Q161" s="197">
        <v>40</v>
      </c>
      <c r="R161" s="197">
        <v>40</v>
      </c>
      <c r="S161" s="197">
        <v>40</v>
      </c>
      <c r="T161" s="197">
        <v>40</v>
      </c>
      <c r="U161" s="198">
        <v>40</v>
      </c>
      <c r="V161" s="196">
        <v>40</v>
      </c>
      <c r="W161" s="197">
        <v>40</v>
      </c>
      <c r="X161" s="197">
        <v>40</v>
      </c>
      <c r="Y161" s="197">
        <v>40</v>
      </c>
      <c r="Z161" s="197">
        <v>40</v>
      </c>
      <c r="AA161" s="197">
        <v>40</v>
      </c>
      <c r="AB161" s="197">
        <v>40</v>
      </c>
      <c r="AC161" s="197">
        <v>40</v>
      </c>
      <c r="AD161" s="198">
        <v>40</v>
      </c>
      <c r="AE161" s="199">
        <v>40</v>
      </c>
      <c r="AF161" s="200">
        <v>40</v>
      </c>
      <c r="AG161" s="200">
        <v>40</v>
      </c>
      <c r="AH161" s="200">
        <v>40</v>
      </c>
      <c r="AI161" s="200">
        <v>40</v>
      </c>
      <c r="AJ161" s="200">
        <v>40</v>
      </c>
      <c r="AK161" s="200">
        <v>40</v>
      </c>
      <c r="AL161" s="200">
        <v>40</v>
      </c>
      <c r="AM161" s="201">
        <v>40</v>
      </c>
      <c r="AN161" s="199">
        <v>40</v>
      </c>
      <c r="AO161" s="200">
        <v>40</v>
      </c>
      <c r="AP161" s="200">
        <v>40</v>
      </c>
      <c r="AQ161" s="200">
        <v>40</v>
      </c>
      <c r="AR161" s="200">
        <v>40</v>
      </c>
      <c r="AS161" s="200">
        <v>40</v>
      </c>
      <c r="AT161" s="200">
        <v>40</v>
      </c>
      <c r="AU161" s="200">
        <v>40</v>
      </c>
      <c r="AV161" s="201">
        <v>40</v>
      </c>
      <c r="AW161" s="199">
        <v>40</v>
      </c>
      <c r="AX161" s="200">
        <v>40</v>
      </c>
      <c r="AY161" s="200">
        <v>40</v>
      </c>
      <c r="AZ161" s="200">
        <v>40</v>
      </c>
      <c r="BA161" s="200">
        <v>40</v>
      </c>
      <c r="BB161" s="200">
        <v>40</v>
      </c>
      <c r="BC161" s="200">
        <v>40</v>
      </c>
      <c r="BD161" s="200">
        <v>40</v>
      </c>
      <c r="BE161" s="201">
        <v>40</v>
      </c>
    </row>
    <row r="162" spans="1:57" x14ac:dyDescent="0.25">
      <c r="A162" s="330"/>
      <c r="B162" s="193" t="s">
        <v>117</v>
      </c>
      <c r="C162" s="193" t="s">
        <v>19</v>
      </c>
      <c r="D162" s="196">
        <v>0.35</v>
      </c>
      <c r="E162" s="197">
        <v>0.35</v>
      </c>
      <c r="F162" s="197">
        <v>0.35</v>
      </c>
      <c r="G162" s="197">
        <v>0.35</v>
      </c>
      <c r="H162" s="197">
        <v>0.35</v>
      </c>
      <c r="I162" s="197">
        <v>0.35</v>
      </c>
      <c r="J162" s="197">
        <v>0.35</v>
      </c>
      <c r="K162" s="197">
        <v>0.35</v>
      </c>
      <c r="L162" s="198">
        <v>0.35</v>
      </c>
      <c r="M162" s="196">
        <v>0.35</v>
      </c>
      <c r="N162" s="197">
        <v>0.35</v>
      </c>
      <c r="O162" s="197">
        <v>0.35</v>
      </c>
      <c r="P162" s="197">
        <v>0.35</v>
      </c>
      <c r="Q162" s="197">
        <v>0.35</v>
      </c>
      <c r="R162" s="197">
        <v>0.35</v>
      </c>
      <c r="S162" s="197">
        <v>0.35</v>
      </c>
      <c r="T162" s="197">
        <v>0.35</v>
      </c>
      <c r="U162" s="198">
        <v>0.35</v>
      </c>
      <c r="V162" s="196">
        <v>0.35</v>
      </c>
      <c r="W162" s="197">
        <v>0.35</v>
      </c>
      <c r="X162" s="197">
        <v>0.35</v>
      </c>
      <c r="Y162" s="197">
        <v>0.35</v>
      </c>
      <c r="Z162" s="197">
        <v>0.35</v>
      </c>
      <c r="AA162" s="197">
        <v>0.35</v>
      </c>
      <c r="AB162" s="197">
        <v>0.35</v>
      </c>
      <c r="AC162" s="197">
        <v>0.35</v>
      </c>
      <c r="AD162" s="198">
        <v>0.35</v>
      </c>
      <c r="AE162" s="199">
        <v>0.35</v>
      </c>
      <c r="AF162" s="200">
        <v>0.35</v>
      </c>
      <c r="AG162" s="200">
        <v>0.35</v>
      </c>
      <c r="AH162" s="200">
        <v>0.35</v>
      </c>
      <c r="AI162" s="200">
        <v>0.35</v>
      </c>
      <c r="AJ162" s="200">
        <v>0.35</v>
      </c>
      <c r="AK162" s="200">
        <v>0.35</v>
      </c>
      <c r="AL162" s="200">
        <v>0.35</v>
      </c>
      <c r="AM162" s="201">
        <v>0.35</v>
      </c>
      <c r="AN162" s="199">
        <v>0.35</v>
      </c>
      <c r="AO162" s="200">
        <v>0.35</v>
      </c>
      <c r="AP162" s="200">
        <v>0.35</v>
      </c>
      <c r="AQ162" s="200">
        <v>0.35</v>
      </c>
      <c r="AR162" s="200">
        <v>0.35</v>
      </c>
      <c r="AS162" s="200">
        <v>0.35</v>
      </c>
      <c r="AT162" s="200">
        <v>0.35</v>
      </c>
      <c r="AU162" s="200">
        <v>0.35</v>
      </c>
      <c r="AV162" s="201">
        <v>0.35</v>
      </c>
      <c r="AW162" s="199">
        <v>0.35</v>
      </c>
      <c r="AX162" s="200">
        <v>0.35</v>
      </c>
      <c r="AY162" s="200">
        <v>0.35</v>
      </c>
      <c r="AZ162" s="200">
        <v>0.35</v>
      </c>
      <c r="BA162" s="200">
        <v>0.35</v>
      </c>
      <c r="BB162" s="200">
        <v>0.35</v>
      </c>
      <c r="BC162" s="200">
        <v>0.35</v>
      </c>
      <c r="BD162" s="200">
        <v>0.35</v>
      </c>
      <c r="BE162" s="201">
        <v>0.35</v>
      </c>
    </row>
    <row r="163" spans="1:57" x14ac:dyDescent="0.25">
      <c r="A163" s="330"/>
      <c r="B163" s="193" t="s">
        <v>36</v>
      </c>
      <c r="C163" s="193" t="s">
        <v>19</v>
      </c>
      <c r="D163" s="196">
        <v>1.8571428571428572</v>
      </c>
      <c r="E163" s="197">
        <v>1.8571428571428572</v>
      </c>
      <c r="F163" s="197">
        <v>1.8571428571428572</v>
      </c>
      <c r="G163" s="197">
        <v>1.8571428571428572</v>
      </c>
      <c r="H163" s="197">
        <v>1.8571428571428572</v>
      </c>
      <c r="I163" s="197">
        <v>1.8571428571428572</v>
      </c>
      <c r="J163" s="197">
        <v>1.8571428571428572</v>
      </c>
      <c r="K163" s="197">
        <v>1.8571428571428572</v>
      </c>
      <c r="L163" s="198">
        <v>1.8571428571428572</v>
      </c>
      <c r="M163" s="196">
        <v>1.8571428571428572</v>
      </c>
      <c r="N163" s="197">
        <v>1.8571428571428572</v>
      </c>
      <c r="O163" s="197">
        <v>1.8571428571428572</v>
      </c>
      <c r="P163" s="197">
        <v>1.8571428571428572</v>
      </c>
      <c r="Q163" s="197">
        <v>1.8571428571428572</v>
      </c>
      <c r="R163" s="197">
        <v>1.8571428571428572</v>
      </c>
      <c r="S163" s="197">
        <v>1.8571428571428572</v>
      </c>
      <c r="T163" s="197">
        <v>1.8571428571428572</v>
      </c>
      <c r="U163" s="198">
        <v>1.8571428571428572</v>
      </c>
      <c r="V163" s="196">
        <v>1.8571428571428572</v>
      </c>
      <c r="W163" s="197">
        <v>1.8571428571428572</v>
      </c>
      <c r="X163" s="197">
        <v>1.8571428571428572</v>
      </c>
      <c r="Y163" s="197">
        <v>1.8571428571428572</v>
      </c>
      <c r="Z163" s="197">
        <v>1.8571428571428572</v>
      </c>
      <c r="AA163" s="197">
        <v>1.8571428571428572</v>
      </c>
      <c r="AB163" s="197">
        <v>1.8571428571428572</v>
      </c>
      <c r="AC163" s="197">
        <v>1.8571428571428572</v>
      </c>
      <c r="AD163" s="198">
        <v>1.8571428571428572</v>
      </c>
      <c r="AE163" s="199">
        <v>1.8571428571428572</v>
      </c>
      <c r="AF163" s="200">
        <v>1.8571428571428572</v>
      </c>
      <c r="AG163" s="200">
        <v>1.8571428571428572</v>
      </c>
      <c r="AH163" s="200">
        <v>1.8571428571428572</v>
      </c>
      <c r="AI163" s="200">
        <v>1.8571428571428572</v>
      </c>
      <c r="AJ163" s="200">
        <v>1.8571428571428572</v>
      </c>
      <c r="AK163" s="200">
        <v>1.8571428571428572</v>
      </c>
      <c r="AL163" s="200">
        <v>1.8571428571428572</v>
      </c>
      <c r="AM163" s="201">
        <v>1.8571428571428572</v>
      </c>
      <c r="AN163" s="199">
        <v>1.8571428571428572</v>
      </c>
      <c r="AO163" s="200">
        <v>1.8571428571428572</v>
      </c>
      <c r="AP163" s="200">
        <v>1.8571428571428572</v>
      </c>
      <c r="AQ163" s="200">
        <v>1.8571428571428572</v>
      </c>
      <c r="AR163" s="200">
        <v>1.8571428571428572</v>
      </c>
      <c r="AS163" s="200">
        <v>1.8571428571428572</v>
      </c>
      <c r="AT163" s="200">
        <v>1.8571428571428572</v>
      </c>
      <c r="AU163" s="200">
        <v>1.8571428571428572</v>
      </c>
      <c r="AV163" s="201">
        <v>1.8571428571428572</v>
      </c>
      <c r="AW163" s="199">
        <v>1.8571428571428572</v>
      </c>
      <c r="AX163" s="200">
        <v>1.8571428571428572</v>
      </c>
      <c r="AY163" s="200">
        <v>1.8571428571428572</v>
      </c>
      <c r="AZ163" s="200">
        <v>1.8571428571428572</v>
      </c>
      <c r="BA163" s="200">
        <v>1.8571428571428572</v>
      </c>
      <c r="BB163" s="200">
        <v>1.8571428571428572</v>
      </c>
      <c r="BC163" s="200">
        <v>1.8571428571428572</v>
      </c>
      <c r="BD163" s="200">
        <v>1.8571428571428572</v>
      </c>
      <c r="BE163" s="201">
        <v>1.8571428571428572</v>
      </c>
    </row>
    <row r="164" spans="1:57" x14ac:dyDescent="0.25">
      <c r="A164" s="330"/>
      <c r="B164" s="193" t="s">
        <v>37</v>
      </c>
      <c r="C164" s="193" t="s">
        <v>4</v>
      </c>
      <c r="D164" s="196">
        <v>20</v>
      </c>
      <c r="E164" s="197">
        <v>20</v>
      </c>
      <c r="F164" s="197">
        <v>20</v>
      </c>
      <c r="G164" s="197">
        <v>20</v>
      </c>
      <c r="H164" s="197">
        <v>20</v>
      </c>
      <c r="I164" s="197">
        <v>20</v>
      </c>
      <c r="J164" s="197">
        <v>20</v>
      </c>
      <c r="K164" s="197">
        <v>20</v>
      </c>
      <c r="L164" s="198">
        <v>20</v>
      </c>
      <c r="M164" s="196">
        <v>20</v>
      </c>
      <c r="N164" s="197">
        <v>20</v>
      </c>
      <c r="O164" s="197">
        <v>20</v>
      </c>
      <c r="P164" s="197">
        <v>20</v>
      </c>
      <c r="Q164" s="197">
        <v>20</v>
      </c>
      <c r="R164" s="197">
        <v>20</v>
      </c>
      <c r="S164" s="197">
        <v>20</v>
      </c>
      <c r="T164" s="197">
        <v>20</v>
      </c>
      <c r="U164" s="198">
        <v>20</v>
      </c>
      <c r="V164" s="196">
        <v>20</v>
      </c>
      <c r="W164" s="197">
        <v>20</v>
      </c>
      <c r="X164" s="197">
        <v>20</v>
      </c>
      <c r="Y164" s="197">
        <v>20</v>
      </c>
      <c r="Z164" s="197">
        <v>20</v>
      </c>
      <c r="AA164" s="197">
        <v>20</v>
      </c>
      <c r="AB164" s="197">
        <v>20</v>
      </c>
      <c r="AC164" s="197">
        <v>20</v>
      </c>
      <c r="AD164" s="198">
        <v>20</v>
      </c>
      <c r="AE164" s="199">
        <v>20</v>
      </c>
      <c r="AF164" s="200">
        <v>20</v>
      </c>
      <c r="AG164" s="200">
        <v>20</v>
      </c>
      <c r="AH164" s="200">
        <v>20</v>
      </c>
      <c r="AI164" s="200">
        <v>20</v>
      </c>
      <c r="AJ164" s="200">
        <v>20</v>
      </c>
      <c r="AK164" s="200">
        <v>20</v>
      </c>
      <c r="AL164" s="200">
        <v>20</v>
      </c>
      <c r="AM164" s="201">
        <v>20</v>
      </c>
      <c r="AN164" s="199">
        <v>20</v>
      </c>
      <c r="AO164" s="200">
        <v>20</v>
      </c>
      <c r="AP164" s="200">
        <v>20</v>
      </c>
      <c r="AQ164" s="200">
        <v>20</v>
      </c>
      <c r="AR164" s="200">
        <v>20</v>
      </c>
      <c r="AS164" s="200">
        <v>20</v>
      </c>
      <c r="AT164" s="200">
        <v>20</v>
      </c>
      <c r="AU164" s="200">
        <v>20</v>
      </c>
      <c r="AV164" s="201">
        <v>20</v>
      </c>
      <c r="AW164" s="199">
        <v>20</v>
      </c>
      <c r="AX164" s="200">
        <v>20</v>
      </c>
      <c r="AY164" s="200">
        <v>20</v>
      </c>
      <c r="AZ164" s="200">
        <v>20</v>
      </c>
      <c r="BA164" s="200">
        <v>20</v>
      </c>
      <c r="BB164" s="200">
        <v>20</v>
      </c>
      <c r="BC164" s="200">
        <v>20</v>
      </c>
      <c r="BD164" s="200">
        <v>20</v>
      </c>
      <c r="BE164" s="201">
        <v>20</v>
      </c>
    </row>
    <row r="165" spans="1:57" x14ac:dyDescent="0.25">
      <c r="A165" s="330"/>
      <c r="B165" s="193" t="s">
        <v>38</v>
      </c>
      <c r="C165" s="193" t="s">
        <v>6</v>
      </c>
      <c r="D165" s="196">
        <v>6439.2406849033259</v>
      </c>
      <c r="E165" s="197">
        <v>4332.7824241831977</v>
      </c>
      <c r="F165" s="197">
        <v>2669.5160351066907</v>
      </c>
      <c r="G165" s="197">
        <v>2110.1894367812192</v>
      </c>
      <c r="H165" s="197">
        <v>1784.2871082104245</v>
      </c>
      <c r="I165" s="197">
        <v>1409.7428212977536</v>
      </c>
      <c r="J165" s="197">
        <v>1109.4282603302854</v>
      </c>
      <c r="K165" s="197">
        <v>892.85832488167068</v>
      </c>
      <c r="L165" s="198">
        <v>730.28644907126954</v>
      </c>
      <c r="M165" s="196">
        <v>6505.2925894863074</v>
      </c>
      <c r="N165" s="197">
        <v>4401.6753460736363</v>
      </c>
      <c r="O165" s="197">
        <v>2730.489848151858</v>
      </c>
      <c r="P165" s="197">
        <v>2119.9941480339958</v>
      </c>
      <c r="Q165" s="197">
        <v>1761.8425600025264</v>
      </c>
      <c r="R165" s="197">
        <v>1439.7537496450543</v>
      </c>
      <c r="S165" s="197">
        <v>1128.0333292524301</v>
      </c>
      <c r="T165" s="197">
        <v>904.18982423028638</v>
      </c>
      <c r="U165" s="198">
        <v>736.80866636730173</v>
      </c>
      <c r="V165" s="196">
        <v>6446.1263682075942</v>
      </c>
      <c r="W165" s="197">
        <v>4363.6353162151654</v>
      </c>
      <c r="X165" s="197">
        <v>2708.404978638011</v>
      </c>
      <c r="Y165" s="197">
        <v>2101.328882850632</v>
      </c>
      <c r="Z165" s="197">
        <v>1742.9566020172474</v>
      </c>
      <c r="AA165" s="197">
        <v>1429.4675711498674</v>
      </c>
      <c r="AB165" s="197">
        <v>1119.0921583216257</v>
      </c>
      <c r="AC165" s="197">
        <v>896.38245628520338</v>
      </c>
      <c r="AD165" s="198">
        <v>729.96389830866713</v>
      </c>
      <c r="AE165" s="202">
        <v>6304.5457437357918</v>
      </c>
      <c r="AF165" s="203">
        <v>4255.2155768670527</v>
      </c>
      <c r="AG165" s="203">
        <v>2631.5994039092525</v>
      </c>
      <c r="AH165" s="203">
        <v>2072.3743483471271</v>
      </c>
      <c r="AI165" s="203">
        <v>1733.2777911140615</v>
      </c>
      <c r="AJ165" s="203">
        <v>1392.7514739604958</v>
      </c>
      <c r="AK165" s="203">
        <v>1092.1408151125991</v>
      </c>
      <c r="AL165" s="203">
        <v>876.09845826756919</v>
      </c>
      <c r="AM165" s="204">
        <v>714.42976829028339</v>
      </c>
      <c r="AN165" s="202">
        <v>6164.6383832423717</v>
      </c>
      <c r="AO165" s="203">
        <v>4148.5230456644149</v>
      </c>
      <c r="AP165" s="203">
        <v>2556.3762612328273</v>
      </c>
      <c r="AQ165" s="203">
        <v>2029.3996454702053</v>
      </c>
      <c r="AR165" s="203">
        <v>1711.4923611115926</v>
      </c>
      <c r="AS165" s="203">
        <v>1355.2644648583628</v>
      </c>
      <c r="AT165" s="203">
        <v>1064.4923090556324</v>
      </c>
      <c r="AU165" s="203">
        <v>855.19192060813634</v>
      </c>
      <c r="AV165" s="204">
        <v>698.34303740823668</v>
      </c>
      <c r="AW165" s="202">
        <v>6026.3877491334342</v>
      </c>
      <c r="AX165" s="203">
        <v>4043.5340683802879</v>
      </c>
      <c r="AY165" s="203">
        <v>2482.706791769042</v>
      </c>
      <c r="AZ165" s="203">
        <v>1970.6064607058622</v>
      </c>
      <c r="BA165" s="203">
        <v>1675.7711440547848</v>
      </c>
      <c r="BB165" s="203">
        <v>1316.9956928123304</v>
      </c>
      <c r="BC165" s="203">
        <v>1036.1348879875416</v>
      </c>
      <c r="BD165" s="203">
        <v>833.65074245015387</v>
      </c>
      <c r="BE165" s="204">
        <v>681.69161459745465</v>
      </c>
    </row>
    <row r="166" spans="1:57" x14ac:dyDescent="0.25">
      <c r="A166" s="330"/>
      <c r="B166" s="193" t="s">
        <v>176</v>
      </c>
      <c r="C166" s="193" t="s">
        <v>19</v>
      </c>
      <c r="D166" s="196">
        <v>0</v>
      </c>
      <c r="E166" s="197">
        <v>0</v>
      </c>
      <c r="F166" s="197">
        <v>0</v>
      </c>
      <c r="G166" s="197">
        <v>0</v>
      </c>
      <c r="H166" s="197">
        <v>0</v>
      </c>
      <c r="I166" s="197">
        <v>0</v>
      </c>
      <c r="J166" s="197">
        <v>0</v>
      </c>
      <c r="K166" s="197">
        <v>0</v>
      </c>
      <c r="L166" s="198">
        <v>0</v>
      </c>
      <c r="M166" s="196">
        <v>0</v>
      </c>
      <c r="N166" s="197">
        <v>0</v>
      </c>
      <c r="O166" s="197">
        <v>0</v>
      </c>
      <c r="P166" s="197">
        <v>0</v>
      </c>
      <c r="Q166" s="197">
        <v>0</v>
      </c>
      <c r="R166" s="197">
        <v>0</v>
      </c>
      <c r="S166" s="197">
        <v>0</v>
      </c>
      <c r="T166" s="197">
        <v>0</v>
      </c>
      <c r="U166" s="198">
        <v>0</v>
      </c>
      <c r="V166" s="196">
        <v>0</v>
      </c>
      <c r="W166" s="197">
        <v>0</v>
      </c>
      <c r="X166" s="197">
        <v>0</v>
      </c>
      <c r="Y166" s="197">
        <v>0</v>
      </c>
      <c r="Z166" s="197">
        <v>0</v>
      </c>
      <c r="AA166" s="197">
        <v>0</v>
      </c>
      <c r="AB166" s="197">
        <v>0</v>
      </c>
      <c r="AC166" s="197">
        <v>0</v>
      </c>
      <c r="AD166" s="198">
        <v>0</v>
      </c>
      <c r="AE166" s="205">
        <v>0</v>
      </c>
      <c r="AF166" s="206">
        <v>0</v>
      </c>
      <c r="AG166" s="206">
        <v>0</v>
      </c>
      <c r="AH166" s="206">
        <v>0</v>
      </c>
      <c r="AI166" s="206">
        <v>0</v>
      </c>
      <c r="AJ166" s="206">
        <v>0</v>
      </c>
      <c r="AK166" s="206">
        <v>0</v>
      </c>
      <c r="AL166" s="206">
        <v>0</v>
      </c>
      <c r="AM166" s="207">
        <v>0</v>
      </c>
      <c r="AN166" s="205">
        <v>0</v>
      </c>
      <c r="AO166" s="206">
        <v>0</v>
      </c>
      <c r="AP166" s="206">
        <v>0</v>
      </c>
      <c r="AQ166" s="206">
        <v>0</v>
      </c>
      <c r="AR166" s="206">
        <v>0</v>
      </c>
      <c r="AS166" s="206">
        <v>0</v>
      </c>
      <c r="AT166" s="206">
        <v>0</v>
      </c>
      <c r="AU166" s="206">
        <v>0</v>
      </c>
      <c r="AV166" s="207">
        <v>0</v>
      </c>
      <c r="AW166" s="205">
        <v>0</v>
      </c>
      <c r="AX166" s="206">
        <v>0</v>
      </c>
      <c r="AY166" s="206">
        <v>0</v>
      </c>
      <c r="AZ166" s="206">
        <v>0</v>
      </c>
      <c r="BA166" s="206">
        <v>0</v>
      </c>
      <c r="BB166" s="206">
        <v>0</v>
      </c>
      <c r="BC166" s="206">
        <v>0</v>
      </c>
      <c r="BD166" s="206">
        <v>0</v>
      </c>
      <c r="BE166" s="207">
        <v>0</v>
      </c>
    </row>
    <row r="167" spans="1:57" x14ac:dyDescent="0.25">
      <c r="A167" s="330"/>
      <c r="B167" s="193" t="s">
        <v>118</v>
      </c>
      <c r="C167" s="193" t="s">
        <v>8</v>
      </c>
      <c r="D167" s="196"/>
      <c r="E167" s="197"/>
      <c r="F167" s="197"/>
      <c r="G167" s="197"/>
      <c r="H167" s="197"/>
      <c r="I167" s="197"/>
      <c r="J167" s="197"/>
      <c r="K167" s="197"/>
      <c r="L167" s="198"/>
      <c r="M167" s="196"/>
      <c r="N167" s="197"/>
      <c r="O167" s="197"/>
      <c r="P167" s="197"/>
      <c r="Q167" s="197"/>
      <c r="R167" s="197"/>
      <c r="S167" s="197"/>
      <c r="T167" s="197"/>
      <c r="U167" s="198"/>
      <c r="V167" s="196"/>
      <c r="W167" s="197"/>
      <c r="X167" s="197"/>
      <c r="Y167" s="197"/>
      <c r="Z167" s="197"/>
      <c r="AA167" s="197"/>
      <c r="AB167" s="197"/>
      <c r="AC167" s="197"/>
      <c r="AD167" s="198"/>
      <c r="AE167" s="199"/>
      <c r="AF167" s="200"/>
      <c r="AG167" s="200"/>
      <c r="AH167" s="200"/>
      <c r="AI167" s="200"/>
      <c r="AJ167" s="200"/>
      <c r="AK167" s="200"/>
      <c r="AL167" s="200"/>
      <c r="AM167" s="201"/>
      <c r="AN167" s="199"/>
      <c r="AO167" s="200"/>
      <c r="AP167" s="200"/>
      <c r="AQ167" s="200"/>
      <c r="AR167" s="200"/>
      <c r="AS167" s="200"/>
      <c r="AT167" s="200"/>
      <c r="AU167" s="200"/>
      <c r="AV167" s="201"/>
      <c r="AW167" s="199"/>
      <c r="AX167" s="200"/>
      <c r="AY167" s="200"/>
      <c r="AZ167" s="200"/>
      <c r="BA167" s="200"/>
      <c r="BB167" s="200"/>
      <c r="BC167" s="200"/>
      <c r="BD167" s="200"/>
      <c r="BE167" s="201"/>
    </row>
    <row r="168" spans="1:57" x14ac:dyDescent="0.25">
      <c r="A168" s="330"/>
      <c r="B168" s="193" t="s">
        <v>119</v>
      </c>
      <c r="C168" s="193" t="s">
        <v>9</v>
      </c>
      <c r="D168" s="196"/>
      <c r="E168" s="197"/>
      <c r="F168" s="197"/>
      <c r="G168" s="197"/>
      <c r="H168" s="197"/>
      <c r="I168" s="197"/>
      <c r="J168" s="197"/>
      <c r="K168" s="197"/>
      <c r="L168" s="198"/>
      <c r="M168" s="196"/>
      <c r="N168" s="197"/>
      <c r="O168" s="197"/>
      <c r="P168" s="197"/>
      <c r="Q168" s="197"/>
      <c r="R168" s="197"/>
      <c r="S168" s="197"/>
      <c r="T168" s="197"/>
      <c r="U168" s="198"/>
      <c r="V168" s="196"/>
      <c r="W168" s="197"/>
      <c r="X168" s="197"/>
      <c r="Y168" s="197"/>
      <c r="Z168" s="197"/>
      <c r="AA168" s="197"/>
      <c r="AB168" s="197"/>
      <c r="AC168" s="197"/>
      <c r="AD168" s="198"/>
      <c r="AE168" s="199"/>
      <c r="AF168" s="200"/>
      <c r="AG168" s="200"/>
      <c r="AH168" s="200"/>
      <c r="AI168" s="200"/>
      <c r="AJ168" s="200"/>
      <c r="AK168" s="200"/>
      <c r="AL168" s="200"/>
      <c r="AM168" s="201"/>
      <c r="AN168" s="199"/>
      <c r="AO168" s="200"/>
      <c r="AP168" s="200"/>
      <c r="AQ168" s="200"/>
      <c r="AR168" s="200"/>
      <c r="AS168" s="200"/>
      <c r="AT168" s="200"/>
      <c r="AU168" s="200"/>
      <c r="AV168" s="201"/>
      <c r="AW168" s="199"/>
      <c r="AX168" s="200"/>
      <c r="AY168" s="200"/>
      <c r="AZ168" s="200"/>
      <c r="BA168" s="200"/>
      <c r="BB168" s="200"/>
      <c r="BC168" s="200"/>
      <c r="BD168" s="200"/>
      <c r="BE168" s="201"/>
    </row>
    <row r="169" spans="1:57" x14ac:dyDescent="0.25">
      <c r="A169" s="330"/>
      <c r="B169" s="193" t="s">
        <v>39</v>
      </c>
      <c r="C169" s="193" t="s">
        <v>10</v>
      </c>
      <c r="D169" s="196">
        <v>5.4632155805897732E-2</v>
      </c>
      <c r="E169" s="197">
        <v>6.9225169277652349E-2</v>
      </c>
      <c r="F169" s="197">
        <v>5.5072970988733948E-2</v>
      </c>
      <c r="G169" s="197">
        <v>4.6604222305577481E-2</v>
      </c>
      <c r="H169" s="197">
        <v>4.0289223212275231E-2</v>
      </c>
      <c r="I169" s="197">
        <v>2.4583755873341454E-2</v>
      </c>
      <c r="J169" s="197">
        <v>1.9104989606490121E-2</v>
      </c>
      <c r="K169" s="197">
        <v>1.5182594783541725E-2</v>
      </c>
      <c r="L169" s="198">
        <v>1.3307545040231683E-2</v>
      </c>
      <c r="M169" s="196">
        <v>5.4632155805897732E-2</v>
      </c>
      <c r="N169" s="197">
        <v>6.9225169277652349E-2</v>
      </c>
      <c r="O169" s="197">
        <v>5.5072970988733948E-2</v>
      </c>
      <c r="P169" s="197">
        <v>4.6604222305577481E-2</v>
      </c>
      <c r="Q169" s="197">
        <v>4.0289223212275231E-2</v>
      </c>
      <c r="R169" s="197">
        <v>2.4583755873341454E-2</v>
      </c>
      <c r="S169" s="197">
        <v>1.9104989606490121E-2</v>
      </c>
      <c r="T169" s="197">
        <v>1.5182594783541725E-2</v>
      </c>
      <c r="U169" s="198">
        <v>1.3307545040231683E-2</v>
      </c>
      <c r="V169" s="196">
        <v>5.4632155805897732E-2</v>
      </c>
      <c r="W169" s="197">
        <v>6.9225169277652349E-2</v>
      </c>
      <c r="X169" s="197">
        <v>5.5072970988733948E-2</v>
      </c>
      <c r="Y169" s="197">
        <v>4.6604222305577481E-2</v>
      </c>
      <c r="Z169" s="197">
        <v>4.0289223212275231E-2</v>
      </c>
      <c r="AA169" s="197">
        <v>2.4583755873341454E-2</v>
      </c>
      <c r="AB169" s="197">
        <v>1.9104989606490121E-2</v>
      </c>
      <c r="AC169" s="197">
        <v>1.5182594783541725E-2</v>
      </c>
      <c r="AD169" s="198">
        <v>1.3307545040231683E-2</v>
      </c>
      <c r="AE169" s="202">
        <v>5.4632155805897732E-2</v>
      </c>
      <c r="AF169" s="203">
        <v>6.9225169277652349E-2</v>
      </c>
      <c r="AG169" s="203">
        <v>5.5072970988733948E-2</v>
      </c>
      <c r="AH169" s="203">
        <v>4.6604222305577481E-2</v>
      </c>
      <c r="AI169" s="203">
        <v>4.0289223212275231E-2</v>
      </c>
      <c r="AJ169" s="203">
        <v>2.4583755873341454E-2</v>
      </c>
      <c r="AK169" s="203">
        <v>1.9104989606490121E-2</v>
      </c>
      <c r="AL169" s="203">
        <v>1.5182594783541725E-2</v>
      </c>
      <c r="AM169" s="204">
        <v>1.3307545040231683E-2</v>
      </c>
      <c r="AN169" s="202">
        <v>5.4632155805897732E-2</v>
      </c>
      <c r="AO169" s="203">
        <v>6.9225169277652349E-2</v>
      </c>
      <c r="AP169" s="203">
        <v>5.5072970988733948E-2</v>
      </c>
      <c r="AQ169" s="203">
        <v>4.6604222305577481E-2</v>
      </c>
      <c r="AR169" s="203">
        <v>4.0289223212275231E-2</v>
      </c>
      <c r="AS169" s="203">
        <v>2.4583755873341454E-2</v>
      </c>
      <c r="AT169" s="203">
        <v>1.9104989606490121E-2</v>
      </c>
      <c r="AU169" s="203">
        <v>1.5182594783541725E-2</v>
      </c>
      <c r="AV169" s="204">
        <v>1.3307545040231683E-2</v>
      </c>
      <c r="AW169" s="202">
        <v>5.4632155805897732E-2</v>
      </c>
      <c r="AX169" s="203">
        <v>6.9225169277652349E-2</v>
      </c>
      <c r="AY169" s="203">
        <v>5.5072970988733948E-2</v>
      </c>
      <c r="AZ169" s="203">
        <v>4.6604222305577481E-2</v>
      </c>
      <c r="BA169" s="203">
        <v>4.0289223212275231E-2</v>
      </c>
      <c r="BB169" s="203">
        <v>2.4583755873341454E-2</v>
      </c>
      <c r="BC169" s="203">
        <v>1.9104989606490121E-2</v>
      </c>
      <c r="BD169" s="203">
        <v>1.5182594783541725E-2</v>
      </c>
      <c r="BE169" s="204">
        <v>1.3307545040231683E-2</v>
      </c>
    </row>
    <row r="170" spans="1:57" x14ac:dyDescent="0.25">
      <c r="A170" s="330"/>
      <c r="B170" s="193" t="s">
        <v>40</v>
      </c>
      <c r="C170" s="193" t="s">
        <v>10</v>
      </c>
      <c r="D170" s="196">
        <v>0</v>
      </c>
      <c r="E170" s="197">
        <v>0</v>
      </c>
      <c r="F170" s="197">
        <v>0</v>
      </c>
      <c r="G170" s="197">
        <v>0</v>
      </c>
      <c r="H170" s="197">
        <v>0</v>
      </c>
      <c r="I170" s="197">
        <v>0</v>
      </c>
      <c r="J170" s="197">
        <v>0</v>
      </c>
      <c r="K170" s="197">
        <v>0</v>
      </c>
      <c r="L170" s="198">
        <v>0</v>
      </c>
      <c r="M170" s="196">
        <v>0</v>
      </c>
      <c r="N170" s="197">
        <v>0</v>
      </c>
      <c r="O170" s="197">
        <v>0</v>
      </c>
      <c r="P170" s="197">
        <v>0</v>
      </c>
      <c r="Q170" s="197">
        <v>0</v>
      </c>
      <c r="R170" s="197">
        <v>0</v>
      </c>
      <c r="S170" s="197">
        <v>0</v>
      </c>
      <c r="T170" s="197">
        <v>0</v>
      </c>
      <c r="U170" s="198">
        <v>0</v>
      </c>
      <c r="V170" s="196">
        <v>0</v>
      </c>
      <c r="W170" s="197">
        <v>0</v>
      </c>
      <c r="X170" s="197">
        <v>0</v>
      </c>
      <c r="Y170" s="197">
        <v>0</v>
      </c>
      <c r="Z170" s="197">
        <v>0</v>
      </c>
      <c r="AA170" s="197">
        <v>0</v>
      </c>
      <c r="AB170" s="197">
        <v>0</v>
      </c>
      <c r="AC170" s="197">
        <v>0</v>
      </c>
      <c r="AD170" s="198">
        <v>0</v>
      </c>
      <c r="AE170" s="202">
        <v>0</v>
      </c>
      <c r="AF170" s="203">
        <v>0</v>
      </c>
      <c r="AG170" s="203">
        <v>0</v>
      </c>
      <c r="AH170" s="203">
        <v>0</v>
      </c>
      <c r="AI170" s="203">
        <v>0</v>
      </c>
      <c r="AJ170" s="203">
        <v>0</v>
      </c>
      <c r="AK170" s="203">
        <v>0</v>
      </c>
      <c r="AL170" s="203">
        <v>0</v>
      </c>
      <c r="AM170" s="204">
        <v>0</v>
      </c>
      <c r="AN170" s="202">
        <v>0</v>
      </c>
      <c r="AO170" s="203">
        <v>0</v>
      </c>
      <c r="AP170" s="203">
        <v>0</v>
      </c>
      <c r="AQ170" s="203">
        <v>0</v>
      </c>
      <c r="AR170" s="203">
        <v>0</v>
      </c>
      <c r="AS170" s="203">
        <v>0</v>
      </c>
      <c r="AT170" s="203">
        <v>0</v>
      </c>
      <c r="AU170" s="203">
        <v>0</v>
      </c>
      <c r="AV170" s="204">
        <v>0</v>
      </c>
      <c r="AW170" s="202">
        <v>0</v>
      </c>
      <c r="AX170" s="203">
        <v>0</v>
      </c>
      <c r="AY170" s="203">
        <v>0</v>
      </c>
      <c r="AZ170" s="203">
        <v>0</v>
      </c>
      <c r="BA170" s="203">
        <v>0</v>
      </c>
      <c r="BB170" s="203">
        <v>0</v>
      </c>
      <c r="BC170" s="203">
        <v>0</v>
      </c>
      <c r="BD170" s="203">
        <v>0</v>
      </c>
      <c r="BE170" s="204">
        <v>0</v>
      </c>
    </row>
    <row r="171" spans="1:57" x14ac:dyDescent="0.25">
      <c r="A171" s="330"/>
      <c r="B171" s="193" t="s">
        <v>41</v>
      </c>
      <c r="C171" s="193" t="s">
        <v>14</v>
      </c>
      <c r="D171" s="196"/>
      <c r="E171" s="197"/>
      <c r="F171" s="197"/>
      <c r="G171" s="197"/>
      <c r="H171" s="197"/>
      <c r="I171" s="197"/>
      <c r="J171" s="197"/>
      <c r="K171" s="197"/>
      <c r="L171" s="198"/>
      <c r="M171" s="196"/>
      <c r="N171" s="197"/>
      <c r="O171" s="197"/>
      <c r="P171" s="197"/>
      <c r="Q171" s="197"/>
      <c r="R171" s="197"/>
      <c r="S171" s="197"/>
      <c r="T171" s="197"/>
      <c r="U171" s="198"/>
      <c r="V171" s="196"/>
      <c r="W171" s="197"/>
      <c r="X171" s="197"/>
      <c r="Y171" s="197"/>
      <c r="Z171" s="197"/>
      <c r="AA171" s="197"/>
      <c r="AB171" s="197"/>
      <c r="AC171" s="197"/>
      <c r="AD171" s="198"/>
      <c r="AE171" s="199"/>
      <c r="AF171" s="200"/>
      <c r="AG171" s="200"/>
      <c r="AH171" s="200"/>
      <c r="AI171" s="200"/>
      <c r="AJ171" s="200"/>
      <c r="AK171" s="200"/>
      <c r="AL171" s="200"/>
      <c r="AM171" s="201"/>
      <c r="AN171" s="199"/>
      <c r="AO171" s="200"/>
      <c r="AP171" s="200"/>
      <c r="AQ171" s="200"/>
      <c r="AR171" s="200"/>
      <c r="AS171" s="200"/>
      <c r="AT171" s="200"/>
      <c r="AU171" s="200"/>
      <c r="AV171" s="201"/>
      <c r="AW171" s="199"/>
      <c r="AX171" s="200"/>
      <c r="AY171" s="200"/>
      <c r="AZ171" s="200"/>
      <c r="BA171" s="200"/>
      <c r="BB171" s="200"/>
      <c r="BC171" s="200"/>
      <c r="BD171" s="200"/>
      <c r="BE171" s="201"/>
    </row>
    <row r="172" spans="1:57" x14ac:dyDescent="0.25">
      <c r="A172" s="330"/>
      <c r="B172" s="193" t="s">
        <v>42</v>
      </c>
      <c r="C172" s="193" t="s">
        <v>4</v>
      </c>
      <c r="D172" s="196"/>
      <c r="E172" s="197"/>
      <c r="F172" s="197"/>
      <c r="G172" s="197"/>
      <c r="H172" s="197"/>
      <c r="I172" s="197"/>
      <c r="J172" s="197"/>
      <c r="K172" s="197"/>
      <c r="L172" s="198"/>
      <c r="M172" s="196"/>
      <c r="N172" s="197"/>
      <c r="O172" s="197"/>
      <c r="P172" s="197"/>
      <c r="Q172" s="197"/>
      <c r="R172" s="197"/>
      <c r="S172" s="197"/>
      <c r="T172" s="197"/>
      <c r="U172" s="198"/>
      <c r="V172" s="196"/>
      <c r="W172" s="197"/>
      <c r="X172" s="197"/>
      <c r="Y172" s="197"/>
      <c r="Z172" s="197"/>
      <c r="AA172" s="197"/>
      <c r="AB172" s="197"/>
      <c r="AC172" s="197"/>
      <c r="AD172" s="198"/>
      <c r="AE172" s="199"/>
      <c r="AF172" s="200"/>
      <c r="AG172" s="200"/>
      <c r="AH172" s="200"/>
      <c r="AI172" s="200"/>
      <c r="AJ172" s="200"/>
      <c r="AK172" s="200"/>
      <c r="AL172" s="200"/>
      <c r="AM172" s="201"/>
      <c r="AN172" s="199"/>
      <c r="AO172" s="200"/>
      <c r="AP172" s="200"/>
      <c r="AQ172" s="200"/>
      <c r="AR172" s="200"/>
      <c r="AS172" s="200"/>
      <c r="AT172" s="200"/>
      <c r="AU172" s="200"/>
      <c r="AV172" s="201"/>
      <c r="AW172" s="199"/>
      <c r="AX172" s="200"/>
      <c r="AY172" s="200"/>
      <c r="AZ172" s="200"/>
      <c r="BA172" s="200"/>
      <c r="BB172" s="200"/>
      <c r="BC172" s="200"/>
      <c r="BD172" s="200"/>
      <c r="BE172" s="201"/>
    </row>
    <row r="173" spans="1:57" x14ac:dyDescent="0.25">
      <c r="A173" s="330"/>
      <c r="B173" s="193" t="s">
        <v>43</v>
      </c>
      <c r="C173" s="193" t="s">
        <v>7</v>
      </c>
      <c r="D173" s="196">
        <v>0.5</v>
      </c>
      <c r="E173" s="197">
        <v>0.5</v>
      </c>
      <c r="F173" s="197">
        <v>0.5</v>
      </c>
      <c r="G173" s="197">
        <v>0.5</v>
      </c>
      <c r="H173" s="197">
        <v>0.5</v>
      </c>
      <c r="I173" s="197">
        <v>0.5</v>
      </c>
      <c r="J173" s="197">
        <v>0.5</v>
      </c>
      <c r="K173" s="197">
        <v>0.5</v>
      </c>
      <c r="L173" s="198">
        <v>0.5</v>
      </c>
      <c r="M173" s="196">
        <v>0.5</v>
      </c>
      <c r="N173" s="197">
        <v>0.5</v>
      </c>
      <c r="O173" s="197">
        <v>0.5</v>
      </c>
      <c r="P173" s="197">
        <v>0.5</v>
      </c>
      <c r="Q173" s="197">
        <v>0.5</v>
      </c>
      <c r="R173" s="197">
        <v>0.5</v>
      </c>
      <c r="S173" s="197">
        <v>0.5</v>
      </c>
      <c r="T173" s="197">
        <v>0.5</v>
      </c>
      <c r="U173" s="198">
        <v>0.5</v>
      </c>
      <c r="V173" s="196">
        <v>0.5</v>
      </c>
      <c r="W173" s="197">
        <v>0.5</v>
      </c>
      <c r="X173" s="197">
        <v>0.5</v>
      </c>
      <c r="Y173" s="197">
        <v>0.5</v>
      </c>
      <c r="Z173" s="197">
        <v>0.5</v>
      </c>
      <c r="AA173" s="197">
        <v>0.5</v>
      </c>
      <c r="AB173" s="197">
        <v>0.5</v>
      </c>
      <c r="AC173" s="197">
        <v>0.5</v>
      </c>
      <c r="AD173" s="198">
        <v>0.5</v>
      </c>
      <c r="AE173" s="223">
        <v>0.5</v>
      </c>
      <c r="AF173" s="224">
        <v>0.5</v>
      </c>
      <c r="AG173" s="224">
        <v>0.5</v>
      </c>
      <c r="AH173" s="224">
        <v>0.5</v>
      </c>
      <c r="AI173" s="224">
        <v>0.5</v>
      </c>
      <c r="AJ173" s="224">
        <v>0.5</v>
      </c>
      <c r="AK173" s="224">
        <v>0.5</v>
      </c>
      <c r="AL173" s="224">
        <v>0.5</v>
      </c>
      <c r="AM173" s="225">
        <v>0.5</v>
      </c>
      <c r="AN173" s="223">
        <v>0.5</v>
      </c>
      <c r="AO173" s="224">
        <v>0.5</v>
      </c>
      <c r="AP173" s="224">
        <v>0.5</v>
      </c>
      <c r="AQ173" s="224">
        <v>0.5</v>
      </c>
      <c r="AR173" s="224">
        <v>0.5</v>
      </c>
      <c r="AS173" s="224">
        <v>0.5</v>
      </c>
      <c r="AT173" s="224">
        <v>0.5</v>
      </c>
      <c r="AU173" s="224">
        <v>0.5</v>
      </c>
      <c r="AV173" s="225">
        <v>0.5</v>
      </c>
      <c r="AW173" s="223">
        <v>0.5</v>
      </c>
      <c r="AX173" s="224">
        <v>0.5</v>
      </c>
      <c r="AY173" s="224">
        <v>0.5</v>
      </c>
      <c r="AZ173" s="224">
        <v>0.5</v>
      </c>
      <c r="BA173" s="224">
        <v>0.5</v>
      </c>
      <c r="BB173" s="224">
        <v>0.5</v>
      </c>
      <c r="BC173" s="224">
        <v>0.5</v>
      </c>
      <c r="BD173" s="224">
        <v>0.5</v>
      </c>
      <c r="BE173" s="225">
        <v>0.5</v>
      </c>
    </row>
    <row r="174" spans="1:57" x14ac:dyDescent="0.25">
      <c r="A174" s="330"/>
      <c r="B174" s="193" t="s">
        <v>44</v>
      </c>
      <c r="C174" s="193" t="s">
        <v>7</v>
      </c>
      <c r="D174" s="196">
        <v>0.66625430833964439</v>
      </c>
      <c r="E174" s="197">
        <v>0.66367464936796561</v>
      </c>
      <c r="F174" s="197">
        <v>0.65679555877682227</v>
      </c>
      <c r="G174" s="197">
        <v>0.64733680921400016</v>
      </c>
      <c r="H174" s="197">
        <v>0.63443851435560639</v>
      </c>
      <c r="I174" s="197">
        <v>0.4680070358050421</v>
      </c>
      <c r="J174" s="197">
        <v>0.46713859851464173</v>
      </c>
      <c r="K174" s="197">
        <v>0.46531488020480088</v>
      </c>
      <c r="L174" s="198">
        <v>0.47</v>
      </c>
      <c r="M174" s="196">
        <v>0.66625430833964439</v>
      </c>
      <c r="N174" s="197">
        <v>0.66367464936796561</v>
      </c>
      <c r="O174" s="197">
        <v>0.65679555877682227</v>
      </c>
      <c r="P174" s="197">
        <v>0.64733680921400016</v>
      </c>
      <c r="Q174" s="197">
        <v>0.63443851435560639</v>
      </c>
      <c r="R174" s="197">
        <v>0.4680070358050421</v>
      </c>
      <c r="S174" s="197">
        <v>0.46713859851464173</v>
      </c>
      <c r="T174" s="197">
        <v>0.46531488020480088</v>
      </c>
      <c r="U174" s="198">
        <v>0.47</v>
      </c>
      <c r="V174" s="196">
        <v>0.66625430833964439</v>
      </c>
      <c r="W174" s="197">
        <v>0.66367464936796561</v>
      </c>
      <c r="X174" s="197">
        <v>0.65679555877682227</v>
      </c>
      <c r="Y174" s="197">
        <v>0.64733680921400016</v>
      </c>
      <c r="Z174" s="197">
        <v>0.63443851435560639</v>
      </c>
      <c r="AA174" s="197">
        <v>0.4680070358050421</v>
      </c>
      <c r="AB174" s="197">
        <v>0.46713859851464173</v>
      </c>
      <c r="AC174" s="197">
        <v>0.46531488020480088</v>
      </c>
      <c r="AD174" s="198">
        <v>0.47</v>
      </c>
      <c r="AE174" s="205">
        <v>0.66625430833964439</v>
      </c>
      <c r="AF174" s="206">
        <v>0.66367464936796561</v>
      </c>
      <c r="AG174" s="206">
        <v>0.65679555877682227</v>
      </c>
      <c r="AH174" s="206">
        <v>0.64733680921400016</v>
      </c>
      <c r="AI174" s="206">
        <v>0.63443851435560639</v>
      </c>
      <c r="AJ174" s="206">
        <v>0.4680070358050421</v>
      </c>
      <c r="AK174" s="206">
        <v>0.46713859851464173</v>
      </c>
      <c r="AL174" s="206">
        <v>0.46531488020480088</v>
      </c>
      <c r="AM174" s="207">
        <v>0.47</v>
      </c>
      <c r="AN174" s="205">
        <v>0.66625430833964439</v>
      </c>
      <c r="AO174" s="206">
        <v>0.66367464936796561</v>
      </c>
      <c r="AP174" s="206">
        <v>0.65679555877682227</v>
      </c>
      <c r="AQ174" s="206">
        <v>0.64733680921400016</v>
      </c>
      <c r="AR174" s="206">
        <v>0.63443851435560639</v>
      </c>
      <c r="AS174" s="206">
        <v>0.4680070358050421</v>
      </c>
      <c r="AT174" s="206">
        <v>0.46713859851464173</v>
      </c>
      <c r="AU174" s="206">
        <v>0.46531488020480088</v>
      </c>
      <c r="AV174" s="207">
        <v>0.47</v>
      </c>
      <c r="AW174" s="205">
        <v>0.66625430833964439</v>
      </c>
      <c r="AX174" s="206">
        <v>0.66367464936796561</v>
      </c>
      <c r="AY174" s="206">
        <v>0.65679555877682227</v>
      </c>
      <c r="AZ174" s="206">
        <v>0.64733680921400016</v>
      </c>
      <c r="BA174" s="206">
        <v>0.63443851435560639</v>
      </c>
      <c r="BB174" s="206">
        <v>0.4680070358050421</v>
      </c>
      <c r="BC174" s="206">
        <v>0.46713859851464173</v>
      </c>
      <c r="BD174" s="206">
        <v>0.46531488020480088</v>
      </c>
      <c r="BE174" s="207">
        <v>0.47</v>
      </c>
    </row>
    <row r="175" spans="1:57" x14ac:dyDescent="0.25">
      <c r="A175" s="330"/>
      <c r="B175" s="193" t="s">
        <v>45</v>
      </c>
      <c r="C175" s="193" t="s">
        <v>7</v>
      </c>
      <c r="D175" s="196">
        <v>0.25092243745356524</v>
      </c>
      <c r="E175" s="197">
        <v>0.25657675134016689</v>
      </c>
      <c r="F175" s="197">
        <v>0.27165492170443795</v>
      </c>
      <c r="G175" s="197">
        <v>0.29238740595531065</v>
      </c>
      <c r="H175" s="197">
        <v>0.32065897538831889</v>
      </c>
      <c r="I175" s="197">
        <v>0.41290384467151914</v>
      </c>
      <c r="J175" s="197">
        <v>0.41363974384019625</v>
      </c>
      <c r="K175" s="197">
        <v>0.41518513209441815</v>
      </c>
      <c r="L175" s="198">
        <v>0.41599999999999998</v>
      </c>
      <c r="M175" s="196">
        <v>0.25092243745356524</v>
      </c>
      <c r="N175" s="197">
        <v>0.25657675134016689</v>
      </c>
      <c r="O175" s="197">
        <v>0.27165492170443795</v>
      </c>
      <c r="P175" s="197">
        <v>0.29238740595531065</v>
      </c>
      <c r="Q175" s="197">
        <v>0.32065897538831889</v>
      </c>
      <c r="R175" s="197">
        <v>0.41290384467151914</v>
      </c>
      <c r="S175" s="197">
        <v>0.41363974384019625</v>
      </c>
      <c r="T175" s="197">
        <v>0.41518513209441815</v>
      </c>
      <c r="U175" s="198">
        <v>0.41599999999999998</v>
      </c>
      <c r="V175" s="196">
        <v>0.25092243745356524</v>
      </c>
      <c r="W175" s="197">
        <v>0.25657675134016689</v>
      </c>
      <c r="X175" s="197">
        <v>0.27165492170443795</v>
      </c>
      <c r="Y175" s="197">
        <v>0.29238740595531065</v>
      </c>
      <c r="Z175" s="197">
        <v>0.32065897538831889</v>
      </c>
      <c r="AA175" s="197">
        <v>0.41290384467151914</v>
      </c>
      <c r="AB175" s="197">
        <v>0.41363974384019625</v>
      </c>
      <c r="AC175" s="197">
        <v>0.41518513209441815</v>
      </c>
      <c r="AD175" s="198">
        <v>0.41599999999999998</v>
      </c>
      <c r="AE175" s="205">
        <v>0.25092243745356524</v>
      </c>
      <c r="AF175" s="206">
        <v>0.25657675134016689</v>
      </c>
      <c r="AG175" s="206">
        <v>0.27165492170443795</v>
      </c>
      <c r="AH175" s="206">
        <v>0.29238740595531065</v>
      </c>
      <c r="AI175" s="206">
        <v>0.32065897538831889</v>
      </c>
      <c r="AJ175" s="206">
        <v>0.41290384467151914</v>
      </c>
      <c r="AK175" s="206">
        <v>0.41363974384019625</v>
      </c>
      <c r="AL175" s="206">
        <v>0.41518513209441815</v>
      </c>
      <c r="AM175" s="207">
        <v>0.41599999999999998</v>
      </c>
      <c r="AN175" s="205">
        <v>0.25092243745356524</v>
      </c>
      <c r="AO175" s="206">
        <v>0.25657675134016689</v>
      </c>
      <c r="AP175" s="206">
        <v>0.27165492170443795</v>
      </c>
      <c r="AQ175" s="206">
        <v>0.29238740595531065</v>
      </c>
      <c r="AR175" s="206">
        <v>0.32065897538831889</v>
      </c>
      <c r="AS175" s="206">
        <v>0.41290384467151914</v>
      </c>
      <c r="AT175" s="206">
        <v>0.41363974384019625</v>
      </c>
      <c r="AU175" s="206">
        <v>0.41518513209441815</v>
      </c>
      <c r="AV175" s="207">
        <v>0.41599999999999998</v>
      </c>
      <c r="AW175" s="205">
        <v>0.25092243745356524</v>
      </c>
      <c r="AX175" s="206">
        <v>0.25657675134016689</v>
      </c>
      <c r="AY175" s="206">
        <v>0.27165492170443795</v>
      </c>
      <c r="AZ175" s="206">
        <v>0.29238740595531065</v>
      </c>
      <c r="BA175" s="206">
        <v>0.32065897538831889</v>
      </c>
      <c r="BB175" s="206">
        <v>0.41290384467151914</v>
      </c>
      <c r="BC175" s="206">
        <v>0.41363974384019625</v>
      </c>
      <c r="BD175" s="206">
        <v>0.41518513209441815</v>
      </c>
      <c r="BE175" s="207">
        <v>0.41599999999999998</v>
      </c>
    </row>
    <row r="176" spans="1:57" x14ac:dyDescent="0.25">
      <c r="A176" s="330"/>
      <c r="B176" s="193" t="s">
        <v>120</v>
      </c>
      <c r="C176" s="193" t="s">
        <v>10</v>
      </c>
      <c r="D176" s="196">
        <v>0.16</v>
      </c>
      <c r="E176" s="197">
        <v>0.16</v>
      </c>
      <c r="F176" s="197">
        <v>0.16</v>
      </c>
      <c r="G176" s="197">
        <v>0.16</v>
      </c>
      <c r="H176" s="197">
        <v>0.06</v>
      </c>
      <c r="I176" s="197">
        <v>0.05</v>
      </c>
      <c r="J176" s="197">
        <v>4.3999999999999997E-2</v>
      </c>
      <c r="K176" s="197">
        <v>4.3999999999999997E-2</v>
      </c>
      <c r="L176" s="198">
        <v>4.3999999999999997E-2</v>
      </c>
      <c r="M176" s="196">
        <v>0.16</v>
      </c>
      <c r="N176" s="197">
        <v>0.16</v>
      </c>
      <c r="O176" s="197">
        <v>0.16</v>
      </c>
      <c r="P176" s="197">
        <v>0.16</v>
      </c>
      <c r="Q176" s="197">
        <v>0.06</v>
      </c>
      <c r="R176" s="197">
        <v>0.05</v>
      </c>
      <c r="S176" s="197">
        <v>4.3999999999999997E-2</v>
      </c>
      <c r="T176" s="197">
        <v>4.3999999999999997E-2</v>
      </c>
      <c r="U176" s="198">
        <v>4.3999999999999997E-2</v>
      </c>
      <c r="V176" s="196">
        <v>0</v>
      </c>
      <c r="W176" s="197">
        <v>0</v>
      </c>
      <c r="X176" s="197">
        <v>0</v>
      </c>
      <c r="Y176" s="197">
        <v>0</v>
      </c>
      <c r="Z176" s="197">
        <v>0</v>
      </c>
      <c r="AA176" s="197">
        <v>0</v>
      </c>
      <c r="AB176" s="197">
        <v>0</v>
      </c>
      <c r="AC176" s="197">
        <v>0</v>
      </c>
      <c r="AD176" s="198">
        <v>0</v>
      </c>
      <c r="AE176" s="202">
        <v>0</v>
      </c>
      <c r="AF176" s="203">
        <v>0</v>
      </c>
      <c r="AG176" s="203">
        <v>0</v>
      </c>
      <c r="AH176" s="203">
        <v>0</v>
      </c>
      <c r="AI176" s="203">
        <v>0</v>
      </c>
      <c r="AJ176" s="203">
        <v>0</v>
      </c>
      <c r="AK176" s="203">
        <v>0</v>
      </c>
      <c r="AL176" s="203">
        <v>0</v>
      </c>
      <c r="AM176" s="204">
        <v>0</v>
      </c>
      <c r="AN176" s="202">
        <v>0</v>
      </c>
      <c r="AO176" s="203">
        <v>0</v>
      </c>
      <c r="AP176" s="203">
        <v>0</v>
      </c>
      <c r="AQ176" s="203">
        <v>0</v>
      </c>
      <c r="AR176" s="203">
        <v>0</v>
      </c>
      <c r="AS176" s="203">
        <v>0</v>
      </c>
      <c r="AT176" s="203">
        <v>0</v>
      </c>
      <c r="AU176" s="203">
        <v>0</v>
      </c>
      <c r="AV176" s="204">
        <v>0</v>
      </c>
      <c r="AW176" s="202">
        <v>0</v>
      </c>
      <c r="AX176" s="203">
        <v>0</v>
      </c>
      <c r="AY176" s="203">
        <v>0</v>
      </c>
      <c r="AZ176" s="203">
        <v>0</v>
      </c>
      <c r="BA176" s="203">
        <v>0</v>
      </c>
      <c r="BB176" s="203">
        <v>0</v>
      </c>
      <c r="BC176" s="203">
        <v>0</v>
      </c>
      <c r="BD176" s="203">
        <v>0</v>
      </c>
      <c r="BE176" s="204">
        <v>0</v>
      </c>
    </row>
    <row r="177" spans="1:58" x14ac:dyDescent="0.25">
      <c r="A177" s="330"/>
      <c r="B177" s="193" t="s">
        <v>121</v>
      </c>
      <c r="C177" s="193" t="s">
        <v>122</v>
      </c>
      <c r="D177" s="196">
        <v>0.08</v>
      </c>
      <c r="E177" s="197">
        <v>0.08</v>
      </c>
      <c r="F177" s="197">
        <v>0.08</v>
      </c>
      <c r="G177" s="197">
        <v>0.08</v>
      </c>
      <c r="H177" s="197">
        <v>0.03</v>
      </c>
      <c r="I177" s="197">
        <v>0</v>
      </c>
      <c r="J177" s="197">
        <v>0</v>
      </c>
      <c r="K177" s="197">
        <v>0</v>
      </c>
      <c r="L177" s="198">
        <v>0</v>
      </c>
      <c r="M177" s="196">
        <v>0.08</v>
      </c>
      <c r="N177" s="197">
        <v>0.08</v>
      </c>
      <c r="O177" s="197">
        <v>0.08</v>
      </c>
      <c r="P177" s="197">
        <v>0.08</v>
      </c>
      <c r="Q177" s="197">
        <v>0.03</v>
      </c>
      <c r="R177" s="197">
        <v>0</v>
      </c>
      <c r="S177" s="197">
        <v>0</v>
      </c>
      <c r="T177" s="197">
        <v>0</v>
      </c>
      <c r="U177" s="198">
        <v>0</v>
      </c>
      <c r="V177" s="196">
        <v>0</v>
      </c>
      <c r="W177" s="197">
        <v>0</v>
      </c>
      <c r="X177" s="197">
        <v>0</v>
      </c>
      <c r="Y177" s="197">
        <v>0</v>
      </c>
      <c r="Z177" s="197">
        <v>0</v>
      </c>
      <c r="AA177" s="197">
        <v>0</v>
      </c>
      <c r="AB177" s="197">
        <v>0</v>
      </c>
      <c r="AC177" s="197">
        <v>0</v>
      </c>
      <c r="AD177" s="198">
        <v>0</v>
      </c>
      <c r="AE177" s="202">
        <v>0</v>
      </c>
      <c r="AF177" s="203">
        <v>0</v>
      </c>
      <c r="AG177" s="203">
        <v>0</v>
      </c>
      <c r="AH177" s="203">
        <v>0</v>
      </c>
      <c r="AI177" s="203">
        <v>0</v>
      </c>
      <c r="AJ177" s="203">
        <v>0</v>
      </c>
      <c r="AK177" s="203">
        <v>0</v>
      </c>
      <c r="AL177" s="203">
        <v>0</v>
      </c>
      <c r="AM177" s="204">
        <v>0</v>
      </c>
      <c r="AN177" s="202">
        <v>0</v>
      </c>
      <c r="AO177" s="203">
        <v>0</v>
      </c>
      <c r="AP177" s="203">
        <v>0</v>
      </c>
      <c r="AQ177" s="203">
        <v>0</v>
      </c>
      <c r="AR177" s="203">
        <v>0</v>
      </c>
      <c r="AS177" s="203">
        <v>0</v>
      </c>
      <c r="AT177" s="203">
        <v>0</v>
      </c>
      <c r="AU177" s="203">
        <v>0</v>
      </c>
      <c r="AV177" s="204">
        <v>0</v>
      </c>
      <c r="AW177" s="202">
        <v>0</v>
      </c>
      <c r="AX177" s="203">
        <v>0</v>
      </c>
      <c r="AY177" s="203">
        <v>0</v>
      </c>
      <c r="AZ177" s="203">
        <v>0</v>
      </c>
      <c r="BA177" s="203">
        <v>0</v>
      </c>
      <c r="BB177" s="203">
        <v>0</v>
      </c>
      <c r="BC177" s="203">
        <v>0</v>
      </c>
      <c r="BD177" s="203">
        <v>0</v>
      </c>
      <c r="BE177" s="204">
        <v>0</v>
      </c>
    </row>
    <row r="178" spans="1:58" ht="15.75" thickBot="1" x14ac:dyDescent="0.3">
      <c r="A178" s="332"/>
      <c r="B178" s="194" t="s">
        <v>123</v>
      </c>
      <c r="C178" s="194" t="s">
        <v>124</v>
      </c>
      <c r="D178" s="238">
        <v>5.4999999999999997E-3</v>
      </c>
      <c r="E178" s="239">
        <v>5.4999999999999997E-3</v>
      </c>
      <c r="F178" s="239">
        <v>5.4999999999999997E-3</v>
      </c>
      <c r="G178" s="239">
        <v>5.4999999999999997E-3</v>
      </c>
      <c r="H178" s="239">
        <v>5.4999999999999997E-3</v>
      </c>
      <c r="I178" s="239">
        <v>5.4999999999999997E-3</v>
      </c>
      <c r="J178" s="239">
        <v>5.4999999999999997E-3</v>
      </c>
      <c r="K178" s="239">
        <v>5.4999999999999997E-3</v>
      </c>
      <c r="L178" s="240">
        <v>5.4999999999999997E-3</v>
      </c>
      <c r="M178" s="238">
        <v>5.4999999999999997E-3</v>
      </c>
      <c r="N178" s="239">
        <v>5.4999999999999997E-3</v>
      </c>
      <c r="O178" s="239">
        <v>5.4999999999999997E-3</v>
      </c>
      <c r="P178" s="239">
        <v>5.4999999999999997E-3</v>
      </c>
      <c r="Q178" s="239">
        <v>5.4999999999999997E-3</v>
      </c>
      <c r="R178" s="239">
        <v>5.4999999999999997E-3</v>
      </c>
      <c r="S178" s="239">
        <v>5.4999999999999997E-3</v>
      </c>
      <c r="T178" s="239">
        <v>5.4999999999999997E-3</v>
      </c>
      <c r="U178" s="240">
        <v>5.4999999999999997E-3</v>
      </c>
      <c r="V178" s="238">
        <v>0</v>
      </c>
      <c r="W178" s="239">
        <v>0</v>
      </c>
      <c r="X178" s="239">
        <v>0</v>
      </c>
      <c r="Y178" s="239">
        <v>0</v>
      </c>
      <c r="Z178" s="239">
        <v>0</v>
      </c>
      <c r="AA178" s="239">
        <v>0</v>
      </c>
      <c r="AB178" s="239">
        <v>0</v>
      </c>
      <c r="AC178" s="239">
        <v>0</v>
      </c>
      <c r="AD178" s="240">
        <v>0</v>
      </c>
      <c r="AE178" s="347">
        <v>0</v>
      </c>
      <c r="AF178" s="348">
        <v>0</v>
      </c>
      <c r="AG178" s="348">
        <v>0</v>
      </c>
      <c r="AH178" s="348">
        <v>0</v>
      </c>
      <c r="AI178" s="348">
        <v>0</v>
      </c>
      <c r="AJ178" s="348">
        <v>0</v>
      </c>
      <c r="AK178" s="348">
        <v>0</v>
      </c>
      <c r="AL178" s="348">
        <v>0</v>
      </c>
      <c r="AM178" s="349">
        <v>0</v>
      </c>
      <c r="AN178" s="347">
        <v>0</v>
      </c>
      <c r="AO178" s="348">
        <v>0</v>
      </c>
      <c r="AP178" s="348">
        <v>0</v>
      </c>
      <c r="AQ178" s="348">
        <v>0</v>
      </c>
      <c r="AR178" s="348">
        <v>0</v>
      </c>
      <c r="AS178" s="348">
        <v>0</v>
      </c>
      <c r="AT178" s="348">
        <v>0</v>
      </c>
      <c r="AU178" s="348">
        <v>0</v>
      </c>
      <c r="AV178" s="349">
        <v>0</v>
      </c>
      <c r="AW178" s="347">
        <v>0</v>
      </c>
      <c r="AX178" s="348">
        <v>0</v>
      </c>
      <c r="AY178" s="348">
        <v>0</v>
      </c>
      <c r="AZ178" s="348">
        <v>0</v>
      </c>
      <c r="BA178" s="348">
        <v>0</v>
      </c>
      <c r="BB178" s="348">
        <v>0</v>
      </c>
      <c r="BC178" s="348">
        <v>0</v>
      </c>
      <c r="BD178" s="348">
        <v>0</v>
      </c>
      <c r="BE178" s="349">
        <v>0</v>
      </c>
    </row>
    <row r="179" spans="1:58" x14ac:dyDescent="0.25">
      <c r="A179" s="350" t="s">
        <v>178</v>
      </c>
      <c r="B179" s="351" t="s">
        <v>109</v>
      </c>
      <c r="C179" s="351" t="s">
        <v>19</v>
      </c>
      <c r="D179" s="352">
        <v>1</v>
      </c>
      <c r="E179" s="353">
        <v>1</v>
      </c>
      <c r="F179" s="353">
        <v>1</v>
      </c>
      <c r="G179" s="353">
        <v>1</v>
      </c>
      <c r="H179" s="353">
        <v>1</v>
      </c>
      <c r="I179" s="353">
        <v>1</v>
      </c>
      <c r="J179" s="353">
        <v>1</v>
      </c>
      <c r="K179" s="353">
        <v>1</v>
      </c>
      <c r="L179" s="354">
        <v>1</v>
      </c>
      <c r="M179" s="352">
        <v>1</v>
      </c>
      <c r="N179" s="353">
        <v>1</v>
      </c>
      <c r="O179" s="353">
        <v>1</v>
      </c>
      <c r="P179" s="353">
        <v>1</v>
      </c>
      <c r="Q179" s="353">
        <v>1</v>
      </c>
      <c r="R179" s="353">
        <v>1</v>
      </c>
      <c r="S179" s="353">
        <v>1</v>
      </c>
      <c r="T179" s="353">
        <v>1</v>
      </c>
      <c r="U179" s="354">
        <v>1</v>
      </c>
      <c r="V179" s="352">
        <v>1</v>
      </c>
      <c r="W179" s="353">
        <v>1</v>
      </c>
      <c r="X179" s="353">
        <v>1</v>
      </c>
      <c r="Y179" s="353">
        <v>1</v>
      </c>
      <c r="Z179" s="353">
        <v>1</v>
      </c>
      <c r="AA179" s="353">
        <v>1</v>
      </c>
      <c r="AB179" s="353">
        <v>1</v>
      </c>
      <c r="AC179" s="353">
        <v>1</v>
      </c>
      <c r="AD179" s="354">
        <v>1</v>
      </c>
      <c r="AE179" s="366">
        <v>1</v>
      </c>
      <c r="AF179" s="367">
        <v>1</v>
      </c>
      <c r="AG179" s="367">
        <v>1</v>
      </c>
      <c r="AH179" s="367">
        <v>1</v>
      </c>
      <c r="AI179" s="367">
        <v>1</v>
      </c>
      <c r="AJ179" s="367">
        <v>1</v>
      </c>
      <c r="AK179" s="367">
        <v>1</v>
      </c>
      <c r="AL179" s="367">
        <v>1</v>
      </c>
      <c r="AM179" s="368">
        <v>1</v>
      </c>
      <c r="AN179" s="366">
        <v>1</v>
      </c>
      <c r="AO179" s="367">
        <v>1</v>
      </c>
      <c r="AP179" s="367">
        <v>1</v>
      </c>
      <c r="AQ179" s="367">
        <v>1</v>
      </c>
      <c r="AR179" s="367">
        <v>1</v>
      </c>
      <c r="AS179" s="367">
        <v>1</v>
      </c>
      <c r="AT179" s="367">
        <v>1</v>
      </c>
      <c r="AU179" s="367">
        <v>1</v>
      </c>
      <c r="AV179" s="368">
        <v>1</v>
      </c>
      <c r="AW179" s="366">
        <v>1</v>
      </c>
      <c r="AX179" s="367">
        <v>1</v>
      </c>
      <c r="AY179" s="367">
        <v>1</v>
      </c>
      <c r="AZ179" s="367">
        <v>1</v>
      </c>
      <c r="BA179" s="367">
        <v>1</v>
      </c>
      <c r="BB179" s="367">
        <v>1</v>
      </c>
      <c r="BC179" s="367">
        <v>1</v>
      </c>
      <c r="BD179" s="367">
        <v>1</v>
      </c>
      <c r="BE179" s="368">
        <v>1</v>
      </c>
      <c r="BF179" s="30"/>
    </row>
    <row r="180" spans="1:58" x14ac:dyDescent="0.25">
      <c r="A180" s="331"/>
      <c r="B180" s="195" t="s">
        <v>21</v>
      </c>
      <c r="C180" s="195" t="s">
        <v>19</v>
      </c>
      <c r="D180" s="208">
        <v>0.8</v>
      </c>
      <c r="E180" s="209">
        <v>0.8</v>
      </c>
      <c r="F180" s="209">
        <v>0.8</v>
      </c>
      <c r="G180" s="209">
        <v>0.8</v>
      </c>
      <c r="H180" s="209">
        <v>0.8</v>
      </c>
      <c r="I180" s="209">
        <v>0.8</v>
      </c>
      <c r="J180" s="209">
        <v>0.8</v>
      </c>
      <c r="K180" s="209">
        <v>0.8</v>
      </c>
      <c r="L180" s="210">
        <v>0.8</v>
      </c>
      <c r="M180" s="208">
        <v>0.8</v>
      </c>
      <c r="N180" s="209">
        <v>0.8</v>
      </c>
      <c r="O180" s="209">
        <v>0.8</v>
      </c>
      <c r="P180" s="209">
        <v>0.8</v>
      </c>
      <c r="Q180" s="209">
        <v>0.8</v>
      </c>
      <c r="R180" s="209">
        <v>0.8</v>
      </c>
      <c r="S180" s="209">
        <v>0.8</v>
      </c>
      <c r="T180" s="209">
        <v>0.8</v>
      </c>
      <c r="U180" s="210">
        <v>0.8</v>
      </c>
      <c r="V180" s="208">
        <v>0.8</v>
      </c>
      <c r="W180" s="209">
        <v>0.8</v>
      </c>
      <c r="X180" s="209">
        <v>0.8</v>
      </c>
      <c r="Y180" s="209">
        <v>0.8</v>
      </c>
      <c r="Z180" s="209">
        <v>0.8</v>
      </c>
      <c r="AA180" s="209">
        <v>0.8</v>
      </c>
      <c r="AB180" s="209">
        <v>0.8</v>
      </c>
      <c r="AC180" s="209">
        <v>0.8</v>
      </c>
      <c r="AD180" s="210">
        <v>0.8</v>
      </c>
      <c r="AE180" s="211">
        <v>0.8</v>
      </c>
      <c r="AF180" s="212">
        <v>0.8</v>
      </c>
      <c r="AG180" s="212">
        <v>0.8</v>
      </c>
      <c r="AH180" s="212">
        <v>0.8</v>
      </c>
      <c r="AI180" s="212">
        <v>0.8</v>
      </c>
      <c r="AJ180" s="212">
        <v>0.8</v>
      </c>
      <c r="AK180" s="212">
        <v>0.8</v>
      </c>
      <c r="AL180" s="212">
        <v>0.8</v>
      </c>
      <c r="AM180" s="213">
        <v>0.8</v>
      </c>
      <c r="AN180" s="211">
        <v>0.8</v>
      </c>
      <c r="AO180" s="212">
        <v>0.8</v>
      </c>
      <c r="AP180" s="212">
        <v>0.8</v>
      </c>
      <c r="AQ180" s="212">
        <v>0.8</v>
      </c>
      <c r="AR180" s="212">
        <v>0.8</v>
      </c>
      <c r="AS180" s="212">
        <v>0.8</v>
      </c>
      <c r="AT180" s="212">
        <v>0.8</v>
      </c>
      <c r="AU180" s="212">
        <v>0.8</v>
      </c>
      <c r="AV180" s="213">
        <v>0.8</v>
      </c>
      <c r="AW180" s="211">
        <v>0.8</v>
      </c>
      <c r="AX180" s="212">
        <v>0.8</v>
      </c>
      <c r="AY180" s="212">
        <v>0.8</v>
      </c>
      <c r="AZ180" s="212">
        <v>0.8</v>
      </c>
      <c r="BA180" s="212">
        <v>0.8</v>
      </c>
      <c r="BB180" s="212">
        <v>0.8</v>
      </c>
      <c r="BC180" s="212">
        <v>0.8</v>
      </c>
      <c r="BD180" s="212">
        <v>0.8</v>
      </c>
      <c r="BE180" s="213">
        <v>0.8</v>
      </c>
    </row>
    <row r="181" spans="1:58" x14ac:dyDescent="0.25">
      <c r="A181" s="331"/>
      <c r="B181" s="195" t="s">
        <v>22</v>
      </c>
      <c r="C181" s="195" t="s">
        <v>4</v>
      </c>
      <c r="D181" s="208">
        <v>20</v>
      </c>
      <c r="E181" s="209">
        <v>20</v>
      </c>
      <c r="F181" s="209">
        <v>20</v>
      </c>
      <c r="G181" s="209">
        <v>20</v>
      </c>
      <c r="H181" s="209">
        <v>20</v>
      </c>
      <c r="I181" s="209">
        <v>20</v>
      </c>
      <c r="J181" s="209">
        <v>20</v>
      </c>
      <c r="K181" s="209">
        <v>20</v>
      </c>
      <c r="L181" s="210">
        <v>20</v>
      </c>
      <c r="M181" s="208">
        <v>20</v>
      </c>
      <c r="N181" s="209">
        <v>20</v>
      </c>
      <c r="O181" s="209">
        <v>20</v>
      </c>
      <c r="P181" s="209">
        <v>20</v>
      </c>
      <c r="Q181" s="209">
        <v>20</v>
      </c>
      <c r="R181" s="209">
        <v>20</v>
      </c>
      <c r="S181" s="209">
        <v>20</v>
      </c>
      <c r="T181" s="209">
        <v>20</v>
      </c>
      <c r="U181" s="210">
        <v>20</v>
      </c>
      <c r="V181" s="208">
        <v>20</v>
      </c>
      <c r="W181" s="209">
        <v>20</v>
      </c>
      <c r="X181" s="209">
        <v>20</v>
      </c>
      <c r="Y181" s="209">
        <v>20</v>
      </c>
      <c r="Z181" s="209">
        <v>20</v>
      </c>
      <c r="AA181" s="209">
        <v>20</v>
      </c>
      <c r="AB181" s="209">
        <v>20</v>
      </c>
      <c r="AC181" s="209">
        <v>20</v>
      </c>
      <c r="AD181" s="210">
        <v>20</v>
      </c>
      <c r="AE181" s="211">
        <v>20</v>
      </c>
      <c r="AF181" s="212">
        <v>20</v>
      </c>
      <c r="AG181" s="212">
        <v>20</v>
      </c>
      <c r="AH181" s="212">
        <v>20</v>
      </c>
      <c r="AI181" s="212">
        <v>20</v>
      </c>
      <c r="AJ181" s="212">
        <v>20</v>
      </c>
      <c r="AK181" s="212">
        <v>20</v>
      </c>
      <c r="AL181" s="212">
        <v>20</v>
      </c>
      <c r="AM181" s="213">
        <v>20</v>
      </c>
      <c r="AN181" s="211">
        <v>20</v>
      </c>
      <c r="AO181" s="212">
        <v>20</v>
      </c>
      <c r="AP181" s="212">
        <v>20</v>
      </c>
      <c r="AQ181" s="212">
        <v>20</v>
      </c>
      <c r="AR181" s="212">
        <v>20</v>
      </c>
      <c r="AS181" s="212">
        <v>20</v>
      </c>
      <c r="AT181" s="212">
        <v>20</v>
      </c>
      <c r="AU181" s="212">
        <v>20</v>
      </c>
      <c r="AV181" s="213">
        <v>20</v>
      </c>
      <c r="AW181" s="211">
        <v>20</v>
      </c>
      <c r="AX181" s="212">
        <v>20</v>
      </c>
      <c r="AY181" s="212">
        <v>20</v>
      </c>
      <c r="AZ181" s="212">
        <v>20</v>
      </c>
      <c r="BA181" s="212">
        <v>20</v>
      </c>
      <c r="BB181" s="212">
        <v>20</v>
      </c>
      <c r="BC181" s="212">
        <v>20</v>
      </c>
      <c r="BD181" s="212">
        <v>20</v>
      </c>
      <c r="BE181" s="213">
        <v>20</v>
      </c>
    </row>
    <row r="182" spans="1:58" x14ac:dyDescent="0.25">
      <c r="A182" s="331"/>
      <c r="B182" s="195" t="s">
        <v>23</v>
      </c>
      <c r="C182" s="195" t="s">
        <v>6</v>
      </c>
      <c r="D182" s="208">
        <v>218.34121214018199</v>
      </c>
      <c r="E182" s="209">
        <v>184.87398682120613</v>
      </c>
      <c r="F182" s="209">
        <v>143.96390422813076</v>
      </c>
      <c r="G182" s="209">
        <v>115.96852782183296</v>
      </c>
      <c r="H182" s="209">
        <v>107.31263157894738</v>
      </c>
      <c r="I182" s="209">
        <v>107.00631578947369</v>
      </c>
      <c r="J182" s="209">
        <v>105.98526315789475</v>
      </c>
      <c r="K182" s="209">
        <v>103.84105263157896</v>
      </c>
      <c r="L182" s="210">
        <v>99.55263157894737</v>
      </c>
      <c r="M182" s="208">
        <v>212.90273464055423</v>
      </c>
      <c r="N182" s="209">
        <v>180.29847756137553</v>
      </c>
      <c r="O182" s="209">
        <v>140.44328080448224</v>
      </c>
      <c r="P182" s="209">
        <v>113.16977842477434</v>
      </c>
      <c r="Q182" s="209">
        <v>107.31263157894738</v>
      </c>
      <c r="R182" s="209">
        <v>107.00631578947369</v>
      </c>
      <c r="S182" s="209">
        <v>105.98526315789475</v>
      </c>
      <c r="T182" s="209">
        <v>103.84105263157896</v>
      </c>
      <c r="U182" s="210">
        <v>99.55263157894737</v>
      </c>
      <c r="V182" s="208">
        <v>207.70052243006694</v>
      </c>
      <c r="W182" s="209">
        <v>175.92180364293515</v>
      </c>
      <c r="X182" s="209">
        <v>137.07573863776301</v>
      </c>
      <c r="Y182" s="209">
        <v>110.49280008590137</v>
      </c>
      <c r="Z182" s="209">
        <v>107.31263157894738</v>
      </c>
      <c r="AA182" s="209">
        <v>107.00631578947369</v>
      </c>
      <c r="AB182" s="209">
        <v>105.98526315789475</v>
      </c>
      <c r="AC182" s="209">
        <v>103.84105263157896</v>
      </c>
      <c r="AD182" s="210">
        <v>99.55263157894737</v>
      </c>
      <c r="AE182" s="214">
        <v>202.65582041234001</v>
      </c>
      <c r="AF182" s="215">
        <v>171.6776866187549</v>
      </c>
      <c r="AG182" s="215">
        <v>133.81025064233</v>
      </c>
      <c r="AH182" s="215">
        <v>107.89700245248551</v>
      </c>
      <c r="AI182" s="215">
        <v>107.31263157894738</v>
      </c>
      <c r="AJ182" s="215">
        <v>107.00631578947369</v>
      </c>
      <c r="AK182" s="215">
        <v>105.98526315789475</v>
      </c>
      <c r="AL182" s="215">
        <v>103.84105263157896</v>
      </c>
      <c r="AM182" s="216">
        <v>99.55263157894737</v>
      </c>
      <c r="AN182" s="214">
        <v>197.6111183946131</v>
      </c>
      <c r="AO182" s="215">
        <v>167.43356959457475</v>
      </c>
      <c r="AP182" s="215">
        <v>130.54476264689706</v>
      </c>
      <c r="AQ182" s="215">
        <v>105.30120481906971</v>
      </c>
      <c r="AR182" s="215">
        <v>107.31263157894738</v>
      </c>
      <c r="AS182" s="215">
        <v>107.00631578947369</v>
      </c>
      <c r="AT182" s="215">
        <v>105.98526315789475</v>
      </c>
      <c r="AU182" s="215">
        <v>103.84105263157896</v>
      </c>
      <c r="AV182" s="216">
        <v>99.55263157894737</v>
      </c>
      <c r="AW182" s="214">
        <v>192.56641637688614</v>
      </c>
      <c r="AX182" s="215">
        <v>163.18945257039451</v>
      </c>
      <c r="AY182" s="215">
        <v>127.27927465146402</v>
      </c>
      <c r="AZ182" s="215">
        <v>102.70540718565383</v>
      </c>
      <c r="BA182" s="215">
        <v>107.31263157894738</v>
      </c>
      <c r="BB182" s="215">
        <v>107.00631578947369</v>
      </c>
      <c r="BC182" s="215">
        <v>105.98526315789475</v>
      </c>
      <c r="BD182" s="215">
        <v>103.84105263157896</v>
      </c>
      <c r="BE182" s="216">
        <v>99.55263157894737</v>
      </c>
    </row>
    <row r="183" spans="1:58" x14ac:dyDescent="0.25">
      <c r="A183" s="331"/>
      <c r="B183" s="195" t="s">
        <v>173</v>
      </c>
      <c r="C183" s="195" t="s">
        <v>19</v>
      </c>
      <c r="D183" s="208">
        <v>0.2</v>
      </c>
      <c r="E183" s="209">
        <v>0.2</v>
      </c>
      <c r="F183" s="209">
        <v>0.2</v>
      </c>
      <c r="G183" s="209">
        <v>0.2</v>
      </c>
      <c r="H183" s="209">
        <v>0.2</v>
      </c>
      <c r="I183" s="209">
        <v>0.2</v>
      </c>
      <c r="J183" s="209">
        <v>0.2</v>
      </c>
      <c r="K183" s="209">
        <v>0.2</v>
      </c>
      <c r="L183" s="210">
        <v>0.2</v>
      </c>
      <c r="M183" s="208">
        <v>0.2</v>
      </c>
      <c r="N183" s="209">
        <v>0.2</v>
      </c>
      <c r="O183" s="209">
        <v>0.2</v>
      </c>
      <c r="P183" s="209">
        <v>0.2</v>
      </c>
      <c r="Q183" s="209">
        <v>0.2</v>
      </c>
      <c r="R183" s="209">
        <v>0.2</v>
      </c>
      <c r="S183" s="209">
        <v>0.2</v>
      </c>
      <c r="T183" s="209">
        <v>0.2</v>
      </c>
      <c r="U183" s="210">
        <v>0.2</v>
      </c>
      <c r="V183" s="208">
        <v>0</v>
      </c>
      <c r="W183" s="209">
        <v>0</v>
      </c>
      <c r="X183" s="209">
        <v>0</v>
      </c>
      <c r="Y183" s="209">
        <v>0</v>
      </c>
      <c r="Z183" s="209">
        <v>0</v>
      </c>
      <c r="AA183" s="209">
        <v>0</v>
      </c>
      <c r="AB183" s="209">
        <v>0</v>
      </c>
      <c r="AC183" s="209">
        <v>0</v>
      </c>
      <c r="AD183" s="210">
        <v>0</v>
      </c>
      <c r="AE183" s="217">
        <v>0</v>
      </c>
      <c r="AF183" s="218">
        <v>0</v>
      </c>
      <c r="AG183" s="218">
        <v>0</v>
      </c>
      <c r="AH183" s="218">
        <v>0</v>
      </c>
      <c r="AI183" s="218">
        <v>0</v>
      </c>
      <c r="AJ183" s="218">
        <v>0</v>
      </c>
      <c r="AK183" s="218">
        <v>0</v>
      </c>
      <c r="AL183" s="218">
        <v>0</v>
      </c>
      <c r="AM183" s="219">
        <v>0</v>
      </c>
      <c r="AN183" s="217">
        <v>0</v>
      </c>
      <c r="AO183" s="218">
        <v>0</v>
      </c>
      <c r="AP183" s="218">
        <v>0</v>
      </c>
      <c r="AQ183" s="218">
        <v>0</v>
      </c>
      <c r="AR183" s="218">
        <v>0</v>
      </c>
      <c r="AS183" s="218">
        <v>0</v>
      </c>
      <c r="AT183" s="218">
        <v>0</v>
      </c>
      <c r="AU183" s="218">
        <v>0</v>
      </c>
      <c r="AV183" s="219">
        <v>0</v>
      </c>
      <c r="AW183" s="217">
        <v>0</v>
      </c>
      <c r="AX183" s="218">
        <v>0</v>
      </c>
      <c r="AY183" s="218">
        <v>0</v>
      </c>
      <c r="AZ183" s="218">
        <v>0</v>
      </c>
      <c r="BA183" s="218">
        <v>0</v>
      </c>
      <c r="BB183" s="218">
        <v>0</v>
      </c>
      <c r="BC183" s="218">
        <v>0</v>
      </c>
      <c r="BD183" s="218">
        <v>0</v>
      </c>
      <c r="BE183" s="219">
        <v>0</v>
      </c>
    </row>
    <row r="184" spans="1:58" x14ac:dyDescent="0.25">
      <c r="A184" s="331"/>
      <c r="B184" s="195" t="s">
        <v>110</v>
      </c>
      <c r="C184" s="195" t="s">
        <v>8</v>
      </c>
      <c r="D184" s="208"/>
      <c r="E184" s="209"/>
      <c r="F184" s="209"/>
      <c r="G184" s="209"/>
      <c r="H184" s="209"/>
      <c r="I184" s="209"/>
      <c r="J184" s="209"/>
      <c r="K184" s="209"/>
      <c r="L184" s="210"/>
      <c r="M184" s="208"/>
      <c r="N184" s="209"/>
      <c r="O184" s="209"/>
      <c r="P184" s="209"/>
      <c r="Q184" s="209"/>
      <c r="R184" s="209"/>
      <c r="S184" s="209"/>
      <c r="T184" s="209"/>
      <c r="U184" s="210"/>
      <c r="V184" s="208"/>
      <c r="W184" s="209"/>
      <c r="X184" s="209"/>
      <c r="Y184" s="209"/>
      <c r="Z184" s="209"/>
      <c r="AA184" s="209"/>
      <c r="AB184" s="209"/>
      <c r="AC184" s="209"/>
      <c r="AD184" s="210"/>
      <c r="AE184" s="211"/>
      <c r="AF184" s="212"/>
      <c r="AG184" s="212"/>
      <c r="AH184" s="212"/>
      <c r="AI184" s="212"/>
      <c r="AJ184" s="212"/>
      <c r="AK184" s="212"/>
      <c r="AL184" s="212"/>
      <c r="AM184" s="213"/>
      <c r="AN184" s="211"/>
      <c r="AO184" s="212"/>
      <c r="AP184" s="212"/>
      <c r="AQ184" s="212"/>
      <c r="AR184" s="212"/>
      <c r="AS184" s="212"/>
      <c r="AT184" s="212"/>
      <c r="AU184" s="212"/>
      <c r="AV184" s="213"/>
      <c r="AW184" s="211"/>
      <c r="AX184" s="212"/>
      <c r="AY184" s="212"/>
      <c r="AZ184" s="212"/>
      <c r="BA184" s="212"/>
      <c r="BB184" s="212"/>
      <c r="BC184" s="212"/>
      <c r="BD184" s="212"/>
      <c r="BE184" s="213"/>
    </row>
    <row r="185" spans="1:58" x14ac:dyDescent="0.25">
      <c r="A185" s="331"/>
      <c r="B185" s="195" t="s">
        <v>111</v>
      </c>
      <c r="C185" s="195" t="s">
        <v>9</v>
      </c>
      <c r="D185" s="208">
        <v>6.5502363642054595</v>
      </c>
      <c r="E185" s="209">
        <v>5.5462196046361836</v>
      </c>
      <c r="F185" s="209">
        <v>4.3189171268439228</v>
      </c>
      <c r="G185" s="209">
        <v>3.4790558346549889</v>
      </c>
      <c r="H185" s="209">
        <v>2.0378947368421052</v>
      </c>
      <c r="I185" s="209">
        <v>2.0189473684210526</v>
      </c>
      <c r="J185" s="209">
        <v>1.9557894736842103</v>
      </c>
      <c r="K185" s="209">
        <v>1.8231578947368419</v>
      </c>
      <c r="L185" s="210">
        <v>1.557894736842105</v>
      </c>
      <c r="M185" s="208">
        <v>6.3870820392166268</v>
      </c>
      <c r="N185" s="209">
        <v>5.4089543268412656</v>
      </c>
      <c r="O185" s="209">
        <v>4.2132984241344671</v>
      </c>
      <c r="P185" s="209">
        <v>3.3950933527432299</v>
      </c>
      <c r="Q185" s="209">
        <v>2.0378947368421052</v>
      </c>
      <c r="R185" s="209">
        <v>2.0189473684210526</v>
      </c>
      <c r="S185" s="209">
        <v>1.9557894736842103</v>
      </c>
      <c r="T185" s="209">
        <v>1.8231578947368419</v>
      </c>
      <c r="U185" s="210">
        <v>1.557894736842105</v>
      </c>
      <c r="V185" s="208">
        <v>6.2310156729020081</v>
      </c>
      <c r="W185" s="209">
        <v>5.2776541092880542</v>
      </c>
      <c r="X185" s="209">
        <v>4.1122721591328899</v>
      </c>
      <c r="Y185" s="209">
        <v>3.3147840025770408</v>
      </c>
      <c r="Z185" s="209">
        <v>2.0378947368421052</v>
      </c>
      <c r="AA185" s="209">
        <v>2.0189473684210526</v>
      </c>
      <c r="AB185" s="209">
        <v>1.9557894736842103</v>
      </c>
      <c r="AC185" s="209">
        <v>1.8231578947368419</v>
      </c>
      <c r="AD185" s="210">
        <v>1.557894736842105</v>
      </c>
      <c r="AE185" s="214">
        <v>6.0796746123701997</v>
      </c>
      <c r="AF185" s="215">
        <v>5.1503305985626469</v>
      </c>
      <c r="AG185" s="215">
        <v>4.0143075192698996</v>
      </c>
      <c r="AH185" s="215">
        <v>3.2369100735745651</v>
      </c>
      <c r="AI185" s="215">
        <v>2.0378947368421052</v>
      </c>
      <c r="AJ185" s="215">
        <v>2.0189473684210526</v>
      </c>
      <c r="AK185" s="215">
        <v>1.9557894736842103</v>
      </c>
      <c r="AL185" s="215">
        <v>1.8231578947368419</v>
      </c>
      <c r="AM185" s="216">
        <v>1.557894736842105</v>
      </c>
      <c r="AN185" s="214">
        <v>5.9283335518383931</v>
      </c>
      <c r="AO185" s="215">
        <v>5.0230070878372421</v>
      </c>
      <c r="AP185" s="215">
        <v>3.9163428794069115</v>
      </c>
      <c r="AQ185" s="215">
        <v>3.1590361445720911</v>
      </c>
      <c r="AR185" s="215">
        <v>2.0378947368421052</v>
      </c>
      <c r="AS185" s="215">
        <v>2.0189473684210526</v>
      </c>
      <c r="AT185" s="215">
        <v>1.9557894736842103</v>
      </c>
      <c r="AU185" s="215">
        <v>1.8231578947368419</v>
      </c>
      <c r="AV185" s="216">
        <v>1.557894736842105</v>
      </c>
      <c r="AW185" s="214">
        <v>5.7769924913065838</v>
      </c>
      <c r="AX185" s="215">
        <v>4.8956835771118348</v>
      </c>
      <c r="AY185" s="215">
        <v>3.8183782395439203</v>
      </c>
      <c r="AZ185" s="215">
        <v>3.0811622155696146</v>
      </c>
      <c r="BA185" s="215">
        <v>2.0378947368421052</v>
      </c>
      <c r="BB185" s="215">
        <v>2.0189473684210526</v>
      </c>
      <c r="BC185" s="215">
        <v>1.9557894736842103</v>
      </c>
      <c r="BD185" s="215">
        <v>1.8231578947368419</v>
      </c>
      <c r="BE185" s="216">
        <v>1.557894736842105</v>
      </c>
    </row>
    <row r="186" spans="1:58" x14ac:dyDescent="0.25">
      <c r="A186" s="331"/>
      <c r="B186" s="195" t="s">
        <v>35</v>
      </c>
      <c r="C186" s="195" t="s">
        <v>10</v>
      </c>
      <c r="D186" s="208">
        <v>0</v>
      </c>
      <c r="E186" s="209">
        <v>0</v>
      </c>
      <c r="F186" s="209">
        <v>0</v>
      </c>
      <c r="G186" s="209">
        <v>0</v>
      </c>
      <c r="H186" s="209">
        <v>0</v>
      </c>
      <c r="I186" s="209">
        <v>0</v>
      </c>
      <c r="J186" s="209">
        <v>1.6357894736842103E-3</v>
      </c>
      <c r="K186" s="209">
        <v>1.5031578947368419E-3</v>
      </c>
      <c r="L186" s="210">
        <v>1.2378947368421051E-3</v>
      </c>
      <c r="M186" s="208">
        <v>0</v>
      </c>
      <c r="N186" s="209">
        <v>0</v>
      </c>
      <c r="O186" s="209">
        <v>0</v>
      </c>
      <c r="P186" s="209">
        <v>0</v>
      </c>
      <c r="Q186" s="209">
        <v>0</v>
      </c>
      <c r="R186" s="209">
        <v>0</v>
      </c>
      <c r="S186" s="209">
        <v>1.6357894736842103E-3</v>
      </c>
      <c r="T186" s="209">
        <v>1.5031578947368419E-3</v>
      </c>
      <c r="U186" s="210">
        <v>1.2378947368421051E-3</v>
      </c>
      <c r="V186" s="208">
        <v>0</v>
      </c>
      <c r="W186" s="209">
        <v>0</v>
      </c>
      <c r="X186" s="209">
        <v>0</v>
      </c>
      <c r="Y186" s="209">
        <v>0</v>
      </c>
      <c r="Z186" s="209">
        <v>0</v>
      </c>
      <c r="AA186" s="209">
        <v>0</v>
      </c>
      <c r="AB186" s="209">
        <v>1.6473473684210525E-3</v>
      </c>
      <c r="AC186" s="209">
        <v>1.5133894736842103E-3</v>
      </c>
      <c r="AD186" s="210">
        <v>1.2454736842105263E-3</v>
      </c>
      <c r="AE186" s="214">
        <v>0</v>
      </c>
      <c r="AF186" s="215">
        <v>0</v>
      </c>
      <c r="AG186" s="215">
        <v>0</v>
      </c>
      <c r="AH186" s="215">
        <v>0</v>
      </c>
      <c r="AI186" s="215">
        <v>0</v>
      </c>
      <c r="AJ186" s="215">
        <v>0</v>
      </c>
      <c r="AK186" s="215">
        <v>1.6666105263157894E-3</v>
      </c>
      <c r="AL186" s="215">
        <v>1.5304421052631579E-3</v>
      </c>
      <c r="AM186" s="216">
        <v>1.2581052631578946E-3</v>
      </c>
      <c r="AN186" s="214">
        <v>0</v>
      </c>
      <c r="AO186" s="215">
        <v>0</v>
      </c>
      <c r="AP186" s="215">
        <v>0</v>
      </c>
      <c r="AQ186" s="215">
        <v>0</v>
      </c>
      <c r="AR186" s="215">
        <v>0</v>
      </c>
      <c r="AS186" s="215">
        <v>0</v>
      </c>
      <c r="AT186" s="215">
        <v>1.6858736842105264E-3</v>
      </c>
      <c r="AU186" s="215">
        <v>1.5474947368421053E-3</v>
      </c>
      <c r="AV186" s="216">
        <v>1.2707368421052633E-3</v>
      </c>
      <c r="AW186" s="214">
        <v>0</v>
      </c>
      <c r="AX186" s="215">
        <v>0</v>
      </c>
      <c r="AY186" s="215">
        <v>0</v>
      </c>
      <c r="AZ186" s="215">
        <v>0</v>
      </c>
      <c r="BA186" s="215">
        <v>0</v>
      </c>
      <c r="BB186" s="215">
        <v>0</v>
      </c>
      <c r="BC186" s="215">
        <v>1.7051368421052632E-3</v>
      </c>
      <c r="BD186" s="215">
        <v>1.5645473684210527E-3</v>
      </c>
      <c r="BE186" s="216">
        <v>1.2833684210526316E-3</v>
      </c>
    </row>
    <row r="187" spans="1:58" x14ac:dyDescent="0.25">
      <c r="A187" s="331"/>
      <c r="B187" s="195" t="s">
        <v>24</v>
      </c>
      <c r="C187" s="195" t="s">
        <v>10</v>
      </c>
      <c r="D187" s="208">
        <v>0</v>
      </c>
      <c r="E187" s="209">
        <v>0</v>
      </c>
      <c r="F187" s="209">
        <v>0</v>
      </c>
      <c r="G187" s="209">
        <v>0</v>
      </c>
      <c r="H187" s="209">
        <v>0</v>
      </c>
      <c r="I187" s="209">
        <v>0</v>
      </c>
      <c r="J187" s="209">
        <v>0</v>
      </c>
      <c r="K187" s="209">
        <v>0</v>
      </c>
      <c r="L187" s="210">
        <v>0</v>
      </c>
      <c r="M187" s="208">
        <v>0</v>
      </c>
      <c r="N187" s="209">
        <v>0</v>
      </c>
      <c r="O187" s="209">
        <v>0</v>
      </c>
      <c r="P187" s="209">
        <v>0</v>
      </c>
      <c r="Q187" s="209">
        <v>0</v>
      </c>
      <c r="R187" s="209">
        <v>0</v>
      </c>
      <c r="S187" s="209">
        <v>0</v>
      </c>
      <c r="T187" s="209">
        <v>0</v>
      </c>
      <c r="U187" s="210">
        <v>0</v>
      </c>
      <c r="V187" s="208">
        <v>0</v>
      </c>
      <c r="W187" s="209">
        <v>0</v>
      </c>
      <c r="X187" s="209">
        <v>0</v>
      </c>
      <c r="Y187" s="209">
        <v>0</v>
      </c>
      <c r="Z187" s="209">
        <v>0</v>
      </c>
      <c r="AA187" s="209">
        <v>0</v>
      </c>
      <c r="AB187" s="209">
        <v>0</v>
      </c>
      <c r="AC187" s="209">
        <v>0</v>
      </c>
      <c r="AD187" s="210">
        <v>0</v>
      </c>
      <c r="AE187" s="214">
        <v>0</v>
      </c>
      <c r="AF187" s="215">
        <v>0</v>
      </c>
      <c r="AG187" s="215">
        <v>0</v>
      </c>
      <c r="AH187" s="215">
        <v>0</v>
      </c>
      <c r="AI187" s="215">
        <v>0</v>
      </c>
      <c r="AJ187" s="215">
        <v>0</v>
      </c>
      <c r="AK187" s="215">
        <v>0</v>
      </c>
      <c r="AL187" s="215">
        <v>0</v>
      </c>
      <c r="AM187" s="216">
        <v>0</v>
      </c>
      <c r="AN187" s="214">
        <v>0</v>
      </c>
      <c r="AO187" s="215">
        <v>0</v>
      </c>
      <c r="AP187" s="215">
        <v>0</v>
      </c>
      <c r="AQ187" s="215">
        <v>0</v>
      </c>
      <c r="AR187" s="215">
        <v>0</v>
      </c>
      <c r="AS187" s="215">
        <v>0</v>
      </c>
      <c r="AT187" s="215">
        <v>0</v>
      </c>
      <c r="AU187" s="215">
        <v>0</v>
      </c>
      <c r="AV187" s="216">
        <v>0</v>
      </c>
      <c r="AW187" s="214">
        <v>0</v>
      </c>
      <c r="AX187" s="215">
        <v>0</v>
      </c>
      <c r="AY187" s="215">
        <v>0</v>
      </c>
      <c r="AZ187" s="215">
        <v>0</v>
      </c>
      <c r="BA187" s="215">
        <v>0</v>
      </c>
      <c r="BB187" s="215">
        <v>0</v>
      </c>
      <c r="BC187" s="215">
        <v>0</v>
      </c>
      <c r="BD187" s="215">
        <v>0</v>
      </c>
      <c r="BE187" s="216">
        <v>0</v>
      </c>
    </row>
    <row r="188" spans="1:58" x14ac:dyDescent="0.25">
      <c r="A188" s="331"/>
      <c r="B188" s="195" t="s">
        <v>25</v>
      </c>
      <c r="C188" s="195" t="s">
        <v>7</v>
      </c>
      <c r="D188" s="208">
        <v>0.94349999999999989</v>
      </c>
      <c r="E188" s="209">
        <v>0.94349999999999989</v>
      </c>
      <c r="F188" s="209">
        <v>0.94349999999999989</v>
      </c>
      <c r="G188" s="209">
        <v>0.94349999999999989</v>
      </c>
      <c r="H188" s="209">
        <v>0.94349999999999989</v>
      </c>
      <c r="I188" s="209">
        <v>0.94349999999999989</v>
      </c>
      <c r="J188" s="209">
        <v>0.99</v>
      </c>
      <c r="K188" s="209">
        <v>0.99</v>
      </c>
      <c r="L188" s="210">
        <v>0.99</v>
      </c>
      <c r="M188" s="208">
        <v>0.96599999999999986</v>
      </c>
      <c r="N188" s="209">
        <v>0.96599999999999986</v>
      </c>
      <c r="O188" s="209">
        <v>0.96599999999999986</v>
      </c>
      <c r="P188" s="209">
        <v>0.96599999999999986</v>
      </c>
      <c r="Q188" s="209">
        <v>0.96599999999999986</v>
      </c>
      <c r="R188" s="209">
        <v>0.96599999999999986</v>
      </c>
      <c r="S188" s="209">
        <v>0.99</v>
      </c>
      <c r="T188" s="209">
        <v>0.99</v>
      </c>
      <c r="U188" s="210">
        <v>0.99</v>
      </c>
      <c r="V188" s="208">
        <v>0.9787499999999999</v>
      </c>
      <c r="W188" s="209">
        <v>0.9787499999999999</v>
      </c>
      <c r="X188" s="209">
        <v>0.9787499999999999</v>
      </c>
      <c r="Y188" s="209">
        <v>0.9787499999999999</v>
      </c>
      <c r="Z188" s="209">
        <v>0.9787499999999999</v>
      </c>
      <c r="AA188" s="209">
        <v>0.9787499999999999</v>
      </c>
      <c r="AB188" s="209">
        <v>0.99150000000000005</v>
      </c>
      <c r="AC188" s="209">
        <v>0.99150000000000005</v>
      </c>
      <c r="AD188" s="210">
        <v>0.99150000000000005</v>
      </c>
      <c r="AE188" s="211">
        <v>0.98499999999999988</v>
      </c>
      <c r="AF188" s="212">
        <v>0.98499999999999988</v>
      </c>
      <c r="AG188" s="212">
        <v>0.98499999999999988</v>
      </c>
      <c r="AH188" s="212">
        <v>0.98499999999999988</v>
      </c>
      <c r="AI188" s="212">
        <v>0.98499999999999988</v>
      </c>
      <c r="AJ188" s="212">
        <v>0.98499999999999988</v>
      </c>
      <c r="AK188" s="212">
        <v>0.99399999999999999</v>
      </c>
      <c r="AL188" s="212">
        <v>0.99399999999999999</v>
      </c>
      <c r="AM188" s="213">
        <v>0.99399999999999999</v>
      </c>
      <c r="AN188" s="211">
        <v>0.99124999999999996</v>
      </c>
      <c r="AO188" s="212">
        <v>0.99124999999999996</v>
      </c>
      <c r="AP188" s="212">
        <v>0.99124999999999996</v>
      </c>
      <c r="AQ188" s="212">
        <v>0.99124999999999996</v>
      </c>
      <c r="AR188" s="212">
        <v>0.99124999999999996</v>
      </c>
      <c r="AS188" s="212">
        <v>0.99124999999999996</v>
      </c>
      <c r="AT188" s="212">
        <v>0.99649999999999994</v>
      </c>
      <c r="AU188" s="212">
        <v>0.99649999999999994</v>
      </c>
      <c r="AV188" s="213">
        <v>0.99649999999999994</v>
      </c>
      <c r="AW188" s="211">
        <v>0.99749999999999994</v>
      </c>
      <c r="AX188" s="212">
        <v>0.99749999999999994</v>
      </c>
      <c r="AY188" s="212">
        <v>0.99749999999999994</v>
      </c>
      <c r="AZ188" s="212">
        <v>0.99749999999999994</v>
      </c>
      <c r="BA188" s="212">
        <v>0.99749999999999994</v>
      </c>
      <c r="BB188" s="212">
        <v>0.99749999999999994</v>
      </c>
      <c r="BC188" s="212">
        <v>0.999</v>
      </c>
      <c r="BD188" s="212">
        <v>0.999</v>
      </c>
      <c r="BE188" s="213">
        <v>0.999</v>
      </c>
    </row>
    <row r="189" spans="1:58" x14ac:dyDescent="0.25">
      <c r="A189" s="331"/>
      <c r="B189" s="195" t="s">
        <v>26</v>
      </c>
      <c r="C189" s="195" t="s">
        <v>14</v>
      </c>
      <c r="D189" s="208">
        <v>1524.6</v>
      </c>
      <c r="E189" s="209">
        <v>1749.6</v>
      </c>
      <c r="F189" s="209">
        <v>2349.6</v>
      </c>
      <c r="G189" s="209">
        <v>3174.6</v>
      </c>
      <c r="H189" s="209">
        <v>4299.6000000000004</v>
      </c>
      <c r="I189" s="209">
        <v>14213</v>
      </c>
      <c r="J189" s="209">
        <v>21713</v>
      </c>
      <c r="K189" s="209">
        <v>37463</v>
      </c>
      <c r="L189" s="210">
        <v>68963</v>
      </c>
      <c r="M189" s="208">
        <v>1524.6</v>
      </c>
      <c r="N189" s="209">
        <v>1749.6</v>
      </c>
      <c r="O189" s="209">
        <v>2349.6</v>
      </c>
      <c r="P189" s="209">
        <v>3174.6</v>
      </c>
      <c r="Q189" s="209">
        <v>4299.6000000000004</v>
      </c>
      <c r="R189" s="209">
        <v>14213</v>
      </c>
      <c r="S189" s="209">
        <v>21713</v>
      </c>
      <c r="T189" s="209">
        <v>37463</v>
      </c>
      <c r="U189" s="210">
        <v>68963</v>
      </c>
      <c r="V189" s="208">
        <v>1524.6</v>
      </c>
      <c r="W189" s="209">
        <v>1749.6</v>
      </c>
      <c r="X189" s="209">
        <v>2349.6</v>
      </c>
      <c r="Y189" s="209">
        <v>3174.6</v>
      </c>
      <c r="Z189" s="209">
        <v>4299.6000000000004</v>
      </c>
      <c r="AA189" s="209">
        <v>14213</v>
      </c>
      <c r="AB189" s="209">
        <v>21713</v>
      </c>
      <c r="AC189" s="209">
        <v>37463</v>
      </c>
      <c r="AD189" s="210">
        <v>68963</v>
      </c>
      <c r="AE189" s="214">
        <v>1524.6</v>
      </c>
      <c r="AF189" s="215">
        <v>1749.6</v>
      </c>
      <c r="AG189" s="215">
        <v>2349.6</v>
      </c>
      <c r="AH189" s="215">
        <v>3174.6</v>
      </c>
      <c r="AI189" s="215">
        <v>4299.6000000000004</v>
      </c>
      <c r="AJ189" s="215">
        <v>14213</v>
      </c>
      <c r="AK189" s="215">
        <v>21713</v>
      </c>
      <c r="AL189" s="215">
        <v>37463</v>
      </c>
      <c r="AM189" s="216">
        <v>68963</v>
      </c>
      <c r="AN189" s="214">
        <v>1524.6</v>
      </c>
      <c r="AO189" s="215">
        <v>1749.6</v>
      </c>
      <c r="AP189" s="215">
        <v>2349.6</v>
      </c>
      <c r="AQ189" s="215">
        <v>3174.6</v>
      </c>
      <c r="AR189" s="215">
        <v>4299.6000000000004</v>
      </c>
      <c r="AS189" s="215">
        <v>14213</v>
      </c>
      <c r="AT189" s="215">
        <v>21713</v>
      </c>
      <c r="AU189" s="215">
        <v>37463</v>
      </c>
      <c r="AV189" s="216">
        <v>68963</v>
      </c>
      <c r="AW189" s="214">
        <v>1524.6</v>
      </c>
      <c r="AX189" s="215">
        <v>1749.6</v>
      </c>
      <c r="AY189" s="215">
        <v>2349.6</v>
      </c>
      <c r="AZ189" s="215">
        <v>3174.6</v>
      </c>
      <c r="BA189" s="215">
        <v>4299.6000000000004</v>
      </c>
      <c r="BB189" s="215">
        <v>14213</v>
      </c>
      <c r="BC189" s="215">
        <v>21713</v>
      </c>
      <c r="BD189" s="215">
        <v>37463</v>
      </c>
      <c r="BE189" s="216">
        <v>68963</v>
      </c>
    </row>
    <row r="190" spans="1:58" x14ac:dyDescent="0.25">
      <c r="A190" s="331"/>
      <c r="B190" s="195" t="s">
        <v>27</v>
      </c>
      <c r="C190" s="195" t="s">
        <v>4</v>
      </c>
      <c r="D190" s="208">
        <v>40</v>
      </c>
      <c r="E190" s="209">
        <v>40</v>
      </c>
      <c r="F190" s="209">
        <v>40</v>
      </c>
      <c r="G190" s="209">
        <v>40</v>
      </c>
      <c r="H190" s="209">
        <v>40</v>
      </c>
      <c r="I190" s="209">
        <v>40</v>
      </c>
      <c r="J190" s="209">
        <v>40</v>
      </c>
      <c r="K190" s="209">
        <v>40</v>
      </c>
      <c r="L190" s="210">
        <v>40</v>
      </c>
      <c r="M190" s="208">
        <v>40</v>
      </c>
      <c r="N190" s="209">
        <v>40</v>
      </c>
      <c r="O190" s="209">
        <v>40</v>
      </c>
      <c r="P190" s="209">
        <v>40</v>
      </c>
      <c r="Q190" s="209">
        <v>40</v>
      </c>
      <c r="R190" s="209">
        <v>40</v>
      </c>
      <c r="S190" s="209">
        <v>40</v>
      </c>
      <c r="T190" s="209">
        <v>40</v>
      </c>
      <c r="U190" s="210">
        <v>40</v>
      </c>
      <c r="V190" s="208">
        <v>40</v>
      </c>
      <c r="W190" s="209">
        <v>40</v>
      </c>
      <c r="X190" s="209">
        <v>40</v>
      </c>
      <c r="Y190" s="209">
        <v>40</v>
      </c>
      <c r="Z190" s="209">
        <v>40</v>
      </c>
      <c r="AA190" s="209">
        <v>40</v>
      </c>
      <c r="AB190" s="209">
        <v>40</v>
      </c>
      <c r="AC190" s="209">
        <v>40</v>
      </c>
      <c r="AD190" s="210">
        <v>40</v>
      </c>
      <c r="AE190" s="211">
        <v>40</v>
      </c>
      <c r="AF190" s="212">
        <v>40</v>
      </c>
      <c r="AG190" s="212">
        <v>40</v>
      </c>
      <c r="AH190" s="212">
        <v>40</v>
      </c>
      <c r="AI190" s="212">
        <v>40</v>
      </c>
      <c r="AJ190" s="212">
        <v>40</v>
      </c>
      <c r="AK190" s="212">
        <v>40</v>
      </c>
      <c r="AL190" s="212">
        <v>40</v>
      </c>
      <c r="AM190" s="213">
        <v>40</v>
      </c>
      <c r="AN190" s="211">
        <v>40</v>
      </c>
      <c r="AO190" s="212">
        <v>40</v>
      </c>
      <c r="AP190" s="212">
        <v>40</v>
      </c>
      <c r="AQ190" s="212">
        <v>40</v>
      </c>
      <c r="AR190" s="212">
        <v>40</v>
      </c>
      <c r="AS190" s="212">
        <v>40</v>
      </c>
      <c r="AT190" s="212">
        <v>40</v>
      </c>
      <c r="AU190" s="212">
        <v>40</v>
      </c>
      <c r="AV190" s="213">
        <v>40</v>
      </c>
      <c r="AW190" s="211">
        <v>40</v>
      </c>
      <c r="AX190" s="212">
        <v>40</v>
      </c>
      <c r="AY190" s="212">
        <v>40</v>
      </c>
      <c r="AZ190" s="212">
        <v>40</v>
      </c>
      <c r="BA190" s="212">
        <v>40</v>
      </c>
      <c r="BB190" s="212">
        <v>40</v>
      </c>
      <c r="BC190" s="212">
        <v>40</v>
      </c>
      <c r="BD190" s="212">
        <v>40</v>
      </c>
      <c r="BE190" s="213">
        <v>40</v>
      </c>
    </row>
    <row r="191" spans="1:58" x14ac:dyDescent="0.25">
      <c r="A191" s="331"/>
      <c r="B191" s="195" t="s">
        <v>125</v>
      </c>
      <c r="C191" s="195" t="s">
        <v>19</v>
      </c>
      <c r="D191" s="208">
        <v>0.3125</v>
      </c>
      <c r="E191" s="209">
        <v>0.3125</v>
      </c>
      <c r="F191" s="209">
        <v>0.3125</v>
      </c>
      <c r="G191" s="209">
        <v>0.3125</v>
      </c>
      <c r="H191" s="209">
        <v>0.3125</v>
      </c>
      <c r="I191" s="209">
        <v>0.3125</v>
      </c>
      <c r="J191" s="209">
        <v>0.3125</v>
      </c>
      <c r="K191" s="209">
        <v>0.3125</v>
      </c>
      <c r="L191" s="210">
        <v>0.3125</v>
      </c>
      <c r="M191" s="208">
        <v>0.3125</v>
      </c>
      <c r="N191" s="209">
        <v>0.3125</v>
      </c>
      <c r="O191" s="209">
        <v>0.3125</v>
      </c>
      <c r="P191" s="209">
        <v>0.3125</v>
      </c>
      <c r="Q191" s="209">
        <v>0.3125</v>
      </c>
      <c r="R191" s="209">
        <v>0.3125</v>
      </c>
      <c r="S191" s="209">
        <v>0.3125</v>
      </c>
      <c r="T191" s="209">
        <v>0.3125</v>
      </c>
      <c r="U191" s="210">
        <v>0.3125</v>
      </c>
      <c r="V191" s="208">
        <v>0.3125</v>
      </c>
      <c r="W191" s="209">
        <v>0.3125</v>
      </c>
      <c r="X191" s="209">
        <v>0.3125</v>
      </c>
      <c r="Y191" s="209">
        <v>0.3125</v>
      </c>
      <c r="Z191" s="209">
        <v>0.3125</v>
      </c>
      <c r="AA191" s="209">
        <v>0.3125</v>
      </c>
      <c r="AB191" s="209">
        <v>0.3125</v>
      </c>
      <c r="AC191" s="209">
        <v>0.3125</v>
      </c>
      <c r="AD191" s="210">
        <v>0.3125</v>
      </c>
      <c r="AE191" s="226">
        <v>0.3125</v>
      </c>
      <c r="AF191" s="227">
        <v>0.3125</v>
      </c>
      <c r="AG191" s="227">
        <v>0.3125</v>
      </c>
      <c r="AH191" s="227">
        <v>0.3125</v>
      </c>
      <c r="AI191" s="227">
        <v>0.3125</v>
      </c>
      <c r="AJ191" s="227">
        <v>0.3125</v>
      </c>
      <c r="AK191" s="227">
        <v>0.3125</v>
      </c>
      <c r="AL191" s="227">
        <v>0.3125</v>
      </c>
      <c r="AM191" s="228">
        <v>0.3125</v>
      </c>
      <c r="AN191" s="226">
        <v>0.3125</v>
      </c>
      <c r="AO191" s="227">
        <v>0.3125</v>
      </c>
      <c r="AP191" s="227">
        <v>0.3125</v>
      </c>
      <c r="AQ191" s="227">
        <v>0.3125</v>
      </c>
      <c r="AR191" s="227">
        <v>0.3125</v>
      </c>
      <c r="AS191" s="227">
        <v>0.3125</v>
      </c>
      <c r="AT191" s="227">
        <v>0.3125</v>
      </c>
      <c r="AU191" s="227">
        <v>0.3125</v>
      </c>
      <c r="AV191" s="228">
        <v>0.3125</v>
      </c>
      <c r="AW191" s="226">
        <v>0.3125</v>
      </c>
      <c r="AX191" s="227">
        <v>0.3125</v>
      </c>
      <c r="AY191" s="227">
        <v>0.3125</v>
      </c>
      <c r="AZ191" s="227">
        <v>0.3125</v>
      </c>
      <c r="BA191" s="227">
        <v>0.3125</v>
      </c>
      <c r="BB191" s="227">
        <v>0.3125</v>
      </c>
      <c r="BC191" s="227">
        <v>0.3125</v>
      </c>
      <c r="BD191" s="227">
        <v>0.3125</v>
      </c>
      <c r="BE191" s="228">
        <v>0.3125</v>
      </c>
    </row>
    <row r="192" spans="1:58" x14ac:dyDescent="0.25">
      <c r="A192" s="331"/>
      <c r="B192" s="195" t="s">
        <v>126</v>
      </c>
      <c r="C192" s="195" t="s">
        <v>19</v>
      </c>
      <c r="D192" s="208">
        <v>0.64</v>
      </c>
      <c r="E192" s="209">
        <v>0.64</v>
      </c>
      <c r="F192" s="209">
        <v>0.64</v>
      </c>
      <c r="G192" s="209">
        <v>0.64</v>
      </c>
      <c r="H192" s="209">
        <v>0.64</v>
      </c>
      <c r="I192" s="209">
        <v>0.64</v>
      </c>
      <c r="J192" s="209">
        <v>0.64</v>
      </c>
      <c r="K192" s="209">
        <v>0.64</v>
      </c>
      <c r="L192" s="210">
        <v>0.64</v>
      </c>
      <c r="M192" s="208">
        <v>0.64</v>
      </c>
      <c r="N192" s="209">
        <v>0.64</v>
      </c>
      <c r="O192" s="209">
        <v>0.64</v>
      </c>
      <c r="P192" s="209">
        <v>0.64</v>
      </c>
      <c r="Q192" s="209">
        <v>0.64</v>
      </c>
      <c r="R192" s="209">
        <v>0.64</v>
      </c>
      <c r="S192" s="209">
        <v>0.64</v>
      </c>
      <c r="T192" s="209">
        <v>0.64</v>
      </c>
      <c r="U192" s="210">
        <v>0.64</v>
      </c>
      <c r="V192" s="208">
        <v>0.64</v>
      </c>
      <c r="W192" s="209">
        <v>0.64</v>
      </c>
      <c r="X192" s="209">
        <v>0.64</v>
      </c>
      <c r="Y192" s="209">
        <v>0.64</v>
      </c>
      <c r="Z192" s="209">
        <v>0.64</v>
      </c>
      <c r="AA192" s="209">
        <v>0.64</v>
      </c>
      <c r="AB192" s="209">
        <v>0.64</v>
      </c>
      <c r="AC192" s="209">
        <v>0.64</v>
      </c>
      <c r="AD192" s="210">
        <v>0.64</v>
      </c>
      <c r="AE192" s="211">
        <v>0.64</v>
      </c>
      <c r="AF192" s="212">
        <v>0.64</v>
      </c>
      <c r="AG192" s="212">
        <v>0.64</v>
      </c>
      <c r="AH192" s="212">
        <v>0.64</v>
      </c>
      <c r="AI192" s="212">
        <v>0.64</v>
      </c>
      <c r="AJ192" s="212">
        <v>0.64</v>
      </c>
      <c r="AK192" s="212">
        <v>0.64</v>
      </c>
      <c r="AL192" s="212">
        <v>0.64</v>
      </c>
      <c r="AM192" s="213">
        <v>0.64</v>
      </c>
      <c r="AN192" s="211">
        <v>0.64</v>
      </c>
      <c r="AO192" s="212">
        <v>0.64</v>
      </c>
      <c r="AP192" s="212">
        <v>0.64</v>
      </c>
      <c r="AQ192" s="212">
        <v>0.64</v>
      </c>
      <c r="AR192" s="212">
        <v>0.64</v>
      </c>
      <c r="AS192" s="212">
        <v>0.64</v>
      </c>
      <c r="AT192" s="212">
        <v>0.64</v>
      </c>
      <c r="AU192" s="212">
        <v>0.64</v>
      </c>
      <c r="AV192" s="213">
        <v>0.64</v>
      </c>
      <c r="AW192" s="211">
        <v>0.64</v>
      </c>
      <c r="AX192" s="212">
        <v>0.64</v>
      </c>
      <c r="AY192" s="212">
        <v>0.64</v>
      </c>
      <c r="AZ192" s="212">
        <v>0.64</v>
      </c>
      <c r="BA192" s="212">
        <v>0.64</v>
      </c>
      <c r="BB192" s="212">
        <v>0.64</v>
      </c>
      <c r="BC192" s="212">
        <v>0.64</v>
      </c>
      <c r="BD192" s="212">
        <v>0.64</v>
      </c>
      <c r="BE192" s="213">
        <v>0.64</v>
      </c>
    </row>
    <row r="193" spans="1:58" x14ac:dyDescent="0.25">
      <c r="A193" s="331"/>
      <c r="B193" s="195" t="s">
        <v>127</v>
      </c>
      <c r="C193" s="195" t="s">
        <v>4</v>
      </c>
      <c r="D193" s="208">
        <v>20</v>
      </c>
      <c r="E193" s="209">
        <v>20</v>
      </c>
      <c r="F193" s="209">
        <v>20</v>
      </c>
      <c r="G193" s="209">
        <v>20</v>
      </c>
      <c r="H193" s="209">
        <v>20</v>
      </c>
      <c r="I193" s="209">
        <v>20</v>
      </c>
      <c r="J193" s="209">
        <v>20</v>
      </c>
      <c r="K193" s="209">
        <v>20</v>
      </c>
      <c r="L193" s="210">
        <v>20</v>
      </c>
      <c r="M193" s="208">
        <v>20</v>
      </c>
      <c r="N193" s="209">
        <v>20</v>
      </c>
      <c r="O193" s="209">
        <v>20</v>
      </c>
      <c r="P193" s="209">
        <v>20</v>
      </c>
      <c r="Q193" s="209">
        <v>20</v>
      </c>
      <c r="R193" s="209">
        <v>20</v>
      </c>
      <c r="S193" s="209">
        <v>20</v>
      </c>
      <c r="T193" s="209">
        <v>20</v>
      </c>
      <c r="U193" s="210">
        <v>20</v>
      </c>
      <c r="V193" s="208">
        <v>20</v>
      </c>
      <c r="W193" s="209">
        <v>20</v>
      </c>
      <c r="X193" s="209">
        <v>20</v>
      </c>
      <c r="Y193" s="209">
        <v>20</v>
      </c>
      <c r="Z193" s="209">
        <v>20</v>
      </c>
      <c r="AA193" s="209">
        <v>20</v>
      </c>
      <c r="AB193" s="209">
        <v>20</v>
      </c>
      <c r="AC193" s="209">
        <v>20</v>
      </c>
      <c r="AD193" s="210">
        <v>20</v>
      </c>
      <c r="AE193" s="211">
        <v>20</v>
      </c>
      <c r="AF193" s="212">
        <v>20</v>
      </c>
      <c r="AG193" s="212">
        <v>20</v>
      </c>
      <c r="AH193" s="212">
        <v>20</v>
      </c>
      <c r="AI193" s="212">
        <v>20</v>
      </c>
      <c r="AJ193" s="212">
        <v>20</v>
      </c>
      <c r="AK193" s="212">
        <v>20</v>
      </c>
      <c r="AL193" s="212">
        <v>20</v>
      </c>
      <c r="AM193" s="213">
        <v>20</v>
      </c>
      <c r="AN193" s="211">
        <v>20</v>
      </c>
      <c r="AO193" s="212">
        <v>20</v>
      </c>
      <c r="AP193" s="212">
        <v>20</v>
      </c>
      <c r="AQ193" s="212">
        <v>20</v>
      </c>
      <c r="AR193" s="212">
        <v>20</v>
      </c>
      <c r="AS193" s="212">
        <v>20</v>
      </c>
      <c r="AT193" s="212">
        <v>20</v>
      </c>
      <c r="AU193" s="212">
        <v>20</v>
      </c>
      <c r="AV193" s="213">
        <v>20</v>
      </c>
      <c r="AW193" s="211">
        <v>20</v>
      </c>
      <c r="AX193" s="212">
        <v>20</v>
      </c>
      <c r="AY193" s="212">
        <v>20</v>
      </c>
      <c r="AZ193" s="212">
        <v>20</v>
      </c>
      <c r="BA193" s="212">
        <v>20</v>
      </c>
      <c r="BB193" s="212">
        <v>20</v>
      </c>
      <c r="BC193" s="212">
        <v>20</v>
      </c>
      <c r="BD193" s="212">
        <v>20</v>
      </c>
      <c r="BE193" s="213">
        <v>20</v>
      </c>
    </row>
    <row r="194" spans="1:58" x14ac:dyDescent="0.25">
      <c r="A194" s="331"/>
      <c r="B194" s="195" t="s">
        <v>128</v>
      </c>
      <c r="C194" s="195" t="s">
        <v>6</v>
      </c>
      <c r="D194" s="208">
        <v>969.96443035977279</v>
      </c>
      <c r="E194" s="209">
        <v>955.88615085209335</v>
      </c>
      <c r="F194" s="209">
        <v>918.34407216494844</v>
      </c>
      <c r="G194" s="209">
        <v>866.72371397012409</v>
      </c>
      <c r="H194" s="209">
        <v>796.33231643172724</v>
      </c>
      <c r="I194" s="209">
        <v>655.54952135493363</v>
      </c>
      <c r="J194" s="209">
        <v>563.57142857142856</v>
      </c>
      <c r="K194" s="209">
        <v>563.57142857142856</v>
      </c>
      <c r="L194" s="210">
        <v>563.57142857142856</v>
      </c>
      <c r="M194" s="208">
        <v>946.15063293358571</v>
      </c>
      <c r="N194" s="209">
        <v>932.03126095799144</v>
      </c>
      <c r="O194" s="209">
        <v>894.37960235640639</v>
      </c>
      <c r="P194" s="209">
        <v>842.60857177922708</v>
      </c>
      <c r="Q194" s="209">
        <v>772.01171190125524</v>
      </c>
      <c r="R194" s="209">
        <v>630.81799214531168</v>
      </c>
      <c r="S194" s="209">
        <v>538.57142857142856</v>
      </c>
      <c r="T194" s="209">
        <v>538.57142857142856</v>
      </c>
      <c r="U194" s="210">
        <v>538.57142857142856</v>
      </c>
      <c r="V194" s="208">
        <v>923.0754808366645</v>
      </c>
      <c r="W194" s="209">
        <v>909.14924346027067</v>
      </c>
      <c r="X194" s="209">
        <v>872.01261045655372</v>
      </c>
      <c r="Y194" s="209">
        <v>820.94974007644282</v>
      </c>
      <c r="Z194" s="209">
        <v>751.31855319447357</v>
      </c>
      <c r="AA194" s="209">
        <v>612.05617943053505</v>
      </c>
      <c r="AB194" s="209">
        <v>521.07142857142856</v>
      </c>
      <c r="AC194" s="209">
        <v>521.07142857142856</v>
      </c>
      <c r="AD194" s="210">
        <v>521.07142857142856</v>
      </c>
      <c r="AE194" s="229">
        <v>900.49275895925371</v>
      </c>
      <c r="AF194" s="215">
        <v>886.9158075601373</v>
      </c>
      <c r="AG194" s="215">
        <v>850.71060382916039</v>
      </c>
      <c r="AH194" s="215">
        <v>800.92844869906708</v>
      </c>
      <c r="AI194" s="215">
        <v>733.04369170348536</v>
      </c>
      <c r="AJ194" s="215">
        <v>597.27417771232194</v>
      </c>
      <c r="AK194" s="215">
        <v>508.57142857142856</v>
      </c>
      <c r="AL194" s="215">
        <v>508.57142857142856</v>
      </c>
      <c r="AM194" s="216">
        <v>508.57142857142856</v>
      </c>
      <c r="AN194" s="229">
        <v>877.91003708184292</v>
      </c>
      <c r="AO194" s="215">
        <v>864.68237166000415</v>
      </c>
      <c r="AP194" s="215">
        <v>829.40859720176718</v>
      </c>
      <c r="AQ194" s="215">
        <v>780.90715732169144</v>
      </c>
      <c r="AR194" s="215">
        <v>714.76883021249728</v>
      </c>
      <c r="AS194" s="215">
        <v>582.49217599410895</v>
      </c>
      <c r="AT194" s="215">
        <v>496.07142857142856</v>
      </c>
      <c r="AU194" s="215">
        <v>496.07142857142856</v>
      </c>
      <c r="AV194" s="216">
        <v>496.07142857142856</v>
      </c>
      <c r="AW194" s="229">
        <v>855.32731520443224</v>
      </c>
      <c r="AX194" s="215">
        <v>842.44893575987089</v>
      </c>
      <c r="AY194" s="215">
        <v>808.10659057437408</v>
      </c>
      <c r="AZ194" s="215">
        <v>760.88586594431581</v>
      </c>
      <c r="BA194" s="215">
        <v>696.49396872150919</v>
      </c>
      <c r="BB194" s="215">
        <v>567.71017427589595</v>
      </c>
      <c r="BC194" s="215">
        <v>483.57142857142856</v>
      </c>
      <c r="BD194" s="215">
        <v>483.57142857142856</v>
      </c>
      <c r="BE194" s="216">
        <v>483.57142857142856</v>
      </c>
    </row>
    <row r="195" spans="1:58" x14ac:dyDescent="0.25">
      <c r="A195" s="331"/>
      <c r="B195" s="195" t="s">
        <v>179</v>
      </c>
      <c r="C195" s="195" t="s">
        <v>19</v>
      </c>
      <c r="D195" s="208">
        <v>0</v>
      </c>
      <c r="E195" s="209">
        <v>0.35</v>
      </c>
      <c r="F195" s="209">
        <v>0.35</v>
      </c>
      <c r="G195" s="209">
        <v>0.35</v>
      </c>
      <c r="H195" s="209">
        <v>0.35</v>
      </c>
      <c r="I195" s="209">
        <v>0.35</v>
      </c>
      <c r="J195" s="209">
        <v>0.35</v>
      </c>
      <c r="K195" s="209">
        <v>0.35</v>
      </c>
      <c r="L195" s="210">
        <v>0.35</v>
      </c>
      <c r="M195" s="208">
        <v>0</v>
      </c>
      <c r="N195" s="209">
        <v>0.35</v>
      </c>
      <c r="O195" s="209">
        <v>0.35</v>
      </c>
      <c r="P195" s="209">
        <v>0.35</v>
      </c>
      <c r="Q195" s="209">
        <v>0.35</v>
      </c>
      <c r="R195" s="209">
        <v>0.35</v>
      </c>
      <c r="S195" s="209">
        <v>0.35</v>
      </c>
      <c r="T195" s="209">
        <v>0.35</v>
      </c>
      <c r="U195" s="210">
        <v>0.35</v>
      </c>
      <c r="V195" s="208">
        <v>0</v>
      </c>
      <c r="W195" s="209">
        <v>0</v>
      </c>
      <c r="X195" s="209">
        <v>0</v>
      </c>
      <c r="Y195" s="209">
        <v>0</v>
      </c>
      <c r="Z195" s="209">
        <v>0</v>
      </c>
      <c r="AA195" s="209">
        <v>0</v>
      </c>
      <c r="AB195" s="209">
        <v>0</v>
      </c>
      <c r="AC195" s="209">
        <v>0</v>
      </c>
      <c r="AD195" s="210">
        <v>0</v>
      </c>
      <c r="AE195" s="217">
        <v>0</v>
      </c>
      <c r="AF195" s="218">
        <v>0</v>
      </c>
      <c r="AG195" s="218">
        <v>0</v>
      </c>
      <c r="AH195" s="218">
        <v>0</v>
      </c>
      <c r="AI195" s="218">
        <v>0</v>
      </c>
      <c r="AJ195" s="218">
        <v>0</v>
      </c>
      <c r="AK195" s="218">
        <v>0</v>
      </c>
      <c r="AL195" s="218">
        <v>0</v>
      </c>
      <c r="AM195" s="219">
        <v>0</v>
      </c>
      <c r="AN195" s="217">
        <v>0</v>
      </c>
      <c r="AO195" s="218">
        <v>0</v>
      </c>
      <c r="AP195" s="218">
        <v>0</v>
      </c>
      <c r="AQ195" s="218">
        <v>0</v>
      </c>
      <c r="AR195" s="218">
        <v>0</v>
      </c>
      <c r="AS195" s="218">
        <v>0</v>
      </c>
      <c r="AT195" s="218">
        <v>0</v>
      </c>
      <c r="AU195" s="218">
        <v>0</v>
      </c>
      <c r="AV195" s="219">
        <v>0</v>
      </c>
      <c r="AW195" s="217">
        <v>0</v>
      </c>
      <c r="AX195" s="218">
        <v>0</v>
      </c>
      <c r="AY195" s="218">
        <v>0</v>
      </c>
      <c r="AZ195" s="218">
        <v>0</v>
      </c>
      <c r="BA195" s="218">
        <v>0</v>
      </c>
      <c r="BB195" s="218">
        <v>0</v>
      </c>
      <c r="BC195" s="218">
        <v>0</v>
      </c>
      <c r="BD195" s="218">
        <v>0</v>
      </c>
      <c r="BE195" s="219">
        <v>0</v>
      </c>
    </row>
    <row r="196" spans="1:58" x14ac:dyDescent="0.25">
      <c r="A196" s="331"/>
      <c r="B196" s="195" t="s">
        <v>129</v>
      </c>
      <c r="C196" s="195" t="s">
        <v>8</v>
      </c>
      <c r="D196" s="208">
        <v>59.884830633284238</v>
      </c>
      <c r="E196" s="209">
        <v>77.502650957290129</v>
      </c>
      <c r="F196" s="209">
        <v>124.48350515463918</v>
      </c>
      <c r="G196" s="209">
        <v>189.0821796759941</v>
      </c>
      <c r="H196" s="209">
        <v>277.17128129602355</v>
      </c>
      <c r="I196" s="209">
        <v>453.34948453608251</v>
      </c>
      <c r="J196" s="209">
        <v>629.52768777614153</v>
      </c>
      <c r="K196" s="209">
        <v>629.52768777614153</v>
      </c>
      <c r="L196" s="210">
        <v>629.52768777614153</v>
      </c>
      <c r="M196" s="208">
        <v>56.686008836524309</v>
      </c>
      <c r="N196" s="209">
        <v>74.027687776141391</v>
      </c>
      <c r="O196" s="209">
        <v>120.27216494845361</v>
      </c>
      <c r="P196" s="209">
        <v>183.85832106038291</v>
      </c>
      <c r="Q196" s="209">
        <v>270.56671575846832</v>
      </c>
      <c r="R196" s="209">
        <v>443.98350515463915</v>
      </c>
      <c r="S196" s="209">
        <v>617.40029455081003</v>
      </c>
      <c r="T196" s="209">
        <v>617.40029455081003</v>
      </c>
      <c r="U196" s="210">
        <v>617.40029455081003</v>
      </c>
      <c r="V196" s="208">
        <v>54.38718703976437</v>
      </c>
      <c r="W196" s="209">
        <v>71.452724594992645</v>
      </c>
      <c r="X196" s="209">
        <v>116.96082474226804</v>
      </c>
      <c r="Y196" s="209">
        <v>179.53446244477172</v>
      </c>
      <c r="Z196" s="209">
        <v>264.86215022091312</v>
      </c>
      <c r="AA196" s="209">
        <v>435.51752577319587</v>
      </c>
      <c r="AB196" s="209">
        <v>606.17290132547862</v>
      </c>
      <c r="AC196" s="209">
        <v>606.17290132547862</v>
      </c>
      <c r="AD196" s="210">
        <v>606.17290132547862</v>
      </c>
      <c r="AE196" s="214">
        <v>52.688365243004426</v>
      </c>
      <c r="AF196" s="215">
        <v>69.477761413843893</v>
      </c>
      <c r="AG196" s="215">
        <v>114.24948453608249</v>
      </c>
      <c r="AH196" s="215">
        <v>175.81060382916056</v>
      </c>
      <c r="AI196" s="215">
        <v>259.75758468335789</v>
      </c>
      <c r="AJ196" s="215">
        <v>427.65154639175262</v>
      </c>
      <c r="AK196" s="215">
        <v>595.54550810014734</v>
      </c>
      <c r="AL196" s="215">
        <v>595.54550810014734</v>
      </c>
      <c r="AM196" s="216">
        <v>595.54550810014734</v>
      </c>
      <c r="AN196" s="214">
        <v>50.989543446244483</v>
      </c>
      <c r="AO196" s="215">
        <v>67.502798232695142</v>
      </c>
      <c r="AP196" s="215">
        <v>111.53814432989691</v>
      </c>
      <c r="AQ196" s="215">
        <v>172.08674521354934</v>
      </c>
      <c r="AR196" s="215">
        <v>254.65301914580263</v>
      </c>
      <c r="AS196" s="215">
        <v>419.78556701030925</v>
      </c>
      <c r="AT196" s="215">
        <v>584.91811487481596</v>
      </c>
      <c r="AU196" s="215">
        <v>584.91811487481596</v>
      </c>
      <c r="AV196" s="216">
        <v>584.91811487481596</v>
      </c>
      <c r="AW196" s="214">
        <v>49.290721649484539</v>
      </c>
      <c r="AX196" s="215">
        <v>65.52783505154639</v>
      </c>
      <c r="AY196" s="215">
        <v>108.82680412371134</v>
      </c>
      <c r="AZ196" s="215">
        <v>168.36288659793814</v>
      </c>
      <c r="BA196" s="215">
        <v>249.54845360824743</v>
      </c>
      <c r="BB196" s="215">
        <v>411.91958762886594</v>
      </c>
      <c r="BC196" s="215">
        <v>574.29072164948457</v>
      </c>
      <c r="BD196" s="215">
        <v>574.29072164948457</v>
      </c>
      <c r="BE196" s="216">
        <v>574.29072164948457</v>
      </c>
    </row>
    <row r="197" spans="1:58" x14ac:dyDescent="0.25">
      <c r="A197" s="331"/>
      <c r="B197" s="195" t="s">
        <v>130</v>
      </c>
      <c r="C197" s="195" t="s">
        <v>9</v>
      </c>
      <c r="D197" s="208"/>
      <c r="E197" s="209"/>
      <c r="F197" s="209"/>
      <c r="G197" s="209"/>
      <c r="H197" s="209"/>
      <c r="I197" s="209"/>
      <c r="J197" s="209"/>
      <c r="K197" s="209"/>
      <c r="L197" s="210"/>
      <c r="M197" s="208"/>
      <c r="N197" s="209"/>
      <c r="O197" s="209"/>
      <c r="P197" s="209"/>
      <c r="Q197" s="209"/>
      <c r="R197" s="209"/>
      <c r="S197" s="209"/>
      <c r="T197" s="209"/>
      <c r="U197" s="210"/>
      <c r="V197" s="208"/>
      <c r="W197" s="209"/>
      <c r="X197" s="209"/>
      <c r="Y197" s="209"/>
      <c r="Z197" s="209"/>
      <c r="AA197" s="209"/>
      <c r="AB197" s="209"/>
      <c r="AC197" s="209"/>
      <c r="AD197" s="210"/>
      <c r="AE197" s="211"/>
      <c r="AF197" s="212"/>
      <c r="AG197" s="212"/>
      <c r="AH197" s="212"/>
      <c r="AI197" s="212"/>
      <c r="AJ197" s="212"/>
      <c r="AK197" s="212"/>
      <c r="AL197" s="212"/>
      <c r="AM197" s="213"/>
      <c r="AN197" s="211"/>
      <c r="AO197" s="212"/>
      <c r="AP197" s="212"/>
      <c r="AQ197" s="212"/>
      <c r="AR197" s="212"/>
      <c r="AS197" s="212"/>
      <c r="AT197" s="212"/>
      <c r="AU197" s="212"/>
      <c r="AV197" s="213"/>
      <c r="AW197" s="211"/>
      <c r="AX197" s="212"/>
      <c r="AY197" s="212"/>
      <c r="AZ197" s="212"/>
      <c r="BA197" s="212"/>
      <c r="BB197" s="212"/>
      <c r="BC197" s="212"/>
      <c r="BD197" s="212"/>
      <c r="BE197" s="213"/>
    </row>
    <row r="198" spans="1:58" x14ac:dyDescent="0.25">
      <c r="A198" s="331"/>
      <c r="B198" s="195" t="s">
        <v>131</v>
      </c>
      <c r="C198" s="195" t="s">
        <v>10</v>
      </c>
      <c r="D198" s="208"/>
      <c r="E198" s="209"/>
      <c r="F198" s="209"/>
      <c r="G198" s="209"/>
      <c r="H198" s="209"/>
      <c r="I198" s="209"/>
      <c r="J198" s="209"/>
      <c r="K198" s="209"/>
      <c r="L198" s="210"/>
      <c r="M198" s="208"/>
      <c r="N198" s="209"/>
      <c r="O198" s="209"/>
      <c r="P198" s="209"/>
      <c r="Q198" s="209"/>
      <c r="R198" s="209"/>
      <c r="S198" s="209"/>
      <c r="T198" s="209"/>
      <c r="U198" s="210"/>
      <c r="V198" s="208"/>
      <c r="W198" s="209"/>
      <c r="X198" s="209"/>
      <c r="Y198" s="209"/>
      <c r="Z198" s="209"/>
      <c r="AA198" s="209"/>
      <c r="AB198" s="209"/>
      <c r="AC198" s="209"/>
      <c r="AD198" s="210"/>
      <c r="AE198" s="211"/>
      <c r="AF198" s="212"/>
      <c r="AG198" s="212"/>
      <c r="AH198" s="212"/>
      <c r="AI198" s="212"/>
      <c r="AJ198" s="212"/>
      <c r="AK198" s="212"/>
      <c r="AL198" s="212"/>
      <c r="AM198" s="213"/>
      <c r="AN198" s="211"/>
      <c r="AO198" s="212"/>
      <c r="AP198" s="212"/>
      <c r="AQ198" s="212"/>
      <c r="AR198" s="212"/>
      <c r="AS198" s="212"/>
      <c r="AT198" s="212"/>
      <c r="AU198" s="212"/>
      <c r="AV198" s="213"/>
      <c r="AW198" s="211"/>
      <c r="AX198" s="212"/>
      <c r="AY198" s="212"/>
      <c r="AZ198" s="212"/>
      <c r="BA198" s="212"/>
      <c r="BB198" s="212"/>
      <c r="BC198" s="212"/>
      <c r="BD198" s="212"/>
      <c r="BE198" s="213"/>
    </row>
    <row r="199" spans="1:58" ht="15.75" thickBot="1" x14ac:dyDescent="0.3">
      <c r="A199" s="358"/>
      <c r="B199" s="359" t="s">
        <v>132</v>
      </c>
      <c r="C199" s="359" t="s">
        <v>320</v>
      </c>
      <c r="D199" s="360"/>
      <c r="E199" s="361"/>
      <c r="F199" s="361"/>
      <c r="G199" s="361"/>
      <c r="H199" s="361"/>
      <c r="I199" s="361"/>
      <c r="J199" s="361"/>
      <c r="K199" s="361"/>
      <c r="L199" s="362"/>
      <c r="M199" s="360"/>
      <c r="N199" s="361"/>
      <c r="O199" s="361"/>
      <c r="P199" s="361"/>
      <c r="Q199" s="361"/>
      <c r="R199" s="361"/>
      <c r="S199" s="361"/>
      <c r="T199" s="361"/>
      <c r="U199" s="362"/>
      <c r="V199" s="360"/>
      <c r="W199" s="361"/>
      <c r="X199" s="361"/>
      <c r="Y199" s="361"/>
      <c r="Z199" s="361"/>
      <c r="AA199" s="361"/>
      <c r="AB199" s="361"/>
      <c r="AC199" s="361"/>
      <c r="AD199" s="362"/>
      <c r="AE199" s="363"/>
      <c r="AF199" s="364"/>
      <c r="AG199" s="364"/>
      <c r="AH199" s="364"/>
      <c r="AI199" s="364"/>
      <c r="AJ199" s="364"/>
      <c r="AK199" s="364"/>
      <c r="AL199" s="364"/>
      <c r="AM199" s="365"/>
      <c r="AN199" s="363"/>
      <c r="AO199" s="364"/>
      <c r="AP199" s="364"/>
      <c r="AQ199" s="364"/>
      <c r="AR199" s="364"/>
      <c r="AS199" s="364"/>
      <c r="AT199" s="364"/>
      <c r="AU199" s="364"/>
      <c r="AV199" s="365"/>
      <c r="AW199" s="363"/>
      <c r="AX199" s="364"/>
      <c r="AY199" s="364"/>
      <c r="AZ199" s="364"/>
      <c r="BA199" s="364"/>
      <c r="BB199" s="364"/>
      <c r="BC199" s="364"/>
      <c r="BD199" s="364"/>
      <c r="BE199" s="365"/>
    </row>
    <row r="200" spans="1:58" x14ac:dyDescent="0.25">
      <c r="A200" s="339" t="s">
        <v>180</v>
      </c>
      <c r="B200" s="340" t="s">
        <v>109</v>
      </c>
      <c r="C200" s="340" t="s">
        <v>19</v>
      </c>
      <c r="D200" s="341">
        <v>1</v>
      </c>
      <c r="E200" s="342">
        <v>1</v>
      </c>
      <c r="F200" s="342">
        <v>1</v>
      </c>
      <c r="G200" s="342">
        <v>1</v>
      </c>
      <c r="H200" s="342">
        <v>1</v>
      </c>
      <c r="I200" s="342">
        <v>1</v>
      </c>
      <c r="J200" s="342">
        <v>1</v>
      </c>
      <c r="K200" s="342">
        <v>1</v>
      </c>
      <c r="L200" s="343">
        <v>1</v>
      </c>
      <c r="M200" s="341">
        <v>1</v>
      </c>
      <c r="N200" s="342">
        <v>1</v>
      </c>
      <c r="O200" s="342">
        <v>1</v>
      </c>
      <c r="P200" s="342">
        <v>1</v>
      </c>
      <c r="Q200" s="342">
        <v>1</v>
      </c>
      <c r="R200" s="342">
        <v>1</v>
      </c>
      <c r="S200" s="342">
        <v>1</v>
      </c>
      <c r="T200" s="342">
        <v>1</v>
      </c>
      <c r="U200" s="343">
        <v>1</v>
      </c>
      <c r="V200" s="341">
        <v>1</v>
      </c>
      <c r="W200" s="342">
        <v>1</v>
      </c>
      <c r="X200" s="342">
        <v>1</v>
      </c>
      <c r="Y200" s="342">
        <v>1</v>
      </c>
      <c r="Z200" s="342">
        <v>1</v>
      </c>
      <c r="AA200" s="342">
        <v>1</v>
      </c>
      <c r="AB200" s="342">
        <v>1</v>
      </c>
      <c r="AC200" s="342">
        <v>1</v>
      </c>
      <c r="AD200" s="343">
        <v>1</v>
      </c>
      <c r="AE200" s="344">
        <v>1</v>
      </c>
      <c r="AF200" s="345">
        <v>1</v>
      </c>
      <c r="AG200" s="345">
        <v>1</v>
      </c>
      <c r="AH200" s="345">
        <v>1</v>
      </c>
      <c r="AI200" s="345">
        <v>1</v>
      </c>
      <c r="AJ200" s="345">
        <v>1</v>
      </c>
      <c r="AK200" s="345">
        <v>1</v>
      </c>
      <c r="AL200" s="345">
        <v>1</v>
      </c>
      <c r="AM200" s="346">
        <v>1</v>
      </c>
      <c r="AN200" s="344">
        <v>1</v>
      </c>
      <c r="AO200" s="345">
        <v>1</v>
      </c>
      <c r="AP200" s="345">
        <v>1</v>
      </c>
      <c r="AQ200" s="345">
        <v>1</v>
      </c>
      <c r="AR200" s="345">
        <v>1</v>
      </c>
      <c r="AS200" s="345">
        <v>1</v>
      </c>
      <c r="AT200" s="345">
        <v>1</v>
      </c>
      <c r="AU200" s="345">
        <v>1</v>
      </c>
      <c r="AV200" s="346">
        <v>1</v>
      </c>
      <c r="AW200" s="344">
        <v>1</v>
      </c>
      <c r="AX200" s="345">
        <v>1</v>
      </c>
      <c r="AY200" s="345">
        <v>1</v>
      </c>
      <c r="AZ200" s="345">
        <v>1</v>
      </c>
      <c r="BA200" s="345">
        <v>1</v>
      </c>
      <c r="BB200" s="345">
        <v>1</v>
      </c>
      <c r="BC200" s="345">
        <v>1</v>
      </c>
      <c r="BD200" s="345">
        <v>1</v>
      </c>
      <c r="BE200" s="346">
        <v>1</v>
      </c>
      <c r="BF200" s="30"/>
    </row>
    <row r="201" spans="1:58" x14ac:dyDescent="0.25">
      <c r="A201" s="330"/>
      <c r="B201" s="193" t="s">
        <v>21</v>
      </c>
      <c r="C201" s="193" t="s">
        <v>19</v>
      </c>
      <c r="D201" s="196">
        <v>0.65</v>
      </c>
      <c r="E201" s="197">
        <v>0.65</v>
      </c>
      <c r="F201" s="197">
        <v>0.65</v>
      </c>
      <c r="G201" s="197">
        <v>0.65</v>
      </c>
      <c r="H201" s="197">
        <v>0.65</v>
      </c>
      <c r="I201" s="197">
        <v>0.65</v>
      </c>
      <c r="J201" s="197">
        <v>0.65</v>
      </c>
      <c r="K201" s="197">
        <v>0.65</v>
      </c>
      <c r="L201" s="198">
        <v>0.65</v>
      </c>
      <c r="M201" s="196">
        <v>0.65</v>
      </c>
      <c r="N201" s="197">
        <v>0.65</v>
      </c>
      <c r="O201" s="197">
        <v>0.65</v>
      </c>
      <c r="P201" s="197">
        <v>0.65</v>
      </c>
      <c r="Q201" s="197">
        <v>0.65</v>
      </c>
      <c r="R201" s="197">
        <v>0.65</v>
      </c>
      <c r="S201" s="197">
        <v>0.65</v>
      </c>
      <c r="T201" s="197">
        <v>0.65</v>
      </c>
      <c r="U201" s="198">
        <v>0.65</v>
      </c>
      <c r="V201" s="196">
        <v>0.65</v>
      </c>
      <c r="W201" s="197">
        <v>0.65</v>
      </c>
      <c r="X201" s="197">
        <v>0.65</v>
      </c>
      <c r="Y201" s="197">
        <v>0.65</v>
      </c>
      <c r="Z201" s="197">
        <v>0.65</v>
      </c>
      <c r="AA201" s="197">
        <v>0.65</v>
      </c>
      <c r="AB201" s="197">
        <v>0.65</v>
      </c>
      <c r="AC201" s="197">
        <v>0.65</v>
      </c>
      <c r="AD201" s="198">
        <v>0.65</v>
      </c>
      <c r="AE201" s="199">
        <v>0.65</v>
      </c>
      <c r="AF201" s="200">
        <v>0.65</v>
      </c>
      <c r="AG201" s="200">
        <v>0.65</v>
      </c>
      <c r="AH201" s="200">
        <v>0.65</v>
      </c>
      <c r="AI201" s="200">
        <v>0.65</v>
      </c>
      <c r="AJ201" s="200">
        <v>0.65</v>
      </c>
      <c r="AK201" s="200">
        <v>0.65</v>
      </c>
      <c r="AL201" s="200">
        <v>0.65</v>
      </c>
      <c r="AM201" s="201">
        <v>0.65</v>
      </c>
      <c r="AN201" s="199">
        <v>0.65</v>
      </c>
      <c r="AO201" s="200">
        <v>0.65</v>
      </c>
      <c r="AP201" s="200">
        <v>0.65</v>
      </c>
      <c r="AQ201" s="200">
        <v>0.65</v>
      </c>
      <c r="AR201" s="200">
        <v>0.65</v>
      </c>
      <c r="AS201" s="200">
        <v>0.65</v>
      </c>
      <c r="AT201" s="200">
        <v>0.65</v>
      </c>
      <c r="AU201" s="200">
        <v>0.65</v>
      </c>
      <c r="AV201" s="201">
        <v>0.65</v>
      </c>
      <c r="AW201" s="199">
        <v>0.65</v>
      </c>
      <c r="AX201" s="200">
        <v>0.65</v>
      </c>
      <c r="AY201" s="200">
        <v>0.65</v>
      </c>
      <c r="AZ201" s="200">
        <v>0.65</v>
      </c>
      <c r="BA201" s="200">
        <v>0.65</v>
      </c>
      <c r="BB201" s="200">
        <v>0.65</v>
      </c>
      <c r="BC201" s="200">
        <v>0.65</v>
      </c>
      <c r="BD201" s="200">
        <v>0.65</v>
      </c>
      <c r="BE201" s="201">
        <v>0.65</v>
      </c>
    </row>
    <row r="202" spans="1:58" x14ac:dyDescent="0.25">
      <c r="A202" s="330"/>
      <c r="B202" s="193" t="s">
        <v>22</v>
      </c>
      <c r="C202" s="193" t="s">
        <v>4</v>
      </c>
      <c r="D202" s="196">
        <v>20</v>
      </c>
      <c r="E202" s="197">
        <v>20</v>
      </c>
      <c r="F202" s="197">
        <v>20</v>
      </c>
      <c r="G202" s="197">
        <v>20</v>
      </c>
      <c r="H202" s="197">
        <v>20</v>
      </c>
      <c r="I202" s="197">
        <v>20</v>
      </c>
      <c r="J202" s="197">
        <v>20</v>
      </c>
      <c r="K202" s="197">
        <v>20</v>
      </c>
      <c r="L202" s="198">
        <v>20</v>
      </c>
      <c r="M202" s="196">
        <v>20</v>
      </c>
      <c r="N202" s="197">
        <v>20</v>
      </c>
      <c r="O202" s="197">
        <v>20</v>
      </c>
      <c r="P202" s="197">
        <v>20</v>
      </c>
      <c r="Q202" s="197">
        <v>20</v>
      </c>
      <c r="R202" s="197">
        <v>20</v>
      </c>
      <c r="S202" s="197">
        <v>20</v>
      </c>
      <c r="T202" s="197">
        <v>20</v>
      </c>
      <c r="U202" s="198">
        <v>20</v>
      </c>
      <c r="V202" s="196">
        <v>20</v>
      </c>
      <c r="W202" s="197">
        <v>20</v>
      </c>
      <c r="X202" s="197">
        <v>20</v>
      </c>
      <c r="Y202" s="197">
        <v>20</v>
      </c>
      <c r="Z202" s="197">
        <v>20</v>
      </c>
      <c r="AA202" s="197">
        <v>20</v>
      </c>
      <c r="AB202" s="197">
        <v>20</v>
      </c>
      <c r="AC202" s="197">
        <v>20</v>
      </c>
      <c r="AD202" s="198">
        <v>20</v>
      </c>
      <c r="AE202" s="199">
        <v>20</v>
      </c>
      <c r="AF202" s="200">
        <v>20</v>
      </c>
      <c r="AG202" s="200">
        <v>20</v>
      </c>
      <c r="AH202" s="200">
        <v>20</v>
      </c>
      <c r="AI202" s="200">
        <v>20</v>
      </c>
      <c r="AJ202" s="200">
        <v>20</v>
      </c>
      <c r="AK202" s="200">
        <v>20</v>
      </c>
      <c r="AL202" s="200">
        <v>20</v>
      </c>
      <c r="AM202" s="201">
        <v>20</v>
      </c>
      <c r="AN202" s="199">
        <v>20</v>
      </c>
      <c r="AO202" s="200">
        <v>20</v>
      </c>
      <c r="AP202" s="200">
        <v>20</v>
      </c>
      <c r="AQ202" s="200">
        <v>20</v>
      </c>
      <c r="AR202" s="200">
        <v>20</v>
      </c>
      <c r="AS202" s="200">
        <v>20</v>
      </c>
      <c r="AT202" s="200">
        <v>20</v>
      </c>
      <c r="AU202" s="200">
        <v>20</v>
      </c>
      <c r="AV202" s="201">
        <v>20</v>
      </c>
      <c r="AW202" s="199">
        <v>20</v>
      </c>
      <c r="AX202" s="200">
        <v>20</v>
      </c>
      <c r="AY202" s="200">
        <v>20</v>
      </c>
      <c r="AZ202" s="200">
        <v>20</v>
      </c>
      <c r="BA202" s="200">
        <v>20</v>
      </c>
      <c r="BB202" s="200">
        <v>20</v>
      </c>
      <c r="BC202" s="200">
        <v>20</v>
      </c>
      <c r="BD202" s="200">
        <v>20</v>
      </c>
      <c r="BE202" s="201">
        <v>20</v>
      </c>
    </row>
    <row r="203" spans="1:58" x14ac:dyDescent="0.25">
      <c r="A203" s="330"/>
      <c r="B203" s="193" t="s">
        <v>23</v>
      </c>
      <c r="C203" s="193" t="s">
        <v>6</v>
      </c>
      <c r="D203" s="196">
        <v>218.34121214018199</v>
      </c>
      <c r="E203" s="197">
        <v>184.87398682120613</v>
      </c>
      <c r="F203" s="197">
        <v>143.96390422813076</v>
      </c>
      <c r="G203" s="197">
        <v>115.96852782183296</v>
      </c>
      <c r="H203" s="197">
        <v>107.31263157894738</v>
      </c>
      <c r="I203" s="197">
        <v>107.00631578947369</v>
      </c>
      <c r="J203" s="197">
        <v>105.98526315789475</v>
      </c>
      <c r="K203" s="197">
        <v>103.84105263157896</v>
      </c>
      <c r="L203" s="198">
        <v>99.55263157894737</v>
      </c>
      <c r="M203" s="196">
        <v>212.90273464055423</v>
      </c>
      <c r="N203" s="197">
        <v>180.29847756137553</v>
      </c>
      <c r="O203" s="197">
        <v>140.44328080448224</v>
      </c>
      <c r="P203" s="197">
        <v>113.16977842477434</v>
      </c>
      <c r="Q203" s="197">
        <v>107.31263157894738</v>
      </c>
      <c r="R203" s="197">
        <v>107.00631578947369</v>
      </c>
      <c r="S203" s="197">
        <v>105.98526315789475</v>
      </c>
      <c r="T203" s="197">
        <v>103.84105263157896</v>
      </c>
      <c r="U203" s="198">
        <v>99.55263157894737</v>
      </c>
      <c r="V203" s="196">
        <v>207.70052243006694</v>
      </c>
      <c r="W203" s="197">
        <v>175.92180364293515</v>
      </c>
      <c r="X203" s="197">
        <v>137.07573863776301</v>
      </c>
      <c r="Y203" s="197">
        <v>110.49280008590137</v>
      </c>
      <c r="Z203" s="197">
        <v>107.31263157894738</v>
      </c>
      <c r="AA203" s="197">
        <v>107.00631578947369</v>
      </c>
      <c r="AB203" s="197">
        <v>105.98526315789475</v>
      </c>
      <c r="AC203" s="197">
        <v>103.84105263157896</v>
      </c>
      <c r="AD203" s="198">
        <v>99.55263157894737</v>
      </c>
      <c r="AE203" s="202">
        <v>202.65582041234001</v>
      </c>
      <c r="AF203" s="203">
        <v>171.6776866187549</v>
      </c>
      <c r="AG203" s="203">
        <v>133.81025064233</v>
      </c>
      <c r="AH203" s="203">
        <v>107.89700245248551</v>
      </c>
      <c r="AI203" s="203">
        <v>107.31263157894738</v>
      </c>
      <c r="AJ203" s="203">
        <v>107.00631578947369</v>
      </c>
      <c r="AK203" s="203">
        <v>105.98526315789475</v>
      </c>
      <c r="AL203" s="203">
        <v>103.84105263157896</v>
      </c>
      <c r="AM203" s="204">
        <v>99.55263157894737</v>
      </c>
      <c r="AN203" s="202">
        <v>197.6111183946131</v>
      </c>
      <c r="AO203" s="203">
        <v>167.43356959457475</v>
      </c>
      <c r="AP203" s="203">
        <v>130.54476264689706</v>
      </c>
      <c r="AQ203" s="203">
        <v>105.30120481906971</v>
      </c>
      <c r="AR203" s="203">
        <v>107.31263157894738</v>
      </c>
      <c r="AS203" s="203">
        <v>107.00631578947369</v>
      </c>
      <c r="AT203" s="203">
        <v>105.98526315789475</v>
      </c>
      <c r="AU203" s="203">
        <v>103.84105263157896</v>
      </c>
      <c r="AV203" s="204">
        <v>99.55263157894737</v>
      </c>
      <c r="AW203" s="202">
        <v>192.56641637688614</v>
      </c>
      <c r="AX203" s="203">
        <v>163.18945257039451</v>
      </c>
      <c r="AY203" s="203">
        <v>127.27927465146402</v>
      </c>
      <c r="AZ203" s="203">
        <v>102.70540718565383</v>
      </c>
      <c r="BA203" s="203">
        <v>107.31263157894738</v>
      </c>
      <c r="BB203" s="203">
        <v>107.00631578947369</v>
      </c>
      <c r="BC203" s="203">
        <v>105.98526315789475</v>
      </c>
      <c r="BD203" s="203">
        <v>103.84105263157896</v>
      </c>
      <c r="BE203" s="204">
        <v>99.55263157894737</v>
      </c>
    </row>
    <row r="204" spans="1:58" x14ac:dyDescent="0.25">
      <c r="A204" s="330"/>
      <c r="B204" s="193" t="s">
        <v>173</v>
      </c>
      <c r="C204" s="193" t="s">
        <v>19</v>
      </c>
      <c r="D204" s="196">
        <v>0.2</v>
      </c>
      <c r="E204" s="197">
        <v>0.2</v>
      </c>
      <c r="F204" s="197">
        <v>0.2</v>
      </c>
      <c r="G204" s="197">
        <v>0.2</v>
      </c>
      <c r="H204" s="197">
        <v>0.2</v>
      </c>
      <c r="I204" s="197">
        <v>0.2</v>
      </c>
      <c r="J204" s="197">
        <v>0.2</v>
      </c>
      <c r="K204" s="197">
        <v>0.2</v>
      </c>
      <c r="L204" s="198">
        <v>0.2</v>
      </c>
      <c r="M204" s="196">
        <v>0.2</v>
      </c>
      <c r="N204" s="197">
        <v>0.2</v>
      </c>
      <c r="O204" s="197">
        <v>0.2</v>
      </c>
      <c r="P204" s="197">
        <v>0.2</v>
      </c>
      <c r="Q204" s="197">
        <v>0.2</v>
      </c>
      <c r="R204" s="197">
        <v>0.2</v>
      </c>
      <c r="S204" s="197">
        <v>0.2</v>
      </c>
      <c r="T204" s="197">
        <v>0.2</v>
      </c>
      <c r="U204" s="198">
        <v>0.2</v>
      </c>
      <c r="V204" s="196">
        <v>0</v>
      </c>
      <c r="W204" s="197">
        <v>0</v>
      </c>
      <c r="X204" s="197">
        <v>0</v>
      </c>
      <c r="Y204" s="197">
        <v>0</v>
      </c>
      <c r="Z204" s="197">
        <v>0</v>
      </c>
      <c r="AA204" s="197">
        <v>0</v>
      </c>
      <c r="AB204" s="197">
        <v>0</v>
      </c>
      <c r="AC204" s="197">
        <v>0</v>
      </c>
      <c r="AD204" s="198">
        <v>0</v>
      </c>
      <c r="AE204" s="205">
        <v>0</v>
      </c>
      <c r="AF204" s="206">
        <v>0</v>
      </c>
      <c r="AG204" s="206">
        <v>0</v>
      </c>
      <c r="AH204" s="206">
        <v>0</v>
      </c>
      <c r="AI204" s="206">
        <v>0</v>
      </c>
      <c r="AJ204" s="206">
        <v>0</v>
      </c>
      <c r="AK204" s="206">
        <v>0</v>
      </c>
      <c r="AL204" s="206">
        <v>0</v>
      </c>
      <c r="AM204" s="207">
        <v>0</v>
      </c>
      <c r="AN204" s="205">
        <v>0</v>
      </c>
      <c r="AO204" s="206">
        <v>0</v>
      </c>
      <c r="AP204" s="206">
        <v>0</v>
      </c>
      <c r="AQ204" s="206">
        <v>0</v>
      </c>
      <c r="AR204" s="206">
        <v>0</v>
      </c>
      <c r="AS204" s="206">
        <v>0</v>
      </c>
      <c r="AT204" s="206">
        <v>0</v>
      </c>
      <c r="AU204" s="206">
        <v>0</v>
      </c>
      <c r="AV204" s="207">
        <v>0</v>
      </c>
      <c r="AW204" s="205">
        <v>0</v>
      </c>
      <c r="AX204" s="206">
        <v>0</v>
      </c>
      <c r="AY204" s="206">
        <v>0</v>
      </c>
      <c r="AZ204" s="206">
        <v>0</v>
      </c>
      <c r="BA204" s="206">
        <v>0</v>
      </c>
      <c r="BB204" s="206">
        <v>0</v>
      </c>
      <c r="BC204" s="206">
        <v>0</v>
      </c>
      <c r="BD204" s="206">
        <v>0</v>
      </c>
      <c r="BE204" s="207">
        <v>0</v>
      </c>
    </row>
    <row r="205" spans="1:58" x14ac:dyDescent="0.25">
      <c r="A205" s="330"/>
      <c r="B205" s="193" t="s">
        <v>110</v>
      </c>
      <c r="C205" s="193" t="s">
        <v>8</v>
      </c>
      <c r="D205" s="196"/>
      <c r="E205" s="197"/>
      <c r="F205" s="197"/>
      <c r="G205" s="197"/>
      <c r="H205" s="197"/>
      <c r="I205" s="197"/>
      <c r="J205" s="197"/>
      <c r="K205" s="197"/>
      <c r="L205" s="198"/>
      <c r="M205" s="196"/>
      <c r="N205" s="197"/>
      <c r="O205" s="197"/>
      <c r="P205" s="197"/>
      <c r="Q205" s="197"/>
      <c r="R205" s="197"/>
      <c r="S205" s="197"/>
      <c r="T205" s="197"/>
      <c r="U205" s="198"/>
      <c r="V205" s="196"/>
      <c r="W205" s="197"/>
      <c r="X205" s="197"/>
      <c r="Y205" s="197"/>
      <c r="Z205" s="197"/>
      <c r="AA205" s="197"/>
      <c r="AB205" s="197"/>
      <c r="AC205" s="197"/>
      <c r="AD205" s="198"/>
      <c r="AE205" s="199"/>
      <c r="AF205" s="200"/>
      <c r="AG205" s="200"/>
      <c r="AH205" s="200"/>
      <c r="AI205" s="200"/>
      <c r="AJ205" s="200"/>
      <c r="AK205" s="200"/>
      <c r="AL205" s="200"/>
      <c r="AM205" s="201"/>
      <c r="AN205" s="199"/>
      <c r="AO205" s="200"/>
      <c r="AP205" s="200"/>
      <c r="AQ205" s="200"/>
      <c r="AR205" s="200"/>
      <c r="AS205" s="200"/>
      <c r="AT205" s="200"/>
      <c r="AU205" s="200"/>
      <c r="AV205" s="201"/>
      <c r="AW205" s="199"/>
      <c r="AX205" s="200"/>
      <c r="AY205" s="200"/>
      <c r="AZ205" s="200"/>
      <c r="BA205" s="200"/>
      <c r="BB205" s="200"/>
      <c r="BC205" s="200"/>
      <c r="BD205" s="200"/>
      <c r="BE205" s="201"/>
    </row>
    <row r="206" spans="1:58" x14ac:dyDescent="0.25">
      <c r="A206" s="330"/>
      <c r="B206" s="193" t="s">
        <v>111</v>
      </c>
      <c r="C206" s="193" t="s">
        <v>9</v>
      </c>
      <c r="D206" s="196">
        <v>6.5502363642054595</v>
      </c>
      <c r="E206" s="197">
        <v>5.5462196046361836</v>
      </c>
      <c r="F206" s="197">
        <v>4.3189171268439228</v>
      </c>
      <c r="G206" s="197">
        <v>3.4790558346549889</v>
      </c>
      <c r="H206" s="197">
        <v>2.0378947368421052</v>
      </c>
      <c r="I206" s="197">
        <v>2.0189473684210526</v>
      </c>
      <c r="J206" s="197">
        <v>1.9557894736842103</v>
      </c>
      <c r="K206" s="197">
        <v>1.8231578947368419</v>
      </c>
      <c r="L206" s="198">
        <v>1.557894736842105</v>
      </c>
      <c r="M206" s="196">
        <v>6.3870820392166268</v>
      </c>
      <c r="N206" s="197">
        <v>5.4089543268412656</v>
      </c>
      <c r="O206" s="197">
        <v>4.2132984241344671</v>
      </c>
      <c r="P206" s="197">
        <v>3.3950933527432299</v>
      </c>
      <c r="Q206" s="197">
        <v>2.0378947368421052</v>
      </c>
      <c r="R206" s="197">
        <v>2.0189473684210526</v>
      </c>
      <c r="S206" s="197">
        <v>1.9557894736842103</v>
      </c>
      <c r="T206" s="197">
        <v>1.8231578947368419</v>
      </c>
      <c r="U206" s="198">
        <v>1.557894736842105</v>
      </c>
      <c r="V206" s="196">
        <v>6.2310156729020081</v>
      </c>
      <c r="W206" s="197">
        <v>5.2776541092880542</v>
      </c>
      <c r="X206" s="197">
        <v>4.1122721591328899</v>
      </c>
      <c r="Y206" s="197">
        <v>3.3147840025770408</v>
      </c>
      <c r="Z206" s="197">
        <v>2.0378947368421052</v>
      </c>
      <c r="AA206" s="197">
        <v>2.0189473684210526</v>
      </c>
      <c r="AB206" s="197">
        <v>1.9557894736842103</v>
      </c>
      <c r="AC206" s="197">
        <v>1.8231578947368419</v>
      </c>
      <c r="AD206" s="198">
        <v>1.557894736842105</v>
      </c>
      <c r="AE206" s="202">
        <v>6.0796746123701997</v>
      </c>
      <c r="AF206" s="203">
        <v>5.1503305985626469</v>
      </c>
      <c r="AG206" s="203">
        <v>4.0143075192698996</v>
      </c>
      <c r="AH206" s="203">
        <v>3.2369100735745651</v>
      </c>
      <c r="AI206" s="203">
        <v>2.0378947368421052</v>
      </c>
      <c r="AJ206" s="203">
        <v>2.0189473684210526</v>
      </c>
      <c r="AK206" s="203">
        <v>1.9557894736842103</v>
      </c>
      <c r="AL206" s="203">
        <v>1.8231578947368419</v>
      </c>
      <c r="AM206" s="204">
        <v>1.557894736842105</v>
      </c>
      <c r="AN206" s="202">
        <v>5.9283335518383931</v>
      </c>
      <c r="AO206" s="203">
        <v>5.0230070878372421</v>
      </c>
      <c r="AP206" s="203">
        <v>3.9163428794069115</v>
      </c>
      <c r="AQ206" s="203">
        <v>3.1590361445720911</v>
      </c>
      <c r="AR206" s="203">
        <v>2.0378947368421052</v>
      </c>
      <c r="AS206" s="203">
        <v>2.0189473684210526</v>
      </c>
      <c r="AT206" s="203">
        <v>1.9557894736842103</v>
      </c>
      <c r="AU206" s="203">
        <v>1.8231578947368419</v>
      </c>
      <c r="AV206" s="204">
        <v>1.557894736842105</v>
      </c>
      <c r="AW206" s="202">
        <v>5.7769924913065838</v>
      </c>
      <c r="AX206" s="203">
        <v>4.8956835771118348</v>
      </c>
      <c r="AY206" s="203">
        <v>3.8183782395439203</v>
      </c>
      <c r="AZ206" s="203">
        <v>3.0811622155696146</v>
      </c>
      <c r="BA206" s="203">
        <v>2.0378947368421052</v>
      </c>
      <c r="BB206" s="203">
        <v>2.0189473684210526</v>
      </c>
      <c r="BC206" s="203">
        <v>1.9557894736842103</v>
      </c>
      <c r="BD206" s="203">
        <v>1.8231578947368419</v>
      </c>
      <c r="BE206" s="204">
        <v>1.557894736842105</v>
      </c>
    </row>
    <row r="207" spans="1:58" x14ac:dyDescent="0.25">
      <c r="A207" s="330"/>
      <c r="B207" s="193" t="s">
        <v>35</v>
      </c>
      <c r="C207" s="193" t="s">
        <v>10</v>
      </c>
      <c r="D207" s="196">
        <v>0</v>
      </c>
      <c r="E207" s="197">
        <v>0</v>
      </c>
      <c r="F207" s="197">
        <v>0</v>
      </c>
      <c r="G207" s="197">
        <v>0</v>
      </c>
      <c r="H207" s="197">
        <v>0</v>
      </c>
      <c r="I207" s="197">
        <v>0</v>
      </c>
      <c r="J207" s="197">
        <v>1.6357894736842103E-3</v>
      </c>
      <c r="K207" s="197">
        <v>1.5031578947368419E-3</v>
      </c>
      <c r="L207" s="198">
        <v>1.2378947368421051E-3</v>
      </c>
      <c r="M207" s="196">
        <v>0</v>
      </c>
      <c r="N207" s="197">
        <v>0</v>
      </c>
      <c r="O207" s="197">
        <v>0</v>
      </c>
      <c r="P207" s="197">
        <v>0</v>
      </c>
      <c r="Q207" s="197">
        <v>0</v>
      </c>
      <c r="R207" s="197">
        <v>0</v>
      </c>
      <c r="S207" s="197">
        <v>1.6357894736842103E-3</v>
      </c>
      <c r="T207" s="197">
        <v>1.5031578947368419E-3</v>
      </c>
      <c r="U207" s="198">
        <v>1.2378947368421051E-3</v>
      </c>
      <c r="V207" s="196">
        <v>0</v>
      </c>
      <c r="W207" s="197">
        <v>0</v>
      </c>
      <c r="X207" s="197">
        <v>0</v>
      </c>
      <c r="Y207" s="197">
        <v>0</v>
      </c>
      <c r="Z207" s="197">
        <v>0</v>
      </c>
      <c r="AA207" s="197">
        <v>0</v>
      </c>
      <c r="AB207" s="197">
        <v>1.6473473684210525E-3</v>
      </c>
      <c r="AC207" s="197">
        <v>1.5133894736842103E-3</v>
      </c>
      <c r="AD207" s="198">
        <v>1.2454736842105263E-3</v>
      </c>
      <c r="AE207" s="202">
        <v>0</v>
      </c>
      <c r="AF207" s="203">
        <v>0</v>
      </c>
      <c r="AG207" s="203">
        <v>0</v>
      </c>
      <c r="AH207" s="203">
        <v>0</v>
      </c>
      <c r="AI207" s="203">
        <v>0</v>
      </c>
      <c r="AJ207" s="203">
        <v>0</v>
      </c>
      <c r="AK207" s="203">
        <v>1.6666105263157894E-3</v>
      </c>
      <c r="AL207" s="203">
        <v>1.5304421052631579E-3</v>
      </c>
      <c r="AM207" s="204">
        <v>1.2581052631578946E-3</v>
      </c>
      <c r="AN207" s="202">
        <v>0</v>
      </c>
      <c r="AO207" s="203">
        <v>0</v>
      </c>
      <c r="AP207" s="203">
        <v>0</v>
      </c>
      <c r="AQ207" s="203">
        <v>0</v>
      </c>
      <c r="AR207" s="203">
        <v>0</v>
      </c>
      <c r="AS207" s="203">
        <v>0</v>
      </c>
      <c r="AT207" s="203">
        <v>1.6858736842105264E-3</v>
      </c>
      <c r="AU207" s="203">
        <v>1.5474947368421053E-3</v>
      </c>
      <c r="AV207" s="204">
        <v>1.2707368421052633E-3</v>
      </c>
      <c r="AW207" s="202">
        <v>0</v>
      </c>
      <c r="AX207" s="203">
        <v>0</v>
      </c>
      <c r="AY207" s="203">
        <v>0</v>
      </c>
      <c r="AZ207" s="203">
        <v>0</v>
      </c>
      <c r="BA207" s="203">
        <v>0</v>
      </c>
      <c r="BB207" s="203">
        <v>0</v>
      </c>
      <c r="BC207" s="203">
        <v>1.7051368421052632E-3</v>
      </c>
      <c r="BD207" s="203">
        <v>1.5645473684210527E-3</v>
      </c>
      <c r="BE207" s="204">
        <v>1.2833684210526316E-3</v>
      </c>
    </row>
    <row r="208" spans="1:58" x14ac:dyDescent="0.25">
      <c r="A208" s="330"/>
      <c r="B208" s="193" t="s">
        <v>24</v>
      </c>
      <c r="C208" s="193" t="s">
        <v>10</v>
      </c>
      <c r="D208" s="196">
        <v>0</v>
      </c>
      <c r="E208" s="197">
        <v>0</v>
      </c>
      <c r="F208" s="197">
        <v>0</v>
      </c>
      <c r="G208" s="197">
        <v>0</v>
      </c>
      <c r="H208" s="197">
        <v>0</v>
      </c>
      <c r="I208" s="197">
        <v>0</v>
      </c>
      <c r="J208" s="197">
        <v>0</v>
      </c>
      <c r="K208" s="197">
        <v>0</v>
      </c>
      <c r="L208" s="198">
        <v>0</v>
      </c>
      <c r="M208" s="196">
        <v>0</v>
      </c>
      <c r="N208" s="197">
        <v>0</v>
      </c>
      <c r="O208" s="197">
        <v>0</v>
      </c>
      <c r="P208" s="197">
        <v>0</v>
      </c>
      <c r="Q208" s="197">
        <v>0</v>
      </c>
      <c r="R208" s="197">
        <v>0</v>
      </c>
      <c r="S208" s="197">
        <v>0</v>
      </c>
      <c r="T208" s="197">
        <v>0</v>
      </c>
      <c r="U208" s="198">
        <v>0</v>
      </c>
      <c r="V208" s="196">
        <v>0</v>
      </c>
      <c r="W208" s="197">
        <v>0</v>
      </c>
      <c r="X208" s="197">
        <v>0</v>
      </c>
      <c r="Y208" s="197">
        <v>0</v>
      </c>
      <c r="Z208" s="197">
        <v>0</v>
      </c>
      <c r="AA208" s="197">
        <v>0</v>
      </c>
      <c r="AB208" s="197">
        <v>0</v>
      </c>
      <c r="AC208" s="197">
        <v>0</v>
      </c>
      <c r="AD208" s="198">
        <v>0</v>
      </c>
      <c r="AE208" s="202">
        <v>0</v>
      </c>
      <c r="AF208" s="203">
        <v>0</v>
      </c>
      <c r="AG208" s="203">
        <v>0</v>
      </c>
      <c r="AH208" s="203">
        <v>0</v>
      </c>
      <c r="AI208" s="203">
        <v>0</v>
      </c>
      <c r="AJ208" s="203">
        <v>0</v>
      </c>
      <c r="AK208" s="203">
        <v>0</v>
      </c>
      <c r="AL208" s="203">
        <v>0</v>
      </c>
      <c r="AM208" s="204">
        <v>0</v>
      </c>
      <c r="AN208" s="202">
        <v>0</v>
      </c>
      <c r="AO208" s="203">
        <v>0</v>
      </c>
      <c r="AP208" s="203">
        <v>0</v>
      </c>
      <c r="AQ208" s="203">
        <v>0</v>
      </c>
      <c r="AR208" s="203">
        <v>0</v>
      </c>
      <c r="AS208" s="203">
        <v>0</v>
      </c>
      <c r="AT208" s="203">
        <v>0</v>
      </c>
      <c r="AU208" s="203">
        <v>0</v>
      </c>
      <c r="AV208" s="204">
        <v>0</v>
      </c>
      <c r="AW208" s="202">
        <v>0</v>
      </c>
      <c r="AX208" s="203">
        <v>0</v>
      </c>
      <c r="AY208" s="203">
        <v>0</v>
      </c>
      <c r="AZ208" s="203">
        <v>0</v>
      </c>
      <c r="BA208" s="203">
        <v>0</v>
      </c>
      <c r="BB208" s="203">
        <v>0</v>
      </c>
      <c r="BC208" s="203">
        <v>0</v>
      </c>
      <c r="BD208" s="203">
        <v>0</v>
      </c>
      <c r="BE208" s="204">
        <v>0</v>
      </c>
    </row>
    <row r="209" spans="1:58" x14ac:dyDescent="0.25">
      <c r="A209" s="330"/>
      <c r="B209" s="193" t="s">
        <v>25</v>
      </c>
      <c r="C209" s="193" t="s">
        <v>7</v>
      </c>
      <c r="D209" s="196">
        <v>0.94349999999999989</v>
      </c>
      <c r="E209" s="197">
        <v>0.94349999999999989</v>
      </c>
      <c r="F209" s="197">
        <v>0.94349999999999989</v>
      </c>
      <c r="G209" s="197">
        <v>0.94349999999999989</v>
      </c>
      <c r="H209" s="197">
        <v>0.94349999999999989</v>
      </c>
      <c r="I209" s="197">
        <v>0.94349999999999989</v>
      </c>
      <c r="J209" s="197">
        <v>0.99</v>
      </c>
      <c r="K209" s="197">
        <v>0.99</v>
      </c>
      <c r="L209" s="198">
        <v>0.99</v>
      </c>
      <c r="M209" s="196">
        <v>0.96599999999999986</v>
      </c>
      <c r="N209" s="197">
        <v>0.96599999999999986</v>
      </c>
      <c r="O209" s="197">
        <v>0.96599999999999986</v>
      </c>
      <c r="P209" s="197">
        <v>0.96599999999999986</v>
      </c>
      <c r="Q209" s="197">
        <v>0.96599999999999986</v>
      </c>
      <c r="R209" s="197">
        <v>0.96599999999999986</v>
      </c>
      <c r="S209" s="197">
        <v>0.99</v>
      </c>
      <c r="T209" s="197">
        <v>0.99</v>
      </c>
      <c r="U209" s="198">
        <v>0.99</v>
      </c>
      <c r="V209" s="196">
        <v>0.9787499999999999</v>
      </c>
      <c r="W209" s="197">
        <v>0.9787499999999999</v>
      </c>
      <c r="X209" s="197">
        <v>0.9787499999999999</v>
      </c>
      <c r="Y209" s="197">
        <v>0.9787499999999999</v>
      </c>
      <c r="Z209" s="197">
        <v>0.9787499999999999</v>
      </c>
      <c r="AA209" s="197">
        <v>0.9787499999999999</v>
      </c>
      <c r="AB209" s="197">
        <v>0.99150000000000005</v>
      </c>
      <c r="AC209" s="197">
        <v>0.99150000000000005</v>
      </c>
      <c r="AD209" s="198">
        <v>0.99150000000000005</v>
      </c>
      <c r="AE209" s="199">
        <v>0.98499999999999988</v>
      </c>
      <c r="AF209" s="200">
        <v>0.98499999999999988</v>
      </c>
      <c r="AG209" s="200">
        <v>0.98499999999999988</v>
      </c>
      <c r="AH209" s="200">
        <v>0.98499999999999988</v>
      </c>
      <c r="AI209" s="200">
        <v>0.98499999999999988</v>
      </c>
      <c r="AJ209" s="200">
        <v>0.98499999999999988</v>
      </c>
      <c r="AK209" s="200">
        <v>0.99399999999999999</v>
      </c>
      <c r="AL209" s="200">
        <v>0.99399999999999999</v>
      </c>
      <c r="AM209" s="201">
        <v>0.99399999999999999</v>
      </c>
      <c r="AN209" s="199">
        <v>0.99124999999999996</v>
      </c>
      <c r="AO209" s="200">
        <v>0.99124999999999996</v>
      </c>
      <c r="AP209" s="200">
        <v>0.99124999999999996</v>
      </c>
      <c r="AQ209" s="200">
        <v>0.99124999999999996</v>
      </c>
      <c r="AR209" s="200">
        <v>0.99124999999999996</v>
      </c>
      <c r="AS209" s="200">
        <v>0.99124999999999996</v>
      </c>
      <c r="AT209" s="200">
        <v>0.99649999999999994</v>
      </c>
      <c r="AU209" s="200">
        <v>0.99649999999999994</v>
      </c>
      <c r="AV209" s="201">
        <v>0.99649999999999994</v>
      </c>
      <c r="AW209" s="199">
        <v>0.99749999999999994</v>
      </c>
      <c r="AX209" s="200">
        <v>0.99749999999999994</v>
      </c>
      <c r="AY209" s="200">
        <v>0.99749999999999994</v>
      </c>
      <c r="AZ209" s="200">
        <v>0.99749999999999994</v>
      </c>
      <c r="BA209" s="200">
        <v>0.99749999999999994</v>
      </c>
      <c r="BB209" s="200">
        <v>0.99749999999999994</v>
      </c>
      <c r="BC209" s="200">
        <v>0.999</v>
      </c>
      <c r="BD209" s="200">
        <v>0.999</v>
      </c>
      <c r="BE209" s="201">
        <v>0.999</v>
      </c>
    </row>
    <row r="210" spans="1:58" x14ac:dyDescent="0.25">
      <c r="A210" s="330"/>
      <c r="B210" s="193" t="s">
        <v>26</v>
      </c>
      <c r="C210" s="193" t="s">
        <v>14</v>
      </c>
      <c r="D210" s="196">
        <v>1524.6</v>
      </c>
      <c r="E210" s="197">
        <v>1749.6</v>
      </c>
      <c r="F210" s="197">
        <v>2349.6</v>
      </c>
      <c r="G210" s="197">
        <v>3174.6</v>
      </c>
      <c r="H210" s="197">
        <v>4299.6000000000004</v>
      </c>
      <c r="I210" s="197">
        <v>14213</v>
      </c>
      <c r="J210" s="197">
        <v>21713</v>
      </c>
      <c r="K210" s="197">
        <v>37463</v>
      </c>
      <c r="L210" s="198">
        <v>68963</v>
      </c>
      <c r="M210" s="196">
        <v>1524.6</v>
      </c>
      <c r="N210" s="197">
        <v>1749.6</v>
      </c>
      <c r="O210" s="197">
        <v>2349.6</v>
      </c>
      <c r="P210" s="197">
        <v>3174.6</v>
      </c>
      <c r="Q210" s="197">
        <v>4299.6000000000004</v>
      </c>
      <c r="R210" s="197">
        <v>14213</v>
      </c>
      <c r="S210" s="197">
        <v>21713</v>
      </c>
      <c r="T210" s="197">
        <v>37463</v>
      </c>
      <c r="U210" s="198">
        <v>68963</v>
      </c>
      <c r="V210" s="196">
        <v>1524.6</v>
      </c>
      <c r="W210" s="197">
        <v>1749.6</v>
      </c>
      <c r="X210" s="197">
        <v>2349.6</v>
      </c>
      <c r="Y210" s="197">
        <v>3174.6</v>
      </c>
      <c r="Z210" s="197">
        <v>4299.6000000000004</v>
      </c>
      <c r="AA210" s="197">
        <v>14213</v>
      </c>
      <c r="AB210" s="197">
        <v>21713</v>
      </c>
      <c r="AC210" s="197">
        <v>37463</v>
      </c>
      <c r="AD210" s="198">
        <v>68963</v>
      </c>
      <c r="AE210" s="202">
        <v>1524.6</v>
      </c>
      <c r="AF210" s="203">
        <v>1749.6</v>
      </c>
      <c r="AG210" s="203">
        <v>2349.6</v>
      </c>
      <c r="AH210" s="203">
        <v>3174.6</v>
      </c>
      <c r="AI210" s="203">
        <v>4299.6000000000004</v>
      </c>
      <c r="AJ210" s="203">
        <v>14213</v>
      </c>
      <c r="AK210" s="203">
        <v>21713</v>
      </c>
      <c r="AL210" s="203">
        <v>37463</v>
      </c>
      <c r="AM210" s="204">
        <v>68963</v>
      </c>
      <c r="AN210" s="202">
        <v>1524.6</v>
      </c>
      <c r="AO210" s="203">
        <v>1749.6</v>
      </c>
      <c r="AP210" s="203">
        <v>2349.6</v>
      </c>
      <c r="AQ210" s="203">
        <v>3174.6</v>
      </c>
      <c r="AR210" s="203">
        <v>4299.6000000000004</v>
      </c>
      <c r="AS210" s="203">
        <v>14213</v>
      </c>
      <c r="AT210" s="203">
        <v>21713</v>
      </c>
      <c r="AU210" s="203">
        <v>37463</v>
      </c>
      <c r="AV210" s="204">
        <v>68963</v>
      </c>
      <c r="AW210" s="202">
        <v>1524.6</v>
      </c>
      <c r="AX210" s="203">
        <v>1749.6</v>
      </c>
      <c r="AY210" s="203">
        <v>2349.6</v>
      </c>
      <c r="AZ210" s="203">
        <v>3174.6</v>
      </c>
      <c r="BA210" s="203">
        <v>4299.6000000000004</v>
      </c>
      <c r="BB210" s="203">
        <v>14213</v>
      </c>
      <c r="BC210" s="203">
        <v>21713</v>
      </c>
      <c r="BD210" s="203">
        <v>37463</v>
      </c>
      <c r="BE210" s="204">
        <v>68963</v>
      </c>
    </row>
    <row r="211" spans="1:58" x14ac:dyDescent="0.25">
      <c r="A211" s="330"/>
      <c r="B211" s="193" t="s">
        <v>27</v>
      </c>
      <c r="C211" s="193" t="s">
        <v>4</v>
      </c>
      <c r="D211" s="196">
        <v>40</v>
      </c>
      <c r="E211" s="197">
        <v>40</v>
      </c>
      <c r="F211" s="197">
        <v>40</v>
      </c>
      <c r="G211" s="197">
        <v>40</v>
      </c>
      <c r="H211" s="197">
        <v>40</v>
      </c>
      <c r="I211" s="197">
        <v>40</v>
      </c>
      <c r="J211" s="197">
        <v>40</v>
      </c>
      <c r="K211" s="197">
        <v>40</v>
      </c>
      <c r="L211" s="198">
        <v>40</v>
      </c>
      <c r="M211" s="196">
        <v>40</v>
      </c>
      <c r="N211" s="197">
        <v>40</v>
      </c>
      <c r="O211" s="197">
        <v>40</v>
      </c>
      <c r="P211" s="197">
        <v>40</v>
      </c>
      <c r="Q211" s="197">
        <v>40</v>
      </c>
      <c r="R211" s="197">
        <v>40</v>
      </c>
      <c r="S211" s="197">
        <v>40</v>
      </c>
      <c r="T211" s="197">
        <v>40</v>
      </c>
      <c r="U211" s="198">
        <v>40</v>
      </c>
      <c r="V211" s="196">
        <v>40</v>
      </c>
      <c r="W211" s="197">
        <v>40</v>
      </c>
      <c r="X211" s="197">
        <v>40</v>
      </c>
      <c r="Y211" s="197">
        <v>40</v>
      </c>
      <c r="Z211" s="197">
        <v>40</v>
      </c>
      <c r="AA211" s="197">
        <v>40</v>
      </c>
      <c r="AB211" s="197">
        <v>40</v>
      </c>
      <c r="AC211" s="197">
        <v>40</v>
      </c>
      <c r="AD211" s="198">
        <v>40</v>
      </c>
      <c r="AE211" s="199">
        <v>40</v>
      </c>
      <c r="AF211" s="200">
        <v>40</v>
      </c>
      <c r="AG211" s="200">
        <v>40</v>
      </c>
      <c r="AH211" s="200">
        <v>40</v>
      </c>
      <c r="AI211" s="200">
        <v>40</v>
      </c>
      <c r="AJ211" s="200">
        <v>40</v>
      </c>
      <c r="AK211" s="200">
        <v>40</v>
      </c>
      <c r="AL211" s="200">
        <v>40</v>
      </c>
      <c r="AM211" s="201">
        <v>40</v>
      </c>
      <c r="AN211" s="199">
        <v>40</v>
      </c>
      <c r="AO211" s="200">
        <v>40</v>
      </c>
      <c r="AP211" s="200">
        <v>40</v>
      </c>
      <c r="AQ211" s="200">
        <v>40</v>
      </c>
      <c r="AR211" s="200">
        <v>40</v>
      </c>
      <c r="AS211" s="200">
        <v>40</v>
      </c>
      <c r="AT211" s="200">
        <v>40</v>
      </c>
      <c r="AU211" s="200">
        <v>40</v>
      </c>
      <c r="AV211" s="201">
        <v>40</v>
      </c>
      <c r="AW211" s="199">
        <v>40</v>
      </c>
      <c r="AX211" s="200">
        <v>40</v>
      </c>
      <c r="AY211" s="200">
        <v>40</v>
      </c>
      <c r="AZ211" s="200">
        <v>40</v>
      </c>
      <c r="BA211" s="200">
        <v>40</v>
      </c>
      <c r="BB211" s="200">
        <v>40</v>
      </c>
      <c r="BC211" s="200">
        <v>40</v>
      </c>
      <c r="BD211" s="200">
        <v>40</v>
      </c>
      <c r="BE211" s="201">
        <v>40</v>
      </c>
    </row>
    <row r="212" spans="1:58" x14ac:dyDescent="0.25">
      <c r="A212" s="330"/>
      <c r="B212" s="193" t="s">
        <v>125</v>
      </c>
      <c r="C212" s="193" t="s">
        <v>19</v>
      </c>
      <c r="D212" s="196">
        <v>0.546875</v>
      </c>
      <c r="E212" s="197">
        <v>0.546875</v>
      </c>
      <c r="F212" s="197">
        <v>0.54687499999999989</v>
      </c>
      <c r="G212" s="197">
        <v>0.546875</v>
      </c>
      <c r="H212" s="197">
        <v>0.546875</v>
      </c>
      <c r="I212" s="197">
        <v>0.546875</v>
      </c>
      <c r="J212" s="197">
        <v>0.546875</v>
      </c>
      <c r="K212" s="197">
        <v>0.546875</v>
      </c>
      <c r="L212" s="198">
        <v>0.546875</v>
      </c>
      <c r="M212" s="196">
        <v>0.546875</v>
      </c>
      <c r="N212" s="197">
        <v>0.546875</v>
      </c>
      <c r="O212" s="197">
        <v>0.54687499999999989</v>
      </c>
      <c r="P212" s="197">
        <v>0.546875</v>
      </c>
      <c r="Q212" s="197">
        <v>0.546875</v>
      </c>
      <c r="R212" s="197">
        <v>0.546875</v>
      </c>
      <c r="S212" s="197">
        <v>0.546875</v>
      </c>
      <c r="T212" s="197">
        <v>0.546875</v>
      </c>
      <c r="U212" s="198">
        <v>0.546875</v>
      </c>
      <c r="V212" s="196">
        <v>0.546875</v>
      </c>
      <c r="W212" s="197">
        <v>0.546875</v>
      </c>
      <c r="X212" s="197">
        <v>0.54687499999999989</v>
      </c>
      <c r="Y212" s="197">
        <v>0.546875</v>
      </c>
      <c r="Z212" s="197">
        <v>0.546875</v>
      </c>
      <c r="AA212" s="197">
        <v>0.546875</v>
      </c>
      <c r="AB212" s="197">
        <v>0.546875</v>
      </c>
      <c r="AC212" s="197">
        <v>0.546875</v>
      </c>
      <c r="AD212" s="198">
        <v>0.546875</v>
      </c>
      <c r="AE212" s="230">
        <v>0.546875</v>
      </c>
      <c r="AF212" s="231">
        <v>0.546875</v>
      </c>
      <c r="AG212" s="231">
        <v>0.54687499999999989</v>
      </c>
      <c r="AH212" s="231">
        <v>0.546875</v>
      </c>
      <c r="AI212" s="231">
        <v>0.546875</v>
      </c>
      <c r="AJ212" s="231">
        <v>0.546875</v>
      </c>
      <c r="AK212" s="231">
        <v>0.546875</v>
      </c>
      <c r="AL212" s="231">
        <v>0.546875</v>
      </c>
      <c r="AM212" s="232">
        <v>0.546875</v>
      </c>
      <c r="AN212" s="230">
        <v>0.546875</v>
      </c>
      <c r="AO212" s="231">
        <v>0.546875</v>
      </c>
      <c r="AP212" s="231">
        <v>0.54687499999999989</v>
      </c>
      <c r="AQ212" s="231">
        <v>0.546875</v>
      </c>
      <c r="AR212" s="231">
        <v>0.546875</v>
      </c>
      <c r="AS212" s="231">
        <v>0.546875</v>
      </c>
      <c r="AT212" s="231">
        <v>0.546875</v>
      </c>
      <c r="AU212" s="231">
        <v>0.546875</v>
      </c>
      <c r="AV212" s="232">
        <v>0.546875</v>
      </c>
      <c r="AW212" s="230">
        <v>0.546875</v>
      </c>
      <c r="AX212" s="231">
        <v>0.546875</v>
      </c>
      <c r="AY212" s="231">
        <v>0.54687499999999989</v>
      </c>
      <c r="AZ212" s="231">
        <v>0.546875</v>
      </c>
      <c r="BA212" s="231">
        <v>0.546875</v>
      </c>
      <c r="BB212" s="231">
        <v>0.546875</v>
      </c>
      <c r="BC212" s="231">
        <v>0.546875</v>
      </c>
      <c r="BD212" s="231">
        <v>0.546875</v>
      </c>
      <c r="BE212" s="232">
        <v>0.546875</v>
      </c>
    </row>
    <row r="213" spans="1:58" x14ac:dyDescent="0.25">
      <c r="A213" s="330"/>
      <c r="B213" s="193" t="s">
        <v>126</v>
      </c>
      <c r="C213" s="193" t="s">
        <v>19</v>
      </c>
      <c r="D213" s="196">
        <v>0.64</v>
      </c>
      <c r="E213" s="197">
        <v>0.64</v>
      </c>
      <c r="F213" s="197">
        <v>0.64</v>
      </c>
      <c r="G213" s="197">
        <v>0.64</v>
      </c>
      <c r="H213" s="197">
        <v>0.64</v>
      </c>
      <c r="I213" s="197">
        <v>0.64</v>
      </c>
      <c r="J213" s="197">
        <v>0.64</v>
      </c>
      <c r="K213" s="197">
        <v>0.64</v>
      </c>
      <c r="L213" s="198">
        <v>0.64</v>
      </c>
      <c r="M213" s="196">
        <v>0.64</v>
      </c>
      <c r="N213" s="197">
        <v>0.64</v>
      </c>
      <c r="O213" s="197">
        <v>0.64</v>
      </c>
      <c r="P213" s="197">
        <v>0.64</v>
      </c>
      <c r="Q213" s="197">
        <v>0.64</v>
      </c>
      <c r="R213" s="197">
        <v>0.64</v>
      </c>
      <c r="S213" s="197">
        <v>0.64</v>
      </c>
      <c r="T213" s="197">
        <v>0.64</v>
      </c>
      <c r="U213" s="198">
        <v>0.64</v>
      </c>
      <c r="V213" s="196">
        <v>0.64</v>
      </c>
      <c r="W213" s="197">
        <v>0.64</v>
      </c>
      <c r="X213" s="197">
        <v>0.64</v>
      </c>
      <c r="Y213" s="197">
        <v>0.64</v>
      </c>
      <c r="Z213" s="197">
        <v>0.64</v>
      </c>
      <c r="AA213" s="197">
        <v>0.64</v>
      </c>
      <c r="AB213" s="197">
        <v>0.64</v>
      </c>
      <c r="AC213" s="197">
        <v>0.64</v>
      </c>
      <c r="AD213" s="198">
        <v>0.64</v>
      </c>
      <c r="AE213" s="199">
        <v>0.64</v>
      </c>
      <c r="AF213" s="200">
        <v>0.64</v>
      </c>
      <c r="AG213" s="200">
        <v>0.64</v>
      </c>
      <c r="AH213" s="200">
        <v>0.64</v>
      </c>
      <c r="AI213" s="200">
        <v>0.64</v>
      </c>
      <c r="AJ213" s="200">
        <v>0.64</v>
      </c>
      <c r="AK213" s="200">
        <v>0.64</v>
      </c>
      <c r="AL213" s="200">
        <v>0.64</v>
      </c>
      <c r="AM213" s="201">
        <v>0.64</v>
      </c>
      <c r="AN213" s="199">
        <v>0.64</v>
      </c>
      <c r="AO213" s="200">
        <v>0.64</v>
      </c>
      <c r="AP213" s="200">
        <v>0.64</v>
      </c>
      <c r="AQ213" s="200">
        <v>0.64</v>
      </c>
      <c r="AR213" s="200">
        <v>0.64</v>
      </c>
      <c r="AS213" s="200">
        <v>0.64</v>
      </c>
      <c r="AT213" s="200">
        <v>0.64</v>
      </c>
      <c r="AU213" s="200">
        <v>0.64</v>
      </c>
      <c r="AV213" s="201">
        <v>0.64</v>
      </c>
      <c r="AW213" s="199">
        <v>0.64</v>
      </c>
      <c r="AX213" s="200">
        <v>0.64</v>
      </c>
      <c r="AY213" s="200">
        <v>0.64</v>
      </c>
      <c r="AZ213" s="200">
        <v>0.64</v>
      </c>
      <c r="BA213" s="200">
        <v>0.64</v>
      </c>
      <c r="BB213" s="200">
        <v>0.64</v>
      </c>
      <c r="BC213" s="200">
        <v>0.64</v>
      </c>
      <c r="BD213" s="200">
        <v>0.64</v>
      </c>
      <c r="BE213" s="201">
        <v>0.64</v>
      </c>
    </row>
    <row r="214" spans="1:58" x14ac:dyDescent="0.25">
      <c r="A214" s="330"/>
      <c r="B214" s="193" t="s">
        <v>127</v>
      </c>
      <c r="C214" s="193" t="s">
        <v>4</v>
      </c>
      <c r="D214" s="196">
        <v>20</v>
      </c>
      <c r="E214" s="197">
        <v>20</v>
      </c>
      <c r="F214" s="197">
        <v>20</v>
      </c>
      <c r="G214" s="197">
        <v>20</v>
      </c>
      <c r="H214" s="197">
        <v>20</v>
      </c>
      <c r="I214" s="197">
        <v>20</v>
      </c>
      <c r="J214" s="197">
        <v>20</v>
      </c>
      <c r="K214" s="197">
        <v>20</v>
      </c>
      <c r="L214" s="198">
        <v>20</v>
      </c>
      <c r="M214" s="196">
        <v>20</v>
      </c>
      <c r="N214" s="197">
        <v>20</v>
      </c>
      <c r="O214" s="197">
        <v>20</v>
      </c>
      <c r="P214" s="197">
        <v>20</v>
      </c>
      <c r="Q214" s="197">
        <v>20</v>
      </c>
      <c r="R214" s="197">
        <v>20</v>
      </c>
      <c r="S214" s="197">
        <v>20</v>
      </c>
      <c r="T214" s="197">
        <v>20</v>
      </c>
      <c r="U214" s="198">
        <v>20</v>
      </c>
      <c r="V214" s="196">
        <v>20</v>
      </c>
      <c r="W214" s="197">
        <v>20</v>
      </c>
      <c r="X214" s="197">
        <v>20</v>
      </c>
      <c r="Y214" s="197">
        <v>20</v>
      </c>
      <c r="Z214" s="197">
        <v>20</v>
      </c>
      <c r="AA214" s="197">
        <v>20</v>
      </c>
      <c r="AB214" s="197">
        <v>20</v>
      </c>
      <c r="AC214" s="197">
        <v>20</v>
      </c>
      <c r="AD214" s="198">
        <v>20</v>
      </c>
      <c r="AE214" s="199">
        <v>20</v>
      </c>
      <c r="AF214" s="200">
        <v>20</v>
      </c>
      <c r="AG214" s="200">
        <v>20</v>
      </c>
      <c r="AH214" s="200">
        <v>20</v>
      </c>
      <c r="AI214" s="200">
        <v>20</v>
      </c>
      <c r="AJ214" s="200">
        <v>20</v>
      </c>
      <c r="AK214" s="200">
        <v>20</v>
      </c>
      <c r="AL214" s="200">
        <v>20</v>
      </c>
      <c r="AM214" s="201">
        <v>20</v>
      </c>
      <c r="AN214" s="199">
        <v>20</v>
      </c>
      <c r="AO214" s="200">
        <v>20</v>
      </c>
      <c r="AP214" s="200">
        <v>20</v>
      </c>
      <c r="AQ214" s="200">
        <v>20</v>
      </c>
      <c r="AR214" s="200">
        <v>20</v>
      </c>
      <c r="AS214" s="200">
        <v>20</v>
      </c>
      <c r="AT214" s="200">
        <v>20</v>
      </c>
      <c r="AU214" s="200">
        <v>20</v>
      </c>
      <c r="AV214" s="201">
        <v>20</v>
      </c>
      <c r="AW214" s="199">
        <v>20</v>
      </c>
      <c r="AX214" s="200">
        <v>20</v>
      </c>
      <c r="AY214" s="200">
        <v>20</v>
      </c>
      <c r="AZ214" s="200">
        <v>20</v>
      </c>
      <c r="BA214" s="200">
        <v>20</v>
      </c>
      <c r="BB214" s="200">
        <v>20</v>
      </c>
      <c r="BC214" s="200">
        <v>20</v>
      </c>
      <c r="BD214" s="200">
        <v>20</v>
      </c>
      <c r="BE214" s="201">
        <v>20</v>
      </c>
    </row>
    <row r="215" spans="1:58" x14ac:dyDescent="0.25">
      <c r="A215" s="330"/>
      <c r="B215" s="193" t="s">
        <v>128</v>
      </c>
      <c r="C215" s="193" t="s">
        <v>6</v>
      </c>
      <c r="D215" s="196">
        <v>959.40572072901318</v>
      </c>
      <c r="E215" s="197">
        <v>934.76873159057436</v>
      </c>
      <c r="F215" s="197">
        <v>869.07009388807069</v>
      </c>
      <c r="G215" s="197">
        <v>778.73446704712808</v>
      </c>
      <c r="H215" s="197">
        <v>655.54952135493363</v>
      </c>
      <c r="I215" s="197">
        <v>563.57142857142856</v>
      </c>
      <c r="J215" s="197">
        <v>563.57142857142856</v>
      </c>
      <c r="K215" s="197">
        <v>563.57142857142856</v>
      </c>
      <c r="L215" s="198">
        <v>563.57142857142856</v>
      </c>
      <c r="M215" s="196">
        <v>935.56110395189</v>
      </c>
      <c r="N215" s="197">
        <v>910.85220299459979</v>
      </c>
      <c r="O215" s="197">
        <v>844.9618004418262</v>
      </c>
      <c r="P215" s="197">
        <v>754.36249693176228</v>
      </c>
      <c r="Q215" s="197">
        <v>630.81799214531168</v>
      </c>
      <c r="R215" s="197">
        <v>538.57142857142856</v>
      </c>
      <c r="S215" s="197">
        <v>538.57142857142856</v>
      </c>
      <c r="T215" s="197">
        <v>538.57142857142856</v>
      </c>
      <c r="U215" s="198">
        <v>538.57142857142856</v>
      </c>
      <c r="V215" s="196">
        <v>912.63080280436907</v>
      </c>
      <c r="W215" s="197">
        <v>888.25988739567981</v>
      </c>
      <c r="X215" s="197">
        <v>823.2707796391752</v>
      </c>
      <c r="Y215" s="197">
        <v>733.91075647398134</v>
      </c>
      <c r="Z215" s="197">
        <v>612.05617943053505</v>
      </c>
      <c r="AA215" s="197">
        <v>521.07142857142856</v>
      </c>
      <c r="AB215" s="197">
        <v>521.07142857142856</v>
      </c>
      <c r="AC215" s="197">
        <v>521.07142857142856</v>
      </c>
      <c r="AD215" s="198">
        <v>521.07142857142856</v>
      </c>
      <c r="AE215" s="233">
        <v>890.31004540991637</v>
      </c>
      <c r="AF215" s="203">
        <v>866.55038046146274</v>
      </c>
      <c r="AG215" s="203">
        <v>803.19127393225313</v>
      </c>
      <c r="AH215" s="203">
        <v>716.07250245458999</v>
      </c>
      <c r="AI215" s="203">
        <v>597.27417771232194</v>
      </c>
      <c r="AJ215" s="203">
        <v>508.57142857142856</v>
      </c>
      <c r="AK215" s="203">
        <v>508.57142857142856</v>
      </c>
      <c r="AL215" s="203">
        <v>508.57142857142856</v>
      </c>
      <c r="AM215" s="204">
        <v>508.57142857142856</v>
      </c>
      <c r="AN215" s="233">
        <v>867.98928801546379</v>
      </c>
      <c r="AO215" s="203">
        <v>844.84087352724589</v>
      </c>
      <c r="AP215" s="203">
        <v>783.11176822533128</v>
      </c>
      <c r="AQ215" s="203">
        <v>698.23424843519865</v>
      </c>
      <c r="AR215" s="203">
        <v>582.49217599410895</v>
      </c>
      <c r="AS215" s="203">
        <v>496.07142857142856</v>
      </c>
      <c r="AT215" s="203">
        <v>496.07142857142856</v>
      </c>
      <c r="AU215" s="203">
        <v>496.07142857142856</v>
      </c>
      <c r="AV215" s="204">
        <v>496.07142857142856</v>
      </c>
      <c r="AW215" s="233">
        <v>845.66853062101131</v>
      </c>
      <c r="AX215" s="203">
        <v>823.13136659302893</v>
      </c>
      <c r="AY215" s="203">
        <v>763.03226251840942</v>
      </c>
      <c r="AZ215" s="203">
        <v>680.39599441580754</v>
      </c>
      <c r="BA215" s="203">
        <v>567.71017427589595</v>
      </c>
      <c r="BB215" s="203">
        <v>483.57142857142856</v>
      </c>
      <c r="BC215" s="203">
        <v>483.57142857142856</v>
      </c>
      <c r="BD215" s="203">
        <v>483.57142857142856</v>
      </c>
      <c r="BE215" s="204">
        <v>483.57142857142856</v>
      </c>
    </row>
    <row r="216" spans="1:58" x14ac:dyDescent="0.25">
      <c r="A216" s="330"/>
      <c r="B216" s="193" t="s">
        <v>179</v>
      </c>
      <c r="C216" s="193" t="s">
        <v>19</v>
      </c>
      <c r="D216" s="196">
        <v>0.35</v>
      </c>
      <c r="E216" s="197">
        <v>0.35</v>
      </c>
      <c r="F216" s="197">
        <v>0.35</v>
      </c>
      <c r="G216" s="197">
        <v>0.35</v>
      </c>
      <c r="H216" s="197">
        <v>0.35</v>
      </c>
      <c r="I216" s="197">
        <v>0.35</v>
      </c>
      <c r="J216" s="197">
        <v>0.35</v>
      </c>
      <c r="K216" s="197">
        <v>0.35</v>
      </c>
      <c r="L216" s="198">
        <v>0.35</v>
      </c>
      <c r="M216" s="196">
        <v>0.35</v>
      </c>
      <c r="N216" s="197">
        <v>0.35</v>
      </c>
      <c r="O216" s="197">
        <v>0.35</v>
      </c>
      <c r="P216" s="197">
        <v>0.35</v>
      </c>
      <c r="Q216" s="197">
        <v>0.35</v>
      </c>
      <c r="R216" s="197">
        <v>0.35</v>
      </c>
      <c r="S216" s="197">
        <v>0.35</v>
      </c>
      <c r="T216" s="197">
        <v>0.35</v>
      </c>
      <c r="U216" s="198">
        <v>0.35</v>
      </c>
      <c r="V216" s="196">
        <v>0</v>
      </c>
      <c r="W216" s="197">
        <v>0</v>
      </c>
      <c r="X216" s="197">
        <v>0</v>
      </c>
      <c r="Y216" s="197">
        <v>0</v>
      </c>
      <c r="Z216" s="197">
        <v>0</v>
      </c>
      <c r="AA216" s="197">
        <v>0</v>
      </c>
      <c r="AB216" s="197">
        <v>0</v>
      </c>
      <c r="AC216" s="197">
        <v>0</v>
      </c>
      <c r="AD216" s="198">
        <v>0</v>
      </c>
      <c r="AE216" s="205">
        <v>0</v>
      </c>
      <c r="AF216" s="206">
        <v>0</v>
      </c>
      <c r="AG216" s="206">
        <v>0</v>
      </c>
      <c r="AH216" s="206">
        <v>0</v>
      </c>
      <c r="AI216" s="206">
        <v>0</v>
      </c>
      <c r="AJ216" s="206">
        <v>0</v>
      </c>
      <c r="AK216" s="206">
        <v>0</v>
      </c>
      <c r="AL216" s="206">
        <v>0</v>
      </c>
      <c r="AM216" s="207">
        <v>0</v>
      </c>
      <c r="AN216" s="205">
        <v>0</v>
      </c>
      <c r="AO216" s="206">
        <v>0</v>
      </c>
      <c r="AP216" s="206">
        <v>0</v>
      </c>
      <c r="AQ216" s="206">
        <v>0</v>
      </c>
      <c r="AR216" s="206">
        <v>0</v>
      </c>
      <c r="AS216" s="206">
        <v>0</v>
      </c>
      <c r="AT216" s="206">
        <v>0</v>
      </c>
      <c r="AU216" s="206">
        <v>0</v>
      </c>
      <c r="AV216" s="207">
        <v>0</v>
      </c>
      <c r="AW216" s="205">
        <v>0</v>
      </c>
      <c r="AX216" s="206">
        <v>0</v>
      </c>
      <c r="AY216" s="206">
        <v>0</v>
      </c>
      <c r="AZ216" s="206">
        <v>0</v>
      </c>
      <c r="BA216" s="206">
        <v>0</v>
      </c>
      <c r="BB216" s="206">
        <v>0</v>
      </c>
      <c r="BC216" s="206">
        <v>0</v>
      </c>
      <c r="BD216" s="206">
        <v>0</v>
      </c>
      <c r="BE216" s="207">
        <v>0</v>
      </c>
    </row>
    <row r="217" spans="1:58" x14ac:dyDescent="0.25">
      <c r="A217" s="330"/>
      <c r="B217" s="193" t="s">
        <v>129</v>
      </c>
      <c r="C217" s="193" t="s">
        <v>8</v>
      </c>
      <c r="D217" s="196">
        <v>59.884830633284238</v>
      </c>
      <c r="E217" s="197">
        <v>77.502650957290129</v>
      </c>
      <c r="F217" s="197">
        <v>124.48350515463918</v>
      </c>
      <c r="G217" s="197">
        <v>189.0821796759941</v>
      </c>
      <c r="H217" s="197">
        <v>277.17128129602355</v>
      </c>
      <c r="I217" s="197">
        <v>453.34948453608251</v>
      </c>
      <c r="J217" s="197">
        <v>629.52768777614153</v>
      </c>
      <c r="K217" s="197">
        <v>629.52768777614153</v>
      </c>
      <c r="L217" s="198">
        <v>629.52768777614153</v>
      </c>
      <c r="M217" s="196">
        <v>56.686008836524309</v>
      </c>
      <c r="N217" s="197">
        <v>74.027687776141391</v>
      </c>
      <c r="O217" s="197">
        <v>120.27216494845361</v>
      </c>
      <c r="P217" s="197">
        <v>183.85832106038291</v>
      </c>
      <c r="Q217" s="197">
        <v>270.56671575846832</v>
      </c>
      <c r="R217" s="197">
        <v>443.98350515463915</v>
      </c>
      <c r="S217" s="197">
        <v>617.40029455081003</v>
      </c>
      <c r="T217" s="197">
        <v>617.40029455081003</v>
      </c>
      <c r="U217" s="198">
        <v>617.40029455081003</v>
      </c>
      <c r="V217" s="196">
        <v>54.38718703976437</v>
      </c>
      <c r="W217" s="197">
        <v>71.452724594992645</v>
      </c>
      <c r="X217" s="197">
        <v>116.96082474226804</v>
      </c>
      <c r="Y217" s="197">
        <v>179.53446244477172</v>
      </c>
      <c r="Z217" s="197">
        <v>264.86215022091312</v>
      </c>
      <c r="AA217" s="197">
        <v>435.51752577319587</v>
      </c>
      <c r="AB217" s="197">
        <v>606.17290132547862</v>
      </c>
      <c r="AC217" s="197">
        <v>606.17290132547862</v>
      </c>
      <c r="AD217" s="198">
        <v>606.17290132547862</v>
      </c>
      <c r="AE217" s="202">
        <v>52.688365243004426</v>
      </c>
      <c r="AF217" s="203">
        <v>69.477761413843893</v>
      </c>
      <c r="AG217" s="203">
        <v>114.24948453608249</v>
      </c>
      <c r="AH217" s="203">
        <v>175.81060382916056</v>
      </c>
      <c r="AI217" s="203">
        <v>259.75758468335789</v>
      </c>
      <c r="AJ217" s="203">
        <v>427.65154639175262</v>
      </c>
      <c r="AK217" s="203">
        <v>595.54550810014734</v>
      </c>
      <c r="AL217" s="203">
        <v>595.54550810014734</v>
      </c>
      <c r="AM217" s="204">
        <v>595.54550810014734</v>
      </c>
      <c r="AN217" s="202">
        <v>50.989543446244483</v>
      </c>
      <c r="AO217" s="203">
        <v>67.502798232695142</v>
      </c>
      <c r="AP217" s="203">
        <v>111.53814432989691</v>
      </c>
      <c r="AQ217" s="203">
        <v>172.08674521354934</v>
      </c>
      <c r="AR217" s="203">
        <v>254.65301914580263</v>
      </c>
      <c r="AS217" s="203">
        <v>419.78556701030925</v>
      </c>
      <c r="AT217" s="203">
        <v>584.91811487481596</v>
      </c>
      <c r="AU217" s="203">
        <v>584.91811487481596</v>
      </c>
      <c r="AV217" s="204">
        <v>584.91811487481596</v>
      </c>
      <c r="AW217" s="202">
        <v>49.290721649484539</v>
      </c>
      <c r="AX217" s="203">
        <v>65.52783505154639</v>
      </c>
      <c r="AY217" s="203">
        <v>108.82680412371134</v>
      </c>
      <c r="AZ217" s="203">
        <v>168.36288659793814</v>
      </c>
      <c r="BA217" s="203">
        <v>249.54845360824743</v>
      </c>
      <c r="BB217" s="203">
        <v>411.91958762886594</v>
      </c>
      <c r="BC217" s="203">
        <v>574.29072164948457</v>
      </c>
      <c r="BD217" s="203">
        <v>574.29072164948457</v>
      </c>
      <c r="BE217" s="204">
        <v>574.29072164948457</v>
      </c>
    </row>
    <row r="218" spans="1:58" x14ac:dyDescent="0.25">
      <c r="A218" s="330"/>
      <c r="B218" s="193" t="s">
        <v>130</v>
      </c>
      <c r="C218" s="193" t="s">
        <v>9</v>
      </c>
      <c r="D218" s="196"/>
      <c r="E218" s="197"/>
      <c r="F218" s="197"/>
      <c r="G218" s="197"/>
      <c r="H218" s="197"/>
      <c r="I218" s="197"/>
      <c r="J218" s="197"/>
      <c r="K218" s="197"/>
      <c r="L218" s="198"/>
      <c r="M218" s="196"/>
      <c r="N218" s="197"/>
      <c r="O218" s="197"/>
      <c r="P218" s="197"/>
      <c r="Q218" s="197"/>
      <c r="R218" s="197"/>
      <c r="S218" s="197"/>
      <c r="T218" s="197"/>
      <c r="U218" s="198"/>
      <c r="V218" s="196"/>
      <c r="W218" s="197"/>
      <c r="X218" s="197"/>
      <c r="Y218" s="197"/>
      <c r="Z218" s="197"/>
      <c r="AA218" s="197"/>
      <c r="AB218" s="197"/>
      <c r="AC218" s="197"/>
      <c r="AD218" s="198"/>
      <c r="AE218" s="199"/>
      <c r="AF218" s="200"/>
      <c r="AG218" s="200"/>
      <c r="AH218" s="200"/>
      <c r="AI218" s="200"/>
      <c r="AJ218" s="200"/>
      <c r="AK218" s="200"/>
      <c r="AL218" s="200"/>
      <c r="AM218" s="201"/>
      <c r="AN218" s="199"/>
      <c r="AO218" s="200"/>
      <c r="AP218" s="200"/>
      <c r="AQ218" s="200"/>
      <c r="AR218" s="200"/>
      <c r="AS218" s="200"/>
      <c r="AT218" s="200"/>
      <c r="AU218" s="200"/>
      <c r="AV218" s="201"/>
      <c r="AW218" s="199"/>
      <c r="AX218" s="200"/>
      <c r="AY218" s="200"/>
      <c r="AZ218" s="200"/>
      <c r="BA218" s="200"/>
      <c r="BB218" s="200"/>
      <c r="BC218" s="200"/>
      <c r="BD218" s="200"/>
      <c r="BE218" s="201"/>
    </row>
    <row r="219" spans="1:58" x14ac:dyDescent="0.25">
      <c r="A219" s="330"/>
      <c r="B219" s="193" t="s">
        <v>131</v>
      </c>
      <c r="C219" s="193" t="s">
        <v>10</v>
      </c>
      <c r="D219" s="196"/>
      <c r="E219" s="197"/>
      <c r="F219" s="197"/>
      <c r="G219" s="197"/>
      <c r="H219" s="197"/>
      <c r="I219" s="197"/>
      <c r="J219" s="197"/>
      <c r="K219" s="197"/>
      <c r="L219" s="198"/>
      <c r="M219" s="196"/>
      <c r="N219" s="197"/>
      <c r="O219" s="197"/>
      <c r="P219" s="197"/>
      <c r="Q219" s="197"/>
      <c r="R219" s="197"/>
      <c r="S219" s="197"/>
      <c r="T219" s="197"/>
      <c r="U219" s="198"/>
      <c r="V219" s="196"/>
      <c r="W219" s="197"/>
      <c r="X219" s="197"/>
      <c r="Y219" s="197"/>
      <c r="Z219" s="197"/>
      <c r="AA219" s="197"/>
      <c r="AB219" s="197"/>
      <c r="AC219" s="197"/>
      <c r="AD219" s="198"/>
      <c r="AE219" s="199"/>
      <c r="AF219" s="200"/>
      <c r="AG219" s="200"/>
      <c r="AH219" s="200"/>
      <c r="AI219" s="200"/>
      <c r="AJ219" s="200"/>
      <c r="AK219" s="200"/>
      <c r="AL219" s="200"/>
      <c r="AM219" s="201"/>
      <c r="AN219" s="199"/>
      <c r="AO219" s="200"/>
      <c r="AP219" s="200"/>
      <c r="AQ219" s="200"/>
      <c r="AR219" s="200"/>
      <c r="AS219" s="200"/>
      <c r="AT219" s="200"/>
      <c r="AU219" s="200"/>
      <c r="AV219" s="201"/>
      <c r="AW219" s="199"/>
      <c r="AX219" s="200"/>
      <c r="AY219" s="200"/>
      <c r="AZ219" s="200"/>
      <c r="BA219" s="200"/>
      <c r="BB219" s="200"/>
      <c r="BC219" s="200"/>
      <c r="BD219" s="200"/>
      <c r="BE219" s="201"/>
    </row>
    <row r="220" spans="1:58" ht="15.75" thickBot="1" x14ac:dyDescent="0.3">
      <c r="A220" s="332"/>
      <c r="B220" s="194" t="s">
        <v>132</v>
      </c>
      <c r="C220" s="194" t="s">
        <v>320</v>
      </c>
      <c r="D220" s="238"/>
      <c r="E220" s="239"/>
      <c r="F220" s="239"/>
      <c r="G220" s="239"/>
      <c r="H220" s="239"/>
      <c r="I220" s="239"/>
      <c r="J220" s="239"/>
      <c r="K220" s="239"/>
      <c r="L220" s="240"/>
      <c r="M220" s="238"/>
      <c r="N220" s="239"/>
      <c r="O220" s="239"/>
      <c r="P220" s="239"/>
      <c r="Q220" s="239"/>
      <c r="R220" s="239"/>
      <c r="S220" s="239"/>
      <c r="T220" s="239"/>
      <c r="U220" s="240"/>
      <c r="V220" s="238"/>
      <c r="W220" s="239"/>
      <c r="X220" s="239"/>
      <c r="Y220" s="239"/>
      <c r="Z220" s="239"/>
      <c r="AA220" s="239"/>
      <c r="AB220" s="239"/>
      <c r="AC220" s="239"/>
      <c r="AD220" s="240"/>
      <c r="AE220" s="347"/>
      <c r="AF220" s="348"/>
      <c r="AG220" s="348"/>
      <c r="AH220" s="348"/>
      <c r="AI220" s="348"/>
      <c r="AJ220" s="348"/>
      <c r="AK220" s="348"/>
      <c r="AL220" s="348"/>
      <c r="AM220" s="349"/>
      <c r="AN220" s="347"/>
      <c r="AO220" s="348"/>
      <c r="AP220" s="348"/>
      <c r="AQ220" s="348"/>
      <c r="AR220" s="348"/>
      <c r="AS220" s="348"/>
      <c r="AT220" s="348"/>
      <c r="AU220" s="348"/>
      <c r="AV220" s="349"/>
      <c r="AW220" s="347"/>
      <c r="AX220" s="348"/>
      <c r="AY220" s="348"/>
      <c r="AZ220" s="348"/>
      <c r="BA220" s="348"/>
      <c r="BB220" s="348"/>
      <c r="BC220" s="348"/>
      <c r="BD220" s="348"/>
      <c r="BE220" s="349"/>
    </row>
    <row r="221" spans="1:58" x14ac:dyDescent="0.25">
      <c r="A221" s="350" t="s">
        <v>181</v>
      </c>
      <c r="B221" s="351" t="s">
        <v>112</v>
      </c>
      <c r="C221" s="351" t="s">
        <v>19</v>
      </c>
      <c r="D221" s="352">
        <v>1</v>
      </c>
      <c r="E221" s="353">
        <v>1</v>
      </c>
      <c r="F221" s="353">
        <v>1</v>
      </c>
      <c r="G221" s="353">
        <v>1</v>
      </c>
      <c r="H221" s="353">
        <v>1</v>
      </c>
      <c r="I221" s="353">
        <v>1</v>
      </c>
      <c r="J221" s="353">
        <v>1</v>
      </c>
      <c r="K221" s="353">
        <v>1</v>
      </c>
      <c r="L221" s="354">
        <v>1</v>
      </c>
      <c r="M221" s="352">
        <v>1</v>
      </c>
      <c r="N221" s="353">
        <v>1</v>
      </c>
      <c r="O221" s="353">
        <v>1</v>
      </c>
      <c r="P221" s="353">
        <v>1</v>
      </c>
      <c r="Q221" s="353">
        <v>1</v>
      </c>
      <c r="R221" s="353">
        <v>1</v>
      </c>
      <c r="S221" s="353">
        <v>1</v>
      </c>
      <c r="T221" s="353">
        <v>1</v>
      </c>
      <c r="U221" s="354">
        <v>1</v>
      </c>
      <c r="V221" s="352">
        <v>1</v>
      </c>
      <c r="W221" s="353">
        <v>1</v>
      </c>
      <c r="X221" s="353">
        <v>1</v>
      </c>
      <c r="Y221" s="353">
        <v>1</v>
      </c>
      <c r="Z221" s="353">
        <v>1</v>
      </c>
      <c r="AA221" s="353">
        <v>1</v>
      </c>
      <c r="AB221" s="353">
        <v>1</v>
      </c>
      <c r="AC221" s="353">
        <v>1</v>
      </c>
      <c r="AD221" s="354">
        <v>1</v>
      </c>
      <c r="AE221" s="366">
        <v>1</v>
      </c>
      <c r="AF221" s="367">
        <v>1</v>
      </c>
      <c r="AG221" s="367">
        <v>1</v>
      </c>
      <c r="AH221" s="367">
        <v>1</v>
      </c>
      <c r="AI221" s="367">
        <v>1</v>
      </c>
      <c r="AJ221" s="367">
        <v>1</v>
      </c>
      <c r="AK221" s="367">
        <v>1</v>
      </c>
      <c r="AL221" s="367">
        <v>1</v>
      </c>
      <c r="AM221" s="368">
        <v>1</v>
      </c>
      <c r="AN221" s="366">
        <v>1</v>
      </c>
      <c r="AO221" s="367">
        <v>1</v>
      </c>
      <c r="AP221" s="367">
        <v>1</v>
      </c>
      <c r="AQ221" s="367">
        <v>1</v>
      </c>
      <c r="AR221" s="367">
        <v>1</v>
      </c>
      <c r="AS221" s="367">
        <v>1</v>
      </c>
      <c r="AT221" s="367">
        <v>1</v>
      </c>
      <c r="AU221" s="367">
        <v>1</v>
      </c>
      <c r="AV221" s="368">
        <v>1</v>
      </c>
      <c r="AW221" s="366">
        <v>1</v>
      </c>
      <c r="AX221" s="367">
        <v>1</v>
      </c>
      <c r="AY221" s="367">
        <v>1</v>
      </c>
      <c r="AZ221" s="367">
        <v>1</v>
      </c>
      <c r="BA221" s="367">
        <v>1</v>
      </c>
      <c r="BB221" s="367">
        <v>1</v>
      </c>
      <c r="BC221" s="367">
        <v>1</v>
      </c>
      <c r="BD221" s="367">
        <v>1</v>
      </c>
      <c r="BE221" s="368">
        <v>1</v>
      </c>
      <c r="BF221" s="30"/>
    </row>
    <row r="222" spans="1:58" x14ac:dyDescent="0.25">
      <c r="A222" s="331"/>
      <c r="B222" s="195" t="s">
        <v>28</v>
      </c>
      <c r="C222" s="195" t="s">
        <v>19</v>
      </c>
      <c r="D222" s="208">
        <v>0.8</v>
      </c>
      <c r="E222" s="209">
        <v>0.8</v>
      </c>
      <c r="F222" s="209">
        <v>0.8</v>
      </c>
      <c r="G222" s="209">
        <v>0.8</v>
      </c>
      <c r="H222" s="209">
        <v>0.8</v>
      </c>
      <c r="I222" s="209">
        <v>0.8</v>
      </c>
      <c r="J222" s="209">
        <v>0.8</v>
      </c>
      <c r="K222" s="209">
        <v>0.8</v>
      </c>
      <c r="L222" s="210">
        <v>0.8</v>
      </c>
      <c r="M222" s="208">
        <v>0.8</v>
      </c>
      <c r="N222" s="209">
        <v>0.8</v>
      </c>
      <c r="O222" s="209">
        <v>0.8</v>
      </c>
      <c r="P222" s="209">
        <v>0.8</v>
      </c>
      <c r="Q222" s="209">
        <v>0.8</v>
      </c>
      <c r="R222" s="209">
        <v>0.8</v>
      </c>
      <c r="S222" s="209">
        <v>0.8</v>
      </c>
      <c r="T222" s="209">
        <v>0.8</v>
      </c>
      <c r="U222" s="210">
        <v>0.8</v>
      </c>
      <c r="V222" s="208">
        <v>0.8</v>
      </c>
      <c r="W222" s="209">
        <v>0.8</v>
      </c>
      <c r="X222" s="209">
        <v>0.8</v>
      </c>
      <c r="Y222" s="209">
        <v>0.8</v>
      </c>
      <c r="Z222" s="209">
        <v>0.8</v>
      </c>
      <c r="AA222" s="209">
        <v>0.8</v>
      </c>
      <c r="AB222" s="209">
        <v>0.8</v>
      </c>
      <c r="AC222" s="209">
        <v>0.8</v>
      </c>
      <c r="AD222" s="210">
        <v>0.8</v>
      </c>
      <c r="AE222" s="211">
        <v>0.8</v>
      </c>
      <c r="AF222" s="212">
        <v>0.8</v>
      </c>
      <c r="AG222" s="212">
        <v>0.8</v>
      </c>
      <c r="AH222" s="212">
        <v>0.8</v>
      </c>
      <c r="AI222" s="212">
        <v>0.8</v>
      </c>
      <c r="AJ222" s="212">
        <v>0.8</v>
      </c>
      <c r="AK222" s="212">
        <v>0.8</v>
      </c>
      <c r="AL222" s="212">
        <v>0.8</v>
      </c>
      <c r="AM222" s="213">
        <v>0.8</v>
      </c>
      <c r="AN222" s="211">
        <v>0.8</v>
      </c>
      <c r="AO222" s="212">
        <v>0.8</v>
      </c>
      <c r="AP222" s="212">
        <v>0.8</v>
      </c>
      <c r="AQ222" s="212">
        <v>0.8</v>
      </c>
      <c r="AR222" s="212">
        <v>0.8</v>
      </c>
      <c r="AS222" s="212">
        <v>0.8</v>
      </c>
      <c r="AT222" s="212">
        <v>0.8</v>
      </c>
      <c r="AU222" s="212">
        <v>0.8</v>
      </c>
      <c r="AV222" s="213">
        <v>0.8</v>
      </c>
      <c r="AW222" s="211">
        <v>0.8</v>
      </c>
      <c r="AX222" s="212">
        <v>0.8</v>
      </c>
      <c r="AY222" s="212">
        <v>0.8</v>
      </c>
      <c r="AZ222" s="212">
        <v>0.8</v>
      </c>
      <c r="BA222" s="212">
        <v>0.8</v>
      </c>
      <c r="BB222" s="212">
        <v>0.8</v>
      </c>
      <c r="BC222" s="212">
        <v>0.8</v>
      </c>
      <c r="BD222" s="212">
        <v>0.8</v>
      </c>
      <c r="BE222" s="213">
        <v>0.8</v>
      </c>
    </row>
    <row r="223" spans="1:58" x14ac:dyDescent="0.25">
      <c r="A223" s="331"/>
      <c r="B223" s="195" t="s">
        <v>29</v>
      </c>
      <c r="C223" s="195" t="s">
        <v>4</v>
      </c>
      <c r="D223" s="208">
        <v>20</v>
      </c>
      <c r="E223" s="209">
        <v>20</v>
      </c>
      <c r="F223" s="209">
        <v>20</v>
      </c>
      <c r="G223" s="209">
        <v>20</v>
      </c>
      <c r="H223" s="209">
        <v>20</v>
      </c>
      <c r="I223" s="209">
        <v>20</v>
      </c>
      <c r="J223" s="209">
        <v>20</v>
      </c>
      <c r="K223" s="209">
        <v>20</v>
      </c>
      <c r="L223" s="210">
        <v>20</v>
      </c>
      <c r="M223" s="208">
        <v>20</v>
      </c>
      <c r="N223" s="209">
        <v>20</v>
      </c>
      <c r="O223" s="209">
        <v>20</v>
      </c>
      <c r="P223" s="209">
        <v>20</v>
      </c>
      <c r="Q223" s="209">
        <v>20</v>
      </c>
      <c r="R223" s="209">
        <v>20</v>
      </c>
      <c r="S223" s="209">
        <v>20</v>
      </c>
      <c r="T223" s="209">
        <v>20</v>
      </c>
      <c r="U223" s="210">
        <v>20</v>
      </c>
      <c r="V223" s="208">
        <v>20</v>
      </c>
      <c r="W223" s="209">
        <v>20</v>
      </c>
      <c r="X223" s="209">
        <v>20</v>
      </c>
      <c r="Y223" s="209">
        <v>20</v>
      </c>
      <c r="Z223" s="209">
        <v>20</v>
      </c>
      <c r="AA223" s="209">
        <v>20</v>
      </c>
      <c r="AB223" s="209">
        <v>20</v>
      </c>
      <c r="AC223" s="209">
        <v>20</v>
      </c>
      <c r="AD223" s="210">
        <v>20</v>
      </c>
      <c r="AE223" s="211">
        <v>20</v>
      </c>
      <c r="AF223" s="212">
        <v>20</v>
      </c>
      <c r="AG223" s="212">
        <v>20</v>
      </c>
      <c r="AH223" s="212">
        <v>20</v>
      </c>
      <c r="AI223" s="212">
        <v>20</v>
      </c>
      <c r="AJ223" s="212">
        <v>20</v>
      </c>
      <c r="AK223" s="212">
        <v>20</v>
      </c>
      <c r="AL223" s="212">
        <v>20</v>
      </c>
      <c r="AM223" s="213">
        <v>20</v>
      </c>
      <c r="AN223" s="211">
        <v>20</v>
      </c>
      <c r="AO223" s="212">
        <v>20</v>
      </c>
      <c r="AP223" s="212">
        <v>20</v>
      </c>
      <c r="AQ223" s="212">
        <v>20</v>
      </c>
      <c r="AR223" s="212">
        <v>20</v>
      </c>
      <c r="AS223" s="212">
        <v>20</v>
      </c>
      <c r="AT223" s="212">
        <v>20</v>
      </c>
      <c r="AU223" s="212">
        <v>20</v>
      </c>
      <c r="AV223" s="213">
        <v>20</v>
      </c>
      <c r="AW223" s="211">
        <v>20</v>
      </c>
      <c r="AX223" s="212">
        <v>20</v>
      </c>
      <c r="AY223" s="212">
        <v>20</v>
      </c>
      <c r="AZ223" s="212">
        <v>20</v>
      </c>
      <c r="BA223" s="212">
        <v>20</v>
      </c>
      <c r="BB223" s="212">
        <v>20</v>
      </c>
      <c r="BC223" s="212">
        <v>20</v>
      </c>
      <c r="BD223" s="212">
        <v>20</v>
      </c>
      <c r="BE223" s="213">
        <v>20</v>
      </c>
    </row>
    <row r="224" spans="1:58" x14ac:dyDescent="0.25">
      <c r="A224" s="331"/>
      <c r="B224" s="195" t="s">
        <v>30</v>
      </c>
      <c r="C224" s="195" t="s">
        <v>6</v>
      </c>
      <c r="D224" s="208">
        <v>939.47924488610727</v>
      </c>
      <c r="E224" s="209">
        <v>670.86780042435419</v>
      </c>
      <c r="F224" s="209">
        <v>523.42631254470632</v>
      </c>
      <c r="G224" s="209">
        <v>523.42631254470632</v>
      </c>
      <c r="H224" s="209">
        <v>523.42631254470632</v>
      </c>
      <c r="I224" s="209">
        <v>523.42631254470632</v>
      </c>
      <c r="J224" s="209">
        <v>1136.3124641115969</v>
      </c>
      <c r="K224" s="209">
        <v>988.42533284709032</v>
      </c>
      <c r="L224" s="210">
        <v>868.76381718516643</v>
      </c>
      <c r="M224" s="208">
        <v>865.6981523557846</v>
      </c>
      <c r="N224" s="209">
        <v>618.18184751144668</v>
      </c>
      <c r="O224" s="209">
        <v>482.31953407260886</v>
      </c>
      <c r="P224" s="209">
        <v>482.31953407260886</v>
      </c>
      <c r="Q224" s="209">
        <v>482.31953407260886</v>
      </c>
      <c r="R224" s="209">
        <v>482.31953407260886</v>
      </c>
      <c r="S224" s="209">
        <v>1136.3124641115969</v>
      </c>
      <c r="T224" s="209">
        <v>988.42533284709032</v>
      </c>
      <c r="U224" s="210">
        <v>868.76381718516643</v>
      </c>
      <c r="V224" s="208">
        <v>822.90511868819738</v>
      </c>
      <c r="W224" s="209">
        <v>587.62399482196031</v>
      </c>
      <c r="X224" s="209">
        <v>458.47760255879234</v>
      </c>
      <c r="Y224" s="209">
        <v>458.47760255879234</v>
      </c>
      <c r="Z224" s="209">
        <v>458.47760255879234</v>
      </c>
      <c r="AA224" s="209">
        <v>458.47760255879234</v>
      </c>
      <c r="AB224" s="209">
        <v>1133.7480098003448</v>
      </c>
      <c r="AC224" s="209">
        <v>986.22674801231153</v>
      </c>
      <c r="AD224" s="210">
        <v>866.85752357634294</v>
      </c>
      <c r="AE224" s="214">
        <v>800.77079092910083</v>
      </c>
      <c r="AF224" s="215">
        <v>571.81820894808823</v>
      </c>
      <c r="AG224" s="215">
        <v>446.14556901716315</v>
      </c>
      <c r="AH224" s="215">
        <v>446.14556901716315</v>
      </c>
      <c r="AI224" s="215">
        <v>446.14556901716315</v>
      </c>
      <c r="AJ224" s="215">
        <v>446.14556901716315</v>
      </c>
      <c r="AK224" s="215">
        <v>1129.4706178785063</v>
      </c>
      <c r="AL224" s="215">
        <v>982.55924743473179</v>
      </c>
      <c r="AM224" s="216">
        <v>863.67730421521264</v>
      </c>
      <c r="AN224" s="214">
        <v>778.63646317000416</v>
      </c>
      <c r="AO224" s="215">
        <v>556.01242307421592</v>
      </c>
      <c r="AP224" s="215">
        <v>433.81353547553391</v>
      </c>
      <c r="AQ224" s="215">
        <v>433.81353547553391</v>
      </c>
      <c r="AR224" s="215">
        <v>433.81353547553391</v>
      </c>
      <c r="AS224" s="215">
        <v>433.81353547553391</v>
      </c>
      <c r="AT224" s="215">
        <v>1125.1890967142162</v>
      </c>
      <c r="AU224" s="215">
        <v>978.8877535076831</v>
      </c>
      <c r="AV224" s="216">
        <v>860.49325281850611</v>
      </c>
      <c r="AW224" s="214">
        <v>756.50213541090761</v>
      </c>
      <c r="AX224" s="215">
        <v>540.20663720034383</v>
      </c>
      <c r="AY224" s="215">
        <v>421.48150193390472</v>
      </c>
      <c r="AZ224" s="215">
        <v>421.48150193390472</v>
      </c>
      <c r="BA224" s="215">
        <v>421.48150193390472</v>
      </c>
      <c r="BB224" s="215">
        <v>421.48150193390472</v>
      </c>
      <c r="BC224" s="215">
        <v>1120.903443434433</v>
      </c>
      <c r="BD224" s="215">
        <v>975.21226311391229</v>
      </c>
      <c r="BE224" s="216">
        <v>857.30536609258718</v>
      </c>
    </row>
    <row r="225" spans="1:57" x14ac:dyDescent="0.25">
      <c r="A225" s="331"/>
      <c r="B225" s="195" t="s">
        <v>174</v>
      </c>
      <c r="C225" s="195" t="s">
        <v>19</v>
      </c>
      <c r="D225" s="208">
        <v>0.35</v>
      </c>
      <c r="E225" s="209">
        <v>0.35</v>
      </c>
      <c r="F225" s="209">
        <v>0.35</v>
      </c>
      <c r="G225" s="209">
        <v>0.35</v>
      </c>
      <c r="H225" s="209">
        <v>0.35</v>
      </c>
      <c r="I225" s="209">
        <v>0.35</v>
      </c>
      <c r="J225" s="209">
        <v>0.35</v>
      </c>
      <c r="K225" s="209">
        <v>0.35</v>
      </c>
      <c r="L225" s="210">
        <v>0.35</v>
      </c>
      <c r="M225" s="208">
        <v>0.35</v>
      </c>
      <c r="N225" s="209">
        <v>0.35</v>
      </c>
      <c r="O225" s="209">
        <v>0.35</v>
      </c>
      <c r="P225" s="209">
        <v>0.35</v>
      </c>
      <c r="Q225" s="209">
        <v>0.35</v>
      </c>
      <c r="R225" s="209">
        <v>0.35</v>
      </c>
      <c r="S225" s="209">
        <v>0.35</v>
      </c>
      <c r="T225" s="209">
        <v>0.35</v>
      </c>
      <c r="U225" s="210">
        <v>0.35</v>
      </c>
      <c r="V225" s="208">
        <v>0</v>
      </c>
      <c r="W225" s="209">
        <v>0</v>
      </c>
      <c r="X225" s="209">
        <v>0</v>
      </c>
      <c r="Y225" s="209">
        <v>0</v>
      </c>
      <c r="Z225" s="209">
        <v>0</v>
      </c>
      <c r="AA225" s="209">
        <v>0</v>
      </c>
      <c r="AB225" s="209">
        <v>0</v>
      </c>
      <c r="AC225" s="209">
        <v>0</v>
      </c>
      <c r="AD225" s="210">
        <v>0</v>
      </c>
      <c r="AE225" s="217">
        <v>0</v>
      </c>
      <c r="AF225" s="218">
        <v>0</v>
      </c>
      <c r="AG225" s="218">
        <v>0</v>
      </c>
      <c r="AH225" s="218">
        <v>0</v>
      </c>
      <c r="AI225" s="218">
        <v>0</v>
      </c>
      <c r="AJ225" s="218">
        <v>0</v>
      </c>
      <c r="AK225" s="218">
        <v>0</v>
      </c>
      <c r="AL225" s="218">
        <v>0</v>
      </c>
      <c r="AM225" s="219">
        <v>0</v>
      </c>
      <c r="AN225" s="217">
        <v>0</v>
      </c>
      <c r="AO225" s="218">
        <v>0</v>
      </c>
      <c r="AP225" s="218">
        <v>0</v>
      </c>
      <c r="AQ225" s="218">
        <v>0</v>
      </c>
      <c r="AR225" s="218">
        <v>0</v>
      </c>
      <c r="AS225" s="218">
        <v>0</v>
      </c>
      <c r="AT225" s="218">
        <v>0</v>
      </c>
      <c r="AU225" s="218">
        <v>0</v>
      </c>
      <c r="AV225" s="219">
        <v>0</v>
      </c>
      <c r="AW225" s="217">
        <v>0</v>
      </c>
      <c r="AX225" s="218">
        <v>0</v>
      </c>
      <c r="AY225" s="218">
        <v>0</v>
      </c>
      <c r="AZ225" s="218">
        <v>0</v>
      </c>
      <c r="BA225" s="218">
        <v>0</v>
      </c>
      <c r="BB225" s="218">
        <v>0</v>
      </c>
      <c r="BC225" s="218">
        <v>0</v>
      </c>
      <c r="BD225" s="218">
        <v>0</v>
      </c>
      <c r="BE225" s="219">
        <v>0</v>
      </c>
    </row>
    <row r="226" spans="1:57" x14ac:dyDescent="0.25">
      <c r="A226" s="331"/>
      <c r="B226" s="195" t="s">
        <v>113</v>
      </c>
      <c r="C226" s="195" t="s">
        <v>8</v>
      </c>
      <c r="D226" s="208"/>
      <c r="E226" s="209"/>
      <c r="F226" s="209"/>
      <c r="G226" s="209"/>
      <c r="H226" s="209"/>
      <c r="I226" s="209"/>
      <c r="J226" s="209"/>
      <c r="K226" s="209"/>
      <c r="L226" s="210"/>
      <c r="M226" s="208"/>
      <c r="N226" s="209"/>
      <c r="O226" s="209"/>
      <c r="P226" s="209"/>
      <c r="Q226" s="209"/>
      <c r="R226" s="209"/>
      <c r="S226" s="209"/>
      <c r="T226" s="209"/>
      <c r="U226" s="210"/>
      <c r="V226" s="208"/>
      <c r="W226" s="209"/>
      <c r="X226" s="209"/>
      <c r="Y226" s="209"/>
      <c r="Z226" s="209"/>
      <c r="AA226" s="209"/>
      <c r="AB226" s="209"/>
      <c r="AC226" s="209"/>
      <c r="AD226" s="210"/>
      <c r="AE226" s="211"/>
      <c r="AF226" s="212"/>
      <c r="AG226" s="212"/>
      <c r="AH226" s="212"/>
      <c r="AI226" s="212"/>
      <c r="AJ226" s="212"/>
      <c r="AK226" s="212"/>
      <c r="AL226" s="212"/>
      <c r="AM226" s="213"/>
      <c r="AN226" s="211"/>
      <c r="AO226" s="212"/>
      <c r="AP226" s="212"/>
      <c r="AQ226" s="212"/>
      <c r="AR226" s="212"/>
      <c r="AS226" s="212"/>
      <c r="AT226" s="212"/>
      <c r="AU226" s="212"/>
      <c r="AV226" s="213"/>
      <c r="AW226" s="211"/>
      <c r="AX226" s="212"/>
      <c r="AY226" s="212"/>
      <c r="AZ226" s="212"/>
      <c r="BA226" s="212"/>
      <c r="BB226" s="212"/>
      <c r="BC226" s="212"/>
      <c r="BD226" s="212"/>
      <c r="BE226" s="213"/>
    </row>
    <row r="227" spans="1:57" x14ac:dyDescent="0.25">
      <c r="A227" s="331"/>
      <c r="B227" s="195" t="s">
        <v>114</v>
      </c>
      <c r="C227" s="195" t="s">
        <v>9</v>
      </c>
      <c r="D227" s="208"/>
      <c r="E227" s="209"/>
      <c r="F227" s="209"/>
      <c r="G227" s="209"/>
      <c r="H227" s="209"/>
      <c r="I227" s="209"/>
      <c r="J227" s="209"/>
      <c r="K227" s="209"/>
      <c r="L227" s="210"/>
      <c r="M227" s="208"/>
      <c r="N227" s="209"/>
      <c r="O227" s="209"/>
      <c r="P227" s="209"/>
      <c r="Q227" s="209"/>
      <c r="R227" s="209"/>
      <c r="S227" s="209"/>
      <c r="T227" s="209"/>
      <c r="U227" s="210"/>
      <c r="V227" s="208"/>
      <c r="W227" s="209"/>
      <c r="X227" s="209"/>
      <c r="Y227" s="209"/>
      <c r="Z227" s="209"/>
      <c r="AA227" s="209"/>
      <c r="AB227" s="209"/>
      <c r="AC227" s="209"/>
      <c r="AD227" s="210"/>
      <c r="AE227" s="211"/>
      <c r="AF227" s="212"/>
      <c r="AG227" s="212"/>
      <c r="AH227" s="212"/>
      <c r="AI227" s="212"/>
      <c r="AJ227" s="212"/>
      <c r="AK227" s="212"/>
      <c r="AL227" s="212"/>
      <c r="AM227" s="213"/>
      <c r="AN227" s="211"/>
      <c r="AO227" s="212"/>
      <c r="AP227" s="212"/>
      <c r="AQ227" s="212"/>
      <c r="AR227" s="212"/>
      <c r="AS227" s="212"/>
      <c r="AT227" s="212"/>
      <c r="AU227" s="212"/>
      <c r="AV227" s="213"/>
      <c r="AW227" s="211"/>
      <c r="AX227" s="212"/>
      <c r="AY227" s="212"/>
      <c r="AZ227" s="212"/>
      <c r="BA227" s="212"/>
      <c r="BB227" s="212"/>
      <c r="BC227" s="212"/>
      <c r="BD227" s="212"/>
      <c r="BE227" s="213"/>
    </row>
    <row r="228" spans="1:57" x14ac:dyDescent="0.25">
      <c r="A228" s="331"/>
      <c r="B228" s="195" t="s">
        <v>115</v>
      </c>
      <c r="C228" s="195" t="s">
        <v>10</v>
      </c>
      <c r="D228" s="208">
        <v>0</v>
      </c>
      <c r="E228" s="209">
        <v>0</v>
      </c>
      <c r="F228" s="209">
        <v>0</v>
      </c>
      <c r="G228" s="209">
        <v>0</v>
      </c>
      <c r="H228" s="209">
        <v>0</v>
      </c>
      <c r="I228" s="209">
        <v>0</v>
      </c>
      <c r="J228" s="209">
        <v>2.1700000000000001E-3</v>
      </c>
      <c r="K228" s="209">
        <v>2.1700000000000001E-3</v>
      </c>
      <c r="L228" s="210">
        <v>2.1700000000000001E-3</v>
      </c>
      <c r="M228" s="208">
        <v>0</v>
      </c>
      <c r="N228" s="209">
        <v>0</v>
      </c>
      <c r="O228" s="209">
        <v>0</v>
      </c>
      <c r="P228" s="209">
        <v>0</v>
      </c>
      <c r="Q228" s="209">
        <v>0</v>
      </c>
      <c r="R228" s="209">
        <v>0</v>
      </c>
      <c r="S228" s="209">
        <v>2.1199999999999999E-3</v>
      </c>
      <c r="T228" s="209">
        <v>2.1199999999999999E-3</v>
      </c>
      <c r="U228" s="210">
        <v>2.1199999999999999E-3</v>
      </c>
      <c r="V228" s="208">
        <v>0</v>
      </c>
      <c r="W228" s="209">
        <v>0</v>
      </c>
      <c r="X228" s="209">
        <v>0</v>
      </c>
      <c r="Y228" s="209">
        <v>0</v>
      </c>
      <c r="Z228" s="209">
        <v>0</v>
      </c>
      <c r="AA228" s="209">
        <v>0</v>
      </c>
      <c r="AB228" s="209">
        <v>2.085E-3</v>
      </c>
      <c r="AC228" s="209">
        <v>2.085E-3</v>
      </c>
      <c r="AD228" s="210">
        <v>2.085E-3</v>
      </c>
      <c r="AE228" s="214">
        <v>0</v>
      </c>
      <c r="AF228" s="215">
        <v>0</v>
      </c>
      <c r="AG228" s="215">
        <v>0</v>
      </c>
      <c r="AH228" s="215">
        <v>0</v>
      </c>
      <c r="AI228" s="215">
        <v>0</v>
      </c>
      <c r="AJ228" s="215">
        <v>0</v>
      </c>
      <c r="AK228" s="215">
        <v>2.0599999999999998E-3</v>
      </c>
      <c r="AL228" s="215">
        <v>2.0599999999999998E-3</v>
      </c>
      <c r="AM228" s="216">
        <v>2.0599999999999998E-3</v>
      </c>
      <c r="AN228" s="214">
        <v>0</v>
      </c>
      <c r="AO228" s="215">
        <v>0</v>
      </c>
      <c r="AP228" s="215">
        <v>0</v>
      </c>
      <c r="AQ228" s="215">
        <v>0</v>
      </c>
      <c r="AR228" s="215">
        <v>0</v>
      </c>
      <c r="AS228" s="215">
        <v>0</v>
      </c>
      <c r="AT228" s="215">
        <v>2.0349999999999999E-3</v>
      </c>
      <c r="AU228" s="215">
        <v>2.0349999999999999E-3</v>
      </c>
      <c r="AV228" s="216">
        <v>2.0349999999999999E-3</v>
      </c>
      <c r="AW228" s="214">
        <v>0</v>
      </c>
      <c r="AX228" s="215">
        <v>0</v>
      </c>
      <c r="AY228" s="215">
        <v>0</v>
      </c>
      <c r="AZ228" s="215">
        <v>0</v>
      </c>
      <c r="BA228" s="215">
        <v>0</v>
      </c>
      <c r="BB228" s="215">
        <v>0</v>
      </c>
      <c r="BC228" s="215">
        <v>2.0100000000000001E-3</v>
      </c>
      <c r="BD228" s="215">
        <v>2.0100000000000001E-3</v>
      </c>
      <c r="BE228" s="216">
        <v>2.0100000000000001E-3</v>
      </c>
    </row>
    <row r="229" spans="1:57" x14ac:dyDescent="0.25">
      <c r="A229" s="331"/>
      <c r="B229" s="195" t="s">
        <v>116</v>
      </c>
      <c r="C229" s="195" t="s">
        <v>320</v>
      </c>
      <c r="D229" s="208">
        <v>0</v>
      </c>
      <c r="E229" s="209">
        <v>0</v>
      </c>
      <c r="F229" s="209">
        <v>0</v>
      </c>
      <c r="G229" s="209">
        <v>0</v>
      </c>
      <c r="H229" s="209">
        <v>0</v>
      </c>
      <c r="I229" s="209">
        <v>0</v>
      </c>
      <c r="J229" s="209">
        <v>0</v>
      </c>
      <c r="K229" s="209">
        <v>0</v>
      </c>
      <c r="L229" s="210">
        <v>0</v>
      </c>
      <c r="M229" s="208">
        <v>0</v>
      </c>
      <c r="N229" s="209">
        <v>0</v>
      </c>
      <c r="O229" s="209">
        <v>0</v>
      </c>
      <c r="P229" s="209">
        <v>0</v>
      </c>
      <c r="Q229" s="209">
        <v>0</v>
      </c>
      <c r="R229" s="209">
        <v>0</v>
      </c>
      <c r="S229" s="209">
        <v>0</v>
      </c>
      <c r="T229" s="209">
        <v>0</v>
      </c>
      <c r="U229" s="210">
        <v>0</v>
      </c>
      <c r="V229" s="208">
        <v>0</v>
      </c>
      <c r="W229" s="209">
        <v>0</v>
      </c>
      <c r="X229" s="209">
        <v>0</v>
      </c>
      <c r="Y229" s="209">
        <v>0</v>
      </c>
      <c r="Z229" s="209">
        <v>0</v>
      </c>
      <c r="AA229" s="209">
        <v>0</v>
      </c>
      <c r="AB229" s="209">
        <v>0</v>
      </c>
      <c r="AC229" s="209">
        <v>0</v>
      </c>
      <c r="AD229" s="210">
        <v>0</v>
      </c>
      <c r="AE229" s="214">
        <v>0</v>
      </c>
      <c r="AF229" s="215">
        <v>0</v>
      </c>
      <c r="AG229" s="215">
        <v>0</v>
      </c>
      <c r="AH229" s="215">
        <v>0</v>
      </c>
      <c r="AI229" s="215">
        <v>0</v>
      </c>
      <c r="AJ229" s="215">
        <v>0</v>
      </c>
      <c r="AK229" s="215">
        <v>0</v>
      </c>
      <c r="AL229" s="215">
        <v>0</v>
      </c>
      <c r="AM229" s="216">
        <v>0</v>
      </c>
      <c r="AN229" s="214">
        <v>0</v>
      </c>
      <c r="AO229" s="215">
        <v>0</v>
      </c>
      <c r="AP229" s="215">
        <v>0</v>
      </c>
      <c r="AQ229" s="215">
        <v>0</v>
      </c>
      <c r="AR229" s="215">
        <v>0</v>
      </c>
      <c r="AS229" s="215">
        <v>0</v>
      </c>
      <c r="AT229" s="215">
        <v>0</v>
      </c>
      <c r="AU229" s="215">
        <v>0</v>
      </c>
      <c r="AV229" s="216">
        <v>0</v>
      </c>
      <c r="AW229" s="214">
        <v>0</v>
      </c>
      <c r="AX229" s="215">
        <v>0</v>
      </c>
      <c r="AY229" s="215">
        <v>0</v>
      </c>
      <c r="AZ229" s="215">
        <v>0</v>
      </c>
      <c r="BA229" s="215">
        <v>0</v>
      </c>
      <c r="BB229" s="215">
        <v>0</v>
      </c>
      <c r="BC229" s="215">
        <v>0</v>
      </c>
      <c r="BD229" s="215">
        <v>0</v>
      </c>
      <c r="BE229" s="216">
        <v>0</v>
      </c>
    </row>
    <row r="230" spans="1:57" x14ac:dyDescent="0.25">
      <c r="A230" s="331"/>
      <c r="B230" s="195" t="s">
        <v>31</v>
      </c>
      <c r="C230" s="195" t="s">
        <v>10</v>
      </c>
      <c r="D230" s="208">
        <v>0</v>
      </c>
      <c r="E230" s="209">
        <v>0</v>
      </c>
      <c r="F230" s="209">
        <v>0</v>
      </c>
      <c r="G230" s="209">
        <v>0</v>
      </c>
      <c r="H230" s="209">
        <v>0</v>
      </c>
      <c r="I230" s="209">
        <v>0</v>
      </c>
      <c r="J230" s="209">
        <v>0</v>
      </c>
      <c r="K230" s="209">
        <v>0</v>
      </c>
      <c r="L230" s="210">
        <v>0</v>
      </c>
      <c r="M230" s="208">
        <v>0</v>
      </c>
      <c r="N230" s="209">
        <v>0</v>
      </c>
      <c r="O230" s="209">
        <v>0</v>
      </c>
      <c r="P230" s="209">
        <v>0</v>
      </c>
      <c r="Q230" s="209">
        <v>0</v>
      </c>
      <c r="R230" s="209">
        <v>0</v>
      </c>
      <c r="S230" s="209">
        <v>0</v>
      </c>
      <c r="T230" s="209">
        <v>0</v>
      </c>
      <c r="U230" s="210">
        <v>0</v>
      </c>
      <c r="V230" s="208">
        <v>0</v>
      </c>
      <c r="W230" s="209">
        <v>0</v>
      </c>
      <c r="X230" s="209">
        <v>0</v>
      </c>
      <c r="Y230" s="209">
        <v>0</v>
      </c>
      <c r="Z230" s="209">
        <v>0</v>
      </c>
      <c r="AA230" s="209">
        <v>0</v>
      </c>
      <c r="AB230" s="209">
        <v>0</v>
      </c>
      <c r="AC230" s="209">
        <v>0</v>
      </c>
      <c r="AD230" s="210">
        <v>0</v>
      </c>
      <c r="AE230" s="214">
        <v>0</v>
      </c>
      <c r="AF230" s="215">
        <v>0</v>
      </c>
      <c r="AG230" s="215">
        <v>0</v>
      </c>
      <c r="AH230" s="215">
        <v>0</v>
      </c>
      <c r="AI230" s="215">
        <v>0</v>
      </c>
      <c r="AJ230" s="215">
        <v>0</v>
      </c>
      <c r="AK230" s="215">
        <v>0</v>
      </c>
      <c r="AL230" s="215">
        <v>0</v>
      </c>
      <c r="AM230" s="216">
        <v>0</v>
      </c>
      <c r="AN230" s="214">
        <v>0</v>
      </c>
      <c r="AO230" s="215">
        <v>0</v>
      </c>
      <c r="AP230" s="215">
        <v>0</v>
      </c>
      <c r="AQ230" s="215">
        <v>0</v>
      </c>
      <c r="AR230" s="215">
        <v>0</v>
      </c>
      <c r="AS230" s="215">
        <v>0</v>
      </c>
      <c r="AT230" s="215">
        <v>0</v>
      </c>
      <c r="AU230" s="215">
        <v>0</v>
      </c>
      <c r="AV230" s="216">
        <v>0</v>
      </c>
      <c r="AW230" s="214">
        <v>0</v>
      </c>
      <c r="AX230" s="215">
        <v>0</v>
      </c>
      <c r="AY230" s="215">
        <v>0</v>
      </c>
      <c r="AZ230" s="215">
        <v>0</v>
      </c>
      <c r="BA230" s="215">
        <v>0</v>
      </c>
      <c r="BB230" s="215">
        <v>0</v>
      </c>
      <c r="BC230" s="215">
        <v>0</v>
      </c>
      <c r="BD230" s="215">
        <v>0</v>
      </c>
      <c r="BE230" s="216">
        <v>0</v>
      </c>
    </row>
    <row r="231" spans="1:57" x14ac:dyDescent="0.25">
      <c r="A231" s="331"/>
      <c r="B231" s="195" t="s">
        <v>32</v>
      </c>
      <c r="C231" s="195" t="s">
        <v>19</v>
      </c>
      <c r="D231" s="208">
        <v>3.09</v>
      </c>
      <c r="E231" s="209">
        <v>3.09</v>
      </c>
      <c r="F231" s="209">
        <v>3.09</v>
      </c>
      <c r="G231" s="209">
        <v>3.09</v>
      </c>
      <c r="H231" s="209">
        <v>3.09</v>
      </c>
      <c r="I231" s="209">
        <v>3.09</v>
      </c>
      <c r="J231" s="209">
        <v>3.09</v>
      </c>
      <c r="K231" s="209">
        <v>3.09</v>
      </c>
      <c r="L231" s="210">
        <v>3.09</v>
      </c>
      <c r="M231" s="208">
        <v>3.2399999999999998</v>
      </c>
      <c r="N231" s="209">
        <v>3.2399999999999998</v>
      </c>
      <c r="O231" s="209">
        <v>3.2399999999999998</v>
      </c>
      <c r="P231" s="209">
        <v>3.2399999999999998</v>
      </c>
      <c r="Q231" s="209">
        <v>3.2399999999999998</v>
      </c>
      <c r="R231" s="209">
        <v>3.2399999999999998</v>
      </c>
      <c r="S231" s="209">
        <v>3.2399999999999998</v>
      </c>
      <c r="T231" s="209">
        <v>3.2399999999999998</v>
      </c>
      <c r="U231" s="210">
        <v>3.2399999999999998</v>
      </c>
      <c r="V231" s="208">
        <v>3.33</v>
      </c>
      <c r="W231" s="209">
        <v>3.33</v>
      </c>
      <c r="X231" s="209">
        <v>3.33</v>
      </c>
      <c r="Y231" s="209">
        <v>3.33</v>
      </c>
      <c r="Z231" s="209">
        <v>3.33</v>
      </c>
      <c r="AA231" s="209">
        <v>3.33</v>
      </c>
      <c r="AB231" s="209">
        <v>3.33</v>
      </c>
      <c r="AC231" s="209">
        <v>3.33</v>
      </c>
      <c r="AD231" s="210">
        <v>3.33</v>
      </c>
      <c r="AE231" s="211">
        <v>3.38</v>
      </c>
      <c r="AF231" s="212">
        <v>3.38</v>
      </c>
      <c r="AG231" s="212">
        <v>3.38</v>
      </c>
      <c r="AH231" s="212">
        <v>3.38</v>
      </c>
      <c r="AI231" s="212">
        <v>3.38</v>
      </c>
      <c r="AJ231" s="212">
        <v>3.38</v>
      </c>
      <c r="AK231" s="212">
        <v>3.38</v>
      </c>
      <c r="AL231" s="212">
        <v>3.38</v>
      </c>
      <c r="AM231" s="213">
        <v>3.38</v>
      </c>
      <c r="AN231" s="211">
        <v>3.4299999999999997</v>
      </c>
      <c r="AO231" s="212">
        <v>3.4299999999999997</v>
      </c>
      <c r="AP231" s="212">
        <v>3.4299999999999997</v>
      </c>
      <c r="AQ231" s="212">
        <v>3.4299999999999997</v>
      </c>
      <c r="AR231" s="212">
        <v>3.4299999999999997</v>
      </c>
      <c r="AS231" s="212">
        <v>3.4299999999999997</v>
      </c>
      <c r="AT231" s="212">
        <v>3.4299999999999997</v>
      </c>
      <c r="AU231" s="212">
        <v>3.4299999999999997</v>
      </c>
      <c r="AV231" s="213">
        <v>3.4299999999999997</v>
      </c>
      <c r="AW231" s="211">
        <v>3.48</v>
      </c>
      <c r="AX231" s="212">
        <v>3.48</v>
      </c>
      <c r="AY231" s="212">
        <v>3.48</v>
      </c>
      <c r="AZ231" s="212">
        <v>3.48</v>
      </c>
      <c r="BA231" s="212">
        <v>3.48</v>
      </c>
      <c r="BB231" s="212">
        <v>3.48</v>
      </c>
      <c r="BC231" s="212">
        <v>3.48</v>
      </c>
      <c r="BD231" s="212">
        <v>3.48</v>
      </c>
      <c r="BE231" s="213">
        <v>3.48</v>
      </c>
    </row>
    <row r="232" spans="1:57" x14ac:dyDescent="0.25">
      <c r="A232" s="331"/>
      <c r="B232" s="195" t="s">
        <v>33</v>
      </c>
      <c r="C232" s="195" t="s">
        <v>14</v>
      </c>
      <c r="D232" s="208"/>
      <c r="E232" s="209"/>
      <c r="F232" s="209"/>
      <c r="G232" s="209"/>
      <c r="H232" s="209"/>
      <c r="I232" s="209"/>
      <c r="J232" s="209"/>
      <c r="K232" s="209"/>
      <c r="L232" s="210"/>
      <c r="M232" s="208"/>
      <c r="N232" s="209"/>
      <c r="O232" s="209"/>
      <c r="P232" s="209"/>
      <c r="Q232" s="209"/>
      <c r="R232" s="209"/>
      <c r="S232" s="209"/>
      <c r="T232" s="209"/>
      <c r="U232" s="210"/>
      <c r="V232" s="208"/>
      <c r="W232" s="209"/>
      <c r="X232" s="209"/>
      <c r="Y232" s="209"/>
      <c r="Z232" s="209"/>
      <c r="AA232" s="209"/>
      <c r="AB232" s="209"/>
      <c r="AC232" s="209"/>
      <c r="AD232" s="210"/>
      <c r="AE232" s="211"/>
      <c r="AF232" s="212"/>
      <c r="AG232" s="212"/>
      <c r="AH232" s="212"/>
      <c r="AI232" s="212"/>
      <c r="AJ232" s="212"/>
      <c r="AK232" s="212"/>
      <c r="AL232" s="212"/>
      <c r="AM232" s="213"/>
      <c r="AN232" s="211"/>
      <c r="AO232" s="212"/>
      <c r="AP232" s="212"/>
      <c r="AQ232" s="212"/>
      <c r="AR232" s="212"/>
      <c r="AS232" s="212"/>
      <c r="AT232" s="212"/>
      <c r="AU232" s="212"/>
      <c r="AV232" s="213"/>
      <c r="AW232" s="211"/>
      <c r="AX232" s="212"/>
      <c r="AY232" s="212"/>
      <c r="AZ232" s="212"/>
      <c r="BA232" s="212"/>
      <c r="BB232" s="212"/>
      <c r="BC232" s="212"/>
      <c r="BD232" s="212"/>
      <c r="BE232" s="213"/>
    </row>
    <row r="233" spans="1:57" x14ac:dyDescent="0.25">
      <c r="A233" s="331"/>
      <c r="B233" s="195" t="s">
        <v>34</v>
      </c>
      <c r="C233" s="195" t="s">
        <v>4</v>
      </c>
      <c r="D233" s="208"/>
      <c r="E233" s="209"/>
      <c r="F233" s="209"/>
      <c r="G233" s="209"/>
      <c r="H233" s="209"/>
      <c r="I233" s="209"/>
      <c r="J233" s="209"/>
      <c r="K233" s="209"/>
      <c r="L233" s="210"/>
      <c r="M233" s="208"/>
      <c r="N233" s="209"/>
      <c r="O233" s="209"/>
      <c r="P233" s="209"/>
      <c r="Q233" s="209"/>
      <c r="R233" s="209"/>
      <c r="S233" s="209"/>
      <c r="T233" s="209"/>
      <c r="U233" s="210"/>
      <c r="V233" s="208"/>
      <c r="W233" s="209"/>
      <c r="X233" s="209"/>
      <c r="Y233" s="209"/>
      <c r="Z233" s="209"/>
      <c r="AA233" s="209"/>
      <c r="AB233" s="209"/>
      <c r="AC233" s="209"/>
      <c r="AD233" s="210"/>
      <c r="AE233" s="211"/>
      <c r="AF233" s="212"/>
      <c r="AG233" s="212"/>
      <c r="AH233" s="212"/>
      <c r="AI233" s="212"/>
      <c r="AJ233" s="212"/>
      <c r="AK233" s="212"/>
      <c r="AL233" s="212"/>
      <c r="AM233" s="213"/>
      <c r="AN233" s="211"/>
      <c r="AO233" s="212"/>
      <c r="AP233" s="212"/>
      <c r="AQ233" s="212"/>
      <c r="AR233" s="212"/>
      <c r="AS233" s="212"/>
      <c r="AT233" s="212"/>
      <c r="AU233" s="212"/>
      <c r="AV233" s="213"/>
      <c r="AW233" s="211"/>
      <c r="AX233" s="212"/>
      <c r="AY233" s="212"/>
      <c r="AZ233" s="212"/>
      <c r="BA233" s="212"/>
      <c r="BB233" s="212"/>
      <c r="BC233" s="212"/>
      <c r="BD233" s="212"/>
      <c r="BE233" s="213"/>
    </row>
    <row r="234" spans="1:57" x14ac:dyDescent="0.25">
      <c r="A234" s="331"/>
      <c r="B234" s="195" t="s">
        <v>125</v>
      </c>
      <c r="C234" s="195" t="s">
        <v>19</v>
      </c>
      <c r="D234" s="208">
        <v>0.3125</v>
      </c>
      <c r="E234" s="209">
        <v>0.3125</v>
      </c>
      <c r="F234" s="209">
        <v>0.3125</v>
      </c>
      <c r="G234" s="209">
        <v>0.3125</v>
      </c>
      <c r="H234" s="209">
        <v>0.3125</v>
      </c>
      <c r="I234" s="209">
        <v>0.3125</v>
      </c>
      <c r="J234" s="209">
        <v>0.3125</v>
      </c>
      <c r="K234" s="209">
        <v>0.3125</v>
      </c>
      <c r="L234" s="210">
        <v>0.3125</v>
      </c>
      <c r="M234" s="208">
        <v>0.3125</v>
      </c>
      <c r="N234" s="209">
        <v>0.3125</v>
      </c>
      <c r="O234" s="209">
        <v>0.3125</v>
      </c>
      <c r="P234" s="209">
        <v>0.3125</v>
      </c>
      <c r="Q234" s="209">
        <v>0.3125</v>
      </c>
      <c r="R234" s="209">
        <v>0.3125</v>
      </c>
      <c r="S234" s="209">
        <v>0.3125</v>
      </c>
      <c r="T234" s="209">
        <v>0.3125</v>
      </c>
      <c r="U234" s="210">
        <v>0.3125</v>
      </c>
      <c r="V234" s="208">
        <v>0.3125</v>
      </c>
      <c r="W234" s="209">
        <v>0.3125</v>
      </c>
      <c r="X234" s="209">
        <v>0.3125</v>
      </c>
      <c r="Y234" s="209">
        <v>0.3125</v>
      </c>
      <c r="Z234" s="209">
        <v>0.3125</v>
      </c>
      <c r="AA234" s="209">
        <v>0.3125</v>
      </c>
      <c r="AB234" s="209">
        <v>0.3125</v>
      </c>
      <c r="AC234" s="209">
        <v>0.3125</v>
      </c>
      <c r="AD234" s="210">
        <v>0.3125</v>
      </c>
      <c r="AE234" s="226">
        <v>0.3125</v>
      </c>
      <c r="AF234" s="227">
        <v>0.3125</v>
      </c>
      <c r="AG234" s="227">
        <v>0.3125</v>
      </c>
      <c r="AH234" s="227">
        <v>0.3125</v>
      </c>
      <c r="AI234" s="227">
        <v>0.3125</v>
      </c>
      <c r="AJ234" s="227">
        <v>0.3125</v>
      </c>
      <c r="AK234" s="227">
        <v>0.3125</v>
      </c>
      <c r="AL234" s="227">
        <v>0.3125</v>
      </c>
      <c r="AM234" s="228">
        <v>0.3125</v>
      </c>
      <c r="AN234" s="226">
        <v>0.3125</v>
      </c>
      <c r="AO234" s="227">
        <v>0.3125</v>
      </c>
      <c r="AP234" s="227">
        <v>0.3125</v>
      </c>
      <c r="AQ234" s="227">
        <v>0.3125</v>
      </c>
      <c r="AR234" s="227">
        <v>0.3125</v>
      </c>
      <c r="AS234" s="227">
        <v>0.3125</v>
      </c>
      <c r="AT234" s="227">
        <v>0.3125</v>
      </c>
      <c r="AU234" s="227">
        <v>0.3125</v>
      </c>
      <c r="AV234" s="228">
        <v>0.3125</v>
      </c>
      <c r="AW234" s="226">
        <v>0.3125</v>
      </c>
      <c r="AX234" s="227">
        <v>0.3125</v>
      </c>
      <c r="AY234" s="227">
        <v>0.3125</v>
      </c>
      <c r="AZ234" s="227">
        <v>0.3125</v>
      </c>
      <c r="BA234" s="227">
        <v>0.3125</v>
      </c>
      <c r="BB234" s="227">
        <v>0.3125</v>
      </c>
      <c r="BC234" s="227">
        <v>0.3125</v>
      </c>
      <c r="BD234" s="227">
        <v>0.3125</v>
      </c>
      <c r="BE234" s="228">
        <v>0.3125</v>
      </c>
    </row>
    <row r="235" spans="1:57" x14ac:dyDescent="0.25">
      <c r="A235" s="331"/>
      <c r="B235" s="195" t="s">
        <v>126</v>
      </c>
      <c r="C235" s="195" t="s">
        <v>19</v>
      </c>
      <c r="D235" s="208">
        <v>0.64</v>
      </c>
      <c r="E235" s="209">
        <v>0.64</v>
      </c>
      <c r="F235" s="209">
        <v>0.64</v>
      </c>
      <c r="G235" s="209">
        <v>0.64</v>
      </c>
      <c r="H235" s="209">
        <v>0.64</v>
      </c>
      <c r="I235" s="209">
        <v>0.64</v>
      </c>
      <c r="J235" s="209">
        <v>0.64</v>
      </c>
      <c r="K235" s="209">
        <v>0.64</v>
      </c>
      <c r="L235" s="210">
        <v>0.64</v>
      </c>
      <c r="M235" s="208">
        <v>0.64</v>
      </c>
      <c r="N235" s="209">
        <v>0.64</v>
      </c>
      <c r="O235" s="209">
        <v>0.64</v>
      </c>
      <c r="P235" s="209">
        <v>0.64</v>
      </c>
      <c r="Q235" s="209">
        <v>0.64</v>
      </c>
      <c r="R235" s="209">
        <v>0.64</v>
      </c>
      <c r="S235" s="209">
        <v>0.64</v>
      </c>
      <c r="T235" s="209">
        <v>0.64</v>
      </c>
      <c r="U235" s="210">
        <v>0.64</v>
      </c>
      <c r="V235" s="208">
        <v>0.64</v>
      </c>
      <c r="W235" s="209">
        <v>0.64</v>
      </c>
      <c r="X235" s="209">
        <v>0.64</v>
      </c>
      <c r="Y235" s="209">
        <v>0.64</v>
      </c>
      <c r="Z235" s="209">
        <v>0.64</v>
      </c>
      <c r="AA235" s="209">
        <v>0.64</v>
      </c>
      <c r="AB235" s="209">
        <v>0.64</v>
      </c>
      <c r="AC235" s="209">
        <v>0.64</v>
      </c>
      <c r="AD235" s="210">
        <v>0.64</v>
      </c>
      <c r="AE235" s="211">
        <v>0.64</v>
      </c>
      <c r="AF235" s="212">
        <v>0.64</v>
      </c>
      <c r="AG235" s="212">
        <v>0.64</v>
      </c>
      <c r="AH235" s="212">
        <v>0.64</v>
      </c>
      <c r="AI235" s="212">
        <v>0.64</v>
      </c>
      <c r="AJ235" s="212">
        <v>0.64</v>
      </c>
      <c r="AK235" s="212">
        <v>0.64</v>
      </c>
      <c r="AL235" s="212">
        <v>0.64</v>
      </c>
      <c r="AM235" s="213">
        <v>0.64</v>
      </c>
      <c r="AN235" s="211">
        <v>0.64</v>
      </c>
      <c r="AO235" s="212">
        <v>0.64</v>
      </c>
      <c r="AP235" s="212">
        <v>0.64</v>
      </c>
      <c r="AQ235" s="212">
        <v>0.64</v>
      </c>
      <c r="AR235" s="212">
        <v>0.64</v>
      </c>
      <c r="AS235" s="212">
        <v>0.64</v>
      </c>
      <c r="AT235" s="212">
        <v>0.64</v>
      </c>
      <c r="AU235" s="212">
        <v>0.64</v>
      </c>
      <c r="AV235" s="213">
        <v>0.64</v>
      </c>
      <c r="AW235" s="211">
        <v>0.64</v>
      </c>
      <c r="AX235" s="212">
        <v>0.64</v>
      </c>
      <c r="AY235" s="212">
        <v>0.64</v>
      </c>
      <c r="AZ235" s="212">
        <v>0.64</v>
      </c>
      <c r="BA235" s="212">
        <v>0.64</v>
      </c>
      <c r="BB235" s="212">
        <v>0.64</v>
      </c>
      <c r="BC235" s="212">
        <v>0.64</v>
      </c>
      <c r="BD235" s="212">
        <v>0.64</v>
      </c>
      <c r="BE235" s="213">
        <v>0.64</v>
      </c>
    </row>
    <row r="236" spans="1:57" x14ac:dyDescent="0.25">
      <c r="A236" s="331"/>
      <c r="B236" s="195" t="s">
        <v>127</v>
      </c>
      <c r="C236" s="195" t="s">
        <v>4</v>
      </c>
      <c r="D236" s="208">
        <v>20</v>
      </c>
      <c r="E236" s="209">
        <v>20</v>
      </c>
      <c r="F236" s="209">
        <v>20</v>
      </c>
      <c r="G236" s="209">
        <v>20</v>
      </c>
      <c r="H236" s="209">
        <v>20</v>
      </c>
      <c r="I236" s="209">
        <v>20</v>
      </c>
      <c r="J236" s="209">
        <v>20</v>
      </c>
      <c r="K236" s="209">
        <v>20</v>
      </c>
      <c r="L236" s="210">
        <v>20</v>
      </c>
      <c r="M236" s="208">
        <v>20</v>
      </c>
      <c r="N236" s="209">
        <v>20</v>
      </c>
      <c r="O236" s="209">
        <v>20</v>
      </c>
      <c r="P236" s="209">
        <v>20</v>
      </c>
      <c r="Q236" s="209">
        <v>20</v>
      </c>
      <c r="R236" s="209">
        <v>20</v>
      </c>
      <c r="S236" s="209">
        <v>20</v>
      </c>
      <c r="T236" s="209">
        <v>20</v>
      </c>
      <c r="U236" s="210">
        <v>20</v>
      </c>
      <c r="V236" s="208">
        <v>20</v>
      </c>
      <c r="W236" s="209">
        <v>20</v>
      </c>
      <c r="X236" s="209">
        <v>20</v>
      </c>
      <c r="Y236" s="209">
        <v>20</v>
      </c>
      <c r="Z236" s="209">
        <v>20</v>
      </c>
      <c r="AA236" s="209">
        <v>20</v>
      </c>
      <c r="AB236" s="209">
        <v>20</v>
      </c>
      <c r="AC236" s="209">
        <v>20</v>
      </c>
      <c r="AD236" s="210">
        <v>20</v>
      </c>
      <c r="AE236" s="211">
        <v>20</v>
      </c>
      <c r="AF236" s="212">
        <v>20</v>
      </c>
      <c r="AG236" s="212">
        <v>20</v>
      </c>
      <c r="AH236" s="212">
        <v>20</v>
      </c>
      <c r="AI236" s="212">
        <v>20</v>
      </c>
      <c r="AJ236" s="212">
        <v>20</v>
      </c>
      <c r="AK236" s="212">
        <v>20</v>
      </c>
      <c r="AL236" s="212">
        <v>20</v>
      </c>
      <c r="AM236" s="213">
        <v>20</v>
      </c>
      <c r="AN236" s="211">
        <v>20</v>
      </c>
      <c r="AO236" s="212">
        <v>20</v>
      </c>
      <c r="AP236" s="212">
        <v>20</v>
      </c>
      <c r="AQ236" s="212">
        <v>20</v>
      </c>
      <c r="AR236" s="212">
        <v>20</v>
      </c>
      <c r="AS236" s="212">
        <v>20</v>
      </c>
      <c r="AT236" s="212">
        <v>20</v>
      </c>
      <c r="AU236" s="212">
        <v>20</v>
      </c>
      <c r="AV236" s="213">
        <v>20</v>
      </c>
      <c r="AW236" s="211">
        <v>20</v>
      </c>
      <c r="AX236" s="212">
        <v>20</v>
      </c>
      <c r="AY236" s="212">
        <v>20</v>
      </c>
      <c r="AZ236" s="212">
        <v>20</v>
      </c>
      <c r="BA236" s="212">
        <v>20</v>
      </c>
      <c r="BB236" s="212">
        <v>20</v>
      </c>
      <c r="BC236" s="212">
        <v>20</v>
      </c>
      <c r="BD236" s="212">
        <v>20</v>
      </c>
      <c r="BE236" s="213">
        <v>20</v>
      </c>
    </row>
    <row r="237" spans="1:57" x14ac:dyDescent="0.25">
      <c r="A237" s="331"/>
      <c r="B237" s="195" t="s">
        <v>128</v>
      </c>
      <c r="C237" s="195" t="s">
        <v>6</v>
      </c>
      <c r="D237" s="208">
        <v>969.96443035977279</v>
      </c>
      <c r="E237" s="209">
        <v>955.88615085209335</v>
      </c>
      <c r="F237" s="209">
        <v>918.34407216494844</v>
      </c>
      <c r="G237" s="209">
        <v>866.72371397012409</v>
      </c>
      <c r="H237" s="209">
        <v>796.33231643172724</v>
      </c>
      <c r="I237" s="209">
        <v>655.54952135493363</v>
      </c>
      <c r="J237" s="209">
        <v>563.57142857142856</v>
      </c>
      <c r="K237" s="209">
        <v>563.57142857142856</v>
      </c>
      <c r="L237" s="210">
        <v>563.57142857142856</v>
      </c>
      <c r="M237" s="208">
        <v>946.15063293358571</v>
      </c>
      <c r="N237" s="209">
        <v>932.03126095799144</v>
      </c>
      <c r="O237" s="209">
        <v>894.37960235640639</v>
      </c>
      <c r="P237" s="209">
        <v>842.60857177922708</v>
      </c>
      <c r="Q237" s="209">
        <v>772.01171190125524</v>
      </c>
      <c r="R237" s="209">
        <v>630.81799214531168</v>
      </c>
      <c r="S237" s="209">
        <v>538.57142857142856</v>
      </c>
      <c r="T237" s="209">
        <v>538.57142857142856</v>
      </c>
      <c r="U237" s="210">
        <v>538.57142857142856</v>
      </c>
      <c r="V237" s="208">
        <v>923.0754808366645</v>
      </c>
      <c r="W237" s="209">
        <v>909.14924346027067</v>
      </c>
      <c r="X237" s="209">
        <v>872.01261045655372</v>
      </c>
      <c r="Y237" s="209">
        <v>820.94974007644282</v>
      </c>
      <c r="Z237" s="209">
        <v>751.31855319447357</v>
      </c>
      <c r="AA237" s="209">
        <v>612.05617943053505</v>
      </c>
      <c r="AB237" s="209">
        <v>521.07142857142856</v>
      </c>
      <c r="AC237" s="209">
        <v>521.07142857142856</v>
      </c>
      <c r="AD237" s="210">
        <v>521.07142857142856</v>
      </c>
      <c r="AE237" s="229">
        <v>900.49275895925371</v>
      </c>
      <c r="AF237" s="234">
        <v>886.9158075601373</v>
      </c>
      <c r="AG237" s="234">
        <v>850.71060382916039</v>
      </c>
      <c r="AH237" s="234">
        <v>800.92844869906708</v>
      </c>
      <c r="AI237" s="234">
        <v>733.04369170348536</v>
      </c>
      <c r="AJ237" s="234">
        <v>597.27417771232194</v>
      </c>
      <c r="AK237" s="234">
        <v>508.57142857142856</v>
      </c>
      <c r="AL237" s="234">
        <v>508.57142857142856</v>
      </c>
      <c r="AM237" s="235">
        <v>508.57142857142856</v>
      </c>
      <c r="AN237" s="229">
        <v>877.91003708184292</v>
      </c>
      <c r="AO237" s="234">
        <v>864.68237166000415</v>
      </c>
      <c r="AP237" s="234">
        <v>829.40859720176718</v>
      </c>
      <c r="AQ237" s="234">
        <v>780.90715732169144</v>
      </c>
      <c r="AR237" s="234">
        <v>714.76883021249728</v>
      </c>
      <c r="AS237" s="234">
        <v>582.49217599410895</v>
      </c>
      <c r="AT237" s="234">
        <v>496.07142857142856</v>
      </c>
      <c r="AU237" s="234">
        <v>496.07142857142856</v>
      </c>
      <c r="AV237" s="235">
        <v>496.07142857142856</v>
      </c>
      <c r="AW237" s="229">
        <v>855.32731520443224</v>
      </c>
      <c r="AX237" s="234">
        <v>842.44893575987089</v>
      </c>
      <c r="AY237" s="234">
        <v>808.10659057437408</v>
      </c>
      <c r="AZ237" s="234">
        <v>760.88586594431581</v>
      </c>
      <c r="BA237" s="234">
        <v>696.49396872150919</v>
      </c>
      <c r="BB237" s="234">
        <v>567.71017427589595</v>
      </c>
      <c r="BC237" s="234">
        <v>483.57142857142856</v>
      </c>
      <c r="BD237" s="234">
        <v>483.57142857142856</v>
      </c>
      <c r="BE237" s="235">
        <v>483.57142857142856</v>
      </c>
    </row>
    <row r="238" spans="1:57" x14ac:dyDescent="0.25">
      <c r="A238" s="331"/>
      <c r="B238" s="195" t="s">
        <v>179</v>
      </c>
      <c r="C238" s="195" t="s">
        <v>19</v>
      </c>
      <c r="D238" s="208">
        <v>0.35</v>
      </c>
      <c r="E238" s="209">
        <v>0.35</v>
      </c>
      <c r="F238" s="209">
        <v>0.35</v>
      </c>
      <c r="G238" s="209">
        <v>0.35</v>
      </c>
      <c r="H238" s="209">
        <v>0.35</v>
      </c>
      <c r="I238" s="209">
        <v>0.35</v>
      </c>
      <c r="J238" s="209">
        <v>0.35</v>
      </c>
      <c r="K238" s="209">
        <v>0.35</v>
      </c>
      <c r="L238" s="210">
        <v>0.35</v>
      </c>
      <c r="M238" s="208">
        <v>0.35</v>
      </c>
      <c r="N238" s="209">
        <v>0.35</v>
      </c>
      <c r="O238" s="209">
        <v>0.35</v>
      </c>
      <c r="P238" s="209">
        <v>0.35</v>
      </c>
      <c r="Q238" s="209">
        <v>0.35</v>
      </c>
      <c r="R238" s="209">
        <v>0.35</v>
      </c>
      <c r="S238" s="209">
        <v>0.35</v>
      </c>
      <c r="T238" s="209">
        <v>0.35</v>
      </c>
      <c r="U238" s="210">
        <v>0.35</v>
      </c>
      <c r="V238" s="208">
        <v>0</v>
      </c>
      <c r="W238" s="209">
        <v>0</v>
      </c>
      <c r="X238" s="209">
        <v>0</v>
      </c>
      <c r="Y238" s="209">
        <v>0</v>
      </c>
      <c r="Z238" s="209">
        <v>0</v>
      </c>
      <c r="AA238" s="209">
        <v>0</v>
      </c>
      <c r="AB238" s="209">
        <v>0</v>
      </c>
      <c r="AC238" s="209">
        <v>0</v>
      </c>
      <c r="AD238" s="210">
        <v>0</v>
      </c>
      <c r="AE238" s="217">
        <v>0</v>
      </c>
      <c r="AF238" s="218">
        <v>0</v>
      </c>
      <c r="AG238" s="218">
        <v>0</v>
      </c>
      <c r="AH238" s="218">
        <v>0</v>
      </c>
      <c r="AI238" s="218">
        <v>0</v>
      </c>
      <c r="AJ238" s="218">
        <v>0</v>
      </c>
      <c r="AK238" s="218">
        <v>0</v>
      </c>
      <c r="AL238" s="218">
        <v>0</v>
      </c>
      <c r="AM238" s="219">
        <v>0</v>
      </c>
      <c r="AN238" s="217">
        <v>0</v>
      </c>
      <c r="AO238" s="218">
        <v>0</v>
      </c>
      <c r="AP238" s="218">
        <v>0</v>
      </c>
      <c r="AQ238" s="218">
        <v>0</v>
      </c>
      <c r="AR238" s="218">
        <v>0</v>
      </c>
      <c r="AS238" s="218">
        <v>0</v>
      </c>
      <c r="AT238" s="218">
        <v>0</v>
      </c>
      <c r="AU238" s="218">
        <v>0</v>
      </c>
      <c r="AV238" s="219">
        <v>0</v>
      </c>
      <c r="AW238" s="217">
        <v>0</v>
      </c>
      <c r="AX238" s="218">
        <v>0</v>
      </c>
      <c r="AY238" s="218">
        <v>0</v>
      </c>
      <c r="AZ238" s="218">
        <v>0</v>
      </c>
      <c r="BA238" s="218">
        <v>0</v>
      </c>
      <c r="BB238" s="218">
        <v>0</v>
      </c>
      <c r="BC238" s="218">
        <v>0</v>
      </c>
      <c r="BD238" s="218">
        <v>0</v>
      </c>
      <c r="BE238" s="219">
        <v>0</v>
      </c>
    </row>
    <row r="239" spans="1:57" x14ac:dyDescent="0.25">
      <c r="A239" s="331"/>
      <c r="B239" s="195" t="s">
        <v>129</v>
      </c>
      <c r="C239" s="195" t="s">
        <v>8</v>
      </c>
      <c r="D239" s="208">
        <v>59.884830633284238</v>
      </c>
      <c r="E239" s="209">
        <v>77.502650957290129</v>
      </c>
      <c r="F239" s="209">
        <v>124.48350515463918</v>
      </c>
      <c r="G239" s="209">
        <v>189.0821796759941</v>
      </c>
      <c r="H239" s="209">
        <v>277.17128129602355</v>
      </c>
      <c r="I239" s="209">
        <v>453.34948453608251</v>
      </c>
      <c r="J239" s="209">
        <v>629.52768777614153</v>
      </c>
      <c r="K239" s="209">
        <v>629.52768777614153</v>
      </c>
      <c r="L239" s="210">
        <v>629.52768777614153</v>
      </c>
      <c r="M239" s="208">
        <v>56.686008836524309</v>
      </c>
      <c r="N239" s="209">
        <v>74.027687776141391</v>
      </c>
      <c r="O239" s="209">
        <v>120.27216494845361</v>
      </c>
      <c r="P239" s="209">
        <v>183.85832106038291</v>
      </c>
      <c r="Q239" s="209">
        <v>270.56671575846832</v>
      </c>
      <c r="R239" s="209">
        <v>443.98350515463915</v>
      </c>
      <c r="S239" s="209">
        <v>617.40029455081003</v>
      </c>
      <c r="T239" s="209">
        <v>617.40029455081003</v>
      </c>
      <c r="U239" s="210">
        <v>617.40029455081003</v>
      </c>
      <c r="V239" s="208">
        <v>54.38718703976437</v>
      </c>
      <c r="W239" s="209">
        <v>71.452724594992645</v>
      </c>
      <c r="X239" s="209">
        <v>116.96082474226804</v>
      </c>
      <c r="Y239" s="209">
        <v>179.53446244477172</v>
      </c>
      <c r="Z239" s="209">
        <v>264.86215022091312</v>
      </c>
      <c r="AA239" s="209">
        <v>435.51752577319587</v>
      </c>
      <c r="AB239" s="209">
        <v>606.17290132547862</v>
      </c>
      <c r="AC239" s="209">
        <v>606.17290132547862</v>
      </c>
      <c r="AD239" s="210">
        <v>606.17290132547862</v>
      </c>
      <c r="AE239" s="214">
        <v>52.688365243004426</v>
      </c>
      <c r="AF239" s="215">
        <v>69.477761413843893</v>
      </c>
      <c r="AG239" s="215">
        <v>114.24948453608249</v>
      </c>
      <c r="AH239" s="215">
        <v>175.81060382916056</v>
      </c>
      <c r="AI239" s="215">
        <v>259.75758468335789</v>
      </c>
      <c r="AJ239" s="215">
        <v>427.65154639175262</v>
      </c>
      <c r="AK239" s="215">
        <v>595.54550810014734</v>
      </c>
      <c r="AL239" s="215">
        <v>595.54550810014734</v>
      </c>
      <c r="AM239" s="216">
        <v>595.54550810014734</v>
      </c>
      <c r="AN239" s="214">
        <v>50.989543446244483</v>
      </c>
      <c r="AO239" s="215">
        <v>67.502798232695142</v>
      </c>
      <c r="AP239" s="215">
        <v>111.53814432989691</v>
      </c>
      <c r="AQ239" s="215">
        <v>172.08674521354934</v>
      </c>
      <c r="AR239" s="215">
        <v>254.65301914580263</v>
      </c>
      <c r="AS239" s="215">
        <v>419.78556701030925</v>
      </c>
      <c r="AT239" s="215">
        <v>584.91811487481596</v>
      </c>
      <c r="AU239" s="215">
        <v>584.91811487481596</v>
      </c>
      <c r="AV239" s="216">
        <v>584.91811487481596</v>
      </c>
      <c r="AW239" s="214">
        <v>49.290721649484539</v>
      </c>
      <c r="AX239" s="215">
        <v>65.52783505154639</v>
      </c>
      <c r="AY239" s="215">
        <v>108.82680412371134</v>
      </c>
      <c r="AZ239" s="215">
        <v>168.36288659793814</v>
      </c>
      <c r="BA239" s="215">
        <v>249.54845360824743</v>
      </c>
      <c r="BB239" s="215">
        <v>411.91958762886594</v>
      </c>
      <c r="BC239" s="215">
        <v>574.29072164948457</v>
      </c>
      <c r="BD239" s="215">
        <v>574.29072164948457</v>
      </c>
      <c r="BE239" s="216">
        <v>574.29072164948457</v>
      </c>
    </row>
    <row r="240" spans="1:57" x14ac:dyDescent="0.25">
      <c r="A240" s="331"/>
      <c r="B240" s="195" t="s">
        <v>130</v>
      </c>
      <c r="C240" s="195" t="s">
        <v>9</v>
      </c>
      <c r="D240" s="208"/>
      <c r="E240" s="209"/>
      <c r="F240" s="209"/>
      <c r="G240" s="209"/>
      <c r="H240" s="209"/>
      <c r="I240" s="209"/>
      <c r="J240" s="209"/>
      <c r="K240" s="209"/>
      <c r="L240" s="210"/>
      <c r="M240" s="208"/>
      <c r="N240" s="209"/>
      <c r="O240" s="209"/>
      <c r="P240" s="209"/>
      <c r="Q240" s="209"/>
      <c r="R240" s="209"/>
      <c r="S240" s="209"/>
      <c r="T240" s="209"/>
      <c r="U240" s="210"/>
      <c r="V240" s="208"/>
      <c r="W240" s="209"/>
      <c r="X240" s="209"/>
      <c r="Y240" s="209"/>
      <c r="Z240" s="209"/>
      <c r="AA240" s="209"/>
      <c r="AB240" s="209"/>
      <c r="AC240" s="209"/>
      <c r="AD240" s="210"/>
      <c r="AE240" s="211"/>
      <c r="AF240" s="212"/>
      <c r="AG240" s="212"/>
      <c r="AH240" s="212"/>
      <c r="AI240" s="212"/>
      <c r="AJ240" s="212"/>
      <c r="AK240" s="212"/>
      <c r="AL240" s="212"/>
      <c r="AM240" s="213"/>
      <c r="AN240" s="211"/>
      <c r="AO240" s="212"/>
      <c r="AP240" s="212"/>
      <c r="AQ240" s="212"/>
      <c r="AR240" s="212"/>
      <c r="AS240" s="212"/>
      <c r="AT240" s="212"/>
      <c r="AU240" s="212"/>
      <c r="AV240" s="213"/>
      <c r="AW240" s="211"/>
      <c r="AX240" s="212"/>
      <c r="AY240" s="212"/>
      <c r="AZ240" s="212"/>
      <c r="BA240" s="212"/>
      <c r="BB240" s="212"/>
      <c r="BC240" s="212"/>
      <c r="BD240" s="212"/>
      <c r="BE240" s="213"/>
    </row>
    <row r="241" spans="1:58" x14ac:dyDescent="0.25">
      <c r="A241" s="331"/>
      <c r="B241" s="195" t="s">
        <v>131</v>
      </c>
      <c r="C241" s="195" t="s">
        <v>10</v>
      </c>
      <c r="D241" s="208"/>
      <c r="E241" s="209"/>
      <c r="F241" s="209"/>
      <c r="G241" s="209"/>
      <c r="H241" s="209"/>
      <c r="I241" s="209"/>
      <c r="J241" s="209"/>
      <c r="K241" s="209"/>
      <c r="L241" s="210"/>
      <c r="M241" s="208"/>
      <c r="N241" s="209"/>
      <c r="O241" s="209"/>
      <c r="P241" s="209"/>
      <c r="Q241" s="209"/>
      <c r="R241" s="209"/>
      <c r="S241" s="209"/>
      <c r="T241" s="209"/>
      <c r="U241" s="210"/>
      <c r="V241" s="208"/>
      <c r="W241" s="209"/>
      <c r="X241" s="209"/>
      <c r="Y241" s="209"/>
      <c r="Z241" s="209"/>
      <c r="AA241" s="209"/>
      <c r="AB241" s="209"/>
      <c r="AC241" s="209"/>
      <c r="AD241" s="210"/>
      <c r="AE241" s="211"/>
      <c r="AF241" s="212"/>
      <c r="AG241" s="212"/>
      <c r="AH241" s="212"/>
      <c r="AI241" s="212"/>
      <c r="AJ241" s="212"/>
      <c r="AK241" s="212"/>
      <c r="AL241" s="212"/>
      <c r="AM241" s="213"/>
      <c r="AN241" s="211"/>
      <c r="AO241" s="212"/>
      <c r="AP241" s="212"/>
      <c r="AQ241" s="212"/>
      <c r="AR241" s="212"/>
      <c r="AS241" s="212"/>
      <c r="AT241" s="212"/>
      <c r="AU241" s="212"/>
      <c r="AV241" s="213"/>
      <c r="AW241" s="211"/>
      <c r="AX241" s="212"/>
      <c r="AY241" s="212"/>
      <c r="AZ241" s="212"/>
      <c r="BA241" s="212"/>
      <c r="BB241" s="212"/>
      <c r="BC241" s="212"/>
      <c r="BD241" s="212"/>
      <c r="BE241" s="213"/>
    </row>
    <row r="242" spans="1:58" ht="15.75" thickBot="1" x14ac:dyDescent="0.3">
      <c r="A242" s="358"/>
      <c r="B242" s="359" t="s">
        <v>132</v>
      </c>
      <c r="C242" s="359" t="s">
        <v>320</v>
      </c>
      <c r="D242" s="360"/>
      <c r="E242" s="361"/>
      <c r="F242" s="361"/>
      <c r="G242" s="361"/>
      <c r="H242" s="361"/>
      <c r="I242" s="361"/>
      <c r="J242" s="361"/>
      <c r="K242" s="361"/>
      <c r="L242" s="362"/>
      <c r="M242" s="360"/>
      <c r="N242" s="361"/>
      <c r="O242" s="361"/>
      <c r="P242" s="361"/>
      <c r="Q242" s="361"/>
      <c r="R242" s="361"/>
      <c r="S242" s="361"/>
      <c r="T242" s="361"/>
      <c r="U242" s="362"/>
      <c r="V242" s="360"/>
      <c r="W242" s="361"/>
      <c r="X242" s="361"/>
      <c r="Y242" s="361"/>
      <c r="Z242" s="361"/>
      <c r="AA242" s="361"/>
      <c r="AB242" s="361"/>
      <c r="AC242" s="361"/>
      <c r="AD242" s="362"/>
      <c r="AE242" s="363"/>
      <c r="AF242" s="364"/>
      <c r="AG242" s="364"/>
      <c r="AH242" s="364"/>
      <c r="AI242" s="364"/>
      <c r="AJ242" s="364"/>
      <c r="AK242" s="364"/>
      <c r="AL242" s="364"/>
      <c r="AM242" s="365"/>
      <c r="AN242" s="363"/>
      <c r="AO242" s="364"/>
      <c r="AP242" s="364"/>
      <c r="AQ242" s="364"/>
      <c r="AR242" s="364"/>
      <c r="AS242" s="364"/>
      <c r="AT242" s="364"/>
      <c r="AU242" s="364"/>
      <c r="AV242" s="365"/>
      <c r="AW242" s="363"/>
      <c r="AX242" s="364"/>
      <c r="AY242" s="364"/>
      <c r="AZ242" s="364"/>
      <c r="BA242" s="364"/>
      <c r="BB242" s="364"/>
      <c r="BC242" s="364"/>
      <c r="BD242" s="364"/>
      <c r="BE242" s="365"/>
    </row>
    <row r="243" spans="1:58" x14ac:dyDescent="0.25">
      <c r="A243" s="339" t="s">
        <v>182</v>
      </c>
      <c r="B243" s="340" t="s">
        <v>112</v>
      </c>
      <c r="C243" s="340" t="s">
        <v>19</v>
      </c>
      <c r="D243" s="341">
        <v>1</v>
      </c>
      <c r="E243" s="342">
        <v>1</v>
      </c>
      <c r="F243" s="342">
        <v>1</v>
      </c>
      <c r="G243" s="342">
        <v>1</v>
      </c>
      <c r="H243" s="342">
        <v>1</v>
      </c>
      <c r="I243" s="342">
        <v>1</v>
      </c>
      <c r="J243" s="342">
        <v>1</v>
      </c>
      <c r="K243" s="342">
        <v>1</v>
      </c>
      <c r="L243" s="343">
        <v>1</v>
      </c>
      <c r="M243" s="341">
        <v>1</v>
      </c>
      <c r="N243" s="342">
        <v>1</v>
      </c>
      <c r="O243" s="342">
        <v>1</v>
      </c>
      <c r="P243" s="342">
        <v>1</v>
      </c>
      <c r="Q243" s="342">
        <v>1</v>
      </c>
      <c r="R243" s="342">
        <v>1</v>
      </c>
      <c r="S243" s="342">
        <v>1</v>
      </c>
      <c r="T243" s="342">
        <v>1</v>
      </c>
      <c r="U243" s="343">
        <v>1</v>
      </c>
      <c r="V243" s="341">
        <v>1</v>
      </c>
      <c r="W243" s="342">
        <v>1</v>
      </c>
      <c r="X243" s="342">
        <v>1</v>
      </c>
      <c r="Y243" s="342">
        <v>1</v>
      </c>
      <c r="Z243" s="342">
        <v>1</v>
      </c>
      <c r="AA243" s="342">
        <v>1</v>
      </c>
      <c r="AB243" s="342">
        <v>1</v>
      </c>
      <c r="AC243" s="342">
        <v>1</v>
      </c>
      <c r="AD243" s="343">
        <v>1</v>
      </c>
      <c r="AE243" s="369">
        <v>1</v>
      </c>
      <c r="AF243" s="370">
        <v>1</v>
      </c>
      <c r="AG243" s="370">
        <v>1</v>
      </c>
      <c r="AH243" s="370">
        <v>1</v>
      </c>
      <c r="AI243" s="370">
        <v>1</v>
      </c>
      <c r="AJ243" s="370">
        <v>1</v>
      </c>
      <c r="AK243" s="370">
        <v>1</v>
      </c>
      <c r="AL243" s="370">
        <v>1</v>
      </c>
      <c r="AM243" s="371">
        <v>1</v>
      </c>
      <c r="AN243" s="369">
        <v>1</v>
      </c>
      <c r="AO243" s="370">
        <v>1</v>
      </c>
      <c r="AP243" s="370">
        <v>1</v>
      </c>
      <c r="AQ243" s="370">
        <v>1</v>
      </c>
      <c r="AR243" s="370">
        <v>1</v>
      </c>
      <c r="AS243" s="370">
        <v>1</v>
      </c>
      <c r="AT243" s="370">
        <v>1</v>
      </c>
      <c r="AU243" s="370">
        <v>1</v>
      </c>
      <c r="AV243" s="371">
        <v>1</v>
      </c>
      <c r="AW243" s="369">
        <v>1</v>
      </c>
      <c r="AX243" s="370">
        <v>1</v>
      </c>
      <c r="AY243" s="370">
        <v>1</v>
      </c>
      <c r="AZ243" s="370">
        <v>1</v>
      </c>
      <c r="BA243" s="370">
        <v>1</v>
      </c>
      <c r="BB243" s="370">
        <v>1</v>
      </c>
      <c r="BC243" s="370">
        <v>1</v>
      </c>
      <c r="BD243" s="370">
        <v>1</v>
      </c>
      <c r="BE243" s="371">
        <v>1</v>
      </c>
      <c r="BF243" s="30"/>
    </row>
    <row r="244" spans="1:58" x14ac:dyDescent="0.25">
      <c r="A244" s="330"/>
      <c r="B244" s="193" t="s">
        <v>28</v>
      </c>
      <c r="C244" s="193" t="s">
        <v>19</v>
      </c>
      <c r="D244" s="196">
        <v>0.65</v>
      </c>
      <c r="E244" s="197">
        <v>0.65</v>
      </c>
      <c r="F244" s="197">
        <v>0.65</v>
      </c>
      <c r="G244" s="197">
        <v>0.65</v>
      </c>
      <c r="H244" s="197">
        <v>0.65</v>
      </c>
      <c r="I244" s="197">
        <v>0.65</v>
      </c>
      <c r="J244" s="197">
        <v>0.65</v>
      </c>
      <c r="K244" s="197">
        <v>0.65</v>
      </c>
      <c r="L244" s="198">
        <v>0.65</v>
      </c>
      <c r="M244" s="196">
        <v>0.65</v>
      </c>
      <c r="N244" s="197">
        <v>0.65</v>
      </c>
      <c r="O244" s="197">
        <v>0.65</v>
      </c>
      <c r="P244" s="197">
        <v>0.65</v>
      </c>
      <c r="Q244" s="197">
        <v>0.65</v>
      </c>
      <c r="R244" s="197">
        <v>0.65</v>
      </c>
      <c r="S244" s="197">
        <v>0.65</v>
      </c>
      <c r="T244" s="197">
        <v>0.65</v>
      </c>
      <c r="U244" s="198">
        <v>0.65</v>
      </c>
      <c r="V244" s="196">
        <v>0.65</v>
      </c>
      <c r="W244" s="197">
        <v>0.65</v>
      </c>
      <c r="X244" s="197">
        <v>0.65</v>
      </c>
      <c r="Y244" s="197">
        <v>0.65</v>
      </c>
      <c r="Z244" s="197">
        <v>0.65</v>
      </c>
      <c r="AA244" s="197">
        <v>0.65</v>
      </c>
      <c r="AB244" s="197">
        <v>0.65</v>
      </c>
      <c r="AC244" s="197">
        <v>0.65</v>
      </c>
      <c r="AD244" s="198">
        <v>0.65</v>
      </c>
      <c r="AE244" s="199">
        <v>0.65</v>
      </c>
      <c r="AF244" s="200">
        <v>0.65</v>
      </c>
      <c r="AG244" s="200">
        <v>0.65</v>
      </c>
      <c r="AH244" s="200">
        <v>0.65</v>
      </c>
      <c r="AI244" s="200">
        <v>0.65</v>
      </c>
      <c r="AJ244" s="200">
        <v>0.65</v>
      </c>
      <c r="AK244" s="200">
        <v>0.65</v>
      </c>
      <c r="AL244" s="200">
        <v>0.65</v>
      </c>
      <c r="AM244" s="201">
        <v>0.65</v>
      </c>
      <c r="AN244" s="199">
        <v>0.65</v>
      </c>
      <c r="AO244" s="200">
        <v>0.65</v>
      </c>
      <c r="AP244" s="200">
        <v>0.65</v>
      </c>
      <c r="AQ244" s="200">
        <v>0.65</v>
      </c>
      <c r="AR244" s="200">
        <v>0.65</v>
      </c>
      <c r="AS244" s="200">
        <v>0.65</v>
      </c>
      <c r="AT244" s="200">
        <v>0.65</v>
      </c>
      <c r="AU244" s="200">
        <v>0.65</v>
      </c>
      <c r="AV244" s="201">
        <v>0.65</v>
      </c>
      <c r="AW244" s="199">
        <v>0.65</v>
      </c>
      <c r="AX244" s="200">
        <v>0.65</v>
      </c>
      <c r="AY244" s="200">
        <v>0.65</v>
      </c>
      <c r="AZ244" s="200">
        <v>0.65</v>
      </c>
      <c r="BA244" s="200">
        <v>0.65</v>
      </c>
      <c r="BB244" s="200">
        <v>0.65</v>
      </c>
      <c r="BC244" s="200">
        <v>0.65</v>
      </c>
      <c r="BD244" s="200">
        <v>0.65</v>
      </c>
      <c r="BE244" s="201">
        <v>0.65</v>
      </c>
    </row>
    <row r="245" spans="1:58" x14ac:dyDescent="0.25">
      <c r="A245" s="330"/>
      <c r="B245" s="193" t="s">
        <v>29</v>
      </c>
      <c r="C245" s="193" t="s">
        <v>4</v>
      </c>
      <c r="D245" s="196">
        <v>20</v>
      </c>
      <c r="E245" s="197">
        <v>20</v>
      </c>
      <c r="F245" s="197">
        <v>20</v>
      </c>
      <c r="G245" s="197">
        <v>20</v>
      </c>
      <c r="H245" s="197">
        <v>20</v>
      </c>
      <c r="I245" s="197">
        <v>20</v>
      </c>
      <c r="J245" s="197">
        <v>20</v>
      </c>
      <c r="K245" s="197">
        <v>20</v>
      </c>
      <c r="L245" s="198">
        <v>20</v>
      </c>
      <c r="M245" s="196">
        <v>20</v>
      </c>
      <c r="N245" s="197">
        <v>20</v>
      </c>
      <c r="O245" s="197">
        <v>20</v>
      </c>
      <c r="P245" s="197">
        <v>20</v>
      </c>
      <c r="Q245" s="197">
        <v>20</v>
      </c>
      <c r="R245" s="197">
        <v>20</v>
      </c>
      <c r="S245" s="197">
        <v>20</v>
      </c>
      <c r="T245" s="197">
        <v>20</v>
      </c>
      <c r="U245" s="198">
        <v>20</v>
      </c>
      <c r="V245" s="196">
        <v>20</v>
      </c>
      <c r="W245" s="197">
        <v>20</v>
      </c>
      <c r="X245" s="197">
        <v>20</v>
      </c>
      <c r="Y245" s="197">
        <v>20</v>
      </c>
      <c r="Z245" s="197">
        <v>20</v>
      </c>
      <c r="AA245" s="197">
        <v>20</v>
      </c>
      <c r="AB245" s="197">
        <v>20</v>
      </c>
      <c r="AC245" s="197">
        <v>20</v>
      </c>
      <c r="AD245" s="198">
        <v>20</v>
      </c>
      <c r="AE245" s="199">
        <v>20</v>
      </c>
      <c r="AF245" s="200">
        <v>20</v>
      </c>
      <c r="AG245" s="200">
        <v>20</v>
      </c>
      <c r="AH245" s="200">
        <v>20</v>
      </c>
      <c r="AI245" s="200">
        <v>20</v>
      </c>
      <c r="AJ245" s="200">
        <v>20</v>
      </c>
      <c r="AK245" s="200">
        <v>20</v>
      </c>
      <c r="AL245" s="200">
        <v>20</v>
      </c>
      <c r="AM245" s="201">
        <v>20</v>
      </c>
      <c r="AN245" s="199">
        <v>20</v>
      </c>
      <c r="AO245" s="200">
        <v>20</v>
      </c>
      <c r="AP245" s="200">
        <v>20</v>
      </c>
      <c r="AQ245" s="200">
        <v>20</v>
      </c>
      <c r="AR245" s="200">
        <v>20</v>
      </c>
      <c r="AS245" s="200">
        <v>20</v>
      </c>
      <c r="AT245" s="200">
        <v>20</v>
      </c>
      <c r="AU245" s="200">
        <v>20</v>
      </c>
      <c r="AV245" s="201">
        <v>20</v>
      </c>
      <c r="AW245" s="199">
        <v>20</v>
      </c>
      <c r="AX245" s="200">
        <v>20</v>
      </c>
      <c r="AY245" s="200">
        <v>20</v>
      </c>
      <c r="AZ245" s="200">
        <v>20</v>
      </c>
      <c r="BA245" s="200">
        <v>20</v>
      </c>
      <c r="BB245" s="200">
        <v>20</v>
      </c>
      <c r="BC245" s="200">
        <v>20</v>
      </c>
      <c r="BD245" s="200">
        <v>20</v>
      </c>
      <c r="BE245" s="201">
        <v>20</v>
      </c>
    </row>
    <row r="246" spans="1:58" x14ac:dyDescent="0.25">
      <c r="A246" s="330"/>
      <c r="B246" s="193" t="s">
        <v>30</v>
      </c>
      <c r="C246" s="193" t="s">
        <v>6</v>
      </c>
      <c r="D246" s="196">
        <v>939.47924488610727</v>
      </c>
      <c r="E246" s="197">
        <v>670.86780042435419</v>
      </c>
      <c r="F246" s="197">
        <v>523.42631254470632</v>
      </c>
      <c r="G246" s="197">
        <v>523.42631254470632</v>
      </c>
      <c r="H246" s="197">
        <v>523.42631254470632</v>
      </c>
      <c r="I246" s="197">
        <v>523.42631254470632</v>
      </c>
      <c r="J246" s="197">
        <v>1136.3124641115969</v>
      </c>
      <c r="K246" s="197">
        <v>988.42533284709032</v>
      </c>
      <c r="L246" s="198">
        <v>868.76381718516643</v>
      </c>
      <c r="M246" s="196">
        <v>865.6981523557846</v>
      </c>
      <c r="N246" s="197">
        <v>618.18184751144668</v>
      </c>
      <c r="O246" s="197">
        <v>482.31953407260886</v>
      </c>
      <c r="P246" s="197">
        <v>482.31953407260886</v>
      </c>
      <c r="Q246" s="197">
        <v>482.31953407260886</v>
      </c>
      <c r="R246" s="197">
        <v>482.31953407260886</v>
      </c>
      <c r="S246" s="197">
        <v>1136.3124641115969</v>
      </c>
      <c r="T246" s="197">
        <v>988.42533284709032</v>
      </c>
      <c r="U246" s="198">
        <v>868.76381718516643</v>
      </c>
      <c r="V246" s="196">
        <v>822.90511868819738</v>
      </c>
      <c r="W246" s="197">
        <v>587.62399482196031</v>
      </c>
      <c r="X246" s="197">
        <v>458.47760255879234</v>
      </c>
      <c r="Y246" s="197">
        <v>458.47760255879234</v>
      </c>
      <c r="Z246" s="197">
        <v>458.47760255879234</v>
      </c>
      <c r="AA246" s="197">
        <v>458.47760255879234</v>
      </c>
      <c r="AB246" s="197">
        <v>1133.7480098003448</v>
      </c>
      <c r="AC246" s="197">
        <v>986.22674801231153</v>
      </c>
      <c r="AD246" s="198">
        <v>866.85752357634294</v>
      </c>
      <c r="AE246" s="202">
        <v>800.77079092910083</v>
      </c>
      <c r="AF246" s="203">
        <v>571.81820894808823</v>
      </c>
      <c r="AG246" s="203">
        <v>446.14556901716315</v>
      </c>
      <c r="AH246" s="203">
        <v>446.14556901716315</v>
      </c>
      <c r="AI246" s="203">
        <v>446.14556901716315</v>
      </c>
      <c r="AJ246" s="203">
        <v>446.14556901716315</v>
      </c>
      <c r="AK246" s="203">
        <v>1129.4706178785063</v>
      </c>
      <c r="AL246" s="203">
        <v>982.55924743473179</v>
      </c>
      <c r="AM246" s="204">
        <v>863.67730421521264</v>
      </c>
      <c r="AN246" s="202">
        <v>778.63646317000416</v>
      </c>
      <c r="AO246" s="203">
        <v>556.01242307421592</v>
      </c>
      <c r="AP246" s="203">
        <v>433.81353547553391</v>
      </c>
      <c r="AQ246" s="203">
        <v>433.81353547553391</v>
      </c>
      <c r="AR246" s="203">
        <v>433.81353547553391</v>
      </c>
      <c r="AS246" s="203">
        <v>433.81353547553391</v>
      </c>
      <c r="AT246" s="203">
        <v>1125.1890967142162</v>
      </c>
      <c r="AU246" s="203">
        <v>978.8877535076831</v>
      </c>
      <c r="AV246" s="204">
        <v>860.49325281850611</v>
      </c>
      <c r="AW246" s="202">
        <v>756.50213541090761</v>
      </c>
      <c r="AX246" s="203">
        <v>540.20663720034383</v>
      </c>
      <c r="AY246" s="203">
        <v>421.48150193390472</v>
      </c>
      <c r="AZ246" s="203">
        <v>421.48150193390472</v>
      </c>
      <c r="BA246" s="203">
        <v>421.48150193390472</v>
      </c>
      <c r="BB246" s="203">
        <v>421.48150193390472</v>
      </c>
      <c r="BC246" s="203">
        <v>1120.903443434433</v>
      </c>
      <c r="BD246" s="203">
        <v>975.21226311391229</v>
      </c>
      <c r="BE246" s="204">
        <v>857.30536609258718</v>
      </c>
    </row>
    <row r="247" spans="1:58" x14ac:dyDescent="0.25">
      <c r="A247" s="330"/>
      <c r="B247" s="193" t="s">
        <v>174</v>
      </c>
      <c r="C247" s="193" t="s">
        <v>19</v>
      </c>
      <c r="D247" s="196">
        <v>0.35</v>
      </c>
      <c r="E247" s="197">
        <v>0.35</v>
      </c>
      <c r="F247" s="197">
        <v>0.35</v>
      </c>
      <c r="G247" s="197">
        <v>0.35</v>
      </c>
      <c r="H247" s="197">
        <v>0.35</v>
      </c>
      <c r="I247" s="197">
        <v>0.35</v>
      </c>
      <c r="J247" s="197">
        <v>0.35</v>
      </c>
      <c r="K247" s="197">
        <v>0.35</v>
      </c>
      <c r="L247" s="198">
        <v>0.35</v>
      </c>
      <c r="M247" s="196">
        <v>0.35</v>
      </c>
      <c r="N247" s="197">
        <v>0.35</v>
      </c>
      <c r="O247" s="197">
        <v>0.35</v>
      </c>
      <c r="P247" s="197">
        <v>0.35</v>
      </c>
      <c r="Q247" s="197">
        <v>0.35</v>
      </c>
      <c r="R247" s="197">
        <v>0.35</v>
      </c>
      <c r="S247" s="197">
        <v>0.35</v>
      </c>
      <c r="T247" s="197">
        <v>0.35</v>
      </c>
      <c r="U247" s="198">
        <v>0.35</v>
      </c>
      <c r="V247" s="196">
        <v>0</v>
      </c>
      <c r="W247" s="197">
        <v>0</v>
      </c>
      <c r="X247" s="197">
        <v>0</v>
      </c>
      <c r="Y247" s="197">
        <v>0</v>
      </c>
      <c r="Z247" s="197">
        <v>0</v>
      </c>
      <c r="AA247" s="197">
        <v>0</v>
      </c>
      <c r="AB247" s="197">
        <v>0</v>
      </c>
      <c r="AC247" s="197">
        <v>0</v>
      </c>
      <c r="AD247" s="198">
        <v>0</v>
      </c>
      <c r="AE247" s="205">
        <v>0</v>
      </c>
      <c r="AF247" s="206">
        <v>0</v>
      </c>
      <c r="AG247" s="206">
        <v>0</v>
      </c>
      <c r="AH247" s="206">
        <v>0</v>
      </c>
      <c r="AI247" s="206">
        <v>0</v>
      </c>
      <c r="AJ247" s="206">
        <v>0</v>
      </c>
      <c r="AK247" s="206">
        <v>0</v>
      </c>
      <c r="AL247" s="206">
        <v>0</v>
      </c>
      <c r="AM247" s="207">
        <v>0</v>
      </c>
      <c r="AN247" s="205">
        <v>0</v>
      </c>
      <c r="AO247" s="206">
        <v>0</v>
      </c>
      <c r="AP247" s="206">
        <v>0</v>
      </c>
      <c r="AQ247" s="206">
        <v>0</v>
      </c>
      <c r="AR247" s="206">
        <v>0</v>
      </c>
      <c r="AS247" s="206">
        <v>0</v>
      </c>
      <c r="AT247" s="206">
        <v>0</v>
      </c>
      <c r="AU247" s="206">
        <v>0</v>
      </c>
      <c r="AV247" s="207">
        <v>0</v>
      </c>
      <c r="AW247" s="205">
        <v>0</v>
      </c>
      <c r="AX247" s="206">
        <v>0</v>
      </c>
      <c r="AY247" s="206">
        <v>0</v>
      </c>
      <c r="AZ247" s="206">
        <v>0</v>
      </c>
      <c r="BA247" s="206">
        <v>0</v>
      </c>
      <c r="BB247" s="206">
        <v>0</v>
      </c>
      <c r="BC247" s="206">
        <v>0</v>
      </c>
      <c r="BD247" s="206">
        <v>0</v>
      </c>
      <c r="BE247" s="207">
        <v>0</v>
      </c>
    </row>
    <row r="248" spans="1:58" x14ac:dyDescent="0.25">
      <c r="A248" s="330"/>
      <c r="B248" s="193" t="s">
        <v>113</v>
      </c>
      <c r="C248" s="193" t="s">
        <v>8</v>
      </c>
      <c r="D248" s="196"/>
      <c r="E248" s="197"/>
      <c r="F248" s="197"/>
      <c r="G248" s="197"/>
      <c r="H248" s="197"/>
      <c r="I248" s="197"/>
      <c r="J248" s="197"/>
      <c r="K248" s="197"/>
      <c r="L248" s="198"/>
      <c r="M248" s="196"/>
      <c r="N248" s="197"/>
      <c r="O248" s="197"/>
      <c r="P248" s="197"/>
      <c r="Q248" s="197"/>
      <c r="R248" s="197"/>
      <c r="S248" s="197"/>
      <c r="T248" s="197"/>
      <c r="U248" s="198"/>
      <c r="V248" s="196"/>
      <c r="W248" s="197"/>
      <c r="X248" s="197"/>
      <c r="Y248" s="197"/>
      <c r="Z248" s="197"/>
      <c r="AA248" s="197"/>
      <c r="AB248" s="197"/>
      <c r="AC248" s="197"/>
      <c r="AD248" s="198"/>
      <c r="AE248" s="199"/>
      <c r="AF248" s="200"/>
      <c r="AG248" s="200"/>
      <c r="AH248" s="200"/>
      <c r="AI248" s="200"/>
      <c r="AJ248" s="200"/>
      <c r="AK248" s="200"/>
      <c r="AL248" s="200"/>
      <c r="AM248" s="201"/>
      <c r="AN248" s="199"/>
      <c r="AO248" s="200"/>
      <c r="AP248" s="200"/>
      <c r="AQ248" s="200"/>
      <c r="AR248" s="200"/>
      <c r="AS248" s="200"/>
      <c r="AT248" s="200"/>
      <c r="AU248" s="200"/>
      <c r="AV248" s="201"/>
      <c r="AW248" s="199"/>
      <c r="AX248" s="200"/>
      <c r="AY248" s="200"/>
      <c r="AZ248" s="200"/>
      <c r="BA248" s="200"/>
      <c r="BB248" s="200"/>
      <c r="BC248" s="200"/>
      <c r="BD248" s="200"/>
      <c r="BE248" s="201"/>
    </row>
    <row r="249" spans="1:58" x14ac:dyDescent="0.25">
      <c r="A249" s="330"/>
      <c r="B249" s="193" t="s">
        <v>114</v>
      </c>
      <c r="C249" s="193" t="s">
        <v>9</v>
      </c>
      <c r="D249" s="196"/>
      <c r="E249" s="197"/>
      <c r="F249" s="197"/>
      <c r="G249" s="197"/>
      <c r="H249" s="197"/>
      <c r="I249" s="197"/>
      <c r="J249" s="197"/>
      <c r="K249" s="197"/>
      <c r="L249" s="198"/>
      <c r="M249" s="196"/>
      <c r="N249" s="197"/>
      <c r="O249" s="197"/>
      <c r="P249" s="197"/>
      <c r="Q249" s="197"/>
      <c r="R249" s="197"/>
      <c r="S249" s="197"/>
      <c r="T249" s="197"/>
      <c r="U249" s="198"/>
      <c r="V249" s="196"/>
      <c r="W249" s="197"/>
      <c r="X249" s="197"/>
      <c r="Y249" s="197"/>
      <c r="Z249" s="197"/>
      <c r="AA249" s="197"/>
      <c r="AB249" s="197"/>
      <c r="AC249" s="197"/>
      <c r="AD249" s="198"/>
      <c r="AE249" s="199"/>
      <c r="AF249" s="200"/>
      <c r="AG249" s="200"/>
      <c r="AH249" s="200"/>
      <c r="AI249" s="200"/>
      <c r="AJ249" s="200"/>
      <c r="AK249" s="200"/>
      <c r="AL249" s="200"/>
      <c r="AM249" s="201"/>
      <c r="AN249" s="199"/>
      <c r="AO249" s="200"/>
      <c r="AP249" s="200"/>
      <c r="AQ249" s="200"/>
      <c r="AR249" s="200"/>
      <c r="AS249" s="200"/>
      <c r="AT249" s="200"/>
      <c r="AU249" s="200"/>
      <c r="AV249" s="201"/>
      <c r="AW249" s="199"/>
      <c r="AX249" s="200"/>
      <c r="AY249" s="200"/>
      <c r="AZ249" s="200"/>
      <c r="BA249" s="200"/>
      <c r="BB249" s="200"/>
      <c r="BC249" s="200"/>
      <c r="BD249" s="200"/>
      <c r="BE249" s="201"/>
    </row>
    <row r="250" spans="1:58" x14ac:dyDescent="0.25">
      <c r="A250" s="330"/>
      <c r="B250" s="193" t="s">
        <v>115</v>
      </c>
      <c r="C250" s="193" t="s">
        <v>10</v>
      </c>
      <c r="D250" s="196">
        <v>0</v>
      </c>
      <c r="E250" s="197">
        <v>0</v>
      </c>
      <c r="F250" s="197">
        <v>0</v>
      </c>
      <c r="G250" s="197">
        <v>0</v>
      </c>
      <c r="H250" s="197">
        <v>0</v>
      </c>
      <c r="I250" s="197">
        <v>0</v>
      </c>
      <c r="J250" s="197">
        <v>2.1700000000000001E-3</v>
      </c>
      <c r="K250" s="197">
        <v>2.1700000000000001E-3</v>
      </c>
      <c r="L250" s="198">
        <v>2.1700000000000001E-3</v>
      </c>
      <c r="M250" s="196">
        <v>0</v>
      </c>
      <c r="N250" s="197">
        <v>0</v>
      </c>
      <c r="O250" s="197">
        <v>0</v>
      </c>
      <c r="P250" s="197">
        <v>0</v>
      </c>
      <c r="Q250" s="197">
        <v>0</v>
      </c>
      <c r="R250" s="197">
        <v>0</v>
      </c>
      <c r="S250" s="197">
        <v>2.1199999999999999E-3</v>
      </c>
      <c r="T250" s="197">
        <v>2.1199999999999999E-3</v>
      </c>
      <c r="U250" s="198">
        <v>2.1199999999999999E-3</v>
      </c>
      <c r="V250" s="196">
        <v>0</v>
      </c>
      <c r="W250" s="197">
        <v>0</v>
      </c>
      <c r="X250" s="197">
        <v>0</v>
      </c>
      <c r="Y250" s="197">
        <v>0</v>
      </c>
      <c r="Z250" s="197">
        <v>0</v>
      </c>
      <c r="AA250" s="197">
        <v>0</v>
      </c>
      <c r="AB250" s="197">
        <v>2.085E-3</v>
      </c>
      <c r="AC250" s="197">
        <v>2.085E-3</v>
      </c>
      <c r="AD250" s="198">
        <v>2.085E-3</v>
      </c>
      <c r="AE250" s="202">
        <v>0</v>
      </c>
      <c r="AF250" s="203">
        <v>0</v>
      </c>
      <c r="AG250" s="203">
        <v>0</v>
      </c>
      <c r="AH250" s="203">
        <v>0</v>
      </c>
      <c r="AI250" s="203">
        <v>0</v>
      </c>
      <c r="AJ250" s="203">
        <v>0</v>
      </c>
      <c r="AK250" s="203">
        <v>2.0599999999999998E-3</v>
      </c>
      <c r="AL250" s="203">
        <v>2.0599999999999998E-3</v>
      </c>
      <c r="AM250" s="204">
        <v>2.0599999999999998E-3</v>
      </c>
      <c r="AN250" s="202">
        <v>0</v>
      </c>
      <c r="AO250" s="203">
        <v>0</v>
      </c>
      <c r="AP250" s="203">
        <v>0</v>
      </c>
      <c r="AQ250" s="203">
        <v>0</v>
      </c>
      <c r="AR250" s="203">
        <v>0</v>
      </c>
      <c r="AS250" s="203">
        <v>0</v>
      </c>
      <c r="AT250" s="203">
        <v>2.0349999999999999E-3</v>
      </c>
      <c r="AU250" s="203">
        <v>2.0349999999999999E-3</v>
      </c>
      <c r="AV250" s="204">
        <v>2.0349999999999999E-3</v>
      </c>
      <c r="AW250" s="202">
        <v>0</v>
      </c>
      <c r="AX250" s="203">
        <v>0</v>
      </c>
      <c r="AY250" s="203">
        <v>0</v>
      </c>
      <c r="AZ250" s="203">
        <v>0</v>
      </c>
      <c r="BA250" s="203">
        <v>0</v>
      </c>
      <c r="BB250" s="203">
        <v>0</v>
      </c>
      <c r="BC250" s="203">
        <v>2.0100000000000001E-3</v>
      </c>
      <c r="BD250" s="203">
        <v>2.0100000000000001E-3</v>
      </c>
      <c r="BE250" s="204">
        <v>2.0100000000000001E-3</v>
      </c>
    </row>
    <row r="251" spans="1:58" x14ac:dyDescent="0.25">
      <c r="A251" s="330"/>
      <c r="B251" s="193" t="s">
        <v>116</v>
      </c>
      <c r="C251" s="193" t="s">
        <v>320</v>
      </c>
      <c r="D251" s="196">
        <v>0</v>
      </c>
      <c r="E251" s="197">
        <v>0</v>
      </c>
      <c r="F251" s="197">
        <v>0</v>
      </c>
      <c r="G251" s="197">
        <v>0</v>
      </c>
      <c r="H251" s="197">
        <v>0</v>
      </c>
      <c r="I251" s="197">
        <v>0</v>
      </c>
      <c r="J251" s="197">
        <v>0</v>
      </c>
      <c r="K251" s="197">
        <v>0</v>
      </c>
      <c r="L251" s="198">
        <v>0</v>
      </c>
      <c r="M251" s="196">
        <v>0</v>
      </c>
      <c r="N251" s="197">
        <v>0</v>
      </c>
      <c r="O251" s="197">
        <v>0</v>
      </c>
      <c r="P251" s="197">
        <v>0</v>
      </c>
      <c r="Q251" s="197">
        <v>0</v>
      </c>
      <c r="R251" s="197">
        <v>0</v>
      </c>
      <c r="S251" s="197">
        <v>0</v>
      </c>
      <c r="T251" s="197">
        <v>0</v>
      </c>
      <c r="U251" s="198">
        <v>0</v>
      </c>
      <c r="V251" s="196">
        <v>0</v>
      </c>
      <c r="W251" s="197">
        <v>0</v>
      </c>
      <c r="X251" s="197">
        <v>0</v>
      </c>
      <c r="Y251" s="197">
        <v>0</v>
      </c>
      <c r="Z251" s="197">
        <v>0</v>
      </c>
      <c r="AA251" s="197">
        <v>0</v>
      </c>
      <c r="AB251" s="197">
        <v>0</v>
      </c>
      <c r="AC251" s="197">
        <v>0</v>
      </c>
      <c r="AD251" s="198">
        <v>0</v>
      </c>
      <c r="AE251" s="202">
        <v>0</v>
      </c>
      <c r="AF251" s="203">
        <v>0</v>
      </c>
      <c r="AG251" s="203">
        <v>0</v>
      </c>
      <c r="AH251" s="203">
        <v>0</v>
      </c>
      <c r="AI251" s="203">
        <v>0</v>
      </c>
      <c r="AJ251" s="203">
        <v>0</v>
      </c>
      <c r="AK251" s="203">
        <v>0</v>
      </c>
      <c r="AL251" s="203">
        <v>0</v>
      </c>
      <c r="AM251" s="204">
        <v>0</v>
      </c>
      <c r="AN251" s="202">
        <v>0</v>
      </c>
      <c r="AO251" s="203">
        <v>0</v>
      </c>
      <c r="AP251" s="203">
        <v>0</v>
      </c>
      <c r="AQ251" s="203">
        <v>0</v>
      </c>
      <c r="AR251" s="203">
        <v>0</v>
      </c>
      <c r="AS251" s="203">
        <v>0</v>
      </c>
      <c r="AT251" s="203">
        <v>0</v>
      </c>
      <c r="AU251" s="203">
        <v>0</v>
      </c>
      <c r="AV251" s="204">
        <v>0</v>
      </c>
      <c r="AW251" s="202">
        <v>0</v>
      </c>
      <c r="AX251" s="203">
        <v>0</v>
      </c>
      <c r="AY251" s="203">
        <v>0</v>
      </c>
      <c r="AZ251" s="203">
        <v>0</v>
      </c>
      <c r="BA251" s="203">
        <v>0</v>
      </c>
      <c r="BB251" s="203">
        <v>0</v>
      </c>
      <c r="BC251" s="203">
        <v>0</v>
      </c>
      <c r="BD251" s="203">
        <v>0</v>
      </c>
      <c r="BE251" s="204">
        <v>0</v>
      </c>
    </row>
    <row r="252" spans="1:58" x14ac:dyDescent="0.25">
      <c r="A252" s="330"/>
      <c r="B252" s="193" t="s">
        <v>31</v>
      </c>
      <c r="C252" s="193" t="s">
        <v>10</v>
      </c>
      <c r="D252" s="196">
        <v>0</v>
      </c>
      <c r="E252" s="197">
        <v>0</v>
      </c>
      <c r="F252" s="197">
        <v>0</v>
      </c>
      <c r="G252" s="197">
        <v>0</v>
      </c>
      <c r="H252" s="197">
        <v>0</v>
      </c>
      <c r="I252" s="197">
        <v>0</v>
      </c>
      <c r="J252" s="197">
        <v>0</v>
      </c>
      <c r="K252" s="197">
        <v>0</v>
      </c>
      <c r="L252" s="198">
        <v>0</v>
      </c>
      <c r="M252" s="196">
        <v>0</v>
      </c>
      <c r="N252" s="197">
        <v>0</v>
      </c>
      <c r="O252" s="197">
        <v>0</v>
      </c>
      <c r="P252" s="197">
        <v>0</v>
      </c>
      <c r="Q252" s="197">
        <v>0</v>
      </c>
      <c r="R252" s="197">
        <v>0</v>
      </c>
      <c r="S252" s="197">
        <v>0</v>
      </c>
      <c r="T252" s="197">
        <v>0</v>
      </c>
      <c r="U252" s="198">
        <v>0</v>
      </c>
      <c r="V252" s="196">
        <v>0</v>
      </c>
      <c r="W252" s="197">
        <v>0</v>
      </c>
      <c r="X252" s="197">
        <v>0</v>
      </c>
      <c r="Y252" s="197">
        <v>0</v>
      </c>
      <c r="Z252" s="197">
        <v>0</v>
      </c>
      <c r="AA252" s="197">
        <v>0</v>
      </c>
      <c r="AB252" s="197">
        <v>0</v>
      </c>
      <c r="AC252" s="197">
        <v>0</v>
      </c>
      <c r="AD252" s="198">
        <v>0</v>
      </c>
      <c r="AE252" s="202">
        <v>0</v>
      </c>
      <c r="AF252" s="203">
        <v>0</v>
      </c>
      <c r="AG252" s="203">
        <v>0</v>
      </c>
      <c r="AH252" s="203">
        <v>0</v>
      </c>
      <c r="AI252" s="203">
        <v>0</v>
      </c>
      <c r="AJ252" s="203">
        <v>0</v>
      </c>
      <c r="AK252" s="203">
        <v>0</v>
      </c>
      <c r="AL252" s="203">
        <v>0</v>
      </c>
      <c r="AM252" s="204">
        <v>0</v>
      </c>
      <c r="AN252" s="202">
        <v>0</v>
      </c>
      <c r="AO252" s="203">
        <v>0</v>
      </c>
      <c r="AP252" s="203">
        <v>0</v>
      </c>
      <c r="AQ252" s="203">
        <v>0</v>
      </c>
      <c r="AR252" s="203">
        <v>0</v>
      </c>
      <c r="AS252" s="203">
        <v>0</v>
      </c>
      <c r="AT252" s="203">
        <v>0</v>
      </c>
      <c r="AU252" s="203">
        <v>0</v>
      </c>
      <c r="AV252" s="204">
        <v>0</v>
      </c>
      <c r="AW252" s="202">
        <v>0</v>
      </c>
      <c r="AX252" s="203">
        <v>0</v>
      </c>
      <c r="AY252" s="203">
        <v>0</v>
      </c>
      <c r="AZ252" s="203">
        <v>0</v>
      </c>
      <c r="BA252" s="203">
        <v>0</v>
      </c>
      <c r="BB252" s="203">
        <v>0</v>
      </c>
      <c r="BC252" s="203">
        <v>0</v>
      </c>
      <c r="BD252" s="203">
        <v>0</v>
      </c>
      <c r="BE252" s="204">
        <v>0</v>
      </c>
    </row>
    <row r="253" spans="1:58" x14ac:dyDescent="0.25">
      <c r="A253" s="330"/>
      <c r="B253" s="193" t="s">
        <v>32</v>
      </c>
      <c r="C253" s="193" t="s">
        <v>19</v>
      </c>
      <c r="D253" s="196">
        <v>3.09</v>
      </c>
      <c r="E253" s="197">
        <v>3.09</v>
      </c>
      <c r="F253" s="197">
        <v>3.09</v>
      </c>
      <c r="G253" s="197">
        <v>3.09</v>
      </c>
      <c r="H253" s="197">
        <v>3.09</v>
      </c>
      <c r="I253" s="197">
        <v>3.09</v>
      </c>
      <c r="J253" s="197">
        <v>3.09</v>
      </c>
      <c r="K253" s="197">
        <v>3.09</v>
      </c>
      <c r="L253" s="198">
        <v>3.09</v>
      </c>
      <c r="M253" s="196">
        <v>3.2399999999999998</v>
      </c>
      <c r="N253" s="197">
        <v>3.2399999999999998</v>
      </c>
      <c r="O253" s="197">
        <v>3.2399999999999998</v>
      </c>
      <c r="P253" s="197">
        <v>3.2399999999999998</v>
      </c>
      <c r="Q253" s="197">
        <v>3.2399999999999998</v>
      </c>
      <c r="R253" s="197">
        <v>3.2399999999999998</v>
      </c>
      <c r="S253" s="197">
        <v>3.2399999999999998</v>
      </c>
      <c r="T253" s="197">
        <v>3.2399999999999998</v>
      </c>
      <c r="U253" s="198">
        <v>3.2399999999999998</v>
      </c>
      <c r="V253" s="196">
        <v>3.33</v>
      </c>
      <c r="W253" s="197">
        <v>3.33</v>
      </c>
      <c r="X253" s="197">
        <v>3.33</v>
      </c>
      <c r="Y253" s="197">
        <v>3.33</v>
      </c>
      <c r="Z253" s="197">
        <v>3.33</v>
      </c>
      <c r="AA253" s="197">
        <v>3.33</v>
      </c>
      <c r="AB253" s="197">
        <v>3.33</v>
      </c>
      <c r="AC253" s="197">
        <v>3.33</v>
      </c>
      <c r="AD253" s="198">
        <v>3.33</v>
      </c>
      <c r="AE253" s="199">
        <v>3.38</v>
      </c>
      <c r="AF253" s="200">
        <v>3.38</v>
      </c>
      <c r="AG253" s="200">
        <v>3.38</v>
      </c>
      <c r="AH253" s="200">
        <v>3.38</v>
      </c>
      <c r="AI253" s="200">
        <v>3.38</v>
      </c>
      <c r="AJ253" s="200">
        <v>3.38</v>
      </c>
      <c r="AK253" s="200">
        <v>3.38</v>
      </c>
      <c r="AL253" s="200">
        <v>3.38</v>
      </c>
      <c r="AM253" s="201">
        <v>3.38</v>
      </c>
      <c r="AN253" s="199">
        <v>3.4299999999999997</v>
      </c>
      <c r="AO253" s="200">
        <v>3.4299999999999997</v>
      </c>
      <c r="AP253" s="200">
        <v>3.4299999999999997</v>
      </c>
      <c r="AQ253" s="200">
        <v>3.4299999999999997</v>
      </c>
      <c r="AR253" s="200">
        <v>3.4299999999999997</v>
      </c>
      <c r="AS253" s="200">
        <v>3.4299999999999997</v>
      </c>
      <c r="AT253" s="200">
        <v>3.4299999999999997</v>
      </c>
      <c r="AU253" s="200">
        <v>3.4299999999999997</v>
      </c>
      <c r="AV253" s="201">
        <v>3.4299999999999997</v>
      </c>
      <c r="AW253" s="199">
        <v>3.48</v>
      </c>
      <c r="AX253" s="200">
        <v>3.48</v>
      </c>
      <c r="AY253" s="200">
        <v>3.48</v>
      </c>
      <c r="AZ253" s="200">
        <v>3.48</v>
      </c>
      <c r="BA253" s="200">
        <v>3.48</v>
      </c>
      <c r="BB253" s="200">
        <v>3.48</v>
      </c>
      <c r="BC253" s="200">
        <v>3.48</v>
      </c>
      <c r="BD253" s="200">
        <v>3.48</v>
      </c>
      <c r="BE253" s="201">
        <v>3.48</v>
      </c>
    </row>
    <row r="254" spans="1:58" x14ac:dyDescent="0.25">
      <c r="A254" s="330"/>
      <c r="B254" s="193" t="s">
        <v>33</v>
      </c>
      <c r="C254" s="193" t="s">
        <v>14</v>
      </c>
      <c r="D254" s="196"/>
      <c r="E254" s="197"/>
      <c r="F254" s="197"/>
      <c r="G254" s="197"/>
      <c r="H254" s="197"/>
      <c r="I254" s="197"/>
      <c r="J254" s="197"/>
      <c r="K254" s="197"/>
      <c r="L254" s="198"/>
      <c r="M254" s="196"/>
      <c r="N254" s="197"/>
      <c r="O254" s="197"/>
      <c r="P254" s="197"/>
      <c r="Q254" s="197"/>
      <c r="R254" s="197"/>
      <c r="S254" s="197"/>
      <c r="T254" s="197"/>
      <c r="U254" s="198"/>
      <c r="V254" s="196"/>
      <c r="W254" s="197"/>
      <c r="X254" s="197"/>
      <c r="Y254" s="197"/>
      <c r="Z254" s="197"/>
      <c r="AA254" s="197"/>
      <c r="AB254" s="197"/>
      <c r="AC254" s="197"/>
      <c r="AD254" s="198"/>
      <c r="AE254" s="199"/>
      <c r="AF254" s="200"/>
      <c r="AG254" s="200"/>
      <c r="AH254" s="200"/>
      <c r="AI254" s="200"/>
      <c r="AJ254" s="200"/>
      <c r="AK254" s="200"/>
      <c r="AL254" s="200"/>
      <c r="AM254" s="201"/>
      <c r="AN254" s="199"/>
      <c r="AO254" s="200"/>
      <c r="AP254" s="200"/>
      <c r="AQ254" s="200"/>
      <c r="AR254" s="200"/>
      <c r="AS254" s="200"/>
      <c r="AT254" s="200"/>
      <c r="AU254" s="200"/>
      <c r="AV254" s="201"/>
      <c r="AW254" s="199"/>
      <c r="AX254" s="200"/>
      <c r="AY254" s="200"/>
      <c r="AZ254" s="200"/>
      <c r="BA254" s="200"/>
      <c r="BB254" s="200"/>
      <c r="BC254" s="200"/>
      <c r="BD254" s="200"/>
      <c r="BE254" s="201"/>
    </row>
    <row r="255" spans="1:58" x14ac:dyDescent="0.25">
      <c r="A255" s="330"/>
      <c r="B255" s="193" t="s">
        <v>34</v>
      </c>
      <c r="C255" s="193" t="s">
        <v>4</v>
      </c>
      <c r="D255" s="196"/>
      <c r="E255" s="197"/>
      <c r="F255" s="197"/>
      <c r="G255" s="197"/>
      <c r="H255" s="197"/>
      <c r="I255" s="197"/>
      <c r="J255" s="197"/>
      <c r="K255" s="197"/>
      <c r="L255" s="198"/>
      <c r="M255" s="196"/>
      <c r="N255" s="197"/>
      <c r="O255" s="197"/>
      <c r="P255" s="197"/>
      <c r="Q255" s="197"/>
      <c r="R255" s="197"/>
      <c r="S255" s="197"/>
      <c r="T255" s="197"/>
      <c r="U255" s="198"/>
      <c r="V255" s="196"/>
      <c r="W255" s="197"/>
      <c r="X255" s="197"/>
      <c r="Y255" s="197"/>
      <c r="Z255" s="197"/>
      <c r="AA255" s="197"/>
      <c r="AB255" s="197"/>
      <c r="AC255" s="197"/>
      <c r="AD255" s="198"/>
      <c r="AE255" s="199"/>
      <c r="AF255" s="200"/>
      <c r="AG255" s="200"/>
      <c r="AH255" s="200"/>
      <c r="AI255" s="200"/>
      <c r="AJ255" s="200"/>
      <c r="AK255" s="200"/>
      <c r="AL255" s="200"/>
      <c r="AM255" s="201"/>
      <c r="AN255" s="199"/>
      <c r="AO255" s="200"/>
      <c r="AP255" s="200"/>
      <c r="AQ255" s="200"/>
      <c r="AR255" s="200"/>
      <c r="AS255" s="200"/>
      <c r="AT255" s="200"/>
      <c r="AU255" s="200"/>
      <c r="AV255" s="201"/>
      <c r="AW255" s="199"/>
      <c r="AX255" s="200"/>
      <c r="AY255" s="200"/>
      <c r="AZ255" s="200"/>
      <c r="BA255" s="200"/>
      <c r="BB255" s="200"/>
      <c r="BC255" s="200"/>
      <c r="BD255" s="200"/>
      <c r="BE255" s="201"/>
    </row>
    <row r="256" spans="1:58" x14ac:dyDescent="0.25">
      <c r="A256" s="330"/>
      <c r="B256" s="193" t="s">
        <v>125</v>
      </c>
      <c r="C256" s="193" t="s">
        <v>19</v>
      </c>
      <c r="D256" s="196">
        <v>0.546875</v>
      </c>
      <c r="E256" s="197">
        <v>0.546875</v>
      </c>
      <c r="F256" s="197">
        <v>0.54687499999999989</v>
      </c>
      <c r="G256" s="197">
        <v>0.546875</v>
      </c>
      <c r="H256" s="197">
        <v>0.546875</v>
      </c>
      <c r="I256" s="197">
        <v>0.546875</v>
      </c>
      <c r="J256" s="197">
        <v>0.546875</v>
      </c>
      <c r="K256" s="197">
        <v>0.546875</v>
      </c>
      <c r="L256" s="198">
        <v>0.546875</v>
      </c>
      <c r="M256" s="196">
        <v>0.546875</v>
      </c>
      <c r="N256" s="197">
        <v>0.546875</v>
      </c>
      <c r="O256" s="197">
        <v>0.54687499999999989</v>
      </c>
      <c r="P256" s="197">
        <v>0.546875</v>
      </c>
      <c r="Q256" s="197">
        <v>0.546875</v>
      </c>
      <c r="R256" s="197">
        <v>0.546875</v>
      </c>
      <c r="S256" s="197">
        <v>0.546875</v>
      </c>
      <c r="T256" s="197">
        <v>0.546875</v>
      </c>
      <c r="U256" s="198">
        <v>0.546875</v>
      </c>
      <c r="V256" s="196">
        <v>0.546875</v>
      </c>
      <c r="W256" s="197">
        <v>0.546875</v>
      </c>
      <c r="X256" s="197">
        <v>0.54687499999999989</v>
      </c>
      <c r="Y256" s="197">
        <v>0.546875</v>
      </c>
      <c r="Z256" s="197">
        <v>0.546875</v>
      </c>
      <c r="AA256" s="197">
        <v>0.546875</v>
      </c>
      <c r="AB256" s="197">
        <v>0.546875</v>
      </c>
      <c r="AC256" s="197">
        <v>0.546875</v>
      </c>
      <c r="AD256" s="198">
        <v>0.546875</v>
      </c>
      <c r="AE256" s="230">
        <v>0.546875</v>
      </c>
      <c r="AF256" s="231">
        <v>0.546875</v>
      </c>
      <c r="AG256" s="231">
        <v>0.54687499999999989</v>
      </c>
      <c r="AH256" s="231">
        <v>0.546875</v>
      </c>
      <c r="AI256" s="231">
        <v>0.546875</v>
      </c>
      <c r="AJ256" s="231">
        <v>0.546875</v>
      </c>
      <c r="AK256" s="231">
        <v>0.546875</v>
      </c>
      <c r="AL256" s="231">
        <v>0.546875</v>
      </c>
      <c r="AM256" s="232">
        <v>0.546875</v>
      </c>
      <c r="AN256" s="230">
        <v>0.546875</v>
      </c>
      <c r="AO256" s="231">
        <v>0.546875</v>
      </c>
      <c r="AP256" s="231">
        <v>0.54687499999999989</v>
      </c>
      <c r="AQ256" s="231">
        <v>0.546875</v>
      </c>
      <c r="AR256" s="231">
        <v>0.546875</v>
      </c>
      <c r="AS256" s="231">
        <v>0.546875</v>
      </c>
      <c r="AT256" s="231">
        <v>0.546875</v>
      </c>
      <c r="AU256" s="231">
        <v>0.546875</v>
      </c>
      <c r="AV256" s="232">
        <v>0.546875</v>
      </c>
      <c r="AW256" s="230">
        <v>0.546875</v>
      </c>
      <c r="AX256" s="231">
        <v>0.546875</v>
      </c>
      <c r="AY256" s="231">
        <v>0.54687499999999989</v>
      </c>
      <c r="AZ256" s="231">
        <v>0.546875</v>
      </c>
      <c r="BA256" s="231">
        <v>0.546875</v>
      </c>
      <c r="BB256" s="231">
        <v>0.546875</v>
      </c>
      <c r="BC256" s="231">
        <v>0.546875</v>
      </c>
      <c r="BD256" s="231">
        <v>0.546875</v>
      </c>
      <c r="BE256" s="232">
        <v>0.546875</v>
      </c>
    </row>
    <row r="257" spans="1:58" x14ac:dyDescent="0.25">
      <c r="A257" s="330"/>
      <c r="B257" s="193" t="s">
        <v>126</v>
      </c>
      <c r="C257" s="193" t="s">
        <v>19</v>
      </c>
      <c r="D257" s="196">
        <v>0.64</v>
      </c>
      <c r="E257" s="197">
        <v>0.64</v>
      </c>
      <c r="F257" s="197">
        <v>0.64</v>
      </c>
      <c r="G257" s="197">
        <v>0.64</v>
      </c>
      <c r="H257" s="197">
        <v>0.64</v>
      </c>
      <c r="I257" s="197">
        <v>0.64</v>
      </c>
      <c r="J257" s="197">
        <v>0.64</v>
      </c>
      <c r="K257" s="197">
        <v>0.64</v>
      </c>
      <c r="L257" s="198">
        <v>0.64</v>
      </c>
      <c r="M257" s="196">
        <v>0.64</v>
      </c>
      <c r="N257" s="197">
        <v>0.64</v>
      </c>
      <c r="O257" s="197">
        <v>0.64</v>
      </c>
      <c r="P257" s="197">
        <v>0.64</v>
      </c>
      <c r="Q257" s="197">
        <v>0.64</v>
      </c>
      <c r="R257" s="197">
        <v>0.64</v>
      </c>
      <c r="S257" s="197">
        <v>0.64</v>
      </c>
      <c r="T257" s="197">
        <v>0.64</v>
      </c>
      <c r="U257" s="198">
        <v>0.64</v>
      </c>
      <c r="V257" s="196">
        <v>0.64</v>
      </c>
      <c r="W257" s="197">
        <v>0.64</v>
      </c>
      <c r="X257" s="197">
        <v>0.64</v>
      </c>
      <c r="Y257" s="197">
        <v>0.64</v>
      </c>
      <c r="Z257" s="197">
        <v>0.64</v>
      </c>
      <c r="AA257" s="197">
        <v>0.64</v>
      </c>
      <c r="AB257" s="197">
        <v>0.64</v>
      </c>
      <c r="AC257" s="197">
        <v>0.64</v>
      </c>
      <c r="AD257" s="198">
        <v>0.64</v>
      </c>
      <c r="AE257" s="199">
        <v>0.64</v>
      </c>
      <c r="AF257" s="200">
        <v>0.64</v>
      </c>
      <c r="AG257" s="200">
        <v>0.64</v>
      </c>
      <c r="AH257" s="200">
        <v>0.64</v>
      </c>
      <c r="AI257" s="200">
        <v>0.64</v>
      </c>
      <c r="AJ257" s="200">
        <v>0.64</v>
      </c>
      <c r="AK257" s="200">
        <v>0.64</v>
      </c>
      <c r="AL257" s="200">
        <v>0.64</v>
      </c>
      <c r="AM257" s="201">
        <v>0.64</v>
      </c>
      <c r="AN257" s="199">
        <v>0.64</v>
      </c>
      <c r="AO257" s="200">
        <v>0.64</v>
      </c>
      <c r="AP257" s="200">
        <v>0.64</v>
      </c>
      <c r="AQ257" s="200">
        <v>0.64</v>
      </c>
      <c r="AR257" s="200">
        <v>0.64</v>
      </c>
      <c r="AS257" s="200">
        <v>0.64</v>
      </c>
      <c r="AT257" s="200">
        <v>0.64</v>
      </c>
      <c r="AU257" s="200">
        <v>0.64</v>
      </c>
      <c r="AV257" s="201">
        <v>0.64</v>
      </c>
      <c r="AW257" s="199">
        <v>0.64</v>
      </c>
      <c r="AX257" s="200">
        <v>0.64</v>
      </c>
      <c r="AY257" s="200">
        <v>0.64</v>
      </c>
      <c r="AZ257" s="200">
        <v>0.64</v>
      </c>
      <c r="BA257" s="200">
        <v>0.64</v>
      </c>
      <c r="BB257" s="200">
        <v>0.64</v>
      </c>
      <c r="BC257" s="200">
        <v>0.64</v>
      </c>
      <c r="BD257" s="200">
        <v>0.64</v>
      </c>
      <c r="BE257" s="201">
        <v>0.64</v>
      </c>
    </row>
    <row r="258" spans="1:58" x14ac:dyDescent="0.25">
      <c r="A258" s="330"/>
      <c r="B258" s="193" t="s">
        <v>127</v>
      </c>
      <c r="C258" s="193" t="s">
        <v>4</v>
      </c>
      <c r="D258" s="196">
        <v>20</v>
      </c>
      <c r="E258" s="197">
        <v>20</v>
      </c>
      <c r="F258" s="197">
        <v>20</v>
      </c>
      <c r="G258" s="197">
        <v>20</v>
      </c>
      <c r="H258" s="197">
        <v>20</v>
      </c>
      <c r="I258" s="197">
        <v>20</v>
      </c>
      <c r="J258" s="197">
        <v>20</v>
      </c>
      <c r="K258" s="197">
        <v>20</v>
      </c>
      <c r="L258" s="198">
        <v>20</v>
      </c>
      <c r="M258" s="196">
        <v>20</v>
      </c>
      <c r="N258" s="197">
        <v>20</v>
      </c>
      <c r="O258" s="197">
        <v>20</v>
      </c>
      <c r="P258" s="197">
        <v>20</v>
      </c>
      <c r="Q258" s="197">
        <v>20</v>
      </c>
      <c r="R258" s="197">
        <v>20</v>
      </c>
      <c r="S258" s="197">
        <v>20</v>
      </c>
      <c r="T258" s="197">
        <v>20</v>
      </c>
      <c r="U258" s="198">
        <v>20</v>
      </c>
      <c r="V258" s="196">
        <v>20</v>
      </c>
      <c r="W258" s="197">
        <v>20</v>
      </c>
      <c r="X258" s="197">
        <v>20</v>
      </c>
      <c r="Y258" s="197">
        <v>20</v>
      </c>
      <c r="Z258" s="197">
        <v>20</v>
      </c>
      <c r="AA258" s="197">
        <v>20</v>
      </c>
      <c r="AB258" s="197">
        <v>20</v>
      </c>
      <c r="AC258" s="197">
        <v>20</v>
      </c>
      <c r="AD258" s="198">
        <v>20</v>
      </c>
      <c r="AE258" s="199">
        <v>20</v>
      </c>
      <c r="AF258" s="200">
        <v>20</v>
      </c>
      <c r="AG258" s="200">
        <v>20</v>
      </c>
      <c r="AH258" s="200">
        <v>20</v>
      </c>
      <c r="AI258" s="200">
        <v>20</v>
      </c>
      <c r="AJ258" s="200">
        <v>20</v>
      </c>
      <c r="AK258" s="200">
        <v>20</v>
      </c>
      <c r="AL258" s="200">
        <v>20</v>
      </c>
      <c r="AM258" s="201">
        <v>20</v>
      </c>
      <c r="AN258" s="199">
        <v>20</v>
      </c>
      <c r="AO258" s="200">
        <v>20</v>
      </c>
      <c r="AP258" s="200">
        <v>20</v>
      </c>
      <c r="AQ258" s="200">
        <v>20</v>
      </c>
      <c r="AR258" s="200">
        <v>20</v>
      </c>
      <c r="AS258" s="200">
        <v>20</v>
      </c>
      <c r="AT258" s="200">
        <v>20</v>
      </c>
      <c r="AU258" s="200">
        <v>20</v>
      </c>
      <c r="AV258" s="201">
        <v>20</v>
      </c>
      <c r="AW258" s="199">
        <v>20</v>
      </c>
      <c r="AX258" s="200">
        <v>20</v>
      </c>
      <c r="AY258" s="200">
        <v>20</v>
      </c>
      <c r="AZ258" s="200">
        <v>20</v>
      </c>
      <c r="BA258" s="200">
        <v>20</v>
      </c>
      <c r="BB258" s="200">
        <v>20</v>
      </c>
      <c r="BC258" s="200">
        <v>20</v>
      </c>
      <c r="BD258" s="200">
        <v>20</v>
      </c>
      <c r="BE258" s="201">
        <v>20</v>
      </c>
    </row>
    <row r="259" spans="1:58" x14ac:dyDescent="0.25">
      <c r="A259" s="330"/>
      <c r="B259" s="193" t="s">
        <v>128</v>
      </c>
      <c r="C259" s="193" t="s">
        <v>6</v>
      </c>
      <c r="D259" s="196">
        <v>959.40572072901318</v>
      </c>
      <c r="E259" s="197">
        <v>934.76873159057436</v>
      </c>
      <c r="F259" s="197">
        <v>869.07009388807069</v>
      </c>
      <c r="G259" s="197">
        <v>778.73446704712808</v>
      </c>
      <c r="H259" s="197">
        <v>655.54952135493363</v>
      </c>
      <c r="I259" s="197">
        <v>563.57142857142856</v>
      </c>
      <c r="J259" s="197">
        <v>563.57142857142856</v>
      </c>
      <c r="K259" s="197">
        <v>563.57142857142856</v>
      </c>
      <c r="L259" s="198">
        <v>563.57142857142856</v>
      </c>
      <c r="M259" s="196">
        <v>935.56110395189</v>
      </c>
      <c r="N259" s="197">
        <v>910.85220299459979</v>
      </c>
      <c r="O259" s="197">
        <v>844.9618004418262</v>
      </c>
      <c r="P259" s="197">
        <v>754.36249693176228</v>
      </c>
      <c r="Q259" s="197">
        <v>630.81799214531168</v>
      </c>
      <c r="R259" s="197">
        <v>538.57142857142856</v>
      </c>
      <c r="S259" s="197">
        <v>538.57142857142856</v>
      </c>
      <c r="T259" s="197">
        <v>538.57142857142856</v>
      </c>
      <c r="U259" s="198">
        <v>538.57142857142856</v>
      </c>
      <c r="V259" s="196">
        <v>912.63080280436907</v>
      </c>
      <c r="W259" s="197">
        <v>888.25988739567981</v>
      </c>
      <c r="X259" s="197">
        <v>823.2707796391752</v>
      </c>
      <c r="Y259" s="197">
        <v>733.91075647398134</v>
      </c>
      <c r="Z259" s="197">
        <v>612.05617943053505</v>
      </c>
      <c r="AA259" s="197">
        <v>521.07142857142856</v>
      </c>
      <c r="AB259" s="197">
        <v>521.07142857142856</v>
      </c>
      <c r="AC259" s="197">
        <v>521.07142857142856</v>
      </c>
      <c r="AD259" s="198">
        <v>521.07142857142856</v>
      </c>
      <c r="AE259" s="233">
        <v>890.31004540991637</v>
      </c>
      <c r="AF259" s="236">
        <v>866.55038046146274</v>
      </c>
      <c r="AG259" s="236">
        <v>803.19127393225313</v>
      </c>
      <c r="AH259" s="236">
        <v>716.07250245458999</v>
      </c>
      <c r="AI259" s="236">
        <v>597.27417771232194</v>
      </c>
      <c r="AJ259" s="236">
        <v>508.57142857142856</v>
      </c>
      <c r="AK259" s="236">
        <v>508.57142857142856</v>
      </c>
      <c r="AL259" s="236">
        <v>508.57142857142856</v>
      </c>
      <c r="AM259" s="237">
        <v>508.57142857142856</v>
      </c>
      <c r="AN259" s="233">
        <v>867.98928801546379</v>
      </c>
      <c r="AO259" s="236">
        <v>844.84087352724589</v>
      </c>
      <c r="AP259" s="236">
        <v>783.11176822533128</v>
      </c>
      <c r="AQ259" s="236">
        <v>698.23424843519865</v>
      </c>
      <c r="AR259" s="236">
        <v>582.49217599410895</v>
      </c>
      <c r="AS259" s="236">
        <v>496.07142857142856</v>
      </c>
      <c r="AT259" s="236">
        <v>496.07142857142856</v>
      </c>
      <c r="AU259" s="236">
        <v>496.07142857142856</v>
      </c>
      <c r="AV259" s="237">
        <v>496.07142857142856</v>
      </c>
      <c r="AW259" s="233">
        <v>845.66853062101131</v>
      </c>
      <c r="AX259" s="236">
        <v>823.13136659302893</v>
      </c>
      <c r="AY259" s="236">
        <v>763.03226251840942</v>
      </c>
      <c r="AZ259" s="236">
        <v>680.39599441580754</v>
      </c>
      <c r="BA259" s="236">
        <v>567.71017427589595</v>
      </c>
      <c r="BB259" s="236">
        <v>483.57142857142856</v>
      </c>
      <c r="BC259" s="236">
        <v>483.57142857142856</v>
      </c>
      <c r="BD259" s="236">
        <v>483.57142857142856</v>
      </c>
      <c r="BE259" s="237">
        <v>483.57142857142856</v>
      </c>
    </row>
    <row r="260" spans="1:58" x14ac:dyDescent="0.25">
      <c r="A260" s="330"/>
      <c r="B260" s="193" t="s">
        <v>179</v>
      </c>
      <c r="C260" s="193" t="s">
        <v>19</v>
      </c>
      <c r="D260" s="196">
        <v>0.35</v>
      </c>
      <c r="E260" s="197">
        <v>0.35</v>
      </c>
      <c r="F260" s="197">
        <v>0.35</v>
      </c>
      <c r="G260" s="197">
        <v>0.35</v>
      </c>
      <c r="H260" s="197">
        <v>0.35</v>
      </c>
      <c r="I260" s="197">
        <v>0.35</v>
      </c>
      <c r="J260" s="197">
        <v>0.35</v>
      </c>
      <c r="K260" s="197">
        <v>0.35</v>
      </c>
      <c r="L260" s="198">
        <v>0.35</v>
      </c>
      <c r="M260" s="196">
        <v>0.35</v>
      </c>
      <c r="N260" s="197">
        <v>0.35</v>
      </c>
      <c r="O260" s="197">
        <v>0.35</v>
      </c>
      <c r="P260" s="197">
        <v>0.35</v>
      </c>
      <c r="Q260" s="197">
        <v>0.35</v>
      </c>
      <c r="R260" s="197">
        <v>0.35</v>
      </c>
      <c r="S260" s="197">
        <v>0.35</v>
      </c>
      <c r="T260" s="197">
        <v>0.35</v>
      </c>
      <c r="U260" s="198">
        <v>0.35</v>
      </c>
      <c r="V260" s="196">
        <v>0</v>
      </c>
      <c r="W260" s="197">
        <v>0</v>
      </c>
      <c r="X260" s="197">
        <v>0</v>
      </c>
      <c r="Y260" s="197">
        <v>0</v>
      </c>
      <c r="Z260" s="197">
        <v>0</v>
      </c>
      <c r="AA260" s="197">
        <v>0</v>
      </c>
      <c r="AB260" s="197">
        <v>0</v>
      </c>
      <c r="AC260" s="197">
        <v>0</v>
      </c>
      <c r="AD260" s="198">
        <v>0</v>
      </c>
      <c r="AE260" s="205">
        <v>0</v>
      </c>
      <c r="AF260" s="206">
        <v>0</v>
      </c>
      <c r="AG260" s="206">
        <v>0</v>
      </c>
      <c r="AH260" s="206">
        <v>0</v>
      </c>
      <c r="AI260" s="206">
        <v>0</v>
      </c>
      <c r="AJ260" s="206">
        <v>0</v>
      </c>
      <c r="AK260" s="206">
        <v>0</v>
      </c>
      <c r="AL260" s="206">
        <v>0</v>
      </c>
      <c r="AM260" s="207">
        <v>0</v>
      </c>
      <c r="AN260" s="205">
        <v>0</v>
      </c>
      <c r="AO260" s="206">
        <v>0</v>
      </c>
      <c r="AP260" s="206">
        <v>0</v>
      </c>
      <c r="AQ260" s="206">
        <v>0</v>
      </c>
      <c r="AR260" s="206">
        <v>0</v>
      </c>
      <c r="AS260" s="206">
        <v>0</v>
      </c>
      <c r="AT260" s="206">
        <v>0</v>
      </c>
      <c r="AU260" s="206">
        <v>0</v>
      </c>
      <c r="AV260" s="207">
        <v>0</v>
      </c>
      <c r="AW260" s="205">
        <v>0</v>
      </c>
      <c r="AX260" s="206">
        <v>0</v>
      </c>
      <c r="AY260" s="206">
        <v>0</v>
      </c>
      <c r="AZ260" s="206">
        <v>0</v>
      </c>
      <c r="BA260" s="206">
        <v>0</v>
      </c>
      <c r="BB260" s="206">
        <v>0</v>
      </c>
      <c r="BC260" s="206">
        <v>0</v>
      </c>
      <c r="BD260" s="206">
        <v>0</v>
      </c>
      <c r="BE260" s="207">
        <v>0</v>
      </c>
    </row>
    <row r="261" spans="1:58" x14ac:dyDescent="0.25">
      <c r="A261" s="330"/>
      <c r="B261" s="193" t="s">
        <v>129</v>
      </c>
      <c r="C261" s="193" t="s">
        <v>8</v>
      </c>
      <c r="D261" s="196">
        <v>59.884830633284238</v>
      </c>
      <c r="E261" s="197">
        <v>77.502650957290129</v>
      </c>
      <c r="F261" s="197">
        <v>124.48350515463918</v>
      </c>
      <c r="G261" s="197">
        <v>189.0821796759941</v>
      </c>
      <c r="H261" s="197">
        <v>277.17128129602355</v>
      </c>
      <c r="I261" s="197">
        <v>453.34948453608251</v>
      </c>
      <c r="J261" s="197">
        <v>629.52768777614153</v>
      </c>
      <c r="K261" s="197">
        <v>629.52768777614153</v>
      </c>
      <c r="L261" s="198">
        <v>629.52768777614153</v>
      </c>
      <c r="M261" s="196">
        <v>56.686008836524309</v>
      </c>
      <c r="N261" s="197">
        <v>74.027687776141391</v>
      </c>
      <c r="O261" s="197">
        <v>120.27216494845361</v>
      </c>
      <c r="P261" s="197">
        <v>183.85832106038291</v>
      </c>
      <c r="Q261" s="197">
        <v>270.56671575846832</v>
      </c>
      <c r="R261" s="197">
        <v>443.98350515463915</v>
      </c>
      <c r="S261" s="197">
        <v>617.40029455081003</v>
      </c>
      <c r="T261" s="197">
        <v>617.40029455081003</v>
      </c>
      <c r="U261" s="198">
        <v>617.40029455081003</v>
      </c>
      <c r="V261" s="196">
        <v>54.38718703976437</v>
      </c>
      <c r="W261" s="197">
        <v>71.452724594992645</v>
      </c>
      <c r="X261" s="197">
        <v>116.96082474226804</v>
      </c>
      <c r="Y261" s="197">
        <v>179.53446244477172</v>
      </c>
      <c r="Z261" s="197">
        <v>264.86215022091312</v>
      </c>
      <c r="AA261" s="197">
        <v>435.51752577319587</v>
      </c>
      <c r="AB261" s="197">
        <v>606.17290132547862</v>
      </c>
      <c r="AC261" s="197">
        <v>606.17290132547862</v>
      </c>
      <c r="AD261" s="198">
        <v>606.17290132547862</v>
      </c>
      <c r="AE261" s="202">
        <v>52.688365243004426</v>
      </c>
      <c r="AF261" s="203">
        <v>69.477761413843893</v>
      </c>
      <c r="AG261" s="203">
        <v>114.24948453608249</v>
      </c>
      <c r="AH261" s="203">
        <v>175.81060382916056</v>
      </c>
      <c r="AI261" s="203">
        <v>259.75758468335789</v>
      </c>
      <c r="AJ261" s="203">
        <v>427.65154639175262</v>
      </c>
      <c r="AK261" s="203">
        <v>595.54550810014734</v>
      </c>
      <c r="AL261" s="203">
        <v>595.54550810014734</v>
      </c>
      <c r="AM261" s="204">
        <v>595.54550810014734</v>
      </c>
      <c r="AN261" s="202">
        <v>50.989543446244483</v>
      </c>
      <c r="AO261" s="203">
        <v>67.502798232695142</v>
      </c>
      <c r="AP261" s="203">
        <v>111.53814432989691</v>
      </c>
      <c r="AQ261" s="203">
        <v>172.08674521354934</v>
      </c>
      <c r="AR261" s="203">
        <v>254.65301914580263</v>
      </c>
      <c r="AS261" s="203">
        <v>419.78556701030925</v>
      </c>
      <c r="AT261" s="203">
        <v>584.91811487481596</v>
      </c>
      <c r="AU261" s="203">
        <v>584.91811487481596</v>
      </c>
      <c r="AV261" s="204">
        <v>584.91811487481596</v>
      </c>
      <c r="AW261" s="202">
        <v>49.290721649484539</v>
      </c>
      <c r="AX261" s="203">
        <v>65.52783505154639</v>
      </c>
      <c r="AY261" s="203">
        <v>108.82680412371134</v>
      </c>
      <c r="AZ261" s="203">
        <v>168.36288659793814</v>
      </c>
      <c r="BA261" s="203">
        <v>249.54845360824743</v>
      </c>
      <c r="BB261" s="203">
        <v>411.91958762886594</v>
      </c>
      <c r="BC261" s="203">
        <v>574.29072164948457</v>
      </c>
      <c r="BD261" s="203">
        <v>574.29072164948457</v>
      </c>
      <c r="BE261" s="204">
        <v>574.29072164948457</v>
      </c>
    </row>
    <row r="262" spans="1:58" x14ac:dyDescent="0.25">
      <c r="A262" s="330"/>
      <c r="B262" s="193" t="s">
        <v>130</v>
      </c>
      <c r="C262" s="193" t="s">
        <v>9</v>
      </c>
      <c r="D262" s="196"/>
      <c r="E262" s="197"/>
      <c r="F262" s="197"/>
      <c r="G262" s="197"/>
      <c r="H262" s="197"/>
      <c r="I262" s="197"/>
      <c r="J262" s="197"/>
      <c r="K262" s="197"/>
      <c r="L262" s="198"/>
      <c r="M262" s="196"/>
      <c r="N262" s="197"/>
      <c r="O262" s="197"/>
      <c r="P262" s="197"/>
      <c r="Q262" s="197"/>
      <c r="R262" s="197"/>
      <c r="S262" s="197"/>
      <c r="T262" s="197"/>
      <c r="U262" s="198"/>
      <c r="V262" s="196"/>
      <c r="W262" s="197"/>
      <c r="X262" s="197"/>
      <c r="Y262" s="197"/>
      <c r="Z262" s="197"/>
      <c r="AA262" s="197"/>
      <c r="AB262" s="197"/>
      <c r="AC262" s="197"/>
      <c r="AD262" s="198"/>
      <c r="AE262" s="199"/>
      <c r="AF262" s="200"/>
      <c r="AG262" s="200"/>
      <c r="AH262" s="200"/>
      <c r="AI262" s="200"/>
      <c r="AJ262" s="200"/>
      <c r="AK262" s="200"/>
      <c r="AL262" s="200"/>
      <c r="AM262" s="201"/>
      <c r="AN262" s="199"/>
      <c r="AO262" s="200"/>
      <c r="AP262" s="200"/>
      <c r="AQ262" s="200"/>
      <c r="AR262" s="200"/>
      <c r="AS262" s="200"/>
      <c r="AT262" s="200"/>
      <c r="AU262" s="200"/>
      <c r="AV262" s="201"/>
      <c r="AW262" s="199"/>
      <c r="AX262" s="200"/>
      <c r="AY262" s="200"/>
      <c r="AZ262" s="200"/>
      <c r="BA262" s="200"/>
      <c r="BB262" s="200"/>
      <c r="BC262" s="200"/>
      <c r="BD262" s="200"/>
      <c r="BE262" s="201"/>
    </row>
    <row r="263" spans="1:58" x14ac:dyDescent="0.25">
      <c r="A263" s="330"/>
      <c r="B263" s="193" t="s">
        <v>131</v>
      </c>
      <c r="C263" s="193" t="s">
        <v>10</v>
      </c>
      <c r="D263" s="196"/>
      <c r="E263" s="197"/>
      <c r="F263" s="197"/>
      <c r="G263" s="197"/>
      <c r="H263" s="197"/>
      <c r="I263" s="197"/>
      <c r="J263" s="197"/>
      <c r="K263" s="197"/>
      <c r="L263" s="198"/>
      <c r="M263" s="196"/>
      <c r="N263" s="197"/>
      <c r="O263" s="197"/>
      <c r="P263" s="197"/>
      <c r="Q263" s="197"/>
      <c r="R263" s="197"/>
      <c r="S263" s="197"/>
      <c r="T263" s="197"/>
      <c r="U263" s="198"/>
      <c r="V263" s="196"/>
      <c r="W263" s="197"/>
      <c r="X263" s="197"/>
      <c r="Y263" s="197"/>
      <c r="Z263" s="197"/>
      <c r="AA263" s="197"/>
      <c r="AB263" s="197"/>
      <c r="AC263" s="197"/>
      <c r="AD263" s="198"/>
      <c r="AE263" s="199"/>
      <c r="AF263" s="200"/>
      <c r="AG263" s="200"/>
      <c r="AH263" s="200"/>
      <c r="AI263" s="200"/>
      <c r="AJ263" s="200"/>
      <c r="AK263" s="200"/>
      <c r="AL263" s="200"/>
      <c r="AM263" s="201"/>
      <c r="AN263" s="199"/>
      <c r="AO263" s="200"/>
      <c r="AP263" s="200"/>
      <c r="AQ263" s="200"/>
      <c r="AR263" s="200"/>
      <c r="AS263" s="200"/>
      <c r="AT263" s="200"/>
      <c r="AU263" s="200"/>
      <c r="AV263" s="201"/>
      <c r="AW263" s="199"/>
      <c r="AX263" s="200"/>
      <c r="AY263" s="200"/>
      <c r="AZ263" s="200"/>
      <c r="BA263" s="200"/>
      <c r="BB263" s="200"/>
      <c r="BC263" s="200"/>
      <c r="BD263" s="200"/>
      <c r="BE263" s="201"/>
    </row>
    <row r="264" spans="1:58" ht="15.75" thickBot="1" x14ac:dyDescent="0.3">
      <c r="A264" s="332"/>
      <c r="B264" s="194" t="s">
        <v>132</v>
      </c>
      <c r="C264" s="194" t="s">
        <v>320</v>
      </c>
      <c r="D264" s="238"/>
      <c r="E264" s="239"/>
      <c r="F264" s="239"/>
      <c r="G264" s="239"/>
      <c r="H264" s="239"/>
      <c r="I264" s="239"/>
      <c r="J264" s="239"/>
      <c r="K264" s="239"/>
      <c r="L264" s="240"/>
      <c r="M264" s="238"/>
      <c r="N264" s="239"/>
      <c r="O264" s="239"/>
      <c r="P264" s="239"/>
      <c r="Q264" s="239"/>
      <c r="R264" s="239"/>
      <c r="S264" s="239"/>
      <c r="T264" s="239"/>
      <c r="U264" s="240"/>
      <c r="V264" s="238"/>
      <c r="W264" s="239"/>
      <c r="X264" s="239"/>
      <c r="Y264" s="239"/>
      <c r="Z264" s="239"/>
      <c r="AA264" s="239"/>
      <c r="AB264" s="239"/>
      <c r="AC264" s="239"/>
      <c r="AD264" s="240"/>
      <c r="AE264" s="347"/>
      <c r="AF264" s="348"/>
      <c r="AG264" s="348"/>
      <c r="AH264" s="348"/>
      <c r="AI264" s="348"/>
      <c r="AJ264" s="348"/>
      <c r="AK264" s="348"/>
      <c r="AL264" s="348"/>
      <c r="AM264" s="349"/>
      <c r="AN264" s="347"/>
      <c r="AO264" s="348"/>
      <c r="AP264" s="348"/>
      <c r="AQ264" s="348"/>
      <c r="AR264" s="348"/>
      <c r="AS264" s="348"/>
      <c r="AT264" s="348"/>
      <c r="AU264" s="348"/>
      <c r="AV264" s="349"/>
      <c r="AW264" s="347"/>
      <c r="AX264" s="348"/>
      <c r="AY264" s="348"/>
      <c r="AZ264" s="348"/>
      <c r="BA264" s="348"/>
      <c r="BB264" s="348"/>
      <c r="BC264" s="348"/>
      <c r="BD264" s="348"/>
      <c r="BE264" s="349"/>
    </row>
    <row r="265" spans="1:58" x14ac:dyDescent="0.25">
      <c r="A265" s="350" t="s">
        <v>156</v>
      </c>
      <c r="B265" s="351" t="s">
        <v>101</v>
      </c>
      <c r="C265" s="351" t="s">
        <v>4</v>
      </c>
      <c r="D265" s="352">
        <v>40</v>
      </c>
      <c r="E265" s="353">
        <v>40</v>
      </c>
      <c r="F265" s="353">
        <v>40</v>
      </c>
      <c r="G265" s="353">
        <v>40</v>
      </c>
      <c r="H265" s="353">
        <v>40</v>
      </c>
      <c r="I265" s="353">
        <v>40</v>
      </c>
      <c r="J265" s="353">
        <v>40</v>
      </c>
      <c r="K265" s="353">
        <v>40</v>
      </c>
      <c r="L265" s="354">
        <v>40</v>
      </c>
      <c r="M265" s="352">
        <v>40</v>
      </c>
      <c r="N265" s="353">
        <v>40</v>
      </c>
      <c r="O265" s="353">
        <v>40</v>
      </c>
      <c r="P265" s="353">
        <v>40</v>
      </c>
      <c r="Q265" s="353">
        <v>40</v>
      </c>
      <c r="R265" s="353">
        <v>40</v>
      </c>
      <c r="S265" s="353">
        <v>40</v>
      </c>
      <c r="T265" s="353">
        <v>40</v>
      </c>
      <c r="U265" s="354">
        <v>40</v>
      </c>
      <c r="V265" s="352">
        <v>40</v>
      </c>
      <c r="W265" s="353">
        <v>40</v>
      </c>
      <c r="X265" s="353">
        <v>40</v>
      </c>
      <c r="Y265" s="353">
        <v>40</v>
      </c>
      <c r="Z265" s="353">
        <v>40</v>
      </c>
      <c r="AA265" s="353">
        <v>40</v>
      </c>
      <c r="AB265" s="353">
        <v>40</v>
      </c>
      <c r="AC265" s="353">
        <v>40</v>
      </c>
      <c r="AD265" s="354">
        <v>40</v>
      </c>
      <c r="AE265" s="355">
        <v>40</v>
      </c>
      <c r="AF265" s="356">
        <v>40</v>
      </c>
      <c r="AG265" s="356">
        <v>40</v>
      </c>
      <c r="AH265" s="356">
        <v>40</v>
      </c>
      <c r="AI265" s="356">
        <v>40</v>
      </c>
      <c r="AJ265" s="356">
        <v>40</v>
      </c>
      <c r="AK265" s="356">
        <v>40</v>
      </c>
      <c r="AL265" s="356">
        <v>40</v>
      </c>
      <c r="AM265" s="357">
        <v>40</v>
      </c>
      <c r="AN265" s="355">
        <v>40</v>
      </c>
      <c r="AO265" s="356">
        <v>40</v>
      </c>
      <c r="AP265" s="356">
        <v>40</v>
      </c>
      <c r="AQ265" s="356">
        <v>40</v>
      </c>
      <c r="AR265" s="356">
        <v>40</v>
      </c>
      <c r="AS265" s="356">
        <v>40</v>
      </c>
      <c r="AT265" s="356">
        <v>40</v>
      </c>
      <c r="AU265" s="356">
        <v>40</v>
      </c>
      <c r="AV265" s="357">
        <v>40</v>
      </c>
      <c r="AW265" s="355">
        <v>40</v>
      </c>
      <c r="AX265" s="356">
        <v>40</v>
      </c>
      <c r="AY265" s="356">
        <v>40</v>
      </c>
      <c r="AZ265" s="356">
        <v>40</v>
      </c>
      <c r="BA265" s="356">
        <v>40</v>
      </c>
      <c r="BB265" s="356">
        <v>40</v>
      </c>
      <c r="BC265" s="356">
        <v>40</v>
      </c>
      <c r="BD265" s="356">
        <v>40</v>
      </c>
      <c r="BE265" s="357">
        <v>40</v>
      </c>
      <c r="BF265" s="30"/>
    </row>
    <row r="266" spans="1:58" x14ac:dyDescent="0.25">
      <c r="A266" s="331"/>
      <c r="B266" s="195" t="s">
        <v>5</v>
      </c>
      <c r="C266" s="195" t="s">
        <v>6</v>
      </c>
      <c r="D266" s="208">
        <v>300</v>
      </c>
      <c r="E266" s="209">
        <v>183.33333333333334</v>
      </c>
      <c r="F266" s="209">
        <v>100</v>
      </c>
      <c r="G266" s="209">
        <v>76</v>
      </c>
      <c r="H266" s="209">
        <v>60</v>
      </c>
      <c r="I266" s="209">
        <v>42.857142857142854</v>
      </c>
      <c r="J266" s="209">
        <v>27.058823529411764</v>
      </c>
      <c r="K266" s="209">
        <v>18.421052631578949</v>
      </c>
      <c r="L266" s="210">
        <v>13.75</v>
      </c>
      <c r="M266" s="208">
        <v>300</v>
      </c>
      <c r="N266" s="209">
        <v>183.33333333333334</v>
      </c>
      <c r="O266" s="209">
        <v>100</v>
      </c>
      <c r="P266" s="209">
        <v>76</v>
      </c>
      <c r="Q266" s="209">
        <v>60</v>
      </c>
      <c r="R266" s="209">
        <v>42.857142857142854</v>
      </c>
      <c r="S266" s="209">
        <v>27.058823529411764</v>
      </c>
      <c r="T266" s="209">
        <v>18.421052631578949</v>
      </c>
      <c r="U266" s="210">
        <v>13.75</v>
      </c>
      <c r="V266" s="208">
        <v>300</v>
      </c>
      <c r="W266" s="209">
        <v>183.33333333333334</v>
      </c>
      <c r="X266" s="209">
        <v>100</v>
      </c>
      <c r="Y266" s="209">
        <v>76</v>
      </c>
      <c r="Z266" s="209">
        <v>60</v>
      </c>
      <c r="AA266" s="209">
        <v>42.857142857142854</v>
      </c>
      <c r="AB266" s="209">
        <v>27.058823529411764</v>
      </c>
      <c r="AC266" s="209">
        <v>18.421052631578949</v>
      </c>
      <c r="AD266" s="210">
        <v>13.75</v>
      </c>
      <c r="AE266" s="214">
        <v>300</v>
      </c>
      <c r="AF266" s="215">
        <v>183.33333333333334</v>
      </c>
      <c r="AG266" s="215">
        <v>100</v>
      </c>
      <c r="AH266" s="215">
        <v>76</v>
      </c>
      <c r="AI266" s="215">
        <v>60</v>
      </c>
      <c r="AJ266" s="215">
        <v>42.857142857142854</v>
      </c>
      <c r="AK266" s="215">
        <v>27.058823529411764</v>
      </c>
      <c r="AL266" s="215">
        <v>18.421052631578949</v>
      </c>
      <c r="AM266" s="216">
        <v>13.75</v>
      </c>
      <c r="AN266" s="214">
        <v>300</v>
      </c>
      <c r="AO266" s="215">
        <v>183.33333333333334</v>
      </c>
      <c r="AP266" s="215">
        <v>100</v>
      </c>
      <c r="AQ266" s="215">
        <v>76</v>
      </c>
      <c r="AR266" s="215">
        <v>60</v>
      </c>
      <c r="AS266" s="215">
        <v>42.857142857142854</v>
      </c>
      <c r="AT266" s="215">
        <v>27.058823529411764</v>
      </c>
      <c r="AU266" s="215">
        <v>18.421052631578949</v>
      </c>
      <c r="AV266" s="216">
        <v>13.75</v>
      </c>
      <c r="AW266" s="214">
        <v>300</v>
      </c>
      <c r="AX266" s="215">
        <v>183.33333333333334</v>
      </c>
      <c r="AY266" s="215">
        <v>100</v>
      </c>
      <c r="AZ266" s="215">
        <v>76</v>
      </c>
      <c r="BA266" s="215">
        <v>60</v>
      </c>
      <c r="BB266" s="215">
        <v>42.857142857142854</v>
      </c>
      <c r="BC266" s="215">
        <v>27.058823529411764</v>
      </c>
      <c r="BD266" s="215">
        <v>18.421052631578949</v>
      </c>
      <c r="BE266" s="216">
        <v>13.75</v>
      </c>
    </row>
    <row r="267" spans="1:58" x14ac:dyDescent="0.25">
      <c r="A267" s="331"/>
      <c r="B267" s="195" t="s">
        <v>172</v>
      </c>
      <c r="C267" s="195" t="s">
        <v>19</v>
      </c>
      <c r="D267" s="208">
        <v>0.35</v>
      </c>
      <c r="E267" s="209">
        <v>0.35</v>
      </c>
      <c r="F267" s="209">
        <v>0.35</v>
      </c>
      <c r="G267" s="209">
        <v>0.35</v>
      </c>
      <c r="H267" s="209">
        <v>0.35</v>
      </c>
      <c r="I267" s="209">
        <v>0.35</v>
      </c>
      <c r="J267" s="209">
        <v>0.35</v>
      </c>
      <c r="K267" s="209">
        <v>0.35</v>
      </c>
      <c r="L267" s="210">
        <v>0.35</v>
      </c>
      <c r="M267" s="208">
        <v>0.35</v>
      </c>
      <c r="N267" s="209">
        <v>0.35</v>
      </c>
      <c r="O267" s="209">
        <v>0.35</v>
      </c>
      <c r="P267" s="209">
        <v>0.35</v>
      </c>
      <c r="Q267" s="209">
        <v>0.35</v>
      </c>
      <c r="R267" s="209">
        <v>0.35</v>
      </c>
      <c r="S267" s="209">
        <v>0.35</v>
      </c>
      <c r="T267" s="209">
        <v>0.35</v>
      </c>
      <c r="U267" s="210">
        <v>0.35</v>
      </c>
      <c r="V267" s="208">
        <v>0</v>
      </c>
      <c r="W267" s="209">
        <v>0</v>
      </c>
      <c r="X267" s="209">
        <v>0</v>
      </c>
      <c r="Y267" s="209">
        <v>0</v>
      </c>
      <c r="Z267" s="209">
        <v>0</v>
      </c>
      <c r="AA267" s="209">
        <v>0</v>
      </c>
      <c r="AB267" s="209">
        <v>0</v>
      </c>
      <c r="AC267" s="209">
        <v>0</v>
      </c>
      <c r="AD267" s="210">
        <v>0</v>
      </c>
      <c r="AE267" s="217">
        <v>0</v>
      </c>
      <c r="AF267" s="218">
        <v>0</v>
      </c>
      <c r="AG267" s="218">
        <v>0</v>
      </c>
      <c r="AH267" s="218">
        <v>0</v>
      </c>
      <c r="AI267" s="218">
        <v>0</v>
      </c>
      <c r="AJ267" s="218">
        <v>0</v>
      </c>
      <c r="AK267" s="218">
        <v>0</v>
      </c>
      <c r="AL267" s="218">
        <v>0</v>
      </c>
      <c r="AM267" s="219">
        <v>0</v>
      </c>
      <c r="AN267" s="217">
        <v>0</v>
      </c>
      <c r="AO267" s="218">
        <v>0</v>
      </c>
      <c r="AP267" s="218">
        <v>0</v>
      </c>
      <c r="AQ267" s="218">
        <v>0</v>
      </c>
      <c r="AR267" s="218">
        <v>0</v>
      </c>
      <c r="AS267" s="218">
        <v>0</v>
      </c>
      <c r="AT267" s="218">
        <v>0</v>
      </c>
      <c r="AU267" s="218">
        <v>0</v>
      </c>
      <c r="AV267" s="219">
        <v>0</v>
      </c>
      <c r="AW267" s="217">
        <v>0</v>
      </c>
      <c r="AX267" s="218">
        <v>0</v>
      </c>
      <c r="AY267" s="218">
        <v>0</v>
      </c>
      <c r="AZ267" s="218">
        <v>0</v>
      </c>
      <c r="BA267" s="218">
        <v>0</v>
      </c>
      <c r="BB267" s="218">
        <v>0</v>
      </c>
      <c r="BC267" s="218">
        <v>0</v>
      </c>
      <c r="BD267" s="218">
        <v>0</v>
      </c>
      <c r="BE267" s="219">
        <v>0</v>
      </c>
    </row>
    <row r="268" spans="1:58" x14ac:dyDescent="0.25">
      <c r="A268" s="331"/>
      <c r="B268" s="195" t="s">
        <v>102</v>
      </c>
      <c r="C268" s="195" t="s">
        <v>8</v>
      </c>
      <c r="D268" s="208">
        <v>0</v>
      </c>
      <c r="E268" s="209">
        <v>0</v>
      </c>
      <c r="F268" s="209">
        <v>0</v>
      </c>
      <c r="G268" s="209">
        <v>0</v>
      </c>
      <c r="H268" s="209">
        <v>0</v>
      </c>
      <c r="I268" s="209">
        <v>0</v>
      </c>
      <c r="J268" s="209">
        <v>0</v>
      </c>
      <c r="K268" s="209">
        <v>0</v>
      </c>
      <c r="L268" s="210">
        <v>0</v>
      </c>
      <c r="M268" s="208">
        <v>0</v>
      </c>
      <c r="N268" s="209">
        <v>0</v>
      </c>
      <c r="O268" s="209">
        <v>0</v>
      </c>
      <c r="P268" s="209">
        <v>0</v>
      </c>
      <c r="Q268" s="209">
        <v>0</v>
      </c>
      <c r="R268" s="209">
        <v>0</v>
      </c>
      <c r="S268" s="209">
        <v>0</v>
      </c>
      <c r="T268" s="209">
        <v>0</v>
      </c>
      <c r="U268" s="210">
        <v>0</v>
      </c>
      <c r="V268" s="208">
        <v>0</v>
      </c>
      <c r="W268" s="209">
        <v>0</v>
      </c>
      <c r="X268" s="209">
        <v>0</v>
      </c>
      <c r="Y268" s="209">
        <v>0</v>
      </c>
      <c r="Z268" s="209">
        <v>0</v>
      </c>
      <c r="AA268" s="209">
        <v>0</v>
      </c>
      <c r="AB268" s="209">
        <v>0</v>
      </c>
      <c r="AC268" s="209">
        <v>0</v>
      </c>
      <c r="AD268" s="210">
        <v>0</v>
      </c>
      <c r="AE268" s="214">
        <v>0</v>
      </c>
      <c r="AF268" s="215">
        <v>0</v>
      </c>
      <c r="AG268" s="215">
        <v>0</v>
      </c>
      <c r="AH268" s="215">
        <v>0</v>
      </c>
      <c r="AI268" s="215">
        <v>0</v>
      </c>
      <c r="AJ268" s="215">
        <v>0</v>
      </c>
      <c r="AK268" s="215">
        <v>0</v>
      </c>
      <c r="AL268" s="215">
        <v>0</v>
      </c>
      <c r="AM268" s="216">
        <v>0</v>
      </c>
      <c r="AN268" s="214">
        <v>0</v>
      </c>
      <c r="AO268" s="215">
        <v>0</v>
      </c>
      <c r="AP268" s="215">
        <v>0</v>
      </c>
      <c r="AQ268" s="215">
        <v>0</v>
      </c>
      <c r="AR268" s="215">
        <v>0</v>
      </c>
      <c r="AS268" s="215">
        <v>0</v>
      </c>
      <c r="AT268" s="215">
        <v>0</v>
      </c>
      <c r="AU268" s="215">
        <v>0</v>
      </c>
      <c r="AV268" s="216">
        <v>0</v>
      </c>
      <c r="AW268" s="214">
        <v>0</v>
      </c>
      <c r="AX268" s="215">
        <v>0</v>
      </c>
      <c r="AY268" s="215">
        <v>0</v>
      </c>
      <c r="AZ268" s="215">
        <v>0</v>
      </c>
      <c r="BA268" s="215">
        <v>0</v>
      </c>
      <c r="BB268" s="215">
        <v>0</v>
      </c>
      <c r="BC268" s="215">
        <v>0</v>
      </c>
      <c r="BD268" s="215">
        <v>0</v>
      </c>
      <c r="BE268" s="216">
        <v>0</v>
      </c>
    </row>
    <row r="269" spans="1:58" x14ac:dyDescent="0.25">
      <c r="A269" s="331"/>
      <c r="B269" s="195" t="s">
        <v>103</v>
      </c>
      <c r="C269" s="195" t="s">
        <v>9</v>
      </c>
      <c r="D269" s="208"/>
      <c r="E269" s="209"/>
      <c r="F269" s="209"/>
      <c r="G269" s="209"/>
      <c r="H269" s="209"/>
      <c r="I269" s="209"/>
      <c r="J269" s="209"/>
      <c r="K269" s="209"/>
      <c r="L269" s="210"/>
      <c r="M269" s="208"/>
      <c r="N269" s="209"/>
      <c r="O269" s="209"/>
      <c r="P269" s="209"/>
      <c r="Q269" s="209"/>
      <c r="R269" s="209"/>
      <c r="S269" s="209"/>
      <c r="T269" s="209"/>
      <c r="U269" s="210"/>
      <c r="V269" s="208"/>
      <c r="W269" s="209"/>
      <c r="X269" s="209"/>
      <c r="Y269" s="209"/>
      <c r="Z269" s="209"/>
      <c r="AA269" s="209"/>
      <c r="AB269" s="209"/>
      <c r="AC269" s="209"/>
      <c r="AD269" s="210"/>
      <c r="AE269" s="211"/>
      <c r="AF269" s="212"/>
      <c r="AG269" s="212"/>
      <c r="AH269" s="212"/>
      <c r="AI269" s="212"/>
      <c r="AJ269" s="212"/>
      <c r="AK269" s="212"/>
      <c r="AL269" s="212"/>
      <c r="AM269" s="213"/>
      <c r="AN269" s="211"/>
      <c r="AO269" s="212"/>
      <c r="AP269" s="212"/>
      <c r="AQ269" s="212"/>
      <c r="AR269" s="212"/>
      <c r="AS269" s="212"/>
      <c r="AT269" s="212"/>
      <c r="AU269" s="212"/>
      <c r="AV269" s="213"/>
      <c r="AW269" s="211"/>
      <c r="AX269" s="212"/>
      <c r="AY269" s="212"/>
      <c r="AZ269" s="212"/>
      <c r="BA269" s="212"/>
      <c r="BB269" s="212"/>
      <c r="BC269" s="212"/>
      <c r="BD269" s="212"/>
      <c r="BE269" s="213"/>
    </row>
    <row r="270" spans="1:58" x14ac:dyDescent="0.25">
      <c r="A270" s="331"/>
      <c r="B270" s="195" t="s">
        <v>104</v>
      </c>
      <c r="C270" s="195" t="s">
        <v>10</v>
      </c>
      <c r="D270" s="208"/>
      <c r="E270" s="209"/>
      <c r="F270" s="209"/>
      <c r="G270" s="209"/>
      <c r="H270" s="209"/>
      <c r="I270" s="209"/>
      <c r="J270" s="209"/>
      <c r="K270" s="209"/>
      <c r="L270" s="210"/>
      <c r="M270" s="208"/>
      <c r="N270" s="209"/>
      <c r="O270" s="209"/>
      <c r="P270" s="209"/>
      <c r="Q270" s="209"/>
      <c r="R270" s="209"/>
      <c r="S270" s="209"/>
      <c r="T270" s="209"/>
      <c r="U270" s="210"/>
      <c r="V270" s="208"/>
      <c r="W270" s="209"/>
      <c r="X270" s="209"/>
      <c r="Y270" s="209"/>
      <c r="Z270" s="209"/>
      <c r="AA270" s="209"/>
      <c r="AB270" s="209"/>
      <c r="AC270" s="209"/>
      <c r="AD270" s="210"/>
      <c r="AE270" s="211"/>
      <c r="AF270" s="212"/>
      <c r="AG270" s="212"/>
      <c r="AH270" s="212"/>
      <c r="AI270" s="212"/>
      <c r="AJ270" s="212"/>
      <c r="AK270" s="212"/>
      <c r="AL270" s="212"/>
      <c r="AM270" s="213"/>
      <c r="AN270" s="211"/>
      <c r="AO270" s="212"/>
      <c r="AP270" s="212"/>
      <c r="AQ270" s="212"/>
      <c r="AR270" s="212"/>
      <c r="AS270" s="212"/>
      <c r="AT270" s="212"/>
      <c r="AU270" s="212"/>
      <c r="AV270" s="213"/>
      <c r="AW270" s="211"/>
      <c r="AX270" s="212"/>
      <c r="AY270" s="212"/>
      <c r="AZ270" s="212"/>
      <c r="BA270" s="212"/>
      <c r="BB270" s="212"/>
      <c r="BC270" s="212"/>
      <c r="BD270" s="212"/>
      <c r="BE270" s="213"/>
    </row>
    <row r="271" spans="1:58" x14ac:dyDescent="0.25">
      <c r="A271" s="331"/>
      <c r="B271" s="195" t="s">
        <v>11</v>
      </c>
      <c r="C271" s="195" t="s">
        <v>10</v>
      </c>
      <c r="D271" s="208"/>
      <c r="E271" s="209"/>
      <c r="F271" s="209"/>
      <c r="G271" s="209"/>
      <c r="H271" s="209"/>
      <c r="I271" s="209"/>
      <c r="J271" s="209"/>
      <c r="K271" s="209"/>
      <c r="L271" s="210"/>
      <c r="M271" s="208"/>
      <c r="N271" s="209"/>
      <c r="O271" s="209"/>
      <c r="P271" s="209"/>
      <c r="Q271" s="209"/>
      <c r="R271" s="209"/>
      <c r="S271" s="209"/>
      <c r="T271" s="209"/>
      <c r="U271" s="210"/>
      <c r="V271" s="208"/>
      <c r="W271" s="209"/>
      <c r="X271" s="209"/>
      <c r="Y271" s="209"/>
      <c r="Z271" s="209"/>
      <c r="AA271" s="209"/>
      <c r="AB271" s="209"/>
      <c r="AC271" s="209"/>
      <c r="AD271" s="210"/>
      <c r="AE271" s="211"/>
      <c r="AF271" s="212"/>
      <c r="AG271" s="212"/>
      <c r="AH271" s="212"/>
      <c r="AI271" s="212"/>
      <c r="AJ271" s="212"/>
      <c r="AK271" s="212"/>
      <c r="AL271" s="212"/>
      <c r="AM271" s="213"/>
      <c r="AN271" s="211"/>
      <c r="AO271" s="212"/>
      <c r="AP271" s="212"/>
      <c r="AQ271" s="212"/>
      <c r="AR271" s="212"/>
      <c r="AS271" s="212"/>
      <c r="AT271" s="212"/>
      <c r="AU271" s="212"/>
      <c r="AV271" s="213"/>
      <c r="AW271" s="211"/>
      <c r="AX271" s="212"/>
      <c r="AY271" s="212"/>
      <c r="AZ271" s="212"/>
      <c r="BA271" s="212"/>
      <c r="BB271" s="212"/>
      <c r="BC271" s="212"/>
      <c r="BD271" s="212"/>
      <c r="BE271" s="213"/>
    </row>
    <row r="272" spans="1:58" x14ac:dyDescent="0.25">
      <c r="A272" s="331"/>
      <c r="B272" s="195" t="s">
        <v>12</v>
      </c>
      <c r="C272" s="195" t="s">
        <v>7</v>
      </c>
      <c r="D272" s="208">
        <v>1</v>
      </c>
      <c r="E272" s="209">
        <v>1</v>
      </c>
      <c r="F272" s="209">
        <v>1</v>
      </c>
      <c r="G272" s="209">
        <v>1</v>
      </c>
      <c r="H272" s="209">
        <v>1</v>
      </c>
      <c r="I272" s="209">
        <v>1</v>
      </c>
      <c r="J272" s="209">
        <v>1</v>
      </c>
      <c r="K272" s="209">
        <v>1</v>
      </c>
      <c r="L272" s="210">
        <v>1</v>
      </c>
      <c r="M272" s="208">
        <v>1</v>
      </c>
      <c r="N272" s="209">
        <v>1</v>
      </c>
      <c r="O272" s="209">
        <v>1</v>
      </c>
      <c r="P272" s="209">
        <v>1</v>
      </c>
      <c r="Q272" s="209">
        <v>1</v>
      </c>
      <c r="R272" s="209">
        <v>1</v>
      </c>
      <c r="S272" s="209">
        <v>1</v>
      </c>
      <c r="T272" s="209">
        <v>1</v>
      </c>
      <c r="U272" s="210">
        <v>1</v>
      </c>
      <c r="V272" s="208">
        <v>1</v>
      </c>
      <c r="W272" s="209">
        <v>1</v>
      </c>
      <c r="X272" s="209">
        <v>1</v>
      </c>
      <c r="Y272" s="209">
        <v>1</v>
      </c>
      <c r="Z272" s="209">
        <v>1</v>
      </c>
      <c r="AA272" s="209">
        <v>1</v>
      </c>
      <c r="AB272" s="209">
        <v>1</v>
      </c>
      <c r="AC272" s="209">
        <v>1</v>
      </c>
      <c r="AD272" s="210">
        <v>1</v>
      </c>
      <c r="AE272" s="217">
        <v>1</v>
      </c>
      <c r="AF272" s="218">
        <v>1</v>
      </c>
      <c r="AG272" s="218">
        <v>1</v>
      </c>
      <c r="AH272" s="218">
        <v>1</v>
      </c>
      <c r="AI272" s="218">
        <v>1</v>
      </c>
      <c r="AJ272" s="218">
        <v>1</v>
      </c>
      <c r="AK272" s="218">
        <v>1</v>
      </c>
      <c r="AL272" s="218">
        <v>1</v>
      </c>
      <c r="AM272" s="219">
        <v>1</v>
      </c>
      <c r="AN272" s="217">
        <v>1</v>
      </c>
      <c r="AO272" s="218">
        <v>1</v>
      </c>
      <c r="AP272" s="218">
        <v>1</v>
      </c>
      <c r="AQ272" s="218">
        <v>1</v>
      </c>
      <c r="AR272" s="218">
        <v>1</v>
      </c>
      <c r="AS272" s="218">
        <v>1</v>
      </c>
      <c r="AT272" s="218">
        <v>1</v>
      </c>
      <c r="AU272" s="218">
        <v>1</v>
      </c>
      <c r="AV272" s="219">
        <v>1</v>
      </c>
      <c r="AW272" s="217">
        <v>1</v>
      </c>
      <c r="AX272" s="218">
        <v>1</v>
      </c>
      <c r="AY272" s="218">
        <v>1</v>
      </c>
      <c r="AZ272" s="218">
        <v>1</v>
      </c>
      <c r="BA272" s="218">
        <v>1</v>
      </c>
      <c r="BB272" s="218">
        <v>1</v>
      </c>
      <c r="BC272" s="218">
        <v>1</v>
      </c>
      <c r="BD272" s="218">
        <v>1</v>
      </c>
      <c r="BE272" s="219">
        <v>1</v>
      </c>
    </row>
    <row r="273" spans="1:58" x14ac:dyDescent="0.25">
      <c r="A273" s="331"/>
      <c r="B273" s="195" t="s">
        <v>13</v>
      </c>
      <c r="C273" s="195" t="s">
        <v>14</v>
      </c>
      <c r="D273" s="208">
        <v>20161.05</v>
      </c>
      <c r="E273" s="209">
        <v>20736.3</v>
      </c>
      <c r="F273" s="209">
        <v>22270.3</v>
      </c>
      <c r="G273" s="209">
        <v>24379.55</v>
      </c>
      <c r="H273" s="209">
        <v>27255.8</v>
      </c>
      <c r="I273" s="209">
        <v>33008.300000000003</v>
      </c>
      <c r="J273" s="209">
        <v>52183.3</v>
      </c>
      <c r="K273" s="209">
        <v>98768.8</v>
      </c>
      <c r="L273" s="210">
        <v>190105.68460000001</v>
      </c>
      <c r="M273" s="208">
        <v>20161.05</v>
      </c>
      <c r="N273" s="209">
        <v>20736.3</v>
      </c>
      <c r="O273" s="209">
        <v>22270.3</v>
      </c>
      <c r="P273" s="209">
        <v>24379.55</v>
      </c>
      <c r="Q273" s="209">
        <v>27255.8</v>
      </c>
      <c r="R273" s="209">
        <v>33008.300000000003</v>
      </c>
      <c r="S273" s="209">
        <v>52183.3</v>
      </c>
      <c r="T273" s="209">
        <v>98768.8</v>
      </c>
      <c r="U273" s="210">
        <v>190105.68460000001</v>
      </c>
      <c r="V273" s="208">
        <v>31017</v>
      </c>
      <c r="W273" s="209">
        <v>31902</v>
      </c>
      <c r="X273" s="209">
        <v>34262</v>
      </c>
      <c r="Y273" s="209">
        <v>37507</v>
      </c>
      <c r="Z273" s="209">
        <v>41932</v>
      </c>
      <c r="AA273" s="209">
        <v>50782</v>
      </c>
      <c r="AB273" s="209">
        <v>80282</v>
      </c>
      <c r="AC273" s="209">
        <v>151952</v>
      </c>
      <c r="AD273" s="210">
        <v>292470.28399999999</v>
      </c>
      <c r="AE273" s="214">
        <v>31017</v>
      </c>
      <c r="AF273" s="215">
        <v>31902</v>
      </c>
      <c r="AG273" s="215">
        <v>34262</v>
      </c>
      <c r="AH273" s="215">
        <v>37507</v>
      </c>
      <c r="AI273" s="215">
        <v>41932</v>
      </c>
      <c r="AJ273" s="215">
        <v>50782</v>
      </c>
      <c r="AK273" s="215">
        <v>80282</v>
      </c>
      <c r="AL273" s="215">
        <v>151952</v>
      </c>
      <c r="AM273" s="216">
        <v>292470.28399999999</v>
      </c>
      <c r="AN273" s="214">
        <v>31017</v>
      </c>
      <c r="AO273" s="215">
        <v>31902</v>
      </c>
      <c r="AP273" s="215">
        <v>34262</v>
      </c>
      <c r="AQ273" s="215">
        <v>37507</v>
      </c>
      <c r="AR273" s="215">
        <v>41932</v>
      </c>
      <c r="AS273" s="215">
        <v>50782</v>
      </c>
      <c r="AT273" s="215">
        <v>80282</v>
      </c>
      <c r="AU273" s="215">
        <v>151952</v>
      </c>
      <c r="AV273" s="216">
        <v>292470.28399999999</v>
      </c>
      <c r="AW273" s="214">
        <v>31017</v>
      </c>
      <c r="AX273" s="215">
        <v>31902</v>
      </c>
      <c r="AY273" s="215">
        <v>34262</v>
      </c>
      <c r="AZ273" s="215">
        <v>37507</v>
      </c>
      <c r="BA273" s="215">
        <v>41932</v>
      </c>
      <c r="BB273" s="215">
        <v>50782</v>
      </c>
      <c r="BC273" s="215">
        <v>80282</v>
      </c>
      <c r="BD273" s="215">
        <v>151952</v>
      </c>
      <c r="BE273" s="216">
        <v>292470.28399999999</v>
      </c>
    </row>
    <row r="274" spans="1:58" ht="15.75" thickBot="1" x14ac:dyDescent="0.3">
      <c r="A274" s="358"/>
      <c r="B274" s="359" t="s">
        <v>15</v>
      </c>
      <c r="C274" s="359" t="s">
        <v>4</v>
      </c>
      <c r="D274" s="360">
        <v>40</v>
      </c>
      <c r="E274" s="361">
        <v>40</v>
      </c>
      <c r="F274" s="361">
        <v>40</v>
      </c>
      <c r="G274" s="361">
        <v>40</v>
      </c>
      <c r="H274" s="361">
        <v>40</v>
      </c>
      <c r="I274" s="361">
        <v>40</v>
      </c>
      <c r="J274" s="361">
        <v>40</v>
      </c>
      <c r="K274" s="361">
        <v>40</v>
      </c>
      <c r="L274" s="362">
        <v>40</v>
      </c>
      <c r="M274" s="360">
        <v>40</v>
      </c>
      <c r="N274" s="361">
        <v>40</v>
      </c>
      <c r="O274" s="361">
        <v>40</v>
      </c>
      <c r="P274" s="361">
        <v>40</v>
      </c>
      <c r="Q274" s="361">
        <v>40</v>
      </c>
      <c r="R274" s="361">
        <v>40</v>
      </c>
      <c r="S274" s="361">
        <v>40</v>
      </c>
      <c r="T274" s="361">
        <v>40</v>
      </c>
      <c r="U274" s="362">
        <v>40</v>
      </c>
      <c r="V274" s="360">
        <v>40</v>
      </c>
      <c r="W274" s="361">
        <v>40</v>
      </c>
      <c r="X274" s="361">
        <v>40</v>
      </c>
      <c r="Y274" s="361">
        <v>40</v>
      </c>
      <c r="Z274" s="361">
        <v>40</v>
      </c>
      <c r="AA274" s="361">
        <v>40</v>
      </c>
      <c r="AB274" s="361">
        <v>40</v>
      </c>
      <c r="AC274" s="361">
        <v>40</v>
      </c>
      <c r="AD274" s="362">
        <v>40</v>
      </c>
      <c r="AE274" s="363">
        <v>40</v>
      </c>
      <c r="AF274" s="364">
        <v>40</v>
      </c>
      <c r="AG274" s="364">
        <v>40</v>
      </c>
      <c r="AH274" s="364">
        <v>40</v>
      </c>
      <c r="AI274" s="364">
        <v>40</v>
      </c>
      <c r="AJ274" s="364">
        <v>40</v>
      </c>
      <c r="AK274" s="364">
        <v>40</v>
      </c>
      <c r="AL274" s="364">
        <v>40</v>
      </c>
      <c r="AM274" s="365">
        <v>40</v>
      </c>
      <c r="AN274" s="363">
        <v>40</v>
      </c>
      <c r="AO274" s="364">
        <v>40</v>
      </c>
      <c r="AP274" s="364">
        <v>40</v>
      </c>
      <c r="AQ274" s="364">
        <v>40</v>
      </c>
      <c r="AR274" s="364">
        <v>40</v>
      </c>
      <c r="AS274" s="364">
        <v>40</v>
      </c>
      <c r="AT274" s="364">
        <v>40</v>
      </c>
      <c r="AU274" s="364">
        <v>40</v>
      </c>
      <c r="AV274" s="365">
        <v>40</v>
      </c>
      <c r="AW274" s="363">
        <v>40</v>
      </c>
      <c r="AX274" s="364">
        <v>40</v>
      </c>
      <c r="AY274" s="364">
        <v>40</v>
      </c>
      <c r="AZ274" s="364">
        <v>40</v>
      </c>
      <c r="BA274" s="364">
        <v>40</v>
      </c>
      <c r="BB274" s="364">
        <v>40</v>
      </c>
      <c r="BC274" s="364">
        <v>40</v>
      </c>
      <c r="BD274" s="364">
        <v>40</v>
      </c>
      <c r="BE274" s="365">
        <v>40</v>
      </c>
    </row>
    <row r="275" spans="1:58" x14ac:dyDescent="0.25">
      <c r="A275" s="339" t="s">
        <v>157</v>
      </c>
      <c r="B275" s="340" t="s">
        <v>101</v>
      </c>
      <c r="C275" s="340" t="s">
        <v>4</v>
      </c>
      <c r="D275" s="341">
        <v>40</v>
      </c>
      <c r="E275" s="342">
        <v>40</v>
      </c>
      <c r="F275" s="342">
        <v>40</v>
      </c>
      <c r="G275" s="342">
        <v>40</v>
      </c>
      <c r="H275" s="342">
        <v>40</v>
      </c>
      <c r="I275" s="342">
        <v>40</v>
      </c>
      <c r="J275" s="342">
        <v>40</v>
      </c>
      <c r="K275" s="342">
        <v>40</v>
      </c>
      <c r="L275" s="343">
        <v>40</v>
      </c>
      <c r="M275" s="341">
        <v>40</v>
      </c>
      <c r="N275" s="342">
        <v>40</v>
      </c>
      <c r="O275" s="342">
        <v>40</v>
      </c>
      <c r="P275" s="342">
        <v>40</v>
      </c>
      <c r="Q275" s="342">
        <v>40</v>
      </c>
      <c r="R275" s="342">
        <v>40</v>
      </c>
      <c r="S275" s="342">
        <v>40</v>
      </c>
      <c r="T275" s="342">
        <v>40</v>
      </c>
      <c r="U275" s="343">
        <v>40</v>
      </c>
      <c r="V275" s="341">
        <v>40</v>
      </c>
      <c r="W275" s="342">
        <v>40</v>
      </c>
      <c r="X275" s="342">
        <v>40</v>
      </c>
      <c r="Y275" s="342">
        <v>40</v>
      </c>
      <c r="Z275" s="342">
        <v>40</v>
      </c>
      <c r="AA275" s="342">
        <v>40</v>
      </c>
      <c r="AB275" s="342">
        <v>40</v>
      </c>
      <c r="AC275" s="342">
        <v>40</v>
      </c>
      <c r="AD275" s="343">
        <v>40</v>
      </c>
      <c r="AE275" s="344">
        <v>40</v>
      </c>
      <c r="AF275" s="345">
        <v>40</v>
      </c>
      <c r="AG275" s="345">
        <v>40</v>
      </c>
      <c r="AH275" s="345">
        <v>40</v>
      </c>
      <c r="AI275" s="345">
        <v>40</v>
      </c>
      <c r="AJ275" s="345">
        <v>40</v>
      </c>
      <c r="AK275" s="345">
        <v>40</v>
      </c>
      <c r="AL275" s="345">
        <v>40</v>
      </c>
      <c r="AM275" s="346">
        <v>40</v>
      </c>
      <c r="AN275" s="344">
        <v>40</v>
      </c>
      <c r="AO275" s="345">
        <v>40</v>
      </c>
      <c r="AP275" s="345">
        <v>40</v>
      </c>
      <c r="AQ275" s="345">
        <v>40</v>
      </c>
      <c r="AR275" s="345">
        <v>40</v>
      </c>
      <c r="AS275" s="345">
        <v>40</v>
      </c>
      <c r="AT275" s="345">
        <v>40</v>
      </c>
      <c r="AU275" s="345">
        <v>40</v>
      </c>
      <c r="AV275" s="346">
        <v>40</v>
      </c>
      <c r="AW275" s="344">
        <v>40</v>
      </c>
      <c r="AX275" s="345">
        <v>40</v>
      </c>
      <c r="AY275" s="345">
        <v>40</v>
      </c>
      <c r="AZ275" s="345">
        <v>40</v>
      </c>
      <c r="BA275" s="345">
        <v>40</v>
      </c>
      <c r="BB275" s="345">
        <v>40</v>
      </c>
      <c r="BC275" s="345">
        <v>40</v>
      </c>
      <c r="BD275" s="345">
        <v>40</v>
      </c>
      <c r="BE275" s="346">
        <v>40</v>
      </c>
      <c r="BF275" s="30"/>
    </row>
    <row r="276" spans="1:58" x14ac:dyDescent="0.25">
      <c r="A276" s="330"/>
      <c r="B276" s="193" t="s">
        <v>5</v>
      </c>
      <c r="C276" s="193" t="s">
        <v>6</v>
      </c>
      <c r="D276" s="196"/>
      <c r="E276" s="197"/>
      <c r="F276" s="197"/>
      <c r="G276" s="197"/>
      <c r="H276" s="197"/>
      <c r="I276" s="197"/>
      <c r="J276" s="197"/>
      <c r="K276" s="197"/>
      <c r="L276" s="198"/>
      <c r="M276" s="196"/>
      <c r="N276" s="197"/>
      <c r="O276" s="197"/>
      <c r="P276" s="197"/>
      <c r="Q276" s="197"/>
      <c r="R276" s="197"/>
      <c r="S276" s="197"/>
      <c r="T276" s="197"/>
      <c r="U276" s="198"/>
      <c r="V276" s="196"/>
      <c r="W276" s="197"/>
      <c r="X276" s="197"/>
      <c r="Y276" s="197"/>
      <c r="Z276" s="197"/>
      <c r="AA276" s="197"/>
      <c r="AB276" s="197"/>
      <c r="AC276" s="197"/>
      <c r="AD276" s="198"/>
      <c r="AE276" s="199"/>
      <c r="AF276" s="200"/>
      <c r="AG276" s="200"/>
      <c r="AH276" s="200"/>
      <c r="AI276" s="200"/>
      <c r="AJ276" s="200"/>
      <c r="AK276" s="200"/>
      <c r="AL276" s="200"/>
      <c r="AM276" s="201"/>
      <c r="AN276" s="199"/>
      <c r="AO276" s="200"/>
      <c r="AP276" s="200"/>
      <c r="AQ276" s="200"/>
      <c r="AR276" s="200"/>
      <c r="AS276" s="200"/>
      <c r="AT276" s="200"/>
      <c r="AU276" s="200"/>
      <c r="AV276" s="201"/>
      <c r="AW276" s="199"/>
      <c r="AX276" s="200"/>
      <c r="AY276" s="200"/>
      <c r="AZ276" s="200"/>
      <c r="BA276" s="200"/>
      <c r="BB276" s="200"/>
      <c r="BC276" s="200"/>
      <c r="BD276" s="200"/>
      <c r="BE276" s="201"/>
    </row>
    <row r="277" spans="1:58" x14ac:dyDescent="0.25">
      <c r="A277" s="330"/>
      <c r="B277" s="193" t="s">
        <v>172</v>
      </c>
      <c r="C277" s="193" t="s">
        <v>19</v>
      </c>
      <c r="D277" s="196">
        <v>0.35</v>
      </c>
      <c r="E277" s="197">
        <v>0.35</v>
      </c>
      <c r="F277" s="197">
        <v>0.35</v>
      </c>
      <c r="G277" s="197">
        <v>0.35</v>
      </c>
      <c r="H277" s="197">
        <v>0.35</v>
      </c>
      <c r="I277" s="197">
        <v>0.35</v>
      </c>
      <c r="J277" s="197">
        <v>0.35</v>
      </c>
      <c r="K277" s="197">
        <v>0.35</v>
      </c>
      <c r="L277" s="198">
        <v>0.35</v>
      </c>
      <c r="M277" s="196">
        <v>0.35</v>
      </c>
      <c r="N277" s="197">
        <v>0.35</v>
      </c>
      <c r="O277" s="197">
        <v>0.35</v>
      </c>
      <c r="P277" s="197">
        <v>0.35</v>
      </c>
      <c r="Q277" s="197">
        <v>0.35</v>
      </c>
      <c r="R277" s="197">
        <v>0.35</v>
      </c>
      <c r="S277" s="197">
        <v>0.35</v>
      </c>
      <c r="T277" s="197">
        <v>0.35</v>
      </c>
      <c r="U277" s="198">
        <v>0.35</v>
      </c>
      <c r="V277" s="196">
        <v>0</v>
      </c>
      <c r="W277" s="197">
        <v>0</v>
      </c>
      <c r="X277" s="197">
        <v>0</v>
      </c>
      <c r="Y277" s="197">
        <v>0</v>
      </c>
      <c r="Z277" s="197">
        <v>0</v>
      </c>
      <c r="AA277" s="197">
        <v>0</v>
      </c>
      <c r="AB277" s="197">
        <v>0</v>
      </c>
      <c r="AC277" s="197">
        <v>0</v>
      </c>
      <c r="AD277" s="198">
        <v>0</v>
      </c>
      <c r="AE277" s="205">
        <v>0</v>
      </c>
      <c r="AF277" s="206">
        <v>0</v>
      </c>
      <c r="AG277" s="206">
        <v>0</v>
      </c>
      <c r="AH277" s="206">
        <v>0</v>
      </c>
      <c r="AI277" s="206">
        <v>0</v>
      </c>
      <c r="AJ277" s="206">
        <v>0</v>
      </c>
      <c r="AK277" s="206">
        <v>0</v>
      </c>
      <c r="AL277" s="206">
        <v>0</v>
      </c>
      <c r="AM277" s="207">
        <v>0</v>
      </c>
      <c r="AN277" s="205">
        <v>0</v>
      </c>
      <c r="AO277" s="206">
        <v>0</v>
      </c>
      <c r="AP277" s="206">
        <v>0</v>
      </c>
      <c r="AQ277" s="206">
        <v>0</v>
      </c>
      <c r="AR277" s="206">
        <v>0</v>
      </c>
      <c r="AS277" s="206">
        <v>0</v>
      </c>
      <c r="AT277" s="206">
        <v>0</v>
      </c>
      <c r="AU277" s="206">
        <v>0</v>
      </c>
      <c r="AV277" s="207">
        <v>0</v>
      </c>
      <c r="AW277" s="205">
        <v>0</v>
      </c>
      <c r="AX277" s="206">
        <v>0</v>
      </c>
      <c r="AY277" s="206">
        <v>0</v>
      </c>
      <c r="AZ277" s="206">
        <v>0</v>
      </c>
      <c r="BA277" s="206">
        <v>0</v>
      </c>
      <c r="BB277" s="206">
        <v>0</v>
      </c>
      <c r="BC277" s="206">
        <v>0</v>
      </c>
      <c r="BD277" s="206">
        <v>0</v>
      </c>
      <c r="BE277" s="207">
        <v>0</v>
      </c>
    </row>
    <row r="278" spans="1:58" x14ac:dyDescent="0.25">
      <c r="A278" s="330"/>
      <c r="B278" s="193" t="s">
        <v>102</v>
      </c>
      <c r="C278" s="193" t="s">
        <v>8</v>
      </c>
      <c r="D278" s="196">
        <v>0</v>
      </c>
      <c r="E278" s="197">
        <v>0</v>
      </c>
      <c r="F278" s="197">
        <v>0</v>
      </c>
      <c r="G278" s="197">
        <v>0</v>
      </c>
      <c r="H278" s="197">
        <v>0</v>
      </c>
      <c r="I278" s="197">
        <v>0</v>
      </c>
      <c r="J278" s="197">
        <v>0</v>
      </c>
      <c r="K278" s="197">
        <v>0</v>
      </c>
      <c r="L278" s="198">
        <v>0</v>
      </c>
      <c r="M278" s="196">
        <v>0</v>
      </c>
      <c r="N278" s="197">
        <v>0</v>
      </c>
      <c r="O278" s="197">
        <v>0</v>
      </c>
      <c r="P278" s="197">
        <v>0</v>
      </c>
      <c r="Q278" s="197">
        <v>0</v>
      </c>
      <c r="R278" s="197">
        <v>0</v>
      </c>
      <c r="S278" s="197">
        <v>0</v>
      </c>
      <c r="T278" s="197">
        <v>0</v>
      </c>
      <c r="U278" s="198">
        <v>0</v>
      </c>
      <c r="V278" s="196">
        <v>0</v>
      </c>
      <c r="W278" s="197">
        <v>0</v>
      </c>
      <c r="X278" s="197">
        <v>0</v>
      </c>
      <c r="Y278" s="197">
        <v>0</v>
      </c>
      <c r="Z278" s="197">
        <v>0</v>
      </c>
      <c r="AA278" s="197">
        <v>0</v>
      </c>
      <c r="AB278" s="197">
        <v>0</v>
      </c>
      <c r="AC278" s="197">
        <v>0</v>
      </c>
      <c r="AD278" s="198">
        <v>0</v>
      </c>
      <c r="AE278" s="202">
        <v>0</v>
      </c>
      <c r="AF278" s="203">
        <v>0</v>
      </c>
      <c r="AG278" s="203">
        <v>0</v>
      </c>
      <c r="AH278" s="203">
        <v>0</v>
      </c>
      <c r="AI278" s="203">
        <v>0</v>
      </c>
      <c r="AJ278" s="203">
        <v>0</v>
      </c>
      <c r="AK278" s="203">
        <v>0</v>
      </c>
      <c r="AL278" s="203">
        <v>0</v>
      </c>
      <c r="AM278" s="204">
        <v>0</v>
      </c>
      <c r="AN278" s="202">
        <v>0</v>
      </c>
      <c r="AO278" s="203">
        <v>0</v>
      </c>
      <c r="AP278" s="203">
        <v>0</v>
      </c>
      <c r="AQ278" s="203">
        <v>0</v>
      </c>
      <c r="AR278" s="203">
        <v>0</v>
      </c>
      <c r="AS278" s="203">
        <v>0</v>
      </c>
      <c r="AT278" s="203">
        <v>0</v>
      </c>
      <c r="AU278" s="203">
        <v>0</v>
      </c>
      <c r="AV278" s="204">
        <v>0</v>
      </c>
      <c r="AW278" s="202">
        <v>0</v>
      </c>
      <c r="AX278" s="203">
        <v>0</v>
      </c>
      <c r="AY278" s="203">
        <v>0</v>
      </c>
      <c r="AZ278" s="203">
        <v>0</v>
      </c>
      <c r="BA278" s="203">
        <v>0</v>
      </c>
      <c r="BB278" s="203">
        <v>0</v>
      </c>
      <c r="BC278" s="203">
        <v>0</v>
      </c>
      <c r="BD278" s="203">
        <v>0</v>
      </c>
      <c r="BE278" s="204">
        <v>0</v>
      </c>
    </row>
    <row r="279" spans="1:58" x14ac:dyDescent="0.25">
      <c r="A279" s="330"/>
      <c r="B279" s="193" t="s">
        <v>103</v>
      </c>
      <c r="C279" s="193" t="s">
        <v>9</v>
      </c>
      <c r="D279" s="196"/>
      <c r="E279" s="197"/>
      <c r="F279" s="197"/>
      <c r="G279" s="197"/>
      <c r="H279" s="197"/>
      <c r="I279" s="197"/>
      <c r="J279" s="197"/>
      <c r="K279" s="197"/>
      <c r="L279" s="198"/>
      <c r="M279" s="196"/>
      <c r="N279" s="197"/>
      <c r="O279" s="197"/>
      <c r="P279" s="197"/>
      <c r="Q279" s="197"/>
      <c r="R279" s="197"/>
      <c r="S279" s="197"/>
      <c r="T279" s="197"/>
      <c r="U279" s="198"/>
      <c r="V279" s="196"/>
      <c r="W279" s="197"/>
      <c r="X279" s="197"/>
      <c r="Y279" s="197"/>
      <c r="Z279" s="197"/>
      <c r="AA279" s="197"/>
      <c r="AB279" s="197"/>
      <c r="AC279" s="197"/>
      <c r="AD279" s="198"/>
      <c r="AE279" s="199"/>
      <c r="AF279" s="200"/>
      <c r="AG279" s="200"/>
      <c r="AH279" s="200"/>
      <c r="AI279" s="200"/>
      <c r="AJ279" s="200"/>
      <c r="AK279" s="200"/>
      <c r="AL279" s="200"/>
      <c r="AM279" s="201"/>
      <c r="AN279" s="199"/>
      <c r="AO279" s="200"/>
      <c r="AP279" s="200"/>
      <c r="AQ279" s="200"/>
      <c r="AR279" s="200"/>
      <c r="AS279" s="200"/>
      <c r="AT279" s="200"/>
      <c r="AU279" s="200"/>
      <c r="AV279" s="201"/>
      <c r="AW279" s="199"/>
      <c r="AX279" s="200"/>
      <c r="AY279" s="200"/>
      <c r="AZ279" s="200"/>
      <c r="BA279" s="200"/>
      <c r="BB279" s="200"/>
      <c r="BC279" s="200"/>
      <c r="BD279" s="200"/>
      <c r="BE279" s="201"/>
    </row>
    <row r="280" spans="1:58" x14ac:dyDescent="0.25">
      <c r="A280" s="330"/>
      <c r="B280" s="193" t="s">
        <v>104</v>
      </c>
      <c r="C280" s="193" t="s">
        <v>10</v>
      </c>
      <c r="D280" s="196"/>
      <c r="E280" s="197"/>
      <c r="F280" s="197"/>
      <c r="G280" s="197"/>
      <c r="H280" s="197"/>
      <c r="I280" s="197"/>
      <c r="J280" s="197"/>
      <c r="K280" s="197"/>
      <c r="L280" s="198"/>
      <c r="M280" s="196"/>
      <c r="N280" s="197"/>
      <c r="O280" s="197"/>
      <c r="P280" s="197"/>
      <c r="Q280" s="197"/>
      <c r="R280" s="197"/>
      <c r="S280" s="197"/>
      <c r="T280" s="197"/>
      <c r="U280" s="198"/>
      <c r="V280" s="196"/>
      <c r="W280" s="197"/>
      <c r="X280" s="197"/>
      <c r="Y280" s="197"/>
      <c r="Z280" s="197"/>
      <c r="AA280" s="197"/>
      <c r="AB280" s="197"/>
      <c r="AC280" s="197"/>
      <c r="AD280" s="198"/>
      <c r="AE280" s="199"/>
      <c r="AF280" s="200"/>
      <c r="AG280" s="200"/>
      <c r="AH280" s="200"/>
      <c r="AI280" s="200"/>
      <c r="AJ280" s="200"/>
      <c r="AK280" s="200"/>
      <c r="AL280" s="200"/>
      <c r="AM280" s="201"/>
      <c r="AN280" s="199"/>
      <c r="AO280" s="200"/>
      <c r="AP280" s="200"/>
      <c r="AQ280" s="200"/>
      <c r="AR280" s="200"/>
      <c r="AS280" s="200"/>
      <c r="AT280" s="200"/>
      <c r="AU280" s="200"/>
      <c r="AV280" s="201"/>
      <c r="AW280" s="199"/>
      <c r="AX280" s="200"/>
      <c r="AY280" s="200"/>
      <c r="AZ280" s="200"/>
      <c r="BA280" s="200"/>
      <c r="BB280" s="200"/>
      <c r="BC280" s="200"/>
      <c r="BD280" s="200"/>
      <c r="BE280" s="201"/>
    </row>
    <row r="281" spans="1:58" x14ac:dyDescent="0.25">
      <c r="A281" s="330"/>
      <c r="B281" s="193" t="s">
        <v>11</v>
      </c>
      <c r="C281" s="193" t="s">
        <v>10</v>
      </c>
      <c r="D281" s="196"/>
      <c r="E281" s="197"/>
      <c r="F281" s="197"/>
      <c r="G281" s="197"/>
      <c r="H281" s="197"/>
      <c r="I281" s="197"/>
      <c r="J281" s="197"/>
      <c r="K281" s="197"/>
      <c r="L281" s="198"/>
      <c r="M281" s="196"/>
      <c r="N281" s="197"/>
      <c r="O281" s="197"/>
      <c r="P281" s="197"/>
      <c r="Q281" s="197"/>
      <c r="R281" s="197"/>
      <c r="S281" s="197"/>
      <c r="T281" s="197"/>
      <c r="U281" s="198"/>
      <c r="V281" s="196"/>
      <c r="W281" s="197"/>
      <c r="X281" s="197"/>
      <c r="Y281" s="197"/>
      <c r="Z281" s="197"/>
      <c r="AA281" s="197"/>
      <c r="AB281" s="197"/>
      <c r="AC281" s="197"/>
      <c r="AD281" s="198"/>
      <c r="AE281" s="199"/>
      <c r="AF281" s="200"/>
      <c r="AG281" s="200"/>
      <c r="AH281" s="200"/>
      <c r="AI281" s="200"/>
      <c r="AJ281" s="200"/>
      <c r="AK281" s="200"/>
      <c r="AL281" s="200"/>
      <c r="AM281" s="201"/>
      <c r="AN281" s="199"/>
      <c r="AO281" s="200"/>
      <c r="AP281" s="200"/>
      <c r="AQ281" s="200"/>
      <c r="AR281" s="200"/>
      <c r="AS281" s="200"/>
      <c r="AT281" s="200"/>
      <c r="AU281" s="200"/>
      <c r="AV281" s="201"/>
      <c r="AW281" s="199"/>
      <c r="AX281" s="200"/>
      <c r="AY281" s="200"/>
      <c r="AZ281" s="200"/>
      <c r="BA281" s="200"/>
      <c r="BB281" s="200"/>
      <c r="BC281" s="200"/>
      <c r="BD281" s="200"/>
      <c r="BE281" s="201"/>
    </row>
    <row r="282" spans="1:58" x14ac:dyDescent="0.25">
      <c r="A282" s="330"/>
      <c r="B282" s="193" t="s">
        <v>12</v>
      </c>
      <c r="C282" s="193" t="s">
        <v>7</v>
      </c>
      <c r="D282" s="196">
        <v>1</v>
      </c>
      <c r="E282" s="197">
        <v>1</v>
      </c>
      <c r="F282" s="197">
        <v>1</v>
      </c>
      <c r="G282" s="197">
        <v>1</v>
      </c>
      <c r="H282" s="197">
        <v>1</v>
      </c>
      <c r="I282" s="197">
        <v>1</v>
      </c>
      <c r="J282" s="197">
        <v>1</v>
      </c>
      <c r="K282" s="197">
        <v>1</v>
      </c>
      <c r="L282" s="198">
        <v>1</v>
      </c>
      <c r="M282" s="196">
        <v>1</v>
      </c>
      <c r="N282" s="197">
        <v>1</v>
      </c>
      <c r="O282" s="197">
        <v>1</v>
      </c>
      <c r="P282" s="197">
        <v>1</v>
      </c>
      <c r="Q282" s="197">
        <v>1</v>
      </c>
      <c r="R282" s="197">
        <v>1</v>
      </c>
      <c r="S282" s="197">
        <v>1</v>
      </c>
      <c r="T282" s="197">
        <v>1</v>
      </c>
      <c r="U282" s="198">
        <v>1</v>
      </c>
      <c r="V282" s="196">
        <v>1</v>
      </c>
      <c r="W282" s="197">
        <v>1</v>
      </c>
      <c r="X282" s="197">
        <v>1</v>
      </c>
      <c r="Y282" s="197">
        <v>1</v>
      </c>
      <c r="Z282" s="197">
        <v>1</v>
      </c>
      <c r="AA282" s="197">
        <v>1</v>
      </c>
      <c r="AB282" s="197">
        <v>1</v>
      </c>
      <c r="AC282" s="197">
        <v>1</v>
      </c>
      <c r="AD282" s="198">
        <v>1</v>
      </c>
      <c r="AE282" s="205">
        <v>1</v>
      </c>
      <c r="AF282" s="206">
        <v>1</v>
      </c>
      <c r="AG282" s="206">
        <v>1</v>
      </c>
      <c r="AH282" s="206">
        <v>1</v>
      </c>
      <c r="AI282" s="206">
        <v>1</v>
      </c>
      <c r="AJ282" s="206">
        <v>1</v>
      </c>
      <c r="AK282" s="206">
        <v>1</v>
      </c>
      <c r="AL282" s="206">
        <v>1</v>
      </c>
      <c r="AM282" s="207">
        <v>1</v>
      </c>
      <c r="AN282" s="205">
        <v>1</v>
      </c>
      <c r="AO282" s="206">
        <v>1</v>
      </c>
      <c r="AP282" s="206">
        <v>1</v>
      </c>
      <c r="AQ282" s="206">
        <v>1</v>
      </c>
      <c r="AR282" s="206">
        <v>1</v>
      </c>
      <c r="AS282" s="206">
        <v>1</v>
      </c>
      <c r="AT282" s="206">
        <v>1</v>
      </c>
      <c r="AU282" s="206">
        <v>1</v>
      </c>
      <c r="AV282" s="207">
        <v>1</v>
      </c>
      <c r="AW282" s="205">
        <v>1</v>
      </c>
      <c r="AX282" s="206">
        <v>1</v>
      </c>
      <c r="AY282" s="206">
        <v>1</v>
      </c>
      <c r="AZ282" s="206">
        <v>1</v>
      </c>
      <c r="BA282" s="206">
        <v>1</v>
      </c>
      <c r="BB282" s="206">
        <v>1</v>
      </c>
      <c r="BC282" s="206">
        <v>1</v>
      </c>
      <c r="BD282" s="206">
        <v>1</v>
      </c>
      <c r="BE282" s="207">
        <v>1</v>
      </c>
    </row>
    <row r="283" spans="1:58" x14ac:dyDescent="0.25">
      <c r="A283" s="330"/>
      <c r="B283" s="193" t="s">
        <v>13</v>
      </c>
      <c r="C283" s="193" t="s">
        <v>14</v>
      </c>
      <c r="D283" s="196">
        <v>59966.789999999994</v>
      </c>
      <c r="E283" s="197">
        <v>60249.539999999994</v>
      </c>
      <c r="F283" s="197">
        <v>61003.539999999994</v>
      </c>
      <c r="G283" s="197">
        <v>62040.289999999994</v>
      </c>
      <c r="H283" s="197">
        <v>63454.039999999994</v>
      </c>
      <c r="I283" s="197">
        <v>66281.539999999994</v>
      </c>
      <c r="J283" s="197">
        <v>75706.539999999994</v>
      </c>
      <c r="K283" s="197">
        <v>95499.04</v>
      </c>
      <c r="L283" s="198">
        <v>135084.03999999998</v>
      </c>
      <c r="M283" s="196">
        <v>59966.789999999994</v>
      </c>
      <c r="N283" s="197">
        <v>60249.539999999994</v>
      </c>
      <c r="O283" s="197">
        <v>61003.539999999994</v>
      </c>
      <c r="P283" s="197">
        <v>62040.289999999994</v>
      </c>
      <c r="Q283" s="197">
        <v>63454.039999999994</v>
      </c>
      <c r="R283" s="197">
        <v>66281.539999999994</v>
      </c>
      <c r="S283" s="197">
        <v>75706.539999999994</v>
      </c>
      <c r="T283" s="197">
        <v>95499.04</v>
      </c>
      <c r="U283" s="198">
        <v>135084.03999999998</v>
      </c>
      <c r="V283" s="196">
        <v>92256.599999999991</v>
      </c>
      <c r="W283" s="197">
        <v>92691.599999999991</v>
      </c>
      <c r="X283" s="197">
        <v>93851.599999999991</v>
      </c>
      <c r="Y283" s="197">
        <v>95446.599999999991</v>
      </c>
      <c r="Z283" s="197">
        <v>97621.599999999991</v>
      </c>
      <c r="AA283" s="197">
        <v>101971.59999999999</v>
      </c>
      <c r="AB283" s="197">
        <v>116471.59999999999</v>
      </c>
      <c r="AC283" s="197">
        <v>146921.59999999998</v>
      </c>
      <c r="AD283" s="198">
        <v>207821.59999999998</v>
      </c>
      <c r="AE283" s="202">
        <v>92256.599999999991</v>
      </c>
      <c r="AF283" s="203">
        <v>92691.599999999991</v>
      </c>
      <c r="AG283" s="203">
        <v>93851.599999999991</v>
      </c>
      <c r="AH283" s="203">
        <v>95446.599999999991</v>
      </c>
      <c r="AI283" s="203">
        <v>97621.599999999991</v>
      </c>
      <c r="AJ283" s="203">
        <v>101971.59999999999</v>
      </c>
      <c r="AK283" s="203">
        <v>116471.59999999999</v>
      </c>
      <c r="AL283" s="203">
        <v>146921.59999999998</v>
      </c>
      <c r="AM283" s="204">
        <v>207821.59999999998</v>
      </c>
      <c r="AN283" s="202">
        <v>92256.599999999991</v>
      </c>
      <c r="AO283" s="203">
        <v>92691.599999999991</v>
      </c>
      <c r="AP283" s="203">
        <v>93851.599999999991</v>
      </c>
      <c r="AQ283" s="203">
        <v>95446.599999999991</v>
      </c>
      <c r="AR283" s="203">
        <v>97621.599999999991</v>
      </c>
      <c r="AS283" s="203">
        <v>101971.59999999999</v>
      </c>
      <c r="AT283" s="203">
        <v>116471.59999999999</v>
      </c>
      <c r="AU283" s="203">
        <v>146921.59999999998</v>
      </c>
      <c r="AV283" s="204">
        <v>207821.59999999998</v>
      </c>
      <c r="AW283" s="202">
        <v>92256.599999999991</v>
      </c>
      <c r="AX283" s="203">
        <v>92691.599999999991</v>
      </c>
      <c r="AY283" s="203">
        <v>93851.599999999991</v>
      </c>
      <c r="AZ283" s="203">
        <v>95446.599999999991</v>
      </c>
      <c r="BA283" s="203">
        <v>97621.599999999991</v>
      </c>
      <c r="BB283" s="203">
        <v>101971.59999999999</v>
      </c>
      <c r="BC283" s="203">
        <v>116471.59999999999</v>
      </c>
      <c r="BD283" s="203">
        <v>146921.59999999998</v>
      </c>
      <c r="BE283" s="204">
        <v>207821.59999999998</v>
      </c>
    </row>
    <row r="284" spans="1:58" ht="15.75" thickBot="1" x14ac:dyDescent="0.3">
      <c r="A284" s="332"/>
      <c r="B284" s="194" t="s">
        <v>15</v>
      </c>
      <c r="C284" s="194" t="s">
        <v>4</v>
      </c>
      <c r="D284" s="238">
        <v>40</v>
      </c>
      <c r="E284" s="239">
        <v>40</v>
      </c>
      <c r="F284" s="239">
        <v>40</v>
      </c>
      <c r="G284" s="239">
        <v>40</v>
      </c>
      <c r="H284" s="239">
        <v>40</v>
      </c>
      <c r="I284" s="239">
        <v>40</v>
      </c>
      <c r="J284" s="239">
        <v>40</v>
      </c>
      <c r="K284" s="239">
        <v>40</v>
      </c>
      <c r="L284" s="240">
        <v>40</v>
      </c>
      <c r="M284" s="238">
        <v>40</v>
      </c>
      <c r="N284" s="239">
        <v>40</v>
      </c>
      <c r="O284" s="239">
        <v>40</v>
      </c>
      <c r="P284" s="239">
        <v>40</v>
      </c>
      <c r="Q284" s="239">
        <v>40</v>
      </c>
      <c r="R284" s="239">
        <v>40</v>
      </c>
      <c r="S284" s="239">
        <v>40</v>
      </c>
      <c r="T284" s="239">
        <v>40</v>
      </c>
      <c r="U284" s="240">
        <v>40</v>
      </c>
      <c r="V284" s="238">
        <v>40</v>
      </c>
      <c r="W284" s="239">
        <v>40</v>
      </c>
      <c r="X284" s="239">
        <v>40</v>
      </c>
      <c r="Y284" s="239">
        <v>40</v>
      </c>
      <c r="Z284" s="239">
        <v>40</v>
      </c>
      <c r="AA284" s="239">
        <v>40</v>
      </c>
      <c r="AB284" s="239">
        <v>40</v>
      </c>
      <c r="AC284" s="239">
        <v>40</v>
      </c>
      <c r="AD284" s="240">
        <v>40</v>
      </c>
      <c r="AE284" s="241">
        <v>40</v>
      </c>
      <c r="AF284" s="242">
        <v>40</v>
      </c>
      <c r="AG284" s="242">
        <v>40</v>
      </c>
      <c r="AH284" s="242">
        <v>40</v>
      </c>
      <c r="AI284" s="242">
        <v>40</v>
      </c>
      <c r="AJ284" s="242">
        <v>40</v>
      </c>
      <c r="AK284" s="242">
        <v>40</v>
      </c>
      <c r="AL284" s="242">
        <v>40</v>
      </c>
      <c r="AM284" s="243">
        <v>40</v>
      </c>
      <c r="AN284" s="241">
        <v>40</v>
      </c>
      <c r="AO284" s="242">
        <v>40</v>
      </c>
      <c r="AP284" s="242">
        <v>40</v>
      </c>
      <c r="AQ284" s="242">
        <v>40</v>
      </c>
      <c r="AR284" s="242">
        <v>40</v>
      </c>
      <c r="AS284" s="242">
        <v>40</v>
      </c>
      <c r="AT284" s="242">
        <v>40</v>
      </c>
      <c r="AU284" s="242">
        <v>40</v>
      </c>
      <c r="AV284" s="243">
        <v>40</v>
      </c>
      <c r="AW284" s="241">
        <v>40</v>
      </c>
      <c r="AX284" s="242">
        <v>40</v>
      </c>
      <c r="AY284" s="242">
        <v>40</v>
      </c>
      <c r="AZ284" s="242">
        <v>40</v>
      </c>
      <c r="BA284" s="242">
        <v>40</v>
      </c>
      <c r="BB284" s="242">
        <v>40</v>
      </c>
      <c r="BC284" s="242">
        <v>40</v>
      </c>
      <c r="BD284" s="242">
        <v>40</v>
      </c>
      <c r="BE284" s="243">
        <v>40</v>
      </c>
    </row>
  </sheetData>
  <mergeCells count="23">
    <mergeCell ref="M2:U2"/>
    <mergeCell ref="V2:AD2"/>
    <mergeCell ref="AE2:AM2"/>
    <mergeCell ref="AN2:AV2"/>
    <mergeCell ref="AW2:BE2"/>
    <mergeCell ref="A200:A220"/>
    <mergeCell ref="A221:A242"/>
    <mergeCell ref="A243:A264"/>
    <mergeCell ref="A265:A274"/>
    <mergeCell ref="A275:A284"/>
    <mergeCell ref="D2:L2"/>
    <mergeCell ref="A70:A82"/>
    <mergeCell ref="A83:A95"/>
    <mergeCell ref="A96:A120"/>
    <mergeCell ref="A121:A149"/>
    <mergeCell ref="A150:A178"/>
    <mergeCell ref="A179:A199"/>
    <mergeCell ref="A4:A13"/>
    <mergeCell ref="A14:A23"/>
    <mergeCell ref="A24:A34"/>
    <mergeCell ref="A35:A45"/>
    <mergeCell ref="A46:A56"/>
    <mergeCell ref="A57:A69"/>
  </mergeCell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759B6-5AFE-40AF-ABD8-2BAC694CB40C}">
  <dimension ref="A1:T31"/>
  <sheetViews>
    <sheetView workbookViewId="0">
      <selection activeCell="M16" sqref="M16"/>
    </sheetView>
  </sheetViews>
  <sheetFormatPr baseColWidth="10" defaultRowHeight="15" x14ac:dyDescent="0.25"/>
  <cols>
    <col min="1" max="1" width="9.42578125" bestFit="1" customWidth="1"/>
    <col min="2" max="2" width="17.28515625" bestFit="1" customWidth="1"/>
    <col min="3" max="3" width="9.42578125" bestFit="1" customWidth="1"/>
    <col min="4" max="4" width="22.7109375" bestFit="1" customWidth="1"/>
    <col min="7" max="7" width="9.42578125" bestFit="1" customWidth="1"/>
    <col min="8" max="8" width="17.28515625" bestFit="1" customWidth="1"/>
    <col min="9" max="9" width="9.42578125" bestFit="1" customWidth="1"/>
    <col min="10" max="10" width="22.7109375" bestFit="1" customWidth="1"/>
  </cols>
  <sheetData>
    <row r="1" spans="1:20" s="30" customFormat="1" x14ac:dyDescent="0.25">
      <c r="B1" s="336" t="s">
        <v>359</v>
      </c>
    </row>
    <row r="2" spans="1:20" x14ac:dyDescent="0.25">
      <c r="A2" s="333" t="s">
        <v>52</v>
      </c>
      <c r="B2" s="333" t="s">
        <v>357</v>
      </c>
      <c r="C2" s="333"/>
      <c r="D2" s="333" t="s">
        <v>358</v>
      </c>
      <c r="E2" s="333"/>
      <c r="F2" s="333"/>
      <c r="G2" s="333" t="s">
        <v>57</v>
      </c>
      <c r="H2" s="333" t="s">
        <v>357</v>
      </c>
      <c r="I2" s="333"/>
      <c r="J2" s="333" t="s">
        <v>358</v>
      </c>
      <c r="L2" s="335"/>
    </row>
    <row r="3" spans="1:20" x14ac:dyDescent="0.25">
      <c r="A3" t="s">
        <v>328</v>
      </c>
      <c r="B3" s="60">
        <v>60.477118254399997</v>
      </c>
      <c r="C3" s="60" t="s">
        <v>328</v>
      </c>
      <c r="D3" s="60">
        <v>35.286181321599997</v>
      </c>
      <c r="E3" s="60">
        <f>AVERAGE(B3:B4)</f>
        <v>66.185176997599996</v>
      </c>
      <c r="F3" s="60">
        <f>AVERAGE(D3:D4)</f>
        <v>36.937272693599994</v>
      </c>
      <c r="G3" s="60" t="s">
        <v>328</v>
      </c>
      <c r="H3" s="60">
        <v>202.65967240320001</v>
      </c>
      <c r="I3" s="60" t="s">
        <v>328</v>
      </c>
      <c r="J3" s="60">
        <v>90.479807185599995</v>
      </c>
      <c r="K3" s="60">
        <f>AVERAGE(H3:H4)</f>
        <v>204.87685224559999</v>
      </c>
      <c r="L3" s="60">
        <f>AVERAGE(J3:J4)</f>
        <v>90.385459107199978</v>
      </c>
      <c r="N3" s="30"/>
      <c r="Q3" s="30"/>
      <c r="R3" s="30"/>
      <c r="T3" s="30"/>
    </row>
    <row r="4" spans="1:20" x14ac:dyDescent="0.25">
      <c r="A4" t="s">
        <v>329</v>
      </c>
      <c r="B4" s="60">
        <v>71.893235740799994</v>
      </c>
      <c r="C4" s="60" t="s">
        <v>329</v>
      </c>
      <c r="D4" s="60">
        <v>38.588364065599997</v>
      </c>
      <c r="E4" s="60"/>
      <c r="F4" s="60"/>
      <c r="G4" s="60" t="s">
        <v>329</v>
      </c>
      <c r="H4" s="60">
        <v>207.09403208799998</v>
      </c>
      <c r="I4" s="60" t="s">
        <v>329</v>
      </c>
      <c r="J4" s="60">
        <v>90.291111028799975</v>
      </c>
      <c r="K4" s="60"/>
      <c r="L4" s="60"/>
      <c r="N4" s="30"/>
      <c r="Q4" s="30"/>
      <c r="R4" s="30"/>
      <c r="T4" s="30"/>
    </row>
    <row r="5" spans="1:20" x14ac:dyDescent="0.25">
      <c r="A5" t="s">
        <v>330</v>
      </c>
      <c r="B5" s="60">
        <v>61.13755480319999</v>
      </c>
      <c r="C5" s="60" t="s">
        <v>330</v>
      </c>
      <c r="D5" s="60">
        <v>33.870960145600002</v>
      </c>
      <c r="E5" s="60">
        <f>AVERAGE(B5:B6)</f>
        <v>58.354286490399993</v>
      </c>
      <c r="F5" s="60">
        <f>AVERAGE(D5:D6)</f>
        <v>32.455738969599999</v>
      </c>
      <c r="G5" s="60" t="s">
        <v>330</v>
      </c>
      <c r="H5" s="60">
        <v>215.30231490879999</v>
      </c>
      <c r="I5" s="60" t="s">
        <v>330</v>
      </c>
      <c r="J5" s="60">
        <v>94.536774556799998</v>
      </c>
      <c r="K5" s="60">
        <f>AVERAGE(H5:H6)</f>
        <v>215.86840337919998</v>
      </c>
      <c r="L5" s="60">
        <f>AVERAGE(J5:J6)</f>
        <v>94.772644752800005</v>
      </c>
      <c r="N5" s="30"/>
      <c r="Q5" s="30"/>
      <c r="R5" s="30"/>
      <c r="T5" s="30"/>
    </row>
    <row r="6" spans="1:20" x14ac:dyDescent="0.25">
      <c r="A6" t="s">
        <v>331</v>
      </c>
      <c r="B6" s="60">
        <v>55.571018177599996</v>
      </c>
      <c r="C6" s="60" t="s">
        <v>331</v>
      </c>
      <c r="D6" s="60">
        <v>31.040517793599999</v>
      </c>
      <c r="E6" s="60"/>
      <c r="F6" s="60"/>
      <c r="G6" s="60" t="s">
        <v>331</v>
      </c>
      <c r="H6" s="60">
        <v>216.43449184959997</v>
      </c>
      <c r="I6" s="60" t="s">
        <v>331</v>
      </c>
      <c r="J6" s="60">
        <v>95.008514948799998</v>
      </c>
      <c r="K6" s="60"/>
      <c r="L6" s="60"/>
      <c r="N6" s="30"/>
      <c r="Q6" s="30"/>
      <c r="R6" s="30"/>
      <c r="T6" s="30"/>
    </row>
    <row r="7" spans="1:20" x14ac:dyDescent="0.25">
      <c r="A7" t="s">
        <v>332</v>
      </c>
      <c r="B7" s="60">
        <v>53.306664296000001</v>
      </c>
      <c r="C7" s="60" t="s">
        <v>332</v>
      </c>
      <c r="D7" s="60">
        <v>31.323562028799998</v>
      </c>
      <c r="E7" s="60">
        <f>AVERAGE(B7:B8)</f>
        <v>53.589708531200003</v>
      </c>
      <c r="F7" s="60">
        <f>AVERAGE(D7:D8)</f>
        <v>32.078346655999994</v>
      </c>
      <c r="G7" s="60" t="s">
        <v>332</v>
      </c>
      <c r="H7" s="60">
        <v>224.07668619999998</v>
      </c>
      <c r="I7" s="60" t="s">
        <v>332</v>
      </c>
      <c r="J7" s="60">
        <v>93.687641851199999</v>
      </c>
      <c r="K7" s="60">
        <f>AVERAGE(H7:H8)</f>
        <v>227.04865066959997</v>
      </c>
      <c r="L7" s="60">
        <f>AVERAGE(J7:J8)</f>
        <v>96.753954399199998</v>
      </c>
      <c r="N7" s="30"/>
      <c r="Q7" s="30"/>
      <c r="R7" s="30"/>
      <c r="T7" s="30"/>
    </row>
    <row r="8" spans="1:20" x14ac:dyDescent="0.25">
      <c r="A8" t="s">
        <v>333</v>
      </c>
      <c r="B8" s="60">
        <v>53.872752766399998</v>
      </c>
      <c r="C8" s="60" t="s">
        <v>333</v>
      </c>
      <c r="D8" s="60">
        <v>32.833131283199997</v>
      </c>
      <c r="E8" s="60"/>
      <c r="F8" s="60"/>
      <c r="G8" s="60" t="s">
        <v>333</v>
      </c>
      <c r="H8" s="60">
        <v>230.02061513919998</v>
      </c>
      <c r="I8" s="60" t="s">
        <v>333</v>
      </c>
      <c r="J8" s="60">
        <v>99.820266947199997</v>
      </c>
      <c r="K8" s="60"/>
      <c r="L8" s="60"/>
      <c r="N8" s="30"/>
      <c r="Q8" s="30"/>
      <c r="R8" s="30"/>
      <c r="T8" s="30"/>
    </row>
    <row r="9" spans="1:20" x14ac:dyDescent="0.25">
      <c r="A9" t="s">
        <v>334</v>
      </c>
      <c r="B9" s="60">
        <v>55.476670099199993</v>
      </c>
      <c r="C9" s="60" t="s">
        <v>334</v>
      </c>
      <c r="D9" s="60">
        <v>34.059656302400001</v>
      </c>
      <c r="E9" s="60">
        <f>AVERAGE(B9:B10)</f>
        <v>57.9297201376</v>
      </c>
      <c r="F9" s="60">
        <f>AVERAGE(D9:D10)</f>
        <v>34.106830341600002</v>
      </c>
      <c r="G9" s="60" t="s">
        <v>334</v>
      </c>
      <c r="H9" s="60">
        <v>238.51194219519999</v>
      </c>
      <c r="I9" s="60" t="s">
        <v>334</v>
      </c>
      <c r="J9" s="60">
        <v>105.7641958864</v>
      </c>
      <c r="K9" s="60">
        <f>AVERAGE(H9:H10)</f>
        <v>238.6534643128</v>
      </c>
      <c r="L9" s="60">
        <f>AVERAGE(J9:J10)</f>
        <v>106.613328592</v>
      </c>
      <c r="N9" s="30"/>
      <c r="Q9" s="30"/>
      <c r="R9" s="30"/>
      <c r="T9" s="30"/>
    </row>
    <row r="10" spans="1:20" x14ac:dyDescent="0.25">
      <c r="A10" t="s">
        <v>335</v>
      </c>
      <c r="B10" s="60">
        <v>60.382770176000001</v>
      </c>
      <c r="C10" s="60" t="s">
        <v>335</v>
      </c>
      <c r="D10" s="60">
        <v>34.154004380799996</v>
      </c>
      <c r="E10" s="60"/>
      <c r="F10" s="60"/>
      <c r="G10" s="60" t="s">
        <v>335</v>
      </c>
      <c r="H10" s="60">
        <v>238.79498643039997</v>
      </c>
      <c r="I10" s="60" t="s">
        <v>335</v>
      </c>
      <c r="J10" s="60">
        <v>107.4624612976</v>
      </c>
      <c r="K10" s="60"/>
      <c r="L10" s="60"/>
      <c r="N10" s="30"/>
      <c r="Q10" s="30"/>
      <c r="R10" s="30"/>
      <c r="T10" s="30"/>
    </row>
    <row r="11" spans="1:20" x14ac:dyDescent="0.25">
      <c r="A11" t="s">
        <v>336</v>
      </c>
      <c r="B11" s="60">
        <v>60.099725940800006</v>
      </c>
      <c r="C11" s="60" t="s">
        <v>336</v>
      </c>
      <c r="D11" s="60">
        <v>32.550087048000002</v>
      </c>
      <c r="E11" s="60">
        <f>AVERAGE(B11:B12)</f>
        <v>60.618640372000002</v>
      </c>
      <c r="F11" s="60">
        <f>AVERAGE(D11:D12)</f>
        <v>32.738783204800001</v>
      </c>
      <c r="G11" s="60" t="s">
        <v>336</v>
      </c>
      <c r="H11" s="60">
        <v>244.83326344799997</v>
      </c>
      <c r="I11" s="60" t="s">
        <v>336</v>
      </c>
      <c r="J11" s="60">
        <v>108.028549768</v>
      </c>
      <c r="K11" s="60">
        <f>AVERAGE(H11:H12)</f>
        <v>248.65436062319998</v>
      </c>
      <c r="L11" s="60">
        <f>AVERAGE(J11:J12)</f>
        <v>109.16072670880001</v>
      </c>
      <c r="N11" s="30"/>
      <c r="Q11" s="30"/>
      <c r="R11" s="30"/>
      <c r="T11" s="30"/>
    </row>
    <row r="12" spans="1:20" x14ac:dyDescent="0.25">
      <c r="A12" t="s">
        <v>337</v>
      </c>
      <c r="B12" s="60">
        <v>61.13755480319999</v>
      </c>
      <c r="C12" s="60" t="s">
        <v>337</v>
      </c>
      <c r="D12" s="60">
        <v>32.9274793616</v>
      </c>
      <c r="E12" s="60"/>
      <c r="F12" s="60"/>
      <c r="G12" s="60" t="s">
        <v>337</v>
      </c>
      <c r="H12" s="60">
        <v>252.47545779840002</v>
      </c>
      <c r="I12" s="60" t="s">
        <v>337</v>
      </c>
      <c r="J12" s="60">
        <v>110.29290364960001</v>
      </c>
      <c r="K12" s="60"/>
      <c r="L12" s="60"/>
      <c r="N12" s="30"/>
      <c r="Q12" s="30"/>
      <c r="R12" s="30"/>
      <c r="T12" s="30"/>
    </row>
    <row r="13" spans="1:20" x14ac:dyDescent="0.25">
      <c r="A13" t="s">
        <v>338</v>
      </c>
      <c r="B13" s="60">
        <v>62.364079822400001</v>
      </c>
      <c r="C13" s="60" t="s">
        <v>338</v>
      </c>
      <c r="D13" s="60">
        <v>35.003137086399995</v>
      </c>
      <c r="E13" s="60">
        <f>AVERAGE(B13:B14)</f>
        <v>63.684952920000001</v>
      </c>
      <c r="F13" s="60">
        <f>AVERAGE(D13:D14)</f>
        <v>35.427703439199995</v>
      </c>
      <c r="G13" s="60" t="s">
        <v>338</v>
      </c>
      <c r="H13" s="60">
        <v>275.40204084959998</v>
      </c>
      <c r="I13" s="60" t="s">
        <v>338</v>
      </c>
      <c r="J13" s="60">
        <v>120.57684419519998</v>
      </c>
      <c r="K13" s="60">
        <f>AVERAGE(H13:H14)</f>
        <v>275.49638892799999</v>
      </c>
      <c r="L13" s="60">
        <f>AVERAGE(J13:J14)</f>
        <v>120.34097399919999</v>
      </c>
      <c r="N13" s="30"/>
      <c r="Q13" s="30"/>
      <c r="R13" s="30"/>
      <c r="T13" s="30"/>
    </row>
    <row r="14" spans="1:20" x14ac:dyDescent="0.25">
      <c r="A14" t="s">
        <v>339</v>
      </c>
      <c r="B14" s="60">
        <v>65.0058260176</v>
      </c>
      <c r="C14" s="60" t="s">
        <v>339</v>
      </c>
      <c r="D14" s="60">
        <v>35.852269791999994</v>
      </c>
      <c r="E14" s="60"/>
      <c r="F14" s="60"/>
      <c r="G14" s="60" t="s">
        <v>339</v>
      </c>
      <c r="H14" s="60">
        <v>275.59073700639999</v>
      </c>
      <c r="I14" s="60" t="s">
        <v>339</v>
      </c>
      <c r="J14" s="60">
        <v>120.1051038032</v>
      </c>
      <c r="K14" s="60"/>
      <c r="L14" s="60"/>
      <c r="N14" s="30"/>
      <c r="Q14" s="30"/>
      <c r="R14" s="30"/>
      <c r="T14" s="30"/>
    </row>
    <row r="15" spans="1:20" x14ac:dyDescent="0.25">
      <c r="A15" t="s">
        <v>340</v>
      </c>
      <c r="B15" s="60">
        <v>63.967997155199996</v>
      </c>
      <c r="C15" s="60" t="s">
        <v>340</v>
      </c>
      <c r="D15" s="60">
        <v>33.399219753600001</v>
      </c>
      <c r="E15" s="60">
        <f>AVERAGE(B15:B16)</f>
        <v>64.109519272799986</v>
      </c>
      <c r="F15" s="60">
        <f>AVERAGE(D15:D16)</f>
        <v>31.748128381599997</v>
      </c>
      <c r="G15" s="60" t="s">
        <v>340</v>
      </c>
      <c r="H15" s="60">
        <v>281.25162171039995</v>
      </c>
      <c r="I15" s="60" t="s">
        <v>340</v>
      </c>
      <c r="J15" s="60">
        <v>129.82295587839999</v>
      </c>
      <c r="K15" s="60">
        <f>AVERAGE(H15:H16)</f>
        <v>280.92140343599999</v>
      </c>
      <c r="L15" s="60">
        <f>AVERAGE(J15:J16)</f>
        <v>127.46425391839999</v>
      </c>
      <c r="N15" s="30"/>
      <c r="Q15" s="30"/>
      <c r="R15" s="30"/>
      <c r="T15" s="30"/>
    </row>
    <row r="16" spans="1:20" x14ac:dyDescent="0.25">
      <c r="A16" t="s">
        <v>341</v>
      </c>
      <c r="B16" s="60">
        <v>64.25104139039999</v>
      </c>
      <c r="C16" s="60" t="s">
        <v>341</v>
      </c>
      <c r="D16" s="60">
        <v>30.097037009599998</v>
      </c>
      <c r="E16" s="60"/>
      <c r="F16" s="60"/>
      <c r="G16" s="60" t="s">
        <v>341</v>
      </c>
      <c r="H16" s="60">
        <v>280.59118516159998</v>
      </c>
      <c r="I16" s="60" t="s">
        <v>341</v>
      </c>
      <c r="J16" s="60">
        <v>125.10555195839999</v>
      </c>
      <c r="K16" s="60"/>
      <c r="L16" s="60"/>
      <c r="N16" s="30"/>
      <c r="Q16" s="30"/>
      <c r="R16" s="30"/>
      <c r="T16" s="30"/>
    </row>
    <row r="17" spans="1:20" x14ac:dyDescent="0.25">
      <c r="A17" t="s">
        <v>342</v>
      </c>
      <c r="B17" s="60">
        <v>63.779300998399997</v>
      </c>
      <c r="C17" s="60" t="s">
        <v>342</v>
      </c>
      <c r="D17" s="60">
        <v>29.813992774399999</v>
      </c>
      <c r="E17" s="60">
        <f>AVERAGE(B17:B18)</f>
        <v>64.015171194399997</v>
      </c>
      <c r="F17" s="60">
        <f>AVERAGE(D17:D18)</f>
        <v>29.012034107999998</v>
      </c>
      <c r="G17" s="60" t="s">
        <v>342</v>
      </c>
      <c r="H17" s="60">
        <v>278.42117935839997</v>
      </c>
      <c r="I17" s="60" t="s">
        <v>342</v>
      </c>
      <c r="J17" s="60">
        <v>124.1620711744</v>
      </c>
      <c r="K17" s="60">
        <f>AVERAGE(H17:H18)</f>
        <v>278.18530916239996</v>
      </c>
      <c r="L17" s="60">
        <f>AVERAGE(J17:J18)</f>
        <v>123.40728654719999</v>
      </c>
      <c r="N17" s="30"/>
      <c r="Q17" s="30"/>
      <c r="R17" s="30"/>
      <c r="T17" s="30"/>
    </row>
    <row r="18" spans="1:20" x14ac:dyDescent="0.25">
      <c r="A18" t="s">
        <v>343</v>
      </c>
      <c r="B18" s="60">
        <v>64.25104139039999</v>
      </c>
      <c r="C18" s="60" t="s">
        <v>343</v>
      </c>
      <c r="D18" s="60">
        <v>28.210075441599997</v>
      </c>
      <c r="E18" s="60"/>
      <c r="F18" s="60"/>
      <c r="G18" s="60" t="s">
        <v>343</v>
      </c>
      <c r="H18" s="60">
        <v>277.94943896639995</v>
      </c>
      <c r="I18" s="60" t="s">
        <v>343</v>
      </c>
      <c r="J18" s="60">
        <v>122.65250191999999</v>
      </c>
      <c r="K18" s="60"/>
      <c r="L18" s="60"/>
      <c r="N18" s="30"/>
      <c r="Q18" s="30"/>
      <c r="R18" s="30"/>
      <c r="T18" s="30"/>
    </row>
    <row r="19" spans="1:20" x14ac:dyDescent="0.25">
      <c r="A19" t="s">
        <v>344</v>
      </c>
      <c r="B19" s="60">
        <v>62.364079822400001</v>
      </c>
      <c r="C19" s="60" t="s">
        <v>344</v>
      </c>
      <c r="D19" s="60">
        <v>25.002240775999997</v>
      </c>
      <c r="E19" s="60">
        <f>AVERAGE(B19:B20)</f>
        <v>61.467773077599993</v>
      </c>
      <c r="F19" s="60">
        <f>AVERAGE(D19:D20)</f>
        <v>24.955066736799999</v>
      </c>
      <c r="G19" s="60" t="s">
        <v>344</v>
      </c>
      <c r="H19" s="60">
        <v>280.11944476960002</v>
      </c>
      <c r="I19" s="60" t="s">
        <v>344</v>
      </c>
      <c r="J19" s="60">
        <v>121.23728074399999</v>
      </c>
      <c r="K19" s="60">
        <f>AVERAGE(H19:H20)</f>
        <v>280.49683708320003</v>
      </c>
      <c r="L19" s="60">
        <f>AVERAGE(J19:J20)</f>
        <v>120.1522778424</v>
      </c>
      <c r="N19" s="30"/>
      <c r="Q19" s="30"/>
      <c r="R19" s="30"/>
      <c r="T19" s="30"/>
    </row>
    <row r="20" spans="1:20" x14ac:dyDescent="0.25">
      <c r="A20" t="s">
        <v>345</v>
      </c>
      <c r="B20" s="60">
        <v>60.571466332799986</v>
      </c>
      <c r="C20" s="60" t="s">
        <v>345</v>
      </c>
      <c r="D20" s="60">
        <v>24.907892697600001</v>
      </c>
      <c r="E20" s="60"/>
      <c r="F20" s="60"/>
      <c r="G20" s="60" t="s">
        <v>345</v>
      </c>
      <c r="H20" s="60">
        <v>280.87422939679999</v>
      </c>
      <c r="I20" s="60" t="s">
        <v>345</v>
      </c>
      <c r="J20" s="60">
        <v>119.0672749408</v>
      </c>
      <c r="K20" s="60"/>
      <c r="L20" s="60"/>
      <c r="N20" s="30"/>
      <c r="Q20" s="30"/>
      <c r="R20" s="30"/>
      <c r="T20" s="30"/>
    </row>
    <row r="21" spans="1:20" x14ac:dyDescent="0.25">
      <c r="A21" t="s">
        <v>346</v>
      </c>
      <c r="B21" s="60">
        <v>57.646675902399998</v>
      </c>
      <c r="C21" s="60" t="s">
        <v>346</v>
      </c>
      <c r="D21" s="60">
        <v>24.624848462400003</v>
      </c>
      <c r="E21" s="60">
        <f>AVERAGE(B21:B22)</f>
        <v>57.552327823999995</v>
      </c>
      <c r="F21" s="60">
        <f>AVERAGE(D21:D22)</f>
        <v>24.341804227200001</v>
      </c>
      <c r="G21" s="60" t="s">
        <v>346</v>
      </c>
      <c r="H21" s="60">
        <v>287.57294296319998</v>
      </c>
      <c r="I21" s="60" t="s">
        <v>346</v>
      </c>
      <c r="J21" s="60">
        <v>119.63336341119999</v>
      </c>
      <c r="K21" s="60">
        <f>AVERAGE(H21:H22)</f>
        <v>287.57294296319998</v>
      </c>
      <c r="L21" s="60">
        <f>AVERAGE(J21:J22)</f>
        <v>119.72771148959998</v>
      </c>
      <c r="N21" s="30"/>
      <c r="Q21" s="30"/>
      <c r="R21" s="30"/>
      <c r="T21" s="30"/>
    </row>
    <row r="22" spans="1:20" x14ac:dyDescent="0.25">
      <c r="A22" t="s">
        <v>347</v>
      </c>
      <c r="B22" s="60">
        <v>57.457979745599992</v>
      </c>
      <c r="C22" s="60" t="s">
        <v>347</v>
      </c>
      <c r="D22" s="60">
        <v>24.058759991999999</v>
      </c>
      <c r="E22" s="60"/>
      <c r="F22" s="60"/>
      <c r="G22" s="60" t="s">
        <v>347</v>
      </c>
      <c r="H22" s="60">
        <v>287.57294296319998</v>
      </c>
      <c r="I22" s="60" t="s">
        <v>347</v>
      </c>
      <c r="J22" s="60">
        <v>119.82205956799999</v>
      </c>
      <c r="K22" s="60"/>
      <c r="L22" s="60"/>
      <c r="N22" s="30"/>
      <c r="Q22" s="30"/>
      <c r="R22" s="30"/>
      <c r="T22" s="30"/>
    </row>
    <row r="23" spans="1:20" x14ac:dyDescent="0.25">
      <c r="A23" t="s">
        <v>348</v>
      </c>
      <c r="B23" s="60">
        <v>57.363631667199996</v>
      </c>
      <c r="C23" s="60" t="s">
        <v>348</v>
      </c>
      <c r="D23" s="60">
        <v>24.247456148800001</v>
      </c>
      <c r="E23" s="60">
        <f>AVERAGE(B23:B24)</f>
        <v>57.363631667199996</v>
      </c>
      <c r="F23" s="60">
        <f>AVERAGE(D23:D24)</f>
        <v>24.624848462399999</v>
      </c>
      <c r="G23" s="60" t="s">
        <v>348</v>
      </c>
      <c r="H23" s="60">
        <v>281.81771018080002</v>
      </c>
      <c r="I23" s="60" t="s">
        <v>348</v>
      </c>
      <c r="J23" s="60">
        <v>115.10465564799999</v>
      </c>
      <c r="K23" s="60">
        <f>AVERAGE(H23:H24)</f>
        <v>282.43097269040004</v>
      </c>
      <c r="L23" s="60">
        <f>AVERAGE(J23:J24)</f>
        <v>116.23683258879998</v>
      </c>
      <c r="N23" s="30"/>
      <c r="Q23" s="30"/>
      <c r="R23" s="30"/>
      <c r="T23" s="30"/>
    </row>
    <row r="24" spans="1:20" x14ac:dyDescent="0.25">
      <c r="A24" t="s">
        <v>349</v>
      </c>
      <c r="B24" s="60">
        <v>57.363631667199996</v>
      </c>
      <c r="C24" s="60" t="s">
        <v>349</v>
      </c>
      <c r="D24" s="60">
        <v>25.002240775999997</v>
      </c>
      <c r="E24" s="60"/>
      <c r="F24" s="60"/>
      <c r="G24" s="60" t="s">
        <v>349</v>
      </c>
      <c r="H24" s="60">
        <v>283.0442352</v>
      </c>
      <c r="I24" s="60" t="s">
        <v>349</v>
      </c>
      <c r="J24" s="60">
        <v>117.36900952959999</v>
      </c>
      <c r="K24" s="60"/>
      <c r="L24" s="60"/>
      <c r="N24" s="30"/>
      <c r="Q24" s="30"/>
      <c r="R24" s="30"/>
      <c r="T24" s="30"/>
    </row>
    <row r="25" spans="1:20" x14ac:dyDescent="0.25">
      <c r="A25" t="s">
        <v>350</v>
      </c>
      <c r="B25" s="60">
        <v>59.627985548799998</v>
      </c>
      <c r="C25" s="60" t="s">
        <v>350</v>
      </c>
      <c r="D25" s="60">
        <v>25.285285011199999</v>
      </c>
      <c r="E25" s="60">
        <f>AVERAGE(B25:B26)</f>
        <v>57.552327823999995</v>
      </c>
      <c r="F25" s="60">
        <f>AVERAGE(D25:D26)</f>
        <v>24.436152305599997</v>
      </c>
      <c r="G25" s="60" t="s">
        <v>350</v>
      </c>
      <c r="H25" s="60">
        <v>291.34686609919999</v>
      </c>
      <c r="I25" s="60" t="s">
        <v>350</v>
      </c>
      <c r="J25" s="60">
        <v>123.59598270400001</v>
      </c>
      <c r="K25" s="60">
        <f>AVERAGE(H25:H26)</f>
        <v>281.44031786719995</v>
      </c>
      <c r="L25" s="60">
        <f>AVERAGE(J25:J26)</f>
        <v>126.00185870319999</v>
      </c>
      <c r="N25" s="30"/>
      <c r="Q25" s="30"/>
      <c r="R25" s="30"/>
      <c r="T25" s="30"/>
    </row>
    <row r="26" spans="1:20" x14ac:dyDescent="0.25">
      <c r="A26" t="s">
        <v>351</v>
      </c>
      <c r="B26" s="60">
        <v>55.476670099199993</v>
      </c>
      <c r="C26" s="60" t="s">
        <v>351</v>
      </c>
      <c r="D26" s="60">
        <v>23.587019599999998</v>
      </c>
      <c r="E26" s="60"/>
      <c r="F26" s="60"/>
      <c r="G26" s="60" t="s">
        <v>351</v>
      </c>
      <c r="H26" s="60">
        <v>271.53376963519997</v>
      </c>
      <c r="I26" s="60" t="s">
        <v>351</v>
      </c>
      <c r="J26" s="60">
        <v>128.40773470239998</v>
      </c>
      <c r="K26" s="60"/>
      <c r="L26" s="60"/>
      <c r="N26" s="30"/>
      <c r="Q26" s="30"/>
      <c r="R26" s="30"/>
      <c r="T26" s="30"/>
    </row>
    <row r="27" spans="1:20" x14ac:dyDescent="0.25">
      <c r="A27" t="s">
        <v>352</v>
      </c>
      <c r="B27" s="60">
        <v>56.325802804800006</v>
      </c>
      <c r="C27" s="60" t="s">
        <v>352</v>
      </c>
      <c r="D27" s="60">
        <v>21.700058031999998</v>
      </c>
      <c r="E27" s="60">
        <f>AVERAGE(B27:B28)</f>
        <v>57.410805706399998</v>
      </c>
      <c r="F27" s="60">
        <f>AVERAGE(D27:D28)</f>
        <v>21.8887541888</v>
      </c>
      <c r="G27" s="60" t="s">
        <v>352</v>
      </c>
      <c r="H27" s="60">
        <v>287.10120257119996</v>
      </c>
      <c r="I27" s="60" t="s">
        <v>352</v>
      </c>
      <c r="J27" s="60">
        <v>142.3712503056</v>
      </c>
      <c r="K27" s="60">
        <f>AVERAGE(H27:H28)</f>
        <v>285.35576312079996</v>
      </c>
      <c r="L27" s="60">
        <f>AVERAGE(J27:J28)</f>
        <v>143.55060128560001</v>
      </c>
      <c r="N27" s="30"/>
      <c r="Q27" s="30"/>
      <c r="R27" s="30"/>
      <c r="T27" s="30"/>
    </row>
    <row r="28" spans="1:20" x14ac:dyDescent="0.25">
      <c r="A28" t="s">
        <v>353</v>
      </c>
      <c r="B28" s="60">
        <v>58.495808607999997</v>
      </c>
      <c r="C28" s="60" t="s">
        <v>353</v>
      </c>
      <c r="D28" s="60">
        <v>22.077450345599999</v>
      </c>
      <c r="E28" s="60"/>
      <c r="F28" s="60"/>
      <c r="G28" s="60" t="s">
        <v>353</v>
      </c>
      <c r="H28" s="60">
        <v>283.61032367039996</v>
      </c>
      <c r="I28" s="60" t="s">
        <v>353</v>
      </c>
      <c r="J28" s="60">
        <v>144.72995226560002</v>
      </c>
      <c r="K28" s="60"/>
      <c r="L28" s="60"/>
      <c r="N28" s="30"/>
      <c r="Q28" s="30"/>
      <c r="R28" s="30"/>
      <c r="T28" s="30"/>
    </row>
    <row r="29" spans="1:20" x14ac:dyDescent="0.25">
      <c r="A29" t="s">
        <v>354</v>
      </c>
      <c r="B29" s="60">
        <v>61.043206724799994</v>
      </c>
      <c r="C29" s="60" t="s">
        <v>354</v>
      </c>
      <c r="D29" s="60">
        <v>25.002240775999997</v>
      </c>
      <c r="E29" s="60">
        <f>AVERAGE(B29:B30)</f>
        <v>63.166038488799998</v>
      </c>
      <c r="F29" s="60">
        <f>AVERAGE(D29:D30)</f>
        <v>30.663125479999998</v>
      </c>
      <c r="G29" s="60" t="s">
        <v>354</v>
      </c>
      <c r="H29" s="60">
        <v>301.25341433119996</v>
      </c>
      <c r="I29" s="60" t="s">
        <v>354</v>
      </c>
      <c r="J29" s="60">
        <v>141.6164656784</v>
      </c>
      <c r="K29" s="60">
        <f>AVERAGE(H29:H30)</f>
        <v>303.18754993840002</v>
      </c>
      <c r="L29" s="60">
        <f>AVERAGE(J29:J30)</f>
        <v>148.26800520559999</v>
      </c>
      <c r="N29" s="30"/>
      <c r="Q29" s="30"/>
      <c r="R29" s="30"/>
      <c r="T29" s="30"/>
    </row>
    <row r="30" spans="1:20" x14ac:dyDescent="0.25">
      <c r="A30" t="s">
        <v>355</v>
      </c>
      <c r="B30" s="60">
        <v>65.288870252799995</v>
      </c>
      <c r="C30" s="60" t="s">
        <v>355</v>
      </c>
      <c r="D30" s="60">
        <v>36.324010184000002</v>
      </c>
      <c r="E30" s="60"/>
      <c r="F30" s="60"/>
      <c r="G30" s="60" t="s">
        <v>355</v>
      </c>
      <c r="H30" s="60">
        <v>305.12168554560003</v>
      </c>
      <c r="I30" s="60" t="s">
        <v>355</v>
      </c>
      <c r="J30" s="60">
        <v>154.91954473280001</v>
      </c>
      <c r="K30" s="60"/>
      <c r="L30" s="60"/>
      <c r="N30" s="30"/>
      <c r="Q30" s="30"/>
      <c r="R30" s="30"/>
      <c r="T30" s="30"/>
    </row>
    <row r="31" spans="1:20" x14ac:dyDescent="0.25">
      <c r="A31" t="s">
        <v>356</v>
      </c>
      <c r="B31" s="60">
        <v>76.0445511904</v>
      </c>
      <c r="C31" s="60" t="s">
        <v>356</v>
      </c>
      <c r="D31" s="60">
        <v>52.268835433599996</v>
      </c>
      <c r="E31" s="60">
        <f>AVERAGE(B31:B32)</f>
        <v>76.0445511904</v>
      </c>
      <c r="F31" s="60">
        <f>AVERAGE(D31:D32)</f>
        <v>52.268835433599996</v>
      </c>
      <c r="G31" s="60" t="s">
        <v>356</v>
      </c>
      <c r="H31" s="60">
        <v>309.3673490736</v>
      </c>
      <c r="I31" s="60" t="s">
        <v>356</v>
      </c>
      <c r="J31" s="60">
        <v>181.62005091999998</v>
      </c>
      <c r="K31" s="60">
        <f>AVERAGE(H31:H32)</f>
        <v>309.3673490736</v>
      </c>
      <c r="L31" s="60">
        <f>AVERAGE(J31:J32)</f>
        <v>181.62005091999998</v>
      </c>
      <c r="N31" s="30"/>
      <c r="Q31" s="30"/>
      <c r="R31" s="30"/>
      <c r="T31" s="30"/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0">
    <tabColor theme="9" tint="-0.249977111117893"/>
  </sheetPr>
  <dimension ref="A1:O282"/>
  <sheetViews>
    <sheetView zoomScale="85" zoomScaleNormal="85" workbookViewId="0">
      <pane ySplit="1" topLeftCell="A74" activePane="bottomLeft" state="frozen"/>
      <selection activeCell="F118" sqref="F118"/>
      <selection pane="bottomLeft" activeCell="E2" sqref="E2:M282"/>
    </sheetView>
  </sheetViews>
  <sheetFormatPr baseColWidth="10" defaultColWidth="10.85546875" defaultRowHeight="15" x14ac:dyDescent="0.25"/>
  <cols>
    <col min="1" max="1" width="4.7109375" style="30" customWidth="1"/>
    <col min="2" max="2" width="20.140625" style="30" bestFit="1" customWidth="1"/>
    <col min="3" max="3" width="45.42578125" style="26" customWidth="1"/>
    <col min="4" max="4" width="12.140625" style="27" customWidth="1"/>
    <col min="5" max="12" width="12.28515625" style="54" bestFit="1" customWidth="1"/>
    <col min="13" max="13" width="13.42578125" style="54" bestFit="1" customWidth="1"/>
    <col min="14" max="14" width="15" style="30" customWidth="1"/>
    <col min="15" max="16384" width="10.85546875" style="30"/>
  </cols>
  <sheetData>
    <row r="1" spans="1:14" ht="15.75" x14ac:dyDescent="0.25">
      <c r="A1" s="40"/>
      <c r="B1" s="41" t="s">
        <v>0</v>
      </c>
      <c r="C1" s="28" t="s">
        <v>1</v>
      </c>
      <c r="D1" s="29" t="s">
        <v>2</v>
      </c>
      <c r="E1" s="42">
        <v>15</v>
      </c>
      <c r="F1" s="43">
        <v>30</v>
      </c>
      <c r="G1" s="43">
        <v>70</v>
      </c>
      <c r="H1" s="43">
        <v>125</v>
      </c>
      <c r="I1" s="43">
        <v>200</v>
      </c>
      <c r="J1" s="43">
        <v>350</v>
      </c>
      <c r="K1" s="43">
        <v>850</v>
      </c>
      <c r="L1" s="43">
        <v>1900</v>
      </c>
      <c r="M1" s="43">
        <v>4000</v>
      </c>
    </row>
    <row r="2" spans="1:14" x14ac:dyDescent="0.25">
      <c r="A2" s="306">
        <v>1</v>
      </c>
      <c r="B2" s="322" t="s">
        <v>3</v>
      </c>
      <c r="C2" s="21" t="s">
        <v>101</v>
      </c>
      <c r="D2" s="1" t="s">
        <v>4</v>
      </c>
      <c r="E2" s="44">
        <v>20</v>
      </c>
      <c r="F2" s="44">
        <v>20</v>
      </c>
      <c r="G2" s="44">
        <v>20</v>
      </c>
      <c r="H2" s="44">
        <v>20</v>
      </c>
      <c r="I2" s="44">
        <v>20</v>
      </c>
      <c r="J2" s="44">
        <v>20</v>
      </c>
      <c r="K2" s="44">
        <v>20</v>
      </c>
      <c r="L2" s="44">
        <v>20</v>
      </c>
      <c r="M2" s="44">
        <v>20</v>
      </c>
      <c r="N2" s="45"/>
    </row>
    <row r="3" spans="1:14" x14ac:dyDescent="0.25">
      <c r="A3" s="306"/>
      <c r="B3" s="322"/>
      <c r="C3" s="21" t="s">
        <v>5</v>
      </c>
      <c r="D3" s="1" t="s">
        <v>6</v>
      </c>
      <c r="E3" s="46">
        <v>218.34121214018199</v>
      </c>
      <c r="F3" s="46">
        <v>184.87398682120613</v>
      </c>
      <c r="G3" s="46">
        <v>143.96390422813076</v>
      </c>
      <c r="H3" s="46">
        <v>115.96852782183296</v>
      </c>
      <c r="I3" s="46">
        <v>107.31263157894738</v>
      </c>
      <c r="J3" s="46">
        <v>107.00631578947369</v>
      </c>
      <c r="K3" s="46">
        <v>105.98526315789475</v>
      </c>
      <c r="L3" s="46">
        <v>103.84105263157896</v>
      </c>
      <c r="M3" s="46">
        <v>99.55263157894737</v>
      </c>
      <c r="N3" s="45"/>
    </row>
    <row r="4" spans="1:14" x14ac:dyDescent="0.25">
      <c r="A4" s="306"/>
      <c r="B4" s="322"/>
      <c r="C4" s="21" t="s">
        <v>172</v>
      </c>
      <c r="D4" s="1" t="s">
        <v>19</v>
      </c>
      <c r="E4" s="47">
        <v>0</v>
      </c>
      <c r="F4" s="47">
        <v>0</v>
      </c>
      <c r="G4" s="47">
        <v>0</v>
      </c>
      <c r="H4" s="47">
        <v>0</v>
      </c>
      <c r="I4" s="47">
        <v>0</v>
      </c>
      <c r="J4" s="47">
        <v>0</v>
      </c>
      <c r="K4" s="47">
        <v>0</v>
      </c>
      <c r="L4" s="47">
        <v>0</v>
      </c>
      <c r="M4" s="47">
        <v>0</v>
      </c>
      <c r="N4" s="45"/>
    </row>
    <row r="5" spans="1:14" x14ac:dyDescent="0.25">
      <c r="A5" s="306"/>
      <c r="B5" s="322"/>
      <c r="C5" s="21" t="s">
        <v>102</v>
      </c>
      <c r="D5" s="1" t="s">
        <v>8</v>
      </c>
      <c r="E5" s="44"/>
      <c r="F5" s="44"/>
      <c r="G5" s="44"/>
      <c r="H5" s="44"/>
      <c r="I5" s="44"/>
      <c r="J5" s="44"/>
      <c r="K5" s="44"/>
      <c r="L5" s="44"/>
      <c r="M5" s="44"/>
      <c r="N5" s="45"/>
    </row>
    <row r="6" spans="1:14" x14ac:dyDescent="0.25">
      <c r="A6" s="306"/>
      <c r="B6" s="322"/>
      <c r="C6" s="21" t="s">
        <v>103</v>
      </c>
      <c r="D6" s="1" t="s">
        <v>9</v>
      </c>
      <c r="E6" s="46">
        <v>6.5502363642054595</v>
      </c>
      <c r="F6" s="46">
        <v>5.5462196046361836</v>
      </c>
      <c r="G6" s="46">
        <v>4.3189171268439228</v>
      </c>
      <c r="H6" s="46">
        <v>3.4790558346549889</v>
      </c>
      <c r="I6" s="46">
        <v>2.0378947368421052</v>
      </c>
      <c r="J6" s="46">
        <v>2.0189473684210526</v>
      </c>
      <c r="K6" s="46">
        <v>1.9557894736842103</v>
      </c>
      <c r="L6" s="46">
        <v>1.8231578947368419</v>
      </c>
      <c r="M6" s="46">
        <v>1.557894736842105</v>
      </c>
      <c r="N6" s="45"/>
    </row>
    <row r="7" spans="1:14" x14ac:dyDescent="0.25">
      <c r="A7" s="306"/>
      <c r="B7" s="322"/>
      <c r="C7" s="21" t="s">
        <v>104</v>
      </c>
      <c r="D7" s="1" t="s">
        <v>10</v>
      </c>
      <c r="E7" s="46">
        <v>0</v>
      </c>
      <c r="F7" s="46">
        <v>0</v>
      </c>
      <c r="G7" s="46">
        <v>0</v>
      </c>
      <c r="H7" s="46">
        <v>0</v>
      </c>
      <c r="I7" s="46">
        <v>0</v>
      </c>
      <c r="J7" s="46">
        <v>0</v>
      </c>
      <c r="K7" s="46">
        <v>1.6357894736842103E-3</v>
      </c>
      <c r="L7" s="46">
        <v>1.5031578947368419E-3</v>
      </c>
      <c r="M7" s="46">
        <v>1.2378947368421051E-3</v>
      </c>
      <c r="N7" s="45"/>
    </row>
    <row r="8" spans="1:14" x14ac:dyDescent="0.25">
      <c r="A8" s="306"/>
      <c r="B8" s="322"/>
      <c r="C8" s="22" t="s">
        <v>11</v>
      </c>
      <c r="D8" s="23" t="s">
        <v>10</v>
      </c>
      <c r="E8" s="46">
        <v>0</v>
      </c>
      <c r="F8" s="44"/>
      <c r="G8" s="44"/>
      <c r="H8" s="44"/>
      <c r="I8" s="44"/>
      <c r="J8" s="44"/>
      <c r="K8" s="44"/>
      <c r="L8" s="44"/>
      <c r="M8" s="44"/>
      <c r="N8" s="45"/>
    </row>
    <row r="9" spans="1:14" x14ac:dyDescent="0.25">
      <c r="A9" s="306"/>
      <c r="B9" s="322"/>
      <c r="C9" s="21" t="s">
        <v>12</v>
      </c>
      <c r="D9" s="1" t="s">
        <v>7</v>
      </c>
      <c r="E9" s="47">
        <v>0.94349999999999989</v>
      </c>
      <c r="F9" s="47">
        <v>0.94349999999999989</v>
      </c>
      <c r="G9" s="47">
        <v>0.94349999999999989</v>
      </c>
      <c r="H9" s="47">
        <v>0.94349999999999989</v>
      </c>
      <c r="I9" s="47">
        <v>0.94349999999999989</v>
      </c>
      <c r="J9" s="47">
        <v>0.94349999999999989</v>
      </c>
      <c r="K9" s="47">
        <v>0.99</v>
      </c>
      <c r="L9" s="47">
        <v>0.99</v>
      </c>
      <c r="M9" s="47">
        <v>0.99</v>
      </c>
      <c r="N9" s="45"/>
    </row>
    <row r="10" spans="1:14" x14ac:dyDescent="0.25">
      <c r="A10" s="306"/>
      <c r="B10" s="322"/>
      <c r="C10" s="21" t="s">
        <v>13</v>
      </c>
      <c r="D10" s="1" t="s">
        <v>14</v>
      </c>
      <c r="E10" s="46">
        <v>1524.6</v>
      </c>
      <c r="F10" s="46">
        <v>1749.6</v>
      </c>
      <c r="G10" s="46">
        <v>2349.6</v>
      </c>
      <c r="H10" s="46">
        <v>3174.6</v>
      </c>
      <c r="I10" s="46">
        <v>4299.6000000000004</v>
      </c>
      <c r="J10" s="46">
        <v>14213</v>
      </c>
      <c r="K10" s="46">
        <v>21713</v>
      </c>
      <c r="L10" s="46">
        <v>37463</v>
      </c>
      <c r="M10" s="46">
        <v>68963</v>
      </c>
      <c r="N10" s="45"/>
    </row>
    <row r="11" spans="1:14" x14ac:dyDescent="0.25">
      <c r="A11" s="306"/>
      <c r="B11" s="322"/>
      <c r="C11" s="21" t="s">
        <v>15</v>
      </c>
      <c r="D11" s="1" t="s">
        <v>4</v>
      </c>
      <c r="E11" s="44">
        <v>40</v>
      </c>
      <c r="F11" s="44">
        <v>40</v>
      </c>
      <c r="G11" s="44">
        <v>40</v>
      </c>
      <c r="H11" s="44">
        <v>40</v>
      </c>
      <c r="I11" s="44">
        <v>40</v>
      </c>
      <c r="J11" s="44">
        <v>40</v>
      </c>
      <c r="K11" s="44">
        <v>40</v>
      </c>
      <c r="L11" s="44">
        <v>40</v>
      </c>
      <c r="M11" s="44">
        <v>40</v>
      </c>
      <c r="N11" s="45"/>
    </row>
    <row r="12" spans="1:14" x14ac:dyDescent="0.25">
      <c r="A12" s="306">
        <v>2</v>
      </c>
      <c r="B12" s="322" t="s">
        <v>16</v>
      </c>
      <c r="C12" s="21" t="s">
        <v>101</v>
      </c>
      <c r="D12" s="1" t="s">
        <v>4</v>
      </c>
      <c r="E12" s="44">
        <v>20</v>
      </c>
      <c r="F12" s="44">
        <v>20</v>
      </c>
      <c r="G12" s="44">
        <v>20</v>
      </c>
      <c r="H12" s="44">
        <v>20</v>
      </c>
      <c r="I12" s="44">
        <v>20</v>
      </c>
      <c r="J12" s="44">
        <v>20</v>
      </c>
      <c r="K12" s="44">
        <v>20</v>
      </c>
      <c r="L12" s="44">
        <v>20</v>
      </c>
      <c r="M12" s="44">
        <v>20</v>
      </c>
      <c r="N12" s="45"/>
    </row>
    <row r="13" spans="1:14" x14ac:dyDescent="0.25">
      <c r="A13" s="306"/>
      <c r="B13" s="322"/>
      <c r="C13" s="21" t="s">
        <v>5</v>
      </c>
      <c r="D13" s="1" t="s">
        <v>6</v>
      </c>
      <c r="E13" s="46">
        <v>558.65265042413671</v>
      </c>
      <c r="F13" s="46">
        <v>352.73550340580886</v>
      </c>
      <c r="G13" s="46">
        <v>201.0695678061135</v>
      </c>
      <c r="H13" s="46">
        <v>136.8683894043277</v>
      </c>
      <c r="I13" s="46">
        <v>120.6</v>
      </c>
      <c r="J13" s="46">
        <v>120.6</v>
      </c>
      <c r="K13" s="46">
        <v>187.07496087792157</v>
      </c>
      <c r="L13" s="46">
        <v>271.30291449905741</v>
      </c>
      <c r="M13" s="46">
        <v>439.75882174132914</v>
      </c>
      <c r="N13" s="45"/>
    </row>
    <row r="14" spans="1:14" x14ac:dyDescent="0.25">
      <c r="A14" s="306"/>
      <c r="B14" s="322"/>
      <c r="C14" s="21" t="s">
        <v>172</v>
      </c>
      <c r="D14" s="1" t="s">
        <v>19</v>
      </c>
      <c r="E14" s="47">
        <v>0</v>
      </c>
      <c r="F14" s="47">
        <v>0</v>
      </c>
      <c r="G14" s="47">
        <v>0</v>
      </c>
      <c r="H14" s="47">
        <v>0</v>
      </c>
      <c r="I14" s="47">
        <v>0</v>
      </c>
      <c r="J14" s="47">
        <v>0</v>
      </c>
      <c r="K14" s="47">
        <v>0</v>
      </c>
      <c r="L14" s="47">
        <v>0</v>
      </c>
      <c r="M14" s="47">
        <v>0</v>
      </c>
      <c r="N14" s="45"/>
    </row>
    <row r="15" spans="1:14" x14ac:dyDescent="0.25">
      <c r="A15" s="306"/>
      <c r="B15" s="322"/>
      <c r="C15" s="21" t="s">
        <v>102</v>
      </c>
      <c r="D15" s="1" t="s">
        <v>8</v>
      </c>
      <c r="E15" s="44"/>
      <c r="F15" s="44"/>
      <c r="G15" s="44"/>
      <c r="H15" s="44"/>
      <c r="I15" s="44"/>
      <c r="J15" s="44"/>
      <c r="K15" s="44"/>
      <c r="L15" s="44"/>
      <c r="M15" s="44"/>
      <c r="N15" s="45"/>
    </row>
    <row r="16" spans="1:14" x14ac:dyDescent="0.25">
      <c r="A16" s="306"/>
      <c r="B16" s="322"/>
      <c r="C16" s="21" t="s">
        <v>103</v>
      </c>
      <c r="D16" s="1" t="s">
        <v>9</v>
      </c>
      <c r="E16" s="46">
        <v>33.519159025448168</v>
      </c>
      <c r="F16" s="46">
        <v>21.16413020434851</v>
      </c>
      <c r="G16" s="46">
        <v>12.0641740683668</v>
      </c>
      <c r="H16" s="46">
        <v>8.2121033642596579</v>
      </c>
      <c r="I16" s="46">
        <v>7.7476375167543381</v>
      </c>
      <c r="J16" s="46">
        <v>7.7476375167543381</v>
      </c>
      <c r="K16" s="46">
        <v>7.3651642626194009</v>
      </c>
      <c r="L16" s="46">
        <v>6.7473228520937312</v>
      </c>
      <c r="M16" s="46">
        <v>5.5116400310423916</v>
      </c>
      <c r="N16" s="45"/>
    </row>
    <row r="17" spans="1:14" x14ac:dyDescent="0.25">
      <c r="A17" s="306"/>
      <c r="B17" s="322"/>
      <c r="C17" s="21" t="s">
        <v>104</v>
      </c>
      <c r="D17" s="1" t="s">
        <v>10</v>
      </c>
      <c r="E17" s="46">
        <v>0</v>
      </c>
      <c r="F17" s="46">
        <v>0</v>
      </c>
      <c r="G17" s="46">
        <v>0</v>
      </c>
      <c r="H17" s="46">
        <v>0</v>
      </c>
      <c r="I17" s="46">
        <v>0</v>
      </c>
      <c r="J17" s="46">
        <v>0</v>
      </c>
      <c r="K17" s="46">
        <v>1.8177407782710754E-3</v>
      </c>
      <c r="L17" s="46">
        <v>1.8177407782710754E-3</v>
      </c>
      <c r="M17" s="46">
        <v>1.8177407782710754E-3</v>
      </c>
      <c r="N17" s="45"/>
    </row>
    <row r="18" spans="1:14" x14ac:dyDescent="0.25">
      <c r="A18" s="306"/>
      <c r="B18" s="322"/>
      <c r="C18" s="22" t="s">
        <v>11</v>
      </c>
      <c r="D18" s="23" t="s">
        <v>10</v>
      </c>
      <c r="E18" s="46">
        <v>0</v>
      </c>
      <c r="F18" s="46">
        <v>0</v>
      </c>
      <c r="G18" s="46">
        <v>0</v>
      </c>
      <c r="H18" s="46">
        <v>0</v>
      </c>
      <c r="I18" s="46">
        <v>0</v>
      </c>
      <c r="J18" s="46">
        <v>0</v>
      </c>
      <c r="K18" s="46">
        <v>0</v>
      </c>
      <c r="L18" s="46">
        <v>0</v>
      </c>
      <c r="M18" s="46">
        <v>0</v>
      </c>
      <c r="N18" s="45"/>
    </row>
    <row r="19" spans="1:14" x14ac:dyDescent="0.25">
      <c r="A19" s="306"/>
      <c r="B19" s="322"/>
      <c r="C19" s="21" t="s">
        <v>12</v>
      </c>
      <c r="D19" s="1" t="s">
        <v>7</v>
      </c>
      <c r="E19" s="47">
        <v>0.66</v>
      </c>
      <c r="F19" s="47">
        <v>0.66</v>
      </c>
      <c r="G19" s="47">
        <v>0.66</v>
      </c>
      <c r="H19" s="47">
        <v>0.66</v>
      </c>
      <c r="I19" s="47">
        <v>0.66</v>
      </c>
      <c r="J19" s="47">
        <v>0.66</v>
      </c>
      <c r="K19" s="47">
        <v>0.66</v>
      </c>
      <c r="L19" s="47">
        <v>0.95899999999999996</v>
      </c>
      <c r="M19" s="47">
        <v>0.95899999999999996</v>
      </c>
      <c r="N19" s="45"/>
    </row>
    <row r="20" spans="1:14" x14ac:dyDescent="0.25">
      <c r="A20" s="306"/>
      <c r="B20" s="322"/>
      <c r="C20" s="21" t="s">
        <v>13</v>
      </c>
      <c r="D20" s="1" t="s">
        <v>14</v>
      </c>
      <c r="E20" s="44"/>
      <c r="F20" s="44"/>
      <c r="G20" s="44"/>
      <c r="H20" s="44"/>
      <c r="I20" s="44"/>
      <c r="J20" s="44"/>
      <c r="K20" s="44"/>
      <c r="L20" s="44"/>
      <c r="M20" s="44"/>
      <c r="N20" s="45"/>
    </row>
    <row r="21" spans="1:14" x14ac:dyDescent="0.25">
      <c r="A21" s="306"/>
      <c r="B21" s="322"/>
      <c r="C21" s="21" t="s">
        <v>15</v>
      </c>
      <c r="D21" s="1" t="s">
        <v>4</v>
      </c>
      <c r="E21" s="44"/>
      <c r="F21" s="44"/>
      <c r="G21" s="44"/>
      <c r="H21" s="44"/>
      <c r="I21" s="44"/>
      <c r="J21" s="44"/>
      <c r="K21" s="44"/>
      <c r="L21" s="44"/>
      <c r="M21" s="44"/>
      <c r="N21" s="45"/>
    </row>
    <row r="22" spans="1:14" ht="14.45" customHeight="1" x14ac:dyDescent="0.25">
      <c r="A22" s="306">
        <v>3</v>
      </c>
      <c r="B22" s="323" t="s">
        <v>144</v>
      </c>
      <c r="C22" s="21" t="s">
        <v>101</v>
      </c>
      <c r="D22" s="1" t="s">
        <v>4</v>
      </c>
      <c r="E22" s="44">
        <v>20</v>
      </c>
      <c r="F22" s="44">
        <v>20</v>
      </c>
      <c r="G22" s="44">
        <v>20</v>
      </c>
      <c r="H22" s="44">
        <v>20</v>
      </c>
      <c r="I22" s="44">
        <v>20</v>
      </c>
      <c r="J22" s="44">
        <v>20</v>
      </c>
      <c r="K22" s="44">
        <v>20</v>
      </c>
      <c r="L22" s="44">
        <v>20</v>
      </c>
      <c r="M22" s="44">
        <v>20</v>
      </c>
      <c r="N22" s="45"/>
    </row>
    <row r="23" spans="1:14" x14ac:dyDescent="0.25">
      <c r="A23" s="306"/>
      <c r="B23" s="323"/>
      <c r="C23" s="21" t="s">
        <v>5</v>
      </c>
      <c r="D23" s="1" t="s">
        <v>6</v>
      </c>
      <c r="E23" s="46">
        <v>939.47924488610727</v>
      </c>
      <c r="F23" s="46">
        <v>670.86780042435419</v>
      </c>
      <c r="G23" s="46">
        <v>523.42631254470632</v>
      </c>
      <c r="H23" s="46">
        <v>523.42631254470632</v>
      </c>
      <c r="I23" s="46">
        <v>523.42631254470632</v>
      </c>
      <c r="J23" s="46">
        <v>523.42631254470632</v>
      </c>
      <c r="K23" s="46">
        <v>1136.3124641115969</v>
      </c>
      <c r="L23" s="46">
        <v>988.42533284709032</v>
      </c>
      <c r="M23" s="46">
        <v>868.76381718516643</v>
      </c>
      <c r="N23" s="45"/>
    </row>
    <row r="24" spans="1:14" x14ac:dyDescent="0.25">
      <c r="A24" s="306"/>
      <c r="B24" s="323"/>
      <c r="C24" s="21" t="s">
        <v>172</v>
      </c>
      <c r="D24" s="1" t="s">
        <v>19</v>
      </c>
      <c r="E24" s="47">
        <v>0.35</v>
      </c>
      <c r="F24" s="47">
        <v>0.35</v>
      </c>
      <c r="G24" s="47">
        <v>0.35</v>
      </c>
      <c r="H24" s="47">
        <v>0.35</v>
      </c>
      <c r="I24" s="47">
        <v>0.35</v>
      </c>
      <c r="J24" s="47">
        <v>0.35</v>
      </c>
      <c r="K24" s="47">
        <v>0.35</v>
      </c>
      <c r="L24" s="47">
        <v>0.35</v>
      </c>
      <c r="M24" s="47">
        <v>0.35</v>
      </c>
      <c r="N24" s="45"/>
    </row>
    <row r="25" spans="1:14" x14ac:dyDescent="0.25">
      <c r="A25" s="306"/>
      <c r="B25" s="323"/>
      <c r="C25" s="21" t="s">
        <v>102</v>
      </c>
      <c r="D25" s="1" t="s">
        <v>8</v>
      </c>
      <c r="E25" s="44"/>
      <c r="F25" s="44"/>
      <c r="G25" s="44"/>
      <c r="H25" s="44"/>
      <c r="I25" s="44"/>
      <c r="J25" s="44"/>
      <c r="K25" s="44"/>
      <c r="L25" s="44"/>
      <c r="M25" s="44"/>
      <c r="N25" s="45"/>
    </row>
    <row r="26" spans="1:14" x14ac:dyDescent="0.25">
      <c r="A26" s="306"/>
      <c r="B26" s="323"/>
      <c r="C26" s="21" t="s">
        <v>103</v>
      </c>
      <c r="D26" s="1" t="s">
        <v>9</v>
      </c>
      <c r="E26" s="46">
        <v>14.092188673291609</v>
      </c>
      <c r="F26" s="46">
        <v>10.063017006365312</v>
      </c>
      <c r="G26" s="46">
        <v>7.8513946881705952</v>
      </c>
      <c r="H26" s="46">
        <v>7.8513946881705952</v>
      </c>
      <c r="I26" s="46">
        <v>7.8513946881705952</v>
      </c>
      <c r="J26" s="46">
        <v>7.8513946881705952</v>
      </c>
      <c r="K26" s="46">
        <v>1.91</v>
      </c>
      <c r="L26" s="46">
        <v>1.91</v>
      </c>
      <c r="M26" s="46">
        <v>1.91</v>
      </c>
      <c r="N26" s="45"/>
    </row>
    <row r="27" spans="1:14" x14ac:dyDescent="0.25">
      <c r="A27" s="306"/>
      <c r="B27" s="323"/>
      <c r="C27" s="21" t="s">
        <v>104</v>
      </c>
      <c r="D27" s="1" t="s">
        <v>10</v>
      </c>
      <c r="E27" s="46">
        <v>0</v>
      </c>
      <c r="F27" s="46">
        <v>0</v>
      </c>
      <c r="G27" s="46">
        <v>0</v>
      </c>
      <c r="H27" s="46">
        <v>0</v>
      </c>
      <c r="I27" s="46">
        <v>0</v>
      </c>
      <c r="J27" s="46">
        <v>0</v>
      </c>
      <c r="K27" s="46">
        <v>2.1700000000000001E-3</v>
      </c>
      <c r="L27" s="46">
        <v>2.1700000000000001E-3</v>
      </c>
      <c r="M27" s="46">
        <v>2.1700000000000001E-3</v>
      </c>
      <c r="N27" s="45"/>
    </row>
    <row r="28" spans="1:14" ht="18.75" x14ac:dyDescent="0.25">
      <c r="A28" s="306"/>
      <c r="B28" s="323"/>
      <c r="C28" s="22" t="s">
        <v>105</v>
      </c>
      <c r="D28" s="23" t="s">
        <v>17</v>
      </c>
      <c r="E28" s="46">
        <v>0</v>
      </c>
      <c r="F28" s="46">
        <v>0</v>
      </c>
      <c r="G28" s="46">
        <v>0</v>
      </c>
      <c r="H28" s="46">
        <v>0</v>
      </c>
      <c r="I28" s="46">
        <v>0</v>
      </c>
      <c r="J28" s="46">
        <v>0</v>
      </c>
      <c r="K28" s="46">
        <v>0</v>
      </c>
      <c r="L28" s="46">
        <v>0</v>
      </c>
      <c r="M28" s="46">
        <v>0</v>
      </c>
      <c r="N28" s="45"/>
    </row>
    <row r="29" spans="1:14" x14ac:dyDescent="0.25">
      <c r="A29" s="306"/>
      <c r="B29" s="323"/>
      <c r="C29" s="22" t="s">
        <v>11</v>
      </c>
      <c r="D29" s="23" t="s">
        <v>10</v>
      </c>
      <c r="E29" s="46">
        <v>0</v>
      </c>
      <c r="F29" s="46">
        <v>0</v>
      </c>
      <c r="G29" s="46">
        <v>0</v>
      </c>
      <c r="H29" s="46">
        <v>0</v>
      </c>
      <c r="I29" s="46">
        <v>0</v>
      </c>
      <c r="J29" s="46">
        <v>0</v>
      </c>
      <c r="K29" s="46">
        <v>0</v>
      </c>
      <c r="L29" s="46">
        <v>0</v>
      </c>
      <c r="M29" s="46">
        <v>0</v>
      </c>
      <c r="N29" s="45"/>
    </row>
    <row r="30" spans="1:14" x14ac:dyDescent="0.25">
      <c r="A30" s="306"/>
      <c r="B30" s="323"/>
      <c r="C30" s="21" t="s">
        <v>18</v>
      </c>
      <c r="D30" s="2" t="s">
        <v>19</v>
      </c>
      <c r="E30" s="44">
        <v>3.59</v>
      </c>
      <c r="F30" s="44">
        <v>3.59</v>
      </c>
      <c r="G30" s="44">
        <v>3.59</v>
      </c>
      <c r="H30" s="44">
        <v>3.59</v>
      </c>
      <c r="I30" s="44">
        <v>3.59</v>
      </c>
      <c r="J30" s="44">
        <v>3.59</v>
      </c>
      <c r="K30" s="44">
        <v>3.59</v>
      </c>
      <c r="L30" s="44">
        <v>3.59</v>
      </c>
      <c r="M30" s="44">
        <v>3.59</v>
      </c>
      <c r="N30" s="45"/>
    </row>
    <row r="31" spans="1:14" x14ac:dyDescent="0.25">
      <c r="A31" s="306"/>
      <c r="B31" s="323"/>
      <c r="C31" s="21" t="s">
        <v>13</v>
      </c>
      <c r="D31" s="1" t="s">
        <v>14</v>
      </c>
      <c r="E31" s="44"/>
      <c r="F31" s="44"/>
      <c r="G31" s="44"/>
      <c r="H31" s="44"/>
      <c r="I31" s="44"/>
      <c r="J31" s="44"/>
      <c r="K31" s="44"/>
      <c r="L31" s="44"/>
      <c r="M31" s="44"/>
      <c r="N31" s="45"/>
    </row>
    <row r="32" spans="1:14" x14ac:dyDescent="0.25">
      <c r="A32" s="306"/>
      <c r="B32" s="323"/>
      <c r="C32" s="21" t="s">
        <v>15</v>
      </c>
      <c r="D32" s="1" t="s">
        <v>4</v>
      </c>
      <c r="E32" s="44"/>
      <c r="F32" s="44"/>
      <c r="G32" s="44"/>
      <c r="H32" s="44"/>
      <c r="I32" s="44"/>
      <c r="J32" s="44"/>
      <c r="K32" s="44"/>
      <c r="L32" s="44"/>
      <c r="M32" s="44"/>
      <c r="N32" s="45"/>
    </row>
    <row r="33" spans="1:14" ht="14.45" customHeight="1" x14ac:dyDescent="0.25">
      <c r="A33" s="306">
        <v>4</v>
      </c>
      <c r="B33" s="323" t="s">
        <v>145</v>
      </c>
      <c r="C33" s="21" t="s">
        <v>101</v>
      </c>
      <c r="D33" s="1" t="s">
        <v>4</v>
      </c>
      <c r="E33" s="44">
        <v>20</v>
      </c>
      <c r="F33" s="44">
        <v>20</v>
      </c>
      <c r="G33" s="44">
        <v>20</v>
      </c>
      <c r="H33" s="44">
        <v>20</v>
      </c>
      <c r="I33" s="44">
        <v>20</v>
      </c>
      <c r="J33" s="44">
        <v>20</v>
      </c>
      <c r="K33" s="44">
        <v>20</v>
      </c>
      <c r="L33" s="44">
        <v>20</v>
      </c>
      <c r="M33" s="44">
        <v>20</v>
      </c>
      <c r="N33" s="45"/>
    </row>
    <row r="34" spans="1:14" x14ac:dyDescent="0.25">
      <c r="A34" s="306"/>
      <c r="B34" s="323"/>
      <c r="C34" s="21" t="s">
        <v>5</v>
      </c>
      <c r="D34" s="1" t="s">
        <v>6</v>
      </c>
      <c r="E34" s="46">
        <v>939.47924488610727</v>
      </c>
      <c r="F34" s="46">
        <v>670.86780042435419</v>
      </c>
      <c r="G34" s="46">
        <v>523.42631254470632</v>
      </c>
      <c r="H34" s="46">
        <v>523.42631254470632</v>
      </c>
      <c r="I34" s="46">
        <v>523.42631254470632</v>
      </c>
      <c r="J34" s="46">
        <v>523.42631254470632</v>
      </c>
      <c r="K34" s="46">
        <v>1136.3124641115969</v>
      </c>
      <c r="L34" s="46">
        <v>988.42533284709032</v>
      </c>
      <c r="M34" s="46">
        <v>868.76381718516643</v>
      </c>
      <c r="N34" s="45"/>
    </row>
    <row r="35" spans="1:14" x14ac:dyDescent="0.25">
      <c r="A35" s="306"/>
      <c r="B35" s="323"/>
      <c r="C35" s="21" t="s">
        <v>172</v>
      </c>
      <c r="D35" s="1" t="s">
        <v>19</v>
      </c>
      <c r="E35" s="47">
        <v>0.35</v>
      </c>
      <c r="F35" s="47">
        <v>0.35</v>
      </c>
      <c r="G35" s="47">
        <v>0.35</v>
      </c>
      <c r="H35" s="47">
        <v>0.35</v>
      </c>
      <c r="I35" s="47">
        <v>0.35</v>
      </c>
      <c r="J35" s="47">
        <v>0.35</v>
      </c>
      <c r="K35" s="47">
        <v>0.35</v>
      </c>
      <c r="L35" s="47">
        <v>0.35</v>
      </c>
      <c r="M35" s="47">
        <v>0.35</v>
      </c>
      <c r="N35" s="45"/>
    </row>
    <row r="36" spans="1:14" x14ac:dyDescent="0.25">
      <c r="A36" s="306"/>
      <c r="B36" s="323"/>
      <c r="C36" s="21" t="s">
        <v>102</v>
      </c>
      <c r="D36" s="1" t="s">
        <v>8</v>
      </c>
      <c r="E36" s="44"/>
      <c r="F36" s="44"/>
      <c r="G36" s="44"/>
      <c r="H36" s="44"/>
      <c r="I36" s="44"/>
      <c r="J36" s="44"/>
      <c r="K36" s="44"/>
      <c r="L36" s="44"/>
      <c r="M36" s="44"/>
      <c r="N36" s="45"/>
    </row>
    <row r="37" spans="1:14" x14ac:dyDescent="0.25">
      <c r="A37" s="306"/>
      <c r="B37" s="323"/>
      <c r="C37" s="21" t="s">
        <v>103</v>
      </c>
      <c r="D37" s="1" t="s">
        <v>9</v>
      </c>
      <c r="E37" s="46">
        <v>14.092188673291609</v>
      </c>
      <c r="F37" s="46">
        <v>10.063017006365312</v>
      </c>
      <c r="G37" s="46">
        <v>7.8513946881705952</v>
      </c>
      <c r="H37" s="46">
        <v>7.8513946881705952</v>
      </c>
      <c r="I37" s="46">
        <v>7.8513946881705952</v>
      </c>
      <c r="J37" s="46">
        <v>7.8513946881705952</v>
      </c>
      <c r="K37" s="46">
        <v>1.91</v>
      </c>
      <c r="L37" s="46">
        <v>1.91</v>
      </c>
      <c r="M37" s="46">
        <v>1.91</v>
      </c>
      <c r="N37" s="45"/>
    </row>
    <row r="38" spans="1:14" x14ac:dyDescent="0.25">
      <c r="A38" s="306"/>
      <c r="B38" s="323"/>
      <c r="C38" s="21" t="s">
        <v>104</v>
      </c>
      <c r="D38" s="1" t="s">
        <v>10</v>
      </c>
      <c r="E38" s="46">
        <v>0</v>
      </c>
      <c r="F38" s="46">
        <v>0</v>
      </c>
      <c r="G38" s="46">
        <v>0</v>
      </c>
      <c r="H38" s="46">
        <v>0</v>
      </c>
      <c r="I38" s="46">
        <v>0</v>
      </c>
      <c r="J38" s="46">
        <v>0</v>
      </c>
      <c r="K38" s="46">
        <v>2.1700000000000001E-3</v>
      </c>
      <c r="L38" s="46">
        <v>2.1700000000000001E-3</v>
      </c>
      <c r="M38" s="46">
        <v>2.1700000000000001E-3</v>
      </c>
      <c r="N38" s="45"/>
    </row>
    <row r="39" spans="1:14" ht="18.75" x14ac:dyDescent="0.25">
      <c r="A39" s="306"/>
      <c r="B39" s="323"/>
      <c r="C39" s="22" t="s">
        <v>105</v>
      </c>
      <c r="D39" s="23" t="s">
        <v>17</v>
      </c>
      <c r="E39" s="46">
        <v>0</v>
      </c>
      <c r="F39" s="46">
        <v>0</v>
      </c>
      <c r="G39" s="46">
        <v>0</v>
      </c>
      <c r="H39" s="46">
        <v>0</v>
      </c>
      <c r="I39" s="46">
        <v>0</v>
      </c>
      <c r="J39" s="46">
        <v>0</v>
      </c>
      <c r="K39" s="46">
        <v>0</v>
      </c>
      <c r="L39" s="46">
        <v>0</v>
      </c>
      <c r="M39" s="46">
        <v>0</v>
      </c>
      <c r="N39" s="45"/>
    </row>
    <row r="40" spans="1:14" x14ac:dyDescent="0.25">
      <c r="A40" s="306"/>
      <c r="B40" s="323"/>
      <c r="C40" s="22" t="s">
        <v>11</v>
      </c>
      <c r="D40" s="23" t="s">
        <v>10</v>
      </c>
      <c r="E40" s="46">
        <v>0</v>
      </c>
      <c r="F40" s="46">
        <v>0</v>
      </c>
      <c r="G40" s="46">
        <v>0</v>
      </c>
      <c r="H40" s="46">
        <v>0</v>
      </c>
      <c r="I40" s="46">
        <v>0</v>
      </c>
      <c r="J40" s="46">
        <v>0</v>
      </c>
      <c r="K40" s="46">
        <v>0</v>
      </c>
      <c r="L40" s="46">
        <v>0</v>
      </c>
      <c r="M40" s="46">
        <v>0</v>
      </c>
      <c r="N40" s="45"/>
    </row>
    <row r="41" spans="1:14" x14ac:dyDescent="0.25">
      <c r="A41" s="306"/>
      <c r="B41" s="323"/>
      <c r="C41" s="21" t="s">
        <v>18</v>
      </c>
      <c r="D41" s="2" t="s">
        <v>19</v>
      </c>
      <c r="E41" s="44">
        <v>3.34</v>
      </c>
      <c r="F41" s="44">
        <v>3.34</v>
      </c>
      <c r="G41" s="44">
        <v>3.34</v>
      </c>
      <c r="H41" s="44">
        <v>3.34</v>
      </c>
      <c r="I41" s="44">
        <v>3.34</v>
      </c>
      <c r="J41" s="44">
        <v>3.34</v>
      </c>
      <c r="K41" s="44">
        <v>3.34</v>
      </c>
      <c r="L41" s="44">
        <v>3.34</v>
      </c>
      <c r="M41" s="44">
        <v>3.34</v>
      </c>
      <c r="N41" s="45"/>
    </row>
    <row r="42" spans="1:14" x14ac:dyDescent="0.25">
      <c r="A42" s="306"/>
      <c r="B42" s="323"/>
      <c r="C42" s="21" t="s">
        <v>13</v>
      </c>
      <c r="D42" s="1" t="s">
        <v>14</v>
      </c>
      <c r="E42" s="44"/>
      <c r="F42" s="44"/>
      <c r="G42" s="44"/>
      <c r="H42" s="44"/>
      <c r="I42" s="44"/>
      <c r="J42" s="44"/>
      <c r="K42" s="44"/>
      <c r="L42" s="44"/>
      <c r="M42" s="44"/>
      <c r="N42" s="45"/>
    </row>
    <row r="43" spans="1:14" x14ac:dyDescent="0.25">
      <c r="A43" s="306"/>
      <c r="B43" s="323"/>
      <c r="C43" s="21" t="s">
        <v>15</v>
      </c>
      <c r="D43" s="1" t="s">
        <v>4</v>
      </c>
      <c r="E43" s="44"/>
      <c r="F43" s="44"/>
      <c r="G43" s="44"/>
      <c r="H43" s="44"/>
      <c r="I43" s="44"/>
      <c r="J43" s="44"/>
      <c r="K43" s="44"/>
      <c r="L43" s="44"/>
      <c r="M43" s="44"/>
      <c r="N43" s="45"/>
    </row>
    <row r="44" spans="1:14" ht="14.45" customHeight="1" x14ac:dyDescent="0.25">
      <c r="A44" s="306">
        <v>5</v>
      </c>
      <c r="B44" s="323" t="s">
        <v>146</v>
      </c>
      <c r="C44" s="21" t="s">
        <v>101</v>
      </c>
      <c r="D44" s="1" t="s">
        <v>4</v>
      </c>
      <c r="E44" s="44">
        <v>20</v>
      </c>
      <c r="F44" s="44">
        <v>20</v>
      </c>
      <c r="G44" s="44">
        <v>20</v>
      </c>
      <c r="H44" s="44">
        <v>20</v>
      </c>
      <c r="I44" s="44">
        <v>20</v>
      </c>
      <c r="J44" s="44">
        <v>20</v>
      </c>
      <c r="K44" s="44">
        <v>20</v>
      </c>
      <c r="L44" s="44">
        <v>20</v>
      </c>
      <c r="M44" s="44">
        <v>20</v>
      </c>
      <c r="N44" s="45"/>
    </row>
    <row r="45" spans="1:14" x14ac:dyDescent="0.25">
      <c r="A45" s="306"/>
      <c r="B45" s="323"/>
      <c r="C45" s="21" t="s">
        <v>20</v>
      </c>
      <c r="D45" s="1" t="s">
        <v>6</v>
      </c>
      <c r="E45" s="46">
        <v>939.47924488610727</v>
      </c>
      <c r="F45" s="46">
        <v>670.86780042435419</v>
      </c>
      <c r="G45" s="46">
        <v>523.42631254470632</v>
      </c>
      <c r="H45" s="46">
        <v>523.42631254470632</v>
      </c>
      <c r="I45" s="46">
        <v>523.42631254470632</v>
      </c>
      <c r="J45" s="46">
        <v>523.42631254470632</v>
      </c>
      <c r="K45" s="46">
        <v>1136.3124641115969</v>
      </c>
      <c r="L45" s="46">
        <v>988.42533284709032</v>
      </c>
      <c r="M45" s="46">
        <v>868.76381718516643</v>
      </c>
      <c r="N45" s="45"/>
    </row>
    <row r="46" spans="1:14" x14ac:dyDescent="0.25">
      <c r="A46" s="306"/>
      <c r="B46" s="323"/>
      <c r="C46" s="21" t="s">
        <v>172</v>
      </c>
      <c r="D46" s="1" t="s">
        <v>19</v>
      </c>
      <c r="E46" s="47">
        <v>0.35</v>
      </c>
      <c r="F46" s="47">
        <v>0.35</v>
      </c>
      <c r="G46" s="47">
        <v>0.35</v>
      </c>
      <c r="H46" s="47">
        <v>0.35</v>
      </c>
      <c r="I46" s="47">
        <v>0.35</v>
      </c>
      <c r="J46" s="47">
        <v>0.35</v>
      </c>
      <c r="K46" s="47">
        <v>0.35</v>
      </c>
      <c r="L46" s="47">
        <v>0.35</v>
      </c>
      <c r="M46" s="47">
        <v>0.35</v>
      </c>
      <c r="N46" s="45"/>
    </row>
    <row r="47" spans="1:14" x14ac:dyDescent="0.25">
      <c r="A47" s="306"/>
      <c r="B47" s="323"/>
      <c r="C47" s="21" t="s">
        <v>102</v>
      </c>
      <c r="D47" s="1" t="s">
        <v>8</v>
      </c>
      <c r="E47" s="44"/>
      <c r="F47" s="44"/>
      <c r="G47" s="44"/>
      <c r="H47" s="44"/>
      <c r="I47" s="44"/>
      <c r="J47" s="44"/>
      <c r="K47" s="44"/>
      <c r="L47" s="44"/>
      <c r="M47" s="44"/>
      <c r="N47" s="45"/>
    </row>
    <row r="48" spans="1:14" x14ac:dyDescent="0.25">
      <c r="A48" s="306"/>
      <c r="B48" s="323"/>
      <c r="C48" s="21" t="s">
        <v>103</v>
      </c>
      <c r="D48" s="1" t="s">
        <v>9</v>
      </c>
      <c r="E48" s="46">
        <v>14.092188673291609</v>
      </c>
      <c r="F48" s="46">
        <v>10.063017006365312</v>
      </c>
      <c r="G48" s="46">
        <v>7.8513946881705952</v>
      </c>
      <c r="H48" s="46">
        <v>7.8513946881705952</v>
      </c>
      <c r="I48" s="46">
        <v>7.8513946881705952</v>
      </c>
      <c r="J48" s="46">
        <v>7.8513946881705952</v>
      </c>
      <c r="K48" s="46">
        <v>1.91</v>
      </c>
      <c r="L48" s="46">
        <v>1.91</v>
      </c>
      <c r="M48" s="46">
        <v>1.91</v>
      </c>
      <c r="N48" s="45"/>
    </row>
    <row r="49" spans="1:14" x14ac:dyDescent="0.25">
      <c r="A49" s="306"/>
      <c r="B49" s="323"/>
      <c r="C49" s="21" t="s">
        <v>104</v>
      </c>
      <c r="D49" s="1" t="s">
        <v>10</v>
      </c>
      <c r="E49" s="46">
        <v>0</v>
      </c>
      <c r="F49" s="46">
        <v>0</v>
      </c>
      <c r="G49" s="46">
        <v>0</v>
      </c>
      <c r="H49" s="46">
        <v>0</v>
      </c>
      <c r="I49" s="46">
        <v>0</v>
      </c>
      <c r="J49" s="46">
        <v>0</v>
      </c>
      <c r="K49" s="46">
        <v>2.1700000000000001E-3</v>
      </c>
      <c r="L49" s="46">
        <v>2.1700000000000001E-3</v>
      </c>
      <c r="M49" s="46">
        <v>2.1700000000000001E-3</v>
      </c>
      <c r="N49" s="45"/>
    </row>
    <row r="50" spans="1:14" ht="18.75" x14ac:dyDescent="0.25">
      <c r="A50" s="306"/>
      <c r="B50" s="323"/>
      <c r="C50" s="22" t="s">
        <v>105</v>
      </c>
      <c r="D50" s="23" t="s">
        <v>17</v>
      </c>
      <c r="E50" s="46">
        <v>0</v>
      </c>
      <c r="F50" s="46">
        <v>0</v>
      </c>
      <c r="G50" s="46">
        <v>0</v>
      </c>
      <c r="H50" s="46">
        <v>0</v>
      </c>
      <c r="I50" s="46">
        <v>0</v>
      </c>
      <c r="J50" s="46">
        <v>0</v>
      </c>
      <c r="K50" s="46">
        <v>0</v>
      </c>
      <c r="L50" s="46">
        <v>0</v>
      </c>
      <c r="M50" s="46">
        <v>0</v>
      </c>
      <c r="N50" s="45"/>
    </row>
    <row r="51" spans="1:14" x14ac:dyDescent="0.25">
      <c r="A51" s="306"/>
      <c r="B51" s="323"/>
      <c r="C51" s="22" t="s">
        <v>11</v>
      </c>
      <c r="D51" s="23" t="s">
        <v>10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5"/>
    </row>
    <row r="52" spans="1:14" x14ac:dyDescent="0.25">
      <c r="A52" s="306"/>
      <c r="B52" s="323"/>
      <c r="C52" s="21" t="s">
        <v>18</v>
      </c>
      <c r="D52" s="2" t="s">
        <v>19</v>
      </c>
      <c r="E52" s="44">
        <v>3.09</v>
      </c>
      <c r="F52" s="44">
        <v>3.09</v>
      </c>
      <c r="G52" s="44">
        <v>3.09</v>
      </c>
      <c r="H52" s="44">
        <v>3.09</v>
      </c>
      <c r="I52" s="44">
        <v>3.09</v>
      </c>
      <c r="J52" s="44">
        <v>3.09</v>
      </c>
      <c r="K52" s="44">
        <v>3.09</v>
      </c>
      <c r="L52" s="44">
        <v>3.09</v>
      </c>
      <c r="M52" s="44">
        <v>3.09</v>
      </c>
      <c r="N52" s="45"/>
    </row>
    <row r="53" spans="1:14" x14ac:dyDescent="0.25">
      <c r="A53" s="306"/>
      <c r="B53" s="323"/>
      <c r="C53" s="21" t="s">
        <v>13</v>
      </c>
      <c r="D53" s="2" t="s">
        <v>14</v>
      </c>
      <c r="E53" s="44"/>
      <c r="F53" s="44"/>
      <c r="G53" s="44"/>
      <c r="H53" s="44"/>
      <c r="I53" s="44"/>
      <c r="J53" s="44"/>
      <c r="K53" s="44"/>
      <c r="L53" s="44"/>
      <c r="M53" s="44"/>
      <c r="N53" s="45"/>
    </row>
    <row r="54" spans="1:14" x14ac:dyDescent="0.25">
      <c r="A54" s="306"/>
      <c r="B54" s="323"/>
      <c r="C54" s="21" t="s">
        <v>15</v>
      </c>
      <c r="D54" s="2" t="s">
        <v>4</v>
      </c>
      <c r="E54" s="44"/>
      <c r="F54" s="44"/>
      <c r="G54" s="44"/>
      <c r="H54" s="44"/>
      <c r="I54" s="44"/>
      <c r="J54" s="44"/>
      <c r="K54" s="44"/>
      <c r="L54" s="44"/>
      <c r="M54" s="44"/>
      <c r="N54" s="45"/>
    </row>
    <row r="55" spans="1:14" ht="14.45" customHeight="1" x14ac:dyDescent="0.25">
      <c r="A55" s="306">
        <v>6</v>
      </c>
      <c r="B55" s="323" t="s">
        <v>147</v>
      </c>
      <c r="C55" s="21" t="s">
        <v>101</v>
      </c>
      <c r="D55" s="1" t="s">
        <v>4</v>
      </c>
      <c r="E55" s="44">
        <v>20</v>
      </c>
      <c r="F55" s="44">
        <v>20</v>
      </c>
      <c r="G55" s="44">
        <v>20</v>
      </c>
      <c r="H55" s="44">
        <v>20</v>
      </c>
      <c r="I55" s="44">
        <v>20</v>
      </c>
      <c r="J55" s="44">
        <v>20</v>
      </c>
      <c r="K55" s="44">
        <v>20</v>
      </c>
      <c r="L55" s="44">
        <v>20</v>
      </c>
      <c r="M55" s="44">
        <v>20</v>
      </c>
      <c r="N55" s="45"/>
    </row>
    <row r="56" spans="1:14" x14ac:dyDescent="0.25">
      <c r="A56" s="306"/>
      <c r="B56" s="323"/>
      <c r="C56" s="21" t="s">
        <v>20</v>
      </c>
      <c r="D56" s="1" t="s">
        <v>6</v>
      </c>
      <c r="E56" s="46">
        <v>909.21153254208934</v>
      </c>
      <c r="F56" s="46">
        <v>627.05637164757331</v>
      </c>
      <c r="G56" s="46">
        <v>475.93332461067337</v>
      </c>
      <c r="H56" s="46">
        <v>475.93332461067337</v>
      </c>
      <c r="I56" s="46">
        <v>475.93332461067337</v>
      </c>
      <c r="J56" s="46">
        <v>475.93332461067337</v>
      </c>
      <c r="K56" s="46">
        <v>674.78400000000011</v>
      </c>
      <c r="L56" s="46">
        <v>674.78400000000011</v>
      </c>
      <c r="M56" s="46">
        <v>674.78400000000011</v>
      </c>
      <c r="N56" s="45"/>
    </row>
    <row r="57" spans="1:14" x14ac:dyDescent="0.25">
      <c r="A57" s="306"/>
      <c r="B57" s="323"/>
      <c r="C57" s="21" t="s">
        <v>172</v>
      </c>
      <c r="D57" s="1" t="s">
        <v>19</v>
      </c>
      <c r="E57" s="47">
        <v>0.35</v>
      </c>
      <c r="F57" s="47">
        <v>0.35</v>
      </c>
      <c r="G57" s="47">
        <v>0.35</v>
      </c>
      <c r="H57" s="47">
        <v>0.35</v>
      </c>
      <c r="I57" s="47">
        <v>0.35</v>
      </c>
      <c r="J57" s="47">
        <v>0.35</v>
      </c>
      <c r="K57" s="47">
        <v>0.35</v>
      </c>
      <c r="L57" s="47">
        <v>0.35</v>
      </c>
      <c r="M57" s="47">
        <v>0.35</v>
      </c>
      <c r="N57" s="45"/>
    </row>
    <row r="58" spans="1:14" x14ac:dyDescent="0.25">
      <c r="A58" s="306"/>
      <c r="B58" s="323"/>
      <c r="C58" s="21" t="s">
        <v>102</v>
      </c>
      <c r="D58" s="1" t="s">
        <v>8</v>
      </c>
      <c r="E58" s="44"/>
      <c r="F58" s="44"/>
      <c r="G58" s="44"/>
      <c r="H58" s="44"/>
      <c r="I58" s="44"/>
      <c r="J58" s="44"/>
      <c r="K58" s="44"/>
      <c r="L58" s="44"/>
      <c r="M58" s="44"/>
      <c r="N58" s="45"/>
    </row>
    <row r="59" spans="1:14" x14ac:dyDescent="0.25">
      <c r="A59" s="306"/>
      <c r="B59" s="323"/>
      <c r="C59" s="21" t="s">
        <v>103</v>
      </c>
      <c r="D59" s="1" t="s">
        <v>9</v>
      </c>
      <c r="E59" s="46">
        <v>13.638172988131339</v>
      </c>
      <c r="F59" s="46">
        <v>9.4058455747135987</v>
      </c>
      <c r="G59" s="46">
        <v>7.1389998691601004</v>
      </c>
      <c r="H59" s="46">
        <v>7.1389998691601004</v>
      </c>
      <c r="I59" s="46">
        <v>7.1389998691601004</v>
      </c>
      <c r="J59" s="46">
        <v>7.1389998691601004</v>
      </c>
      <c r="K59" s="46">
        <v>1.91</v>
      </c>
      <c r="L59" s="46">
        <v>1.91</v>
      </c>
      <c r="M59" s="46">
        <v>1.91</v>
      </c>
      <c r="N59" s="45"/>
    </row>
    <row r="60" spans="1:14" x14ac:dyDescent="0.25">
      <c r="A60" s="306"/>
      <c r="B60" s="323"/>
      <c r="C60" s="21" t="s">
        <v>104</v>
      </c>
      <c r="D60" s="1" t="s">
        <v>10</v>
      </c>
      <c r="E60" s="46">
        <v>0</v>
      </c>
      <c r="F60" s="46">
        <v>0</v>
      </c>
      <c r="G60" s="46">
        <v>0</v>
      </c>
      <c r="H60" s="46">
        <v>0</v>
      </c>
      <c r="I60" s="46">
        <v>0</v>
      </c>
      <c r="J60" s="46">
        <v>0</v>
      </c>
      <c r="K60" s="46">
        <v>2.1700000000000001E-3</v>
      </c>
      <c r="L60" s="46">
        <v>2.1700000000000001E-3</v>
      </c>
      <c r="M60" s="46">
        <v>2.1700000000000001E-3</v>
      </c>
      <c r="N60" s="45"/>
    </row>
    <row r="61" spans="1:14" ht="18.75" x14ac:dyDescent="0.25">
      <c r="A61" s="306"/>
      <c r="B61" s="323"/>
      <c r="C61" s="22" t="s">
        <v>105</v>
      </c>
      <c r="D61" s="23" t="s">
        <v>17</v>
      </c>
      <c r="E61" s="46">
        <v>0</v>
      </c>
      <c r="F61" s="46">
        <v>0</v>
      </c>
      <c r="G61" s="46">
        <v>0</v>
      </c>
      <c r="H61" s="46">
        <v>0</v>
      </c>
      <c r="I61" s="46">
        <v>0</v>
      </c>
      <c r="J61" s="46">
        <v>0</v>
      </c>
      <c r="K61" s="46">
        <v>0</v>
      </c>
      <c r="L61" s="46">
        <v>0</v>
      </c>
      <c r="M61" s="46">
        <v>0</v>
      </c>
      <c r="N61" s="45"/>
    </row>
    <row r="62" spans="1:14" x14ac:dyDescent="0.25">
      <c r="A62" s="306"/>
      <c r="B62" s="323"/>
      <c r="C62" s="22" t="s">
        <v>11</v>
      </c>
      <c r="D62" s="23" t="s">
        <v>10</v>
      </c>
      <c r="E62" s="46">
        <v>0</v>
      </c>
      <c r="F62" s="46">
        <v>0</v>
      </c>
      <c r="G62" s="46">
        <v>0</v>
      </c>
      <c r="H62" s="46">
        <v>0</v>
      </c>
      <c r="I62" s="46">
        <v>0</v>
      </c>
      <c r="J62" s="46">
        <v>0</v>
      </c>
      <c r="K62" s="46">
        <v>0</v>
      </c>
      <c r="L62" s="46">
        <v>0</v>
      </c>
      <c r="M62" s="46">
        <v>0</v>
      </c>
      <c r="N62" s="45"/>
    </row>
    <row r="63" spans="1:14" x14ac:dyDescent="0.25">
      <c r="A63" s="306"/>
      <c r="B63" s="323"/>
      <c r="C63" s="21" t="s">
        <v>18</v>
      </c>
      <c r="D63" s="2" t="s">
        <v>19</v>
      </c>
      <c r="E63" s="44">
        <v>4.22</v>
      </c>
      <c r="F63" s="44">
        <v>4.22</v>
      </c>
      <c r="G63" s="44">
        <v>4.22</v>
      </c>
      <c r="H63" s="44">
        <v>4.22</v>
      </c>
      <c r="I63" s="44">
        <v>4.22</v>
      </c>
      <c r="J63" s="44">
        <v>4.22</v>
      </c>
      <c r="K63" s="44">
        <v>4.22</v>
      </c>
      <c r="L63" s="44">
        <v>4.22</v>
      </c>
      <c r="M63" s="44">
        <v>4.22</v>
      </c>
      <c r="N63" s="45"/>
    </row>
    <row r="64" spans="1:14" x14ac:dyDescent="0.25">
      <c r="A64" s="306"/>
      <c r="B64" s="323"/>
      <c r="C64" s="21" t="s">
        <v>13</v>
      </c>
      <c r="D64" s="1" t="s">
        <v>14</v>
      </c>
      <c r="E64" s="44"/>
      <c r="F64" s="44"/>
      <c r="G64" s="44"/>
      <c r="H64" s="44"/>
      <c r="I64" s="44"/>
      <c r="J64" s="44"/>
      <c r="K64" s="44"/>
      <c r="L64" s="44"/>
      <c r="M64" s="44"/>
      <c r="N64" s="45"/>
    </row>
    <row r="65" spans="1:14" x14ac:dyDescent="0.25">
      <c r="A65" s="306"/>
      <c r="B65" s="323"/>
      <c r="C65" s="21" t="s">
        <v>15</v>
      </c>
      <c r="D65" s="1" t="s">
        <v>4</v>
      </c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4" x14ac:dyDescent="0.25">
      <c r="A66" s="306"/>
      <c r="B66" s="323"/>
      <c r="C66" s="21" t="s">
        <v>106</v>
      </c>
      <c r="D66" s="1" t="s">
        <v>6</v>
      </c>
      <c r="E66" s="46">
        <v>2419.8158607382284</v>
      </c>
      <c r="F66" s="46">
        <v>1655.7881203031177</v>
      </c>
      <c r="G66" s="46">
        <v>1041.3145241292364</v>
      </c>
      <c r="H66" s="46">
        <v>361.73551248702233</v>
      </c>
      <c r="I66" s="46">
        <v>246.65342336513888</v>
      </c>
      <c r="J66" s="46">
        <v>156.34182589557849</v>
      </c>
      <c r="K66" s="46">
        <v>75.877978739630933</v>
      </c>
      <c r="L66" s="46">
        <v>66.467719198694567</v>
      </c>
      <c r="M66" s="46">
        <v>66.467719198694567</v>
      </c>
      <c r="N66" s="45"/>
    </row>
    <row r="67" spans="1:14" x14ac:dyDescent="0.25">
      <c r="A67" s="306"/>
      <c r="B67" s="323"/>
      <c r="C67" s="21" t="s">
        <v>107</v>
      </c>
      <c r="D67" s="1" t="s">
        <v>4</v>
      </c>
      <c r="E67" s="44"/>
      <c r="F67" s="44"/>
      <c r="G67" s="44"/>
      <c r="H67" s="44"/>
      <c r="I67" s="44"/>
      <c r="J67" s="44"/>
      <c r="K67" s="44"/>
      <c r="L67" s="44"/>
      <c r="M67" s="44"/>
      <c r="N67" s="45"/>
    </row>
    <row r="68" spans="1:14" ht="14.45" customHeight="1" x14ac:dyDescent="0.25">
      <c r="A68" s="306">
        <v>7</v>
      </c>
      <c r="B68" s="323" t="s">
        <v>148</v>
      </c>
      <c r="C68" s="21" t="s">
        <v>101</v>
      </c>
      <c r="D68" s="1" t="s">
        <v>4</v>
      </c>
      <c r="E68" s="44">
        <v>20</v>
      </c>
      <c r="F68" s="44">
        <v>20</v>
      </c>
      <c r="G68" s="44">
        <v>20</v>
      </c>
      <c r="H68" s="44">
        <v>20</v>
      </c>
      <c r="I68" s="44">
        <v>20</v>
      </c>
      <c r="J68" s="44">
        <v>20</v>
      </c>
      <c r="K68" s="44">
        <v>20</v>
      </c>
      <c r="L68" s="44">
        <v>20</v>
      </c>
      <c r="M68" s="44">
        <v>20</v>
      </c>
      <c r="N68" s="45"/>
    </row>
    <row r="69" spans="1:14" x14ac:dyDescent="0.25">
      <c r="A69" s="306"/>
      <c r="B69" s="323"/>
      <c r="C69" s="21" t="s">
        <v>20</v>
      </c>
      <c r="D69" s="1" t="s">
        <v>6</v>
      </c>
      <c r="E69" s="46">
        <v>909.21153254208934</v>
      </c>
      <c r="F69" s="46">
        <v>627.05637164757331</v>
      </c>
      <c r="G69" s="46">
        <v>475.93332461067337</v>
      </c>
      <c r="H69" s="46">
        <v>475.93332461067337</v>
      </c>
      <c r="I69" s="46">
        <v>475.93332461067337</v>
      </c>
      <c r="J69" s="46">
        <v>475.93332461067337</v>
      </c>
      <c r="K69" s="46">
        <v>674.78400000000011</v>
      </c>
      <c r="L69" s="46">
        <v>674.78400000000011</v>
      </c>
      <c r="M69" s="46">
        <v>674.78400000000011</v>
      </c>
      <c r="N69" s="45"/>
    </row>
    <row r="70" spans="1:14" x14ac:dyDescent="0.25">
      <c r="A70" s="306"/>
      <c r="B70" s="323"/>
      <c r="C70" s="21" t="s">
        <v>172</v>
      </c>
      <c r="D70" s="1" t="s">
        <v>19</v>
      </c>
      <c r="E70" s="47">
        <v>0.35</v>
      </c>
      <c r="F70" s="47">
        <v>0.35</v>
      </c>
      <c r="G70" s="47">
        <v>0.35</v>
      </c>
      <c r="H70" s="47">
        <v>0.35</v>
      </c>
      <c r="I70" s="47">
        <v>0.35</v>
      </c>
      <c r="J70" s="47">
        <v>0.35</v>
      </c>
      <c r="K70" s="47">
        <v>0.35</v>
      </c>
      <c r="L70" s="47">
        <v>0.35</v>
      </c>
      <c r="M70" s="47">
        <v>0.35</v>
      </c>
      <c r="N70" s="45"/>
    </row>
    <row r="71" spans="1:14" x14ac:dyDescent="0.25">
      <c r="A71" s="306"/>
      <c r="B71" s="323"/>
      <c r="C71" s="21" t="s">
        <v>102</v>
      </c>
      <c r="D71" s="1" t="s">
        <v>8</v>
      </c>
      <c r="E71" s="44"/>
      <c r="F71" s="44"/>
      <c r="G71" s="44"/>
      <c r="H71" s="44"/>
      <c r="I71" s="44"/>
      <c r="J71" s="44"/>
      <c r="K71" s="44"/>
      <c r="L71" s="44"/>
      <c r="M71" s="44"/>
      <c r="N71" s="45"/>
    </row>
    <row r="72" spans="1:14" x14ac:dyDescent="0.25">
      <c r="A72" s="306"/>
      <c r="B72" s="323"/>
      <c r="C72" s="21" t="s">
        <v>103</v>
      </c>
      <c r="D72" s="1" t="s">
        <v>9</v>
      </c>
      <c r="E72" s="46">
        <v>13.638172988131339</v>
      </c>
      <c r="F72" s="46">
        <v>9.4058455747135987</v>
      </c>
      <c r="G72" s="46">
        <v>7.1389998691601004</v>
      </c>
      <c r="H72" s="46">
        <v>7.1389998691601004</v>
      </c>
      <c r="I72" s="46">
        <v>7.1389998691601004</v>
      </c>
      <c r="J72" s="46">
        <v>7.1389998691601004</v>
      </c>
      <c r="K72" s="46">
        <v>1.91</v>
      </c>
      <c r="L72" s="46">
        <v>1.91</v>
      </c>
      <c r="M72" s="46">
        <v>1.91</v>
      </c>
      <c r="N72" s="45"/>
    </row>
    <row r="73" spans="1:14" x14ac:dyDescent="0.25">
      <c r="A73" s="306"/>
      <c r="B73" s="323"/>
      <c r="C73" s="21" t="s">
        <v>104</v>
      </c>
      <c r="D73" s="1" t="s">
        <v>10</v>
      </c>
      <c r="E73" s="46">
        <v>0</v>
      </c>
      <c r="F73" s="46">
        <v>0</v>
      </c>
      <c r="G73" s="46">
        <v>0</v>
      </c>
      <c r="H73" s="46">
        <v>0</v>
      </c>
      <c r="I73" s="46">
        <v>0</v>
      </c>
      <c r="J73" s="46">
        <v>0</v>
      </c>
      <c r="K73" s="46">
        <v>2.1700000000000001E-3</v>
      </c>
      <c r="L73" s="46">
        <v>2.1700000000000001E-3</v>
      </c>
      <c r="M73" s="46">
        <v>2.1700000000000001E-3</v>
      </c>
      <c r="N73" s="45"/>
    </row>
    <row r="74" spans="1:14" ht="18.75" x14ac:dyDescent="0.25">
      <c r="A74" s="306"/>
      <c r="B74" s="323"/>
      <c r="C74" s="22" t="s">
        <v>105</v>
      </c>
      <c r="D74" s="23" t="s">
        <v>17</v>
      </c>
      <c r="E74" s="46">
        <v>0</v>
      </c>
      <c r="F74" s="46">
        <v>0</v>
      </c>
      <c r="G74" s="46">
        <v>0</v>
      </c>
      <c r="H74" s="46">
        <v>0</v>
      </c>
      <c r="I74" s="46">
        <v>0</v>
      </c>
      <c r="J74" s="46">
        <v>0</v>
      </c>
      <c r="K74" s="46">
        <v>0</v>
      </c>
      <c r="L74" s="46">
        <v>0</v>
      </c>
      <c r="M74" s="46">
        <v>0</v>
      </c>
      <c r="N74" s="45"/>
    </row>
    <row r="75" spans="1:14" x14ac:dyDescent="0.25">
      <c r="A75" s="306"/>
      <c r="B75" s="323"/>
      <c r="C75" s="22" t="s">
        <v>11</v>
      </c>
      <c r="D75" s="23" t="s">
        <v>10</v>
      </c>
      <c r="E75" s="46">
        <v>0</v>
      </c>
      <c r="F75" s="46">
        <v>0</v>
      </c>
      <c r="G75" s="46">
        <v>0</v>
      </c>
      <c r="H75" s="46">
        <v>0</v>
      </c>
      <c r="I75" s="46">
        <v>0</v>
      </c>
      <c r="J75" s="46">
        <v>0</v>
      </c>
      <c r="K75" s="46">
        <v>0</v>
      </c>
      <c r="L75" s="46">
        <v>0</v>
      </c>
      <c r="M75" s="46">
        <v>0</v>
      </c>
      <c r="N75" s="45"/>
    </row>
    <row r="76" spans="1:14" x14ac:dyDescent="0.25">
      <c r="A76" s="306"/>
      <c r="B76" s="323"/>
      <c r="C76" s="21" t="s">
        <v>18</v>
      </c>
      <c r="D76" s="2" t="s">
        <v>19</v>
      </c>
      <c r="E76" s="44">
        <v>3.92</v>
      </c>
      <c r="F76" s="44">
        <v>3.92</v>
      </c>
      <c r="G76" s="44">
        <v>3.92</v>
      </c>
      <c r="H76" s="44">
        <v>3.92</v>
      </c>
      <c r="I76" s="44">
        <v>3.92</v>
      </c>
      <c r="J76" s="44">
        <v>3.92</v>
      </c>
      <c r="K76" s="44">
        <v>3.92</v>
      </c>
      <c r="L76" s="44">
        <v>3.92</v>
      </c>
      <c r="M76" s="44">
        <v>3.92</v>
      </c>
      <c r="N76" s="45"/>
    </row>
    <row r="77" spans="1:14" x14ac:dyDescent="0.25">
      <c r="A77" s="306"/>
      <c r="B77" s="323"/>
      <c r="C77" s="21" t="s">
        <v>13</v>
      </c>
      <c r="D77" s="1" t="s">
        <v>14</v>
      </c>
      <c r="E77" s="44"/>
      <c r="F77" s="44"/>
      <c r="G77" s="44"/>
      <c r="H77" s="44"/>
      <c r="I77" s="44"/>
      <c r="J77" s="44"/>
      <c r="K77" s="44"/>
      <c r="L77" s="44"/>
      <c r="M77" s="44"/>
      <c r="N77" s="45"/>
    </row>
    <row r="78" spans="1:14" x14ac:dyDescent="0.25">
      <c r="A78" s="306"/>
      <c r="B78" s="323"/>
      <c r="C78" s="21" t="s">
        <v>15</v>
      </c>
      <c r="D78" s="1" t="s">
        <v>4</v>
      </c>
      <c r="E78" s="44"/>
      <c r="F78" s="44"/>
      <c r="G78" s="44"/>
      <c r="H78" s="44"/>
      <c r="I78" s="44"/>
      <c r="J78" s="44"/>
      <c r="K78" s="44"/>
      <c r="L78" s="44"/>
      <c r="M78" s="44"/>
      <c r="N78" s="45"/>
    </row>
    <row r="79" spans="1:14" x14ac:dyDescent="0.25">
      <c r="A79" s="306"/>
      <c r="B79" s="323"/>
      <c r="C79" s="21" t="s">
        <v>106</v>
      </c>
      <c r="D79" s="1" t="s">
        <v>6</v>
      </c>
      <c r="E79" s="46">
        <v>2419.8158607382284</v>
      </c>
      <c r="F79" s="46">
        <v>1655.7881203031177</v>
      </c>
      <c r="G79" s="46">
        <v>1041.3145241292364</v>
      </c>
      <c r="H79" s="46">
        <v>361.73551248702233</v>
      </c>
      <c r="I79" s="46">
        <v>246.65342336513888</v>
      </c>
      <c r="J79" s="46">
        <v>156.34182589557849</v>
      </c>
      <c r="K79" s="46">
        <v>75.877978739630933</v>
      </c>
      <c r="L79" s="46">
        <v>66.467719198694567</v>
      </c>
      <c r="M79" s="46">
        <v>66.467719198694567</v>
      </c>
      <c r="N79" s="45"/>
    </row>
    <row r="80" spans="1:14" x14ac:dyDescent="0.25">
      <c r="A80" s="306"/>
      <c r="B80" s="323"/>
      <c r="C80" s="21" t="s">
        <v>107</v>
      </c>
      <c r="D80" s="1" t="s">
        <v>4</v>
      </c>
      <c r="E80" s="44"/>
      <c r="F80" s="44"/>
      <c r="G80" s="44"/>
      <c r="H80" s="44"/>
      <c r="I80" s="44"/>
      <c r="J80" s="44"/>
      <c r="K80" s="44"/>
      <c r="L80" s="44"/>
      <c r="M80" s="44"/>
      <c r="N80" s="45"/>
    </row>
    <row r="81" spans="1:14" ht="14.45" customHeight="1" x14ac:dyDescent="0.25">
      <c r="A81" s="306">
        <v>8</v>
      </c>
      <c r="B81" s="323" t="s">
        <v>149</v>
      </c>
      <c r="C81" s="21" t="s">
        <v>101</v>
      </c>
      <c r="D81" s="1" t="s">
        <v>4</v>
      </c>
      <c r="E81" s="44">
        <v>20</v>
      </c>
      <c r="F81" s="44">
        <v>20</v>
      </c>
      <c r="G81" s="44">
        <v>20</v>
      </c>
      <c r="H81" s="44">
        <v>20</v>
      </c>
      <c r="I81" s="44">
        <v>20</v>
      </c>
      <c r="J81" s="44">
        <v>20</v>
      </c>
      <c r="K81" s="44">
        <v>20</v>
      </c>
      <c r="L81" s="44">
        <v>20</v>
      </c>
      <c r="M81" s="44">
        <v>20</v>
      </c>
      <c r="N81" s="45"/>
    </row>
    <row r="82" spans="1:14" x14ac:dyDescent="0.25">
      <c r="A82" s="306"/>
      <c r="B82" s="323"/>
      <c r="C82" s="21" t="s">
        <v>20</v>
      </c>
      <c r="D82" s="1" t="s">
        <v>6</v>
      </c>
      <c r="E82" s="46">
        <v>909.21153254208934</v>
      </c>
      <c r="F82" s="46">
        <v>627.05637164757331</v>
      </c>
      <c r="G82" s="46">
        <v>475.93332461067337</v>
      </c>
      <c r="H82" s="46">
        <v>475.93332461067337</v>
      </c>
      <c r="I82" s="46">
        <v>475.93332461067337</v>
      </c>
      <c r="J82" s="46">
        <v>475.93332461067337</v>
      </c>
      <c r="K82" s="46">
        <v>674.78400000000011</v>
      </c>
      <c r="L82" s="46">
        <v>674.78400000000011</v>
      </c>
      <c r="M82" s="46">
        <v>674.78400000000011</v>
      </c>
      <c r="N82" s="45"/>
    </row>
    <row r="83" spans="1:14" x14ac:dyDescent="0.25">
      <c r="A83" s="306"/>
      <c r="B83" s="323"/>
      <c r="C83" s="21" t="s">
        <v>172</v>
      </c>
      <c r="D83" s="1" t="s">
        <v>19</v>
      </c>
      <c r="E83" s="47">
        <v>0.35</v>
      </c>
      <c r="F83" s="47">
        <v>0.35</v>
      </c>
      <c r="G83" s="47">
        <v>0.35</v>
      </c>
      <c r="H83" s="47">
        <v>0.35</v>
      </c>
      <c r="I83" s="47">
        <v>0.35</v>
      </c>
      <c r="J83" s="47">
        <v>0.35</v>
      </c>
      <c r="K83" s="47">
        <v>0.35</v>
      </c>
      <c r="L83" s="47">
        <v>0.35</v>
      </c>
      <c r="M83" s="47">
        <v>0.35</v>
      </c>
      <c r="N83" s="45"/>
    </row>
    <row r="84" spans="1:14" x14ac:dyDescent="0.25">
      <c r="A84" s="306"/>
      <c r="B84" s="323"/>
      <c r="C84" s="21" t="s">
        <v>102</v>
      </c>
      <c r="D84" s="1" t="s">
        <v>8</v>
      </c>
      <c r="E84" s="44"/>
      <c r="F84" s="44"/>
      <c r="G84" s="44"/>
      <c r="H84" s="44"/>
      <c r="I84" s="44"/>
      <c r="J84" s="44"/>
      <c r="K84" s="44"/>
      <c r="L84" s="44"/>
      <c r="M84" s="44"/>
      <c r="N84" s="45"/>
    </row>
    <row r="85" spans="1:14" x14ac:dyDescent="0.25">
      <c r="A85" s="306"/>
      <c r="B85" s="323"/>
      <c r="C85" s="21" t="s">
        <v>103</v>
      </c>
      <c r="D85" s="1" t="s">
        <v>9</v>
      </c>
      <c r="E85" s="46">
        <v>13.638172988131339</v>
      </c>
      <c r="F85" s="46">
        <v>9.4058455747135987</v>
      </c>
      <c r="G85" s="46">
        <v>7.1389998691601004</v>
      </c>
      <c r="H85" s="46">
        <v>7.1389998691601004</v>
      </c>
      <c r="I85" s="46">
        <v>7.1389998691601004</v>
      </c>
      <c r="J85" s="46">
        <v>7.1389998691601004</v>
      </c>
      <c r="K85" s="46">
        <v>1.91</v>
      </c>
      <c r="L85" s="46">
        <v>1.91</v>
      </c>
      <c r="M85" s="46">
        <v>1.91</v>
      </c>
      <c r="N85" s="45"/>
    </row>
    <row r="86" spans="1:14" x14ac:dyDescent="0.25">
      <c r="A86" s="306"/>
      <c r="B86" s="323"/>
      <c r="C86" s="21" t="s">
        <v>104</v>
      </c>
      <c r="D86" s="1" t="s">
        <v>10</v>
      </c>
      <c r="E86" s="46">
        <v>0</v>
      </c>
      <c r="F86" s="46">
        <v>0</v>
      </c>
      <c r="G86" s="46">
        <v>0</v>
      </c>
      <c r="H86" s="46">
        <v>0</v>
      </c>
      <c r="I86" s="46">
        <v>0</v>
      </c>
      <c r="J86" s="46">
        <v>0</v>
      </c>
      <c r="K86" s="46">
        <v>2.1700000000000001E-3</v>
      </c>
      <c r="L86" s="46">
        <v>2.1700000000000001E-3</v>
      </c>
      <c r="M86" s="46">
        <v>2.1700000000000001E-3</v>
      </c>
      <c r="N86" s="45"/>
    </row>
    <row r="87" spans="1:14" ht="18.75" x14ac:dyDescent="0.25">
      <c r="A87" s="306"/>
      <c r="B87" s="323"/>
      <c r="C87" s="22" t="s">
        <v>105</v>
      </c>
      <c r="D87" s="23" t="s">
        <v>17</v>
      </c>
      <c r="E87" s="46">
        <v>0</v>
      </c>
      <c r="F87" s="46">
        <v>0</v>
      </c>
      <c r="G87" s="46">
        <v>0</v>
      </c>
      <c r="H87" s="46">
        <v>0</v>
      </c>
      <c r="I87" s="46">
        <v>0</v>
      </c>
      <c r="J87" s="46">
        <v>0</v>
      </c>
      <c r="K87" s="46">
        <v>0</v>
      </c>
      <c r="L87" s="46">
        <v>0</v>
      </c>
      <c r="M87" s="46">
        <v>0</v>
      </c>
      <c r="N87" s="45"/>
    </row>
    <row r="88" spans="1:14" x14ac:dyDescent="0.25">
      <c r="A88" s="306"/>
      <c r="B88" s="323"/>
      <c r="C88" s="22" t="s">
        <v>11</v>
      </c>
      <c r="D88" s="23" t="s">
        <v>10</v>
      </c>
      <c r="E88" s="46">
        <v>0</v>
      </c>
      <c r="F88" s="46">
        <v>0</v>
      </c>
      <c r="G88" s="46">
        <v>0</v>
      </c>
      <c r="H88" s="46">
        <v>0</v>
      </c>
      <c r="I88" s="46">
        <v>0</v>
      </c>
      <c r="J88" s="46">
        <v>0</v>
      </c>
      <c r="K88" s="46">
        <v>0</v>
      </c>
      <c r="L88" s="46">
        <v>0</v>
      </c>
      <c r="M88" s="46">
        <v>0</v>
      </c>
      <c r="N88" s="45"/>
    </row>
    <row r="89" spans="1:14" x14ac:dyDescent="0.25">
      <c r="A89" s="306"/>
      <c r="B89" s="323"/>
      <c r="C89" s="21" t="s">
        <v>18</v>
      </c>
      <c r="D89" s="2" t="s">
        <v>19</v>
      </c>
      <c r="E89" s="44">
        <v>3.62</v>
      </c>
      <c r="F89" s="44">
        <v>3.62</v>
      </c>
      <c r="G89" s="44">
        <v>3.62</v>
      </c>
      <c r="H89" s="44">
        <v>3.62</v>
      </c>
      <c r="I89" s="44">
        <v>3.62</v>
      </c>
      <c r="J89" s="44">
        <v>3.62</v>
      </c>
      <c r="K89" s="44">
        <v>3.62</v>
      </c>
      <c r="L89" s="44">
        <v>3.62</v>
      </c>
      <c r="M89" s="44">
        <v>3.62</v>
      </c>
      <c r="N89" s="45"/>
    </row>
    <row r="90" spans="1:14" x14ac:dyDescent="0.25">
      <c r="A90" s="306"/>
      <c r="B90" s="323"/>
      <c r="C90" s="21" t="s">
        <v>13</v>
      </c>
      <c r="D90" s="2" t="s">
        <v>14</v>
      </c>
      <c r="E90" s="44"/>
      <c r="F90" s="44"/>
      <c r="G90" s="44"/>
      <c r="H90" s="44"/>
      <c r="I90" s="44"/>
      <c r="J90" s="44"/>
      <c r="K90" s="44"/>
      <c r="L90" s="44"/>
      <c r="M90" s="44"/>
      <c r="N90" s="45"/>
    </row>
    <row r="91" spans="1:14" x14ac:dyDescent="0.25">
      <c r="A91" s="306"/>
      <c r="B91" s="323"/>
      <c r="C91" s="21" t="s">
        <v>15</v>
      </c>
      <c r="D91" s="1" t="s">
        <v>4</v>
      </c>
      <c r="E91" s="44"/>
      <c r="F91" s="44"/>
      <c r="G91" s="44"/>
      <c r="H91" s="44"/>
      <c r="I91" s="44"/>
      <c r="J91" s="44"/>
      <c r="K91" s="44"/>
      <c r="L91" s="44"/>
      <c r="M91" s="44"/>
      <c r="N91" s="45"/>
    </row>
    <row r="92" spans="1:14" x14ac:dyDescent="0.25">
      <c r="A92" s="306"/>
      <c r="B92" s="323"/>
      <c r="C92" s="21" t="s">
        <v>106</v>
      </c>
      <c r="D92" s="1" t="s">
        <v>6</v>
      </c>
      <c r="E92" s="46">
        <v>2419.8158607382284</v>
      </c>
      <c r="F92" s="46">
        <v>1655.7881203031177</v>
      </c>
      <c r="G92" s="46">
        <v>1041.3145241292364</v>
      </c>
      <c r="H92" s="46">
        <v>361.73551248702233</v>
      </c>
      <c r="I92" s="46">
        <v>246.65342336513888</v>
      </c>
      <c r="J92" s="46">
        <v>156.34182589557849</v>
      </c>
      <c r="K92" s="46">
        <v>75.877978739630933</v>
      </c>
      <c r="L92" s="46">
        <v>66.467719198694567</v>
      </c>
      <c r="M92" s="46">
        <v>66.467719198694567</v>
      </c>
      <c r="N92" s="45"/>
    </row>
    <row r="93" spans="1:14" x14ac:dyDescent="0.25">
      <c r="A93" s="306"/>
      <c r="B93" s="323"/>
      <c r="C93" s="21" t="s">
        <v>107</v>
      </c>
      <c r="D93" s="1" t="s">
        <v>4</v>
      </c>
      <c r="E93" s="44"/>
      <c r="F93" s="44"/>
      <c r="G93" s="44"/>
      <c r="H93" s="44"/>
      <c r="I93" s="44"/>
      <c r="J93" s="44"/>
      <c r="K93" s="44"/>
      <c r="L93" s="44"/>
      <c r="M93" s="44"/>
      <c r="N93" s="45"/>
    </row>
    <row r="94" spans="1:14" ht="15" customHeight="1" x14ac:dyDescent="0.25">
      <c r="A94" s="306">
        <v>9</v>
      </c>
      <c r="B94" s="323" t="s">
        <v>108</v>
      </c>
      <c r="C94" s="21" t="s">
        <v>109</v>
      </c>
      <c r="D94" s="1" t="s">
        <v>19</v>
      </c>
      <c r="E94" s="44">
        <v>1</v>
      </c>
      <c r="F94" s="44">
        <v>1</v>
      </c>
      <c r="G94" s="44">
        <v>1</v>
      </c>
      <c r="H94" s="44">
        <v>1</v>
      </c>
      <c r="I94" s="44">
        <v>1</v>
      </c>
      <c r="J94" s="44">
        <v>1</v>
      </c>
      <c r="K94" s="44">
        <v>1</v>
      </c>
      <c r="L94" s="44">
        <v>1</v>
      </c>
      <c r="M94" s="44">
        <v>1</v>
      </c>
      <c r="N94" s="45"/>
    </row>
    <row r="95" spans="1:14" x14ac:dyDescent="0.25">
      <c r="A95" s="306"/>
      <c r="B95" s="323"/>
      <c r="C95" s="21" t="s">
        <v>21</v>
      </c>
      <c r="D95" s="1" t="s">
        <v>19</v>
      </c>
      <c r="E95" s="44">
        <v>0.35</v>
      </c>
      <c r="F95" s="44">
        <v>0.35</v>
      </c>
      <c r="G95" s="44">
        <v>0.35</v>
      </c>
      <c r="H95" s="44">
        <v>0.35</v>
      </c>
      <c r="I95" s="44">
        <v>0.35</v>
      </c>
      <c r="J95" s="44">
        <v>0.35</v>
      </c>
      <c r="K95" s="44">
        <v>0.35</v>
      </c>
      <c r="L95" s="44">
        <v>0.35</v>
      </c>
      <c r="M95" s="44">
        <v>0.35</v>
      </c>
      <c r="N95" s="45"/>
    </row>
    <row r="96" spans="1:14" x14ac:dyDescent="0.25">
      <c r="A96" s="306"/>
      <c r="B96" s="323"/>
      <c r="C96" s="21" t="s">
        <v>22</v>
      </c>
      <c r="D96" s="1" t="s">
        <v>4</v>
      </c>
      <c r="E96" s="44">
        <v>20</v>
      </c>
      <c r="F96" s="44">
        <v>20</v>
      </c>
      <c r="G96" s="44">
        <v>20</v>
      </c>
      <c r="H96" s="44">
        <v>20</v>
      </c>
      <c r="I96" s="44">
        <v>20</v>
      </c>
      <c r="J96" s="44">
        <v>20</v>
      </c>
      <c r="K96" s="44">
        <v>20</v>
      </c>
      <c r="L96" s="44">
        <v>20</v>
      </c>
      <c r="M96" s="44">
        <v>20</v>
      </c>
      <c r="N96" s="45"/>
    </row>
    <row r="97" spans="1:15" x14ac:dyDescent="0.25">
      <c r="A97" s="306"/>
      <c r="B97" s="323"/>
      <c r="C97" s="21" t="s">
        <v>23</v>
      </c>
      <c r="D97" s="1" t="s">
        <v>6</v>
      </c>
      <c r="E97" s="46">
        <v>218.34121214018199</v>
      </c>
      <c r="F97" s="46">
        <v>184.87398682120613</v>
      </c>
      <c r="G97" s="46">
        <v>143.96390422813076</v>
      </c>
      <c r="H97" s="46">
        <v>115.96852782183296</v>
      </c>
      <c r="I97" s="46">
        <v>107.31263157894738</v>
      </c>
      <c r="J97" s="46">
        <v>107.00631578947369</v>
      </c>
      <c r="K97" s="46">
        <v>105.98526315789475</v>
      </c>
      <c r="L97" s="46">
        <v>103.84105263157896</v>
      </c>
      <c r="M97" s="46">
        <v>99.55263157894737</v>
      </c>
      <c r="N97" s="45"/>
    </row>
    <row r="98" spans="1:15" x14ac:dyDescent="0.25">
      <c r="A98" s="306"/>
      <c r="B98" s="323"/>
      <c r="C98" s="21" t="s">
        <v>173</v>
      </c>
      <c r="D98" s="1" t="s">
        <v>19</v>
      </c>
      <c r="E98" s="47">
        <v>0.2</v>
      </c>
      <c r="F98" s="47">
        <v>0.2</v>
      </c>
      <c r="G98" s="47">
        <v>0.2</v>
      </c>
      <c r="H98" s="47">
        <v>0.2</v>
      </c>
      <c r="I98" s="47">
        <v>0.2</v>
      </c>
      <c r="J98" s="47">
        <v>0.2</v>
      </c>
      <c r="K98" s="47">
        <v>0.2</v>
      </c>
      <c r="L98" s="47">
        <v>0.2</v>
      </c>
      <c r="M98" s="47">
        <v>0.2</v>
      </c>
      <c r="N98" s="45"/>
    </row>
    <row r="99" spans="1:15" x14ac:dyDescent="0.25">
      <c r="A99" s="306"/>
      <c r="B99" s="323"/>
      <c r="C99" s="21" t="s">
        <v>110</v>
      </c>
      <c r="D99" s="1" t="s">
        <v>8</v>
      </c>
      <c r="E99" s="44"/>
      <c r="F99" s="44"/>
      <c r="G99" s="44"/>
      <c r="H99" s="44"/>
      <c r="I99" s="44"/>
      <c r="J99" s="44"/>
      <c r="K99" s="44"/>
      <c r="L99" s="44"/>
      <c r="M99" s="44"/>
      <c r="N99" s="45"/>
    </row>
    <row r="100" spans="1:15" x14ac:dyDescent="0.25">
      <c r="A100" s="306"/>
      <c r="B100" s="323"/>
      <c r="C100" s="21" t="s">
        <v>111</v>
      </c>
      <c r="D100" s="1" t="s">
        <v>9</v>
      </c>
      <c r="E100" s="46">
        <v>6.5502363642054595</v>
      </c>
      <c r="F100" s="46">
        <v>5.5462196046361836</v>
      </c>
      <c r="G100" s="46">
        <v>4.3189171268439228</v>
      </c>
      <c r="H100" s="46">
        <v>3.4790558346549889</v>
      </c>
      <c r="I100" s="46">
        <v>2.0378947368421052</v>
      </c>
      <c r="J100" s="46">
        <v>2.0189473684210526</v>
      </c>
      <c r="K100" s="46">
        <v>1.9557894736842103</v>
      </c>
      <c r="L100" s="46">
        <v>1.8231578947368419</v>
      </c>
      <c r="M100" s="46">
        <v>1.557894736842105</v>
      </c>
      <c r="N100" s="45"/>
    </row>
    <row r="101" spans="1:15" x14ac:dyDescent="0.25">
      <c r="A101" s="306"/>
      <c r="B101" s="323"/>
      <c r="C101" s="21" t="s">
        <v>35</v>
      </c>
      <c r="D101" s="1" t="s">
        <v>10</v>
      </c>
      <c r="E101" s="46">
        <v>0</v>
      </c>
      <c r="F101" s="46">
        <v>0</v>
      </c>
      <c r="G101" s="46">
        <v>0</v>
      </c>
      <c r="H101" s="46">
        <v>0</v>
      </c>
      <c r="I101" s="46">
        <v>0</v>
      </c>
      <c r="J101" s="46">
        <v>0</v>
      </c>
      <c r="K101" s="46">
        <v>1.6357894736842103E-3</v>
      </c>
      <c r="L101" s="46">
        <v>1.5031578947368419E-3</v>
      </c>
      <c r="M101" s="46">
        <v>1.2378947368421051E-3</v>
      </c>
      <c r="N101" s="45"/>
    </row>
    <row r="102" spans="1:15" x14ac:dyDescent="0.25">
      <c r="A102" s="306"/>
      <c r="B102" s="323"/>
      <c r="C102" s="22" t="s">
        <v>24</v>
      </c>
      <c r="D102" s="23" t="s">
        <v>10</v>
      </c>
      <c r="E102" s="47">
        <v>0</v>
      </c>
      <c r="F102" s="47">
        <v>0</v>
      </c>
      <c r="G102" s="47">
        <v>0</v>
      </c>
      <c r="H102" s="47">
        <v>0</v>
      </c>
      <c r="I102" s="47">
        <v>0</v>
      </c>
      <c r="J102" s="47">
        <v>0</v>
      </c>
      <c r="K102" s="47">
        <v>0</v>
      </c>
      <c r="L102" s="47">
        <v>0</v>
      </c>
      <c r="M102" s="47">
        <v>0</v>
      </c>
      <c r="N102" s="45"/>
    </row>
    <row r="103" spans="1:15" x14ac:dyDescent="0.25">
      <c r="A103" s="306"/>
      <c r="B103" s="323"/>
      <c r="C103" s="21" t="s">
        <v>25</v>
      </c>
      <c r="D103" s="1" t="s">
        <v>7</v>
      </c>
      <c r="E103" s="47">
        <v>0.94349999999999989</v>
      </c>
      <c r="F103" s="47">
        <v>0.94349999999999989</v>
      </c>
      <c r="G103" s="47">
        <v>0.94349999999999989</v>
      </c>
      <c r="H103" s="47">
        <v>0.94349999999999989</v>
      </c>
      <c r="I103" s="47">
        <v>0.94349999999999989</v>
      </c>
      <c r="J103" s="47">
        <v>0.94349999999999989</v>
      </c>
      <c r="K103" s="47">
        <v>0.99</v>
      </c>
      <c r="L103" s="47">
        <v>0.99</v>
      </c>
      <c r="M103" s="47">
        <v>0.99</v>
      </c>
      <c r="N103" s="45"/>
    </row>
    <row r="104" spans="1:15" x14ac:dyDescent="0.25">
      <c r="A104" s="306"/>
      <c r="B104" s="323"/>
      <c r="C104" s="21" t="s">
        <v>26</v>
      </c>
      <c r="D104" s="1" t="s">
        <v>14</v>
      </c>
      <c r="E104" s="46">
        <v>1524.6</v>
      </c>
      <c r="F104" s="46">
        <v>1749.6</v>
      </c>
      <c r="G104" s="46">
        <v>2349.6</v>
      </c>
      <c r="H104" s="46">
        <v>3174.6</v>
      </c>
      <c r="I104" s="46">
        <v>4299.6000000000004</v>
      </c>
      <c r="J104" s="46">
        <v>14213</v>
      </c>
      <c r="K104" s="46">
        <v>21713</v>
      </c>
      <c r="L104" s="46">
        <v>37463</v>
      </c>
      <c r="M104" s="46">
        <v>68963</v>
      </c>
      <c r="N104" s="45"/>
    </row>
    <row r="105" spans="1:15" x14ac:dyDescent="0.25">
      <c r="A105" s="306"/>
      <c r="B105" s="323"/>
      <c r="C105" s="21" t="s">
        <v>27</v>
      </c>
      <c r="D105" s="1" t="s">
        <v>4</v>
      </c>
      <c r="E105" s="44">
        <v>40</v>
      </c>
      <c r="F105" s="44">
        <v>40</v>
      </c>
      <c r="G105" s="44">
        <v>40</v>
      </c>
      <c r="H105" s="44">
        <v>40</v>
      </c>
      <c r="I105" s="44">
        <v>40</v>
      </c>
      <c r="J105" s="44">
        <v>40</v>
      </c>
      <c r="K105" s="44">
        <v>40</v>
      </c>
      <c r="L105" s="44">
        <v>40</v>
      </c>
      <c r="M105" s="44">
        <v>40</v>
      </c>
      <c r="N105" s="45"/>
    </row>
    <row r="106" spans="1:15" x14ac:dyDescent="0.25">
      <c r="A106" s="306"/>
      <c r="B106" s="323"/>
      <c r="C106" s="21" t="s">
        <v>112</v>
      </c>
      <c r="D106" s="1" t="s">
        <v>19</v>
      </c>
      <c r="E106" s="44">
        <v>0.5</v>
      </c>
      <c r="F106" s="44">
        <v>0.5</v>
      </c>
      <c r="G106" s="44">
        <v>0.5</v>
      </c>
      <c r="H106" s="44">
        <v>0.5</v>
      </c>
      <c r="I106" s="44">
        <v>0.5</v>
      </c>
      <c r="J106" s="44">
        <v>0.5</v>
      </c>
      <c r="K106" s="44">
        <v>0.5</v>
      </c>
      <c r="L106" s="44">
        <v>0.5</v>
      </c>
      <c r="M106" s="44">
        <v>0.5</v>
      </c>
      <c r="N106" s="45"/>
      <c r="O106" s="65"/>
    </row>
    <row r="107" spans="1:15" x14ac:dyDescent="0.25">
      <c r="A107" s="306"/>
      <c r="B107" s="323"/>
      <c r="C107" s="21" t="s">
        <v>28</v>
      </c>
      <c r="D107" s="1" t="s">
        <v>19</v>
      </c>
      <c r="E107" s="44">
        <v>1.3</v>
      </c>
      <c r="F107" s="44">
        <v>1.3</v>
      </c>
      <c r="G107" s="44">
        <v>1.3</v>
      </c>
      <c r="H107" s="44">
        <v>1.3</v>
      </c>
      <c r="I107" s="44">
        <v>1.3</v>
      </c>
      <c r="J107" s="44">
        <v>1.3</v>
      </c>
      <c r="K107" s="44">
        <v>1.3</v>
      </c>
      <c r="L107" s="44">
        <v>1.3</v>
      </c>
      <c r="M107" s="44">
        <v>1.3</v>
      </c>
      <c r="N107" s="45"/>
    </row>
    <row r="108" spans="1:15" x14ac:dyDescent="0.25">
      <c r="A108" s="306"/>
      <c r="B108" s="323"/>
      <c r="C108" s="21" t="s">
        <v>29</v>
      </c>
      <c r="D108" s="1" t="s">
        <v>4</v>
      </c>
      <c r="E108" s="44">
        <v>20</v>
      </c>
      <c r="F108" s="44">
        <v>20</v>
      </c>
      <c r="G108" s="44">
        <v>20</v>
      </c>
      <c r="H108" s="44">
        <v>20</v>
      </c>
      <c r="I108" s="44">
        <v>20</v>
      </c>
      <c r="J108" s="44">
        <v>20</v>
      </c>
      <c r="K108" s="44">
        <v>20</v>
      </c>
      <c r="L108" s="44">
        <v>20</v>
      </c>
      <c r="M108" s="44">
        <v>20</v>
      </c>
      <c r="N108" s="45"/>
    </row>
    <row r="109" spans="1:15" x14ac:dyDescent="0.25">
      <c r="A109" s="306"/>
      <c r="B109" s="323"/>
      <c r="C109" s="21" t="s">
        <v>30</v>
      </c>
      <c r="D109" s="1" t="s">
        <v>6</v>
      </c>
      <c r="E109" s="46">
        <v>1315.6411009940743</v>
      </c>
      <c r="F109" s="46">
        <v>939.47924488610727</v>
      </c>
      <c r="G109" s="46">
        <v>622.46079352449192</v>
      </c>
      <c r="H109" s="46">
        <v>523.42631254470632</v>
      </c>
      <c r="I109" s="46">
        <v>523.42631254470632</v>
      </c>
      <c r="J109" s="46">
        <v>523.42631254470632</v>
      </c>
      <c r="K109" s="46">
        <v>1281.3816732362875</v>
      </c>
      <c r="L109" s="46">
        <v>1114.6142868924398</v>
      </c>
      <c r="M109" s="46">
        <v>979.67598602574503</v>
      </c>
      <c r="N109" s="45"/>
    </row>
    <row r="110" spans="1:15" x14ac:dyDescent="0.25">
      <c r="A110" s="306"/>
      <c r="B110" s="323"/>
      <c r="C110" s="21" t="s">
        <v>174</v>
      </c>
      <c r="D110" s="1" t="s">
        <v>19</v>
      </c>
      <c r="E110" s="47">
        <v>0.35</v>
      </c>
      <c r="F110" s="47">
        <v>0.35</v>
      </c>
      <c r="G110" s="47">
        <v>0.35</v>
      </c>
      <c r="H110" s="47">
        <v>0.35</v>
      </c>
      <c r="I110" s="47">
        <v>0.35</v>
      </c>
      <c r="J110" s="47">
        <v>0.35</v>
      </c>
      <c r="K110" s="47">
        <v>0.35</v>
      </c>
      <c r="L110" s="47">
        <v>0.35</v>
      </c>
      <c r="M110" s="47">
        <v>0.35</v>
      </c>
      <c r="N110" s="45"/>
    </row>
    <row r="111" spans="1:15" x14ac:dyDescent="0.25">
      <c r="A111" s="306"/>
      <c r="B111" s="323"/>
      <c r="C111" s="21" t="s">
        <v>113</v>
      </c>
      <c r="D111" s="1" t="s">
        <v>8</v>
      </c>
      <c r="E111" s="44"/>
      <c r="F111" s="44"/>
      <c r="G111" s="44"/>
      <c r="H111" s="44"/>
      <c r="I111" s="44"/>
      <c r="J111" s="44"/>
      <c r="K111" s="44"/>
      <c r="L111" s="44"/>
      <c r="M111" s="44"/>
      <c r="N111" s="45"/>
    </row>
    <row r="112" spans="1:15" x14ac:dyDescent="0.25">
      <c r="A112" s="306"/>
      <c r="B112" s="323"/>
      <c r="C112" s="21" t="s">
        <v>114</v>
      </c>
      <c r="D112" s="1" t="s">
        <v>9</v>
      </c>
      <c r="E112" s="44"/>
      <c r="F112" s="44"/>
      <c r="G112" s="44"/>
      <c r="H112" s="44"/>
      <c r="I112" s="44"/>
      <c r="J112" s="44"/>
      <c r="K112" s="44"/>
      <c r="L112" s="44"/>
      <c r="M112" s="44"/>
      <c r="N112" s="45"/>
    </row>
    <row r="113" spans="1:15" x14ac:dyDescent="0.25">
      <c r="A113" s="306"/>
      <c r="B113" s="323"/>
      <c r="C113" s="21" t="s">
        <v>115</v>
      </c>
      <c r="D113" s="1" t="s">
        <v>10</v>
      </c>
      <c r="E113" s="46">
        <v>0</v>
      </c>
      <c r="F113" s="46">
        <v>0</v>
      </c>
      <c r="G113" s="46">
        <v>0</v>
      </c>
      <c r="H113" s="46">
        <v>0</v>
      </c>
      <c r="I113" s="46">
        <v>0</v>
      </c>
      <c r="J113" s="46">
        <v>0</v>
      </c>
      <c r="K113" s="46">
        <v>0</v>
      </c>
      <c r="L113" s="46">
        <v>2.1700000000000001E-3</v>
      </c>
      <c r="M113" s="46">
        <v>2.1700000000000001E-3</v>
      </c>
      <c r="N113" s="48"/>
      <c r="O113" s="49"/>
    </row>
    <row r="114" spans="1:15" ht="18.75" x14ac:dyDescent="0.25">
      <c r="A114" s="306"/>
      <c r="B114" s="323"/>
      <c r="C114" s="22" t="s">
        <v>116</v>
      </c>
      <c r="D114" s="23" t="s">
        <v>17</v>
      </c>
      <c r="E114" s="46">
        <v>0</v>
      </c>
      <c r="F114" s="46">
        <v>0</v>
      </c>
      <c r="G114" s="46">
        <v>0</v>
      </c>
      <c r="H114" s="46">
        <v>0</v>
      </c>
      <c r="I114" s="46">
        <v>0</v>
      </c>
      <c r="J114" s="46">
        <v>0</v>
      </c>
      <c r="K114" s="46">
        <v>0</v>
      </c>
      <c r="L114" s="46">
        <v>0</v>
      </c>
      <c r="M114" s="46">
        <v>0</v>
      </c>
      <c r="N114" s="45"/>
    </row>
    <row r="115" spans="1:15" x14ac:dyDescent="0.25">
      <c r="A115" s="306"/>
      <c r="B115" s="323"/>
      <c r="C115" s="22" t="s">
        <v>31</v>
      </c>
      <c r="D115" s="23" t="s">
        <v>10</v>
      </c>
      <c r="E115" s="46">
        <v>0</v>
      </c>
      <c r="F115" s="46">
        <v>0</v>
      </c>
      <c r="G115" s="46">
        <v>0</v>
      </c>
      <c r="H115" s="46">
        <v>0</v>
      </c>
      <c r="I115" s="46">
        <v>0</v>
      </c>
      <c r="J115" s="46">
        <v>0</v>
      </c>
      <c r="K115" s="46">
        <v>0</v>
      </c>
      <c r="L115" s="46">
        <v>0</v>
      </c>
      <c r="M115" s="46">
        <v>0</v>
      </c>
      <c r="N115" s="45"/>
    </row>
    <row r="116" spans="1:15" x14ac:dyDescent="0.25">
      <c r="A116" s="306"/>
      <c r="B116" s="323"/>
      <c r="C116" s="21" t="s">
        <v>32</v>
      </c>
      <c r="D116" s="2" t="s">
        <v>19</v>
      </c>
      <c r="E116" s="44">
        <v>3.09</v>
      </c>
      <c r="F116" s="44">
        <v>3.09</v>
      </c>
      <c r="G116" s="44">
        <v>3.09</v>
      </c>
      <c r="H116" s="44">
        <v>3.09</v>
      </c>
      <c r="I116" s="44">
        <v>3.09</v>
      </c>
      <c r="J116" s="44">
        <v>3.09</v>
      </c>
      <c r="K116" s="44">
        <v>3.09</v>
      </c>
      <c r="L116" s="44">
        <v>3.09</v>
      </c>
      <c r="M116" s="44">
        <v>3.09</v>
      </c>
      <c r="N116" s="45"/>
    </row>
    <row r="117" spans="1:15" x14ac:dyDescent="0.25">
      <c r="A117" s="306"/>
      <c r="B117" s="323"/>
      <c r="C117" s="21" t="s">
        <v>33</v>
      </c>
      <c r="D117" s="2" t="s">
        <v>14</v>
      </c>
      <c r="E117" s="44"/>
      <c r="F117" s="44"/>
      <c r="G117" s="44"/>
      <c r="H117" s="44"/>
      <c r="I117" s="44"/>
      <c r="J117" s="44"/>
      <c r="K117" s="44"/>
      <c r="L117" s="44"/>
      <c r="M117" s="44"/>
      <c r="N117" s="45"/>
    </row>
    <row r="118" spans="1:15" x14ac:dyDescent="0.25">
      <c r="A118" s="306"/>
      <c r="B118" s="323"/>
      <c r="C118" s="21" t="s">
        <v>34</v>
      </c>
      <c r="D118" s="2" t="s">
        <v>4</v>
      </c>
      <c r="E118" s="44"/>
      <c r="F118" s="44"/>
      <c r="G118" s="44"/>
      <c r="H118" s="44"/>
      <c r="I118" s="44"/>
      <c r="J118" s="44"/>
      <c r="K118" s="44"/>
      <c r="L118" s="44"/>
      <c r="M118" s="44"/>
      <c r="N118" s="45"/>
    </row>
    <row r="119" spans="1:15" ht="15" customHeight="1" x14ac:dyDescent="0.25">
      <c r="A119" s="306">
        <v>10</v>
      </c>
      <c r="B119" s="323" t="s">
        <v>175</v>
      </c>
      <c r="C119" s="21" t="s">
        <v>109</v>
      </c>
      <c r="D119" s="1" t="s">
        <v>19</v>
      </c>
      <c r="E119" s="44">
        <v>1</v>
      </c>
      <c r="F119" s="44">
        <v>1</v>
      </c>
      <c r="G119" s="44">
        <v>1</v>
      </c>
      <c r="H119" s="44">
        <v>1</v>
      </c>
      <c r="I119" s="44">
        <v>1</v>
      </c>
      <c r="J119" s="44">
        <v>1</v>
      </c>
      <c r="K119" s="44">
        <v>1</v>
      </c>
      <c r="L119" s="44">
        <v>1</v>
      </c>
      <c r="M119" s="44">
        <v>1</v>
      </c>
      <c r="N119" s="45"/>
    </row>
    <row r="120" spans="1:15" x14ac:dyDescent="0.25">
      <c r="A120" s="306"/>
      <c r="B120" s="323"/>
      <c r="C120" s="21" t="s">
        <v>21</v>
      </c>
      <c r="D120" s="1" t="s">
        <v>19</v>
      </c>
      <c r="E120" s="44">
        <v>0.35</v>
      </c>
      <c r="F120" s="44">
        <v>0.35</v>
      </c>
      <c r="G120" s="44">
        <v>0.35</v>
      </c>
      <c r="H120" s="44">
        <v>0.35</v>
      </c>
      <c r="I120" s="44">
        <v>0.35</v>
      </c>
      <c r="J120" s="44">
        <v>0.35</v>
      </c>
      <c r="K120" s="44">
        <v>0.35</v>
      </c>
      <c r="L120" s="44">
        <v>0.35</v>
      </c>
      <c r="M120" s="44">
        <v>0.35</v>
      </c>
      <c r="N120" s="45"/>
    </row>
    <row r="121" spans="1:15" x14ac:dyDescent="0.25">
      <c r="A121" s="306"/>
      <c r="B121" s="323"/>
      <c r="C121" s="21" t="s">
        <v>22</v>
      </c>
      <c r="D121" s="1" t="s">
        <v>4</v>
      </c>
      <c r="E121" s="44">
        <v>20</v>
      </c>
      <c r="F121" s="44">
        <v>20</v>
      </c>
      <c r="G121" s="44">
        <v>20</v>
      </c>
      <c r="H121" s="44">
        <v>20</v>
      </c>
      <c r="I121" s="44">
        <v>20</v>
      </c>
      <c r="J121" s="44">
        <v>20</v>
      </c>
      <c r="K121" s="44">
        <v>20</v>
      </c>
      <c r="L121" s="44">
        <v>20</v>
      </c>
      <c r="M121" s="44">
        <v>20</v>
      </c>
      <c r="N121" s="45"/>
    </row>
    <row r="122" spans="1:15" x14ac:dyDescent="0.25">
      <c r="A122" s="306"/>
      <c r="B122" s="323"/>
      <c r="C122" s="21" t="s">
        <v>23</v>
      </c>
      <c r="D122" s="1" t="s">
        <v>6</v>
      </c>
      <c r="E122" s="46">
        <v>218.34121214018199</v>
      </c>
      <c r="F122" s="46">
        <v>184.87398682120613</v>
      </c>
      <c r="G122" s="46">
        <v>143.96390422813076</v>
      </c>
      <c r="H122" s="46">
        <v>115.96852782183296</v>
      </c>
      <c r="I122" s="46">
        <v>107.31263157894738</v>
      </c>
      <c r="J122" s="46">
        <v>107.00631578947369</v>
      </c>
      <c r="K122" s="46">
        <v>105.98526315789475</v>
      </c>
      <c r="L122" s="46">
        <v>103.84105263157896</v>
      </c>
      <c r="M122" s="46">
        <v>99.55263157894737</v>
      </c>
      <c r="N122" s="45"/>
    </row>
    <row r="123" spans="1:15" x14ac:dyDescent="0.25">
      <c r="A123" s="306"/>
      <c r="B123" s="323"/>
      <c r="C123" s="21" t="s">
        <v>173</v>
      </c>
      <c r="D123" s="1" t="s">
        <v>19</v>
      </c>
      <c r="E123" s="47">
        <v>0</v>
      </c>
      <c r="F123" s="47">
        <v>0</v>
      </c>
      <c r="G123" s="47">
        <v>0</v>
      </c>
      <c r="H123" s="47">
        <v>0</v>
      </c>
      <c r="I123" s="47">
        <v>0</v>
      </c>
      <c r="J123" s="47">
        <v>0</v>
      </c>
      <c r="K123" s="47">
        <v>0</v>
      </c>
      <c r="L123" s="47">
        <v>0</v>
      </c>
      <c r="M123" s="47">
        <v>0</v>
      </c>
      <c r="N123" s="45"/>
    </row>
    <row r="124" spans="1:15" x14ac:dyDescent="0.25">
      <c r="A124" s="306"/>
      <c r="B124" s="323"/>
      <c r="C124" s="21" t="s">
        <v>110</v>
      </c>
      <c r="D124" s="1" t="s">
        <v>8</v>
      </c>
      <c r="E124" s="44"/>
      <c r="F124" s="44"/>
      <c r="G124" s="44"/>
      <c r="H124" s="44"/>
      <c r="I124" s="44"/>
      <c r="J124" s="44"/>
      <c r="K124" s="44"/>
      <c r="L124" s="44"/>
      <c r="M124" s="44"/>
      <c r="N124" s="45"/>
    </row>
    <row r="125" spans="1:15" x14ac:dyDescent="0.25">
      <c r="A125" s="306"/>
      <c r="B125" s="323"/>
      <c r="C125" s="21" t="s">
        <v>111</v>
      </c>
      <c r="D125" s="1" t="s">
        <v>9</v>
      </c>
      <c r="E125" s="46">
        <v>6.5502363642054595</v>
      </c>
      <c r="F125" s="46">
        <v>5.5462196046361836</v>
      </c>
      <c r="G125" s="46">
        <v>4.3189171268439228</v>
      </c>
      <c r="H125" s="46">
        <v>3.4790558346549889</v>
      </c>
      <c r="I125" s="46">
        <v>2.0378947368421052</v>
      </c>
      <c r="J125" s="46">
        <v>2.0189473684210526</v>
      </c>
      <c r="K125" s="46">
        <v>1.9557894736842103</v>
      </c>
      <c r="L125" s="46">
        <v>1.8231578947368419</v>
      </c>
      <c r="M125" s="46">
        <v>1.557894736842105</v>
      </c>
      <c r="N125" s="45"/>
    </row>
    <row r="126" spans="1:15" x14ac:dyDescent="0.25">
      <c r="A126" s="306"/>
      <c r="B126" s="323"/>
      <c r="C126" s="21" t="s">
        <v>35</v>
      </c>
      <c r="D126" s="1" t="s">
        <v>10</v>
      </c>
      <c r="E126" s="46">
        <v>0</v>
      </c>
      <c r="F126" s="46">
        <v>0</v>
      </c>
      <c r="G126" s="46">
        <v>0</v>
      </c>
      <c r="H126" s="46">
        <v>0</v>
      </c>
      <c r="I126" s="46">
        <v>0</v>
      </c>
      <c r="J126" s="46">
        <v>0</v>
      </c>
      <c r="K126" s="46">
        <v>1.6357894736842103E-3</v>
      </c>
      <c r="L126" s="46">
        <v>1.5031578947368419E-3</v>
      </c>
      <c r="M126" s="46">
        <v>1.2378947368421051E-3</v>
      </c>
      <c r="N126" s="45"/>
    </row>
    <row r="127" spans="1:15" x14ac:dyDescent="0.25">
      <c r="A127" s="306"/>
      <c r="B127" s="323"/>
      <c r="C127" s="22" t="s">
        <v>24</v>
      </c>
      <c r="D127" s="23" t="s">
        <v>10</v>
      </c>
      <c r="E127" s="46">
        <v>0</v>
      </c>
      <c r="F127" s="46">
        <v>0</v>
      </c>
      <c r="G127" s="46">
        <v>0</v>
      </c>
      <c r="H127" s="46">
        <v>0</v>
      </c>
      <c r="I127" s="46">
        <v>0</v>
      </c>
      <c r="J127" s="46">
        <v>0</v>
      </c>
      <c r="K127" s="46">
        <v>0</v>
      </c>
      <c r="L127" s="46">
        <v>0</v>
      </c>
      <c r="M127" s="46">
        <v>0</v>
      </c>
      <c r="N127" s="45"/>
    </row>
    <row r="128" spans="1:15" x14ac:dyDescent="0.25">
      <c r="A128" s="306"/>
      <c r="B128" s="323"/>
      <c r="C128" s="21" t="s">
        <v>25</v>
      </c>
      <c r="D128" s="1" t="s">
        <v>7</v>
      </c>
      <c r="E128" s="47">
        <v>0.94349999999999989</v>
      </c>
      <c r="F128" s="47">
        <v>0.94349999999999989</v>
      </c>
      <c r="G128" s="47">
        <v>0.94349999999999989</v>
      </c>
      <c r="H128" s="47">
        <v>0.94349999999999989</v>
      </c>
      <c r="I128" s="47">
        <v>0.94349999999999989</v>
      </c>
      <c r="J128" s="47">
        <v>0.94349999999999989</v>
      </c>
      <c r="K128" s="47">
        <v>0.99</v>
      </c>
      <c r="L128" s="47">
        <v>0.99</v>
      </c>
      <c r="M128" s="47">
        <v>0.99</v>
      </c>
      <c r="N128" s="45"/>
    </row>
    <row r="129" spans="1:14" x14ac:dyDescent="0.25">
      <c r="A129" s="306"/>
      <c r="B129" s="323"/>
      <c r="C129" s="21" t="s">
        <v>26</v>
      </c>
      <c r="D129" s="1" t="s">
        <v>14</v>
      </c>
      <c r="E129" s="46">
        <v>1524.6</v>
      </c>
      <c r="F129" s="46">
        <v>1749.6</v>
      </c>
      <c r="G129" s="46">
        <v>2349.6</v>
      </c>
      <c r="H129" s="46">
        <v>3174.6</v>
      </c>
      <c r="I129" s="46">
        <v>4299.6000000000004</v>
      </c>
      <c r="J129" s="46">
        <v>14213</v>
      </c>
      <c r="K129" s="46">
        <v>21713</v>
      </c>
      <c r="L129" s="46">
        <v>37463</v>
      </c>
      <c r="M129" s="46">
        <v>68963</v>
      </c>
      <c r="N129" s="45"/>
    </row>
    <row r="130" spans="1:14" x14ac:dyDescent="0.25">
      <c r="A130" s="306"/>
      <c r="B130" s="323"/>
      <c r="C130" s="21" t="s">
        <v>27</v>
      </c>
      <c r="D130" s="1" t="s">
        <v>4</v>
      </c>
      <c r="E130" s="44">
        <v>40</v>
      </c>
      <c r="F130" s="44">
        <v>40</v>
      </c>
      <c r="G130" s="44">
        <v>40</v>
      </c>
      <c r="H130" s="44">
        <v>40</v>
      </c>
      <c r="I130" s="44">
        <v>40</v>
      </c>
      <c r="J130" s="44">
        <v>40</v>
      </c>
      <c r="K130" s="44">
        <v>40</v>
      </c>
      <c r="L130" s="44">
        <v>40</v>
      </c>
      <c r="M130" s="44">
        <v>40</v>
      </c>
      <c r="N130" s="45"/>
    </row>
    <row r="131" spans="1:14" x14ac:dyDescent="0.25">
      <c r="A131" s="306"/>
      <c r="B131" s="323"/>
      <c r="C131" s="21" t="s">
        <v>117</v>
      </c>
      <c r="D131" s="1" t="s">
        <v>19</v>
      </c>
      <c r="E131" s="44">
        <v>0.35</v>
      </c>
      <c r="F131" s="44">
        <v>0.35</v>
      </c>
      <c r="G131" s="44">
        <v>0.35</v>
      </c>
      <c r="H131" s="44">
        <v>0.35</v>
      </c>
      <c r="I131" s="44">
        <v>0.35</v>
      </c>
      <c r="J131" s="44">
        <v>0.35</v>
      </c>
      <c r="K131" s="44">
        <v>0.35</v>
      </c>
      <c r="L131" s="44">
        <v>0.35</v>
      </c>
      <c r="M131" s="44">
        <v>0.35</v>
      </c>
      <c r="N131" s="45"/>
    </row>
    <row r="132" spans="1:14" x14ac:dyDescent="0.25">
      <c r="A132" s="306"/>
      <c r="B132" s="323"/>
      <c r="C132" s="21" t="s">
        <v>36</v>
      </c>
      <c r="D132" s="1" t="s">
        <v>19</v>
      </c>
      <c r="E132" s="44">
        <v>1.8571428571428572</v>
      </c>
      <c r="F132" s="44">
        <v>1.8571428571428572</v>
      </c>
      <c r="G132" s="44">
        <v>1.8571428571428572</v>
      </c>
      <c r="H132" s="44">
        <v>1.8571428571428572</v>
      </c>
      <c r="I132" s="44">
        <v>1.8571428571428572</v>
      </c>
      <c r="J132" s="44">
        <v>1.8571428571428572</v>
      </c>
      <c r="K132" s="44">
        <v>1.8571428571428572</v>
      </c>
      <c r="L132" s="44">
        <v>1.8571428571428572</v>
      </c>
      <c r="M132" s="44">
        <v>1.8571428571428572</v>
      </c>
      <c r="N132" s="45"/>
    </row>
    <row r="133" spans="1:14" x14ac:dyDescent="0.25">
      <c r="A133" s="306"/>
      <c r="B133" s="323"/>
      <c r="C133" s="21" t="s">
        <v>37</v>
      </c>
      <c r="D133" s="1" t="s">
        <v>4</v>
      </c>
      <c r="E133" s="44">
        <v>20</v>
      </c>
      <c r="F133" s="44">
        <v>20</v>
      </c>
      <c r="G133" s="44">
        <v>20</v>
      </c>
      <c r="H133" s="44">
        <v>20</v>
      </c>
      <c r="I133" s="44">
        <v>20</v>
      </c>
      <c r="J133" s="44">
        <v>20</v>
      </c>
      <c r="K133" s="44">
        <v>20</v>
      </c>
      <c r="L133" s="44">
        <v>20</v>
      </c>
      <c r="M133" s="44">
        <v>20</v>
      </c>
      <c r="N133" s="45"/>
    </row>
    <row r="134" spans="1:14" x14ac:dyDescent="0.25">
      <c r="A134" s="306"/>
      <c r="B134" s="323"/>
      <c r="C134" s="21" t="s">
        <v>38</v>
      </c>
      <c r="D134" s="1" t="s">
        <v>6</v>
      </c>
      <c r="E134" s="46">
        <v>6439.2406849033259</v>
      </c>
      <c r="F134" s="46">
        <v>4332.7824241831977</v>
      </c>
      <c r="G134" s="46">
        <v>2669.5160351066907</v>
      </c>
      <c r="H134" s="46">
        <v>2110.1894367812192</v>
      </c>
      <c r="I134" s="46">
        <v>1784.2871082104245</v>
      </c>
      <c r="J134" s="46">
        <v>1409.7428212977536</v>
      </c>
      <c r="K134" s="46">
        <v>1109.4282603302854</v>
      </c>
      <c r="L134" s="46">
        <v>892.85832488167068</v>
      </c>
      <c r="M134" s="46">
        <v>730.28644907126954</v>
      </c>
      <c r="N134" s="45"/>
    </row>
    <row r="135" spans="1:14" x14ac:dyDescent="0.25">
      <c r="A135" s="306"/>
      <c r="B135" s="323"/>
      <c r="C135" s="21" t="s">
        <v>176</v>
      </c>
      <c r="D135" s="1" t="s">
        <v>19</v>
      </c>
      <c r="E135" s="47">
        <v>0</v>
      </c>
      <c r="F135" s="47">
        <v>0</v>
      </c>
      <c r="G135" s="47">
        <v>0</v>
      </c>
      <c r="H135" s="47">
        <v>0</v>
      </c>
      <c r="I135" s="47">
        <v>0</v>
      </c>
      <c r="J135" s="47">
        <v>0</v>
      </c>
      <c r="K135" s="47">
        <v>0</v>
      </c>
      <c r="L135" s="47">
        <v>0</v>
      </c>
      <c r="M135" s="47">
        <v>0</v>
      </c>
      <c r="N135" s="45"/>
    </row>
    <row r="136" spans="1:14" x14ac:dyDescent="0.25">
      <c r="A136" s="306"/>
      <c r="B136" s="323"/>
      <c r="C136" s="21" t="s">
        <v>118</v>
      </c>
      <c r="D136" s="1" t="s">
        <v>8</v>
      </c>
      <c r="E136" s="44"/>
      <c r="F136" s="44"/>
      <c r="G136" s="44"/>
      <c r="H136" s="44"/>
      <c r="I136" s="44"/>
      <c r="J136" s="44"/>
      <c r="K136" s="44"/>
      <c r="L136" s="44"/>
      <c r="M136" s="44"/>
      <c r="N136" s="45"/>
    </row>
    <row r="137" spans="1:14" x14ac:dyDescent="0.25">
      <c r="A137" s="306"/>
      <c r="B137" s="323"/>
      <c r="C137" s="21" t="s">
        <v>119</v>
      </c>
      <c r="D137" s="1" t="s">
        <v>9</v>
      </c>
      <c r="E137" s="44"/>
      <c r="F137" s="44"/>
      <c r="G137" s="44"/>
      <c r="H137" s="44"/>
      <c r="I137" s="44"/>
      <c r="J137" s="44"/>
      <c r="K137" s="44"/>
      <c r="L137" s="44"/>
      <c r="M137" s="44"/>
      <c r="N137" s="45"/>
    </row>
    <row r="138" spans="1:14" x14ac:dyDescent="0.25">
      <c r="A138" s="306"/>
      <c r="B138" s="323"/>
      <c r="C138" s="21" t="s">
        <v>39</v>
      </c>
      <c r="D138" s="1" t="s">
        <v>10</v>
      </c>
      <c r="E138" s="46">
        <v>5.4632155805897732E-2</v>
      </c>
      <c r="F138" s="46">
        <v>6.9225169277652349E-2</v>
      </c>
      <c r="G138" s="46">
        <v>5.5072970988733948E-2</v>
      </c>
      <c r="H138" s="46">
        <v>4.6604222305577481E-2</v>
      </c>
      <c r="I138" s="46">
        <v>4.0289223212275231E-2</v>
      </c>
      <c r="J138" s="46">
        <v>2.4583755873341454E-2</v>
      </c>
      <c r="K138" s="46">
        <v>1.9104989606490121E-2</v>
      </c>
      <c r="L138" s="46">
        <v>1.5182594783541725E-2</v>
      </c>
      <c r="M138" s="46">
        <v>1.3307545040231683E-2</v>
      </c>
      <c r="N138" s="45"/>
    </row>
    <row r="139" spans="1:14" x14ac:dyDescent="0.25">
      <c r="A139" s="306"/>
      <c r="B139" s="323"/>
      <c r="C139" s="22" t="s">
        <v>40</v>
      </c>
      <c r="D139" s="23" t="s">
        <v>10</v>
      </c>
      <c r="E139" s="46">
        <v>0</v>
      </c>
      <c r="F139" s="46">
        <v>0</v>
      </c>
      <c r="G139" s="46">
        <v>0</v>
      </c>
      <c r="H139" s="46">
        <v>0</v>
      </c>
      <c r="I139" s="46">
        <v>0</v>
      </c>
      <c r="J139" s="46">
        <v>0</v>
      </c>
      <c r="K139" s="46">
        <v>0</v>
      </c>
      <c r="L139" s="46">
        <v>0</v>
      </c>
      <c r="M139" s="46">
        <v>0</v>
      </c>
      <c r="N139" s="45"/>
    </row>
    <row r="140" spans="1:14" x14ac:dyDescent="0.25">
      <c r="A140" s="306"/>
      <c r="B140" s="323"/>
      <c r="C140" s="21" t="s">
        <v>41</v>
      </c>
      <c r="D140" s="1" t="s">
        <v>14</v>
      </c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1:14" x14ac:dyDescent="0.25">
      <c r="A141" s="306"/>
      <c r="B141" s="323"/>
      <c r="C141" s="21" t="s">
        <v>42</v>
      </c>
      <c r="D141" s="1" t="s">
        <v>4</v>
      </c>
      <c r="E141" s="44"/>
      <c r="F141" s="44"/>
      <c r="G141" s="44"/>
      <c r="H141" s="44"/>
      <c r="I141" s="44"/>
      <c r="J141" s="44"/>
      <c r="K141" s="44"/>
      <c r="L141" s="44"/>
      <c r="M141" s="44"/>
      <c r="N141" s="45"/>
    </row>
    <row r="142" spans="1:14" x14ac:dyDescent="0.25">
      <c r="A142" s="306"/>
      <c r="B142" s="323"/>
      <c r="C142" s="21" t="s">
        <v>43</v>
      </c>
      <c r="D142" s="1" t="s">
        <v>7</v>
      </c>
      <c r="E142" s="50">
        <v>0.25</v>
      </c>
      <c r="F142" s="50">
        <v>0.25</v>
      </c>
      <c r="G142" s="50">
        <v>0.25</v>
      </c>
      <c r="H142" s="50">
        <v>0.25</v>
      </c>
      <c r="I142" s="50">
        <v>0.25</v>
      </c>
      <c r="J142" s="50">
        <v>0.25</v>
      </c>
      <c r="K142" s="50">
        <v>0.25</v>
      </c>
      <c r="L142" s="50">
        <v>0.25</v>
      </c>
      <c r="M142" s="50">
        <v>0.25</v>
      </c>
      <c r="N142" s="45"/>
    </row>
    <row r="143" spans="1:14" x14ac:dyDescent="0.25">
      <c r="A143" s="306"/>
      <c r="B143" s="323"/>
      <c r="C143" s="24" t="s">
        <v>44</v>
      </c>
      <c r="D143" s="1" t="s">
        <v>7</v>
      </c>
      <c r="E143" s="47">
        <v>0.66625430833964439</v>
      </c>
      <c r="F143" s="47">
        <v>0.66367464936796561</v>
      </c>
      <c r="G143" s="47">
        <v>0.65679555877682227</v>
      </c>
      <c r="H143" s="47">
        <v>0.64733680921400016</v>
      </c>
      <c r="I143" s="47">
        <v>0.63443851435560639</v>
      </c>
      <c r="J143" s="47">
        <v>0.4680070358050421</v>
      </c>
      <c r="K143" s="47">
        <v>0.46713859851464173</v>
      </c>
      <c r="L143" s="47">
        <v>0.46531488020480088</v>
      </c>
      <c r="M143" s="47">
        <v>0.47</v>
      </c>
      <c r="N143" s="45"/>
    </row>
    <row r="144" spans="1:14" x14ac:dyDescent="0.25">
      <c r="A144" s="306"/>
      <c r="B144" s="323"/>
      <c r="C144" s="24" t="s">
        <v>45</v>
      </c>
      <c r="D144" s="1" t="s">
        <v>7</v>
      </c>
      <c r="E144" s="47">
        <v>0.25092243745356524</v>
      </c>
      <c r="F144" s="47">
        <v>0.25657675134016689</v>
      </c>
      <c r="G144" s="47">
        <v>0.27165492170443795</v>
      </c>
      <c r="H144" s="47">
        <v>0.29238740595531065</v>
      </c>
      <c r="I144" s="47">
        <v>0.32065897538831889</v>
      </c>
      <c r="J144" s="47">
        <v>0.41290384467151914</v>
      </c>
      <c r="K144" s="47">
        <v>0.41363974384019625</v>
      </c>
      <c r="L144" s="47">
        <v>0.41518513209441815</v>
      </c>
      <c r="M144" s="47">
        <v>0.41599999999999998</v>
      </c>
      <c r="N144" s="45"/>
    </row>
    <row r="145" spans="1:14" x14ac:dyDescent="0.25">
      <c r="A145" s="306"/>
      <c r="B145" s="323"/>
      <c r="C145" s="25" t="s">
        <v>120</v>
      </c>
      <c r="D145" s="23" t="s">
        <v>10</v>
      </c>
      <c r="E145" s="46">
        <v>0.16</v>
      </c>
      <c r="F145" s="46">
        <v>0.16</v>
      </c>
      <c r="G145" s="46">
        <v>0.16</v>
      </c>
      <c r="H145" s="46">
        <v>0.16</v>
      </c>
      <c r="I145" s="46">
        <v>0.06</v>
      </c>
      <c r="J145" s="46">
        <v>0.05</v>
      </c>
      <c r="K145" s="46">
        <v>4.3999999999999997E-2</v>
      </c>
      <c r="L145" s="46">
        <v>4.3999999999999997E-2</v>
      </c>
      <c r="M145" s="46">
        <v>4.3999999999999997E-2</v>
      </c>
      <c r="N145" s="45"/>
    </row>
    <row r="146" spans="1:14" x14ac:dyDescent="0.25">
      <c r="A146" s="306"/>
      <c r="B146" s="323"/>
      <c r="C146" s="25" t="s">
        <v>121</v>
      </c>
      <c r="D146" s="23" t="s">
        <v>122</v>
      </c>
      <c r="E146" s="46">
        <v>0.08</v>
      </c>
      <c r="F146" s="46">
        <v>0.08</v>
      </c>
      <c r="G146" s="46">
        <v>0.08</v>
      </c>
      <c r="H146" s="46">
        <v>0.08</v>
      </c>
      <c r="I146" s="46">
        <v>0.03</v>
      </c>
      <c r="J146" s="46">
        <v>0</v>
      </c>
      <c r="K146" s="46">
        <v>0</v>
      </c>
      <c r="L146" s="46">
        <v>0</v>
      </c>
      <c r="M146" s="46">
        <v>0</v>
      </c>
      <c r="N146" s="45"/>
    </row>
    <row r="147" spans="1:14" x14ac:dyDescent="0.25">
      <c r="A147" s="306"/>
      <c r="B147" s="323"/>
      <c r="C147" s="25" t="s">
        <v>123</v>
      </c>
      <c r="D147" s="23" t="s">
        <v>124</v>
      </c>
      <c r="E147" s="44">
        <v>5.4999999999999997E-3</v>
      </c>
      <c r="F147" s="44">
        <v>5.4999999999999997E-3</v>
      </c>
      <c r="G147" s="44">
        <v>5.4999999999999997E-3</v>
      </c>
      <c r="H147" s="44">
        <v>5.4999999999999997E-3</v>
      </c>
      <c r="I147" s="44">
        <v>5.4999999999999997E-3</v>
      </c>
      <c r="J147" s="44">
        <v>5.4999999999999997E-3</v>
      </c>
      <c r="K147" s="44">
        <v>5.4999999999999997E-3</v>
      </c>
      <c r="L147" s="44">
        <v>5.4999999999999997E-3</v>
      </c>
      <c r="M147" s="44">
        <v>5.4999999999999997E-3</v>
      </c>
      <c r="N147" s="45"/>
    </row>
    <row r="148" spans="1:14" ht="15" customHeight="1" x14ac:dyDescent="0.25">
      <c r="A148" s="306">
        <v>11</v>
      </c>
      <c r="B148" s="323" t="s">
        <v>177</v>
      </c>
      <c r="C148" s="21" t="s">
        <v>109</v>
      </c>
      <c r="D148" s="1" t="s">
        <v>19</v>
      </c>
      <c r="E148" s="44">
        <v>1</v>
      </c>
      <c r="F148" s="44">
        <v>1</v>
      </c>
      <c r="G148" s="44">
        <v>1</v>
      </c>
      <c r="H148" s="44">
        <v>1</v>
      </c>
      <c r="I148" s="44">
        <v>1</v>
      </c>
      <c r="J148" s="44">
        <v>1</v>
      </c>
      <c r="K148" s="44">
        <v>1</v>
      </c>
      <c r="L148" s="44">
        <v>1</v>
      </c>
      <c r="M148" s="44">
        <v>1</v>
      </c>
      <c r="N148" s="45"/>
    </row>
    <row r="149" spans="1:14" x14ac:dyDescent="0.25">
      <c r="A149" s="306"/>
      <c r="B149" s="323"/>
      <c r="C149" s="21" t="s">
        <v>21</v>
      </c>
      <c r="D149" s="1" t="s">
        <v>19</v>
      </c>
      <c r="E149" s="44">
        <v>0.35</v>
      </c>
      <c r="F149" s="44">
        <v>0.35</v>
      </c>
      <c r="G149" s="44">
        <v>0.35</v>
      </c>
      <c r="H149" s="44">
        <v>0.35</v>
      </c>
      <c r="I149" s="44">
        <v>0.35</v>
      </c>
      <c r="J149" s="44">
        <v>0.35</v>
      </c>
      <c r="K149" s="44">
        <v>0.35</v>
      </c>
      <c r="L149" s="44">
        <v>0.35</v>
      </c>
      <c r="M149" s="44">
        <v>0.35</v>
      </c>
      <c r="N149" s="45"/>
    </row>
    <row r="150" spans="1:14" x14ac:dyDescent="0.25">
      <c r="A150" s="306"/>
      <c r="B150" s="323"/>
      <c r="C150" s="21" t="s">
        <v>22</v>
      </c>
      <c r="D150" s="1" t="s">
        <v>4</v>
      </c>
      <c r="E150" s="44">
        <v>20</v>
      </c>
      <c r="F150" s="44">
        <v>20</v>
      </c>
      <c r="G150" s="44">
        <v>20</v>
      </c>
      <c r="H150" s="44">
        <v>20</v>
      </c>
      <c r="I150" s="44">
        <v>20</v>
      </c>
      <c r="J150" s="44">
        <v>20</v>
      </c>
      <c r="K150" s="44">
        <v>20</v>
      </c>
      <c r="L150" s="44">
        <v>20</v>
      </c>
      <c r="M150" s="44">
        <v>20</v>
      </c>
      <c r="N150" s="45"/>
    </row>
    <row r="151" spans="1:14" x14ac:dyDescent="0.25">
      <c r="A151" s="306"/>
      <c r="B151" s="323"/>
      <c r="C151" s="21" t="s">
        <v>23</v>
      </c>
      <c r="D151" s="1" t="s">
        <v>6</v>
      </c>
      <c r="E151" s="46">
        <v>218.34121214018199</v>
      </c>
      <c r="F151" s="46">
        <v>184.87398682120613</v>
      </c>
      <c r="G151" s="46">
        <v>143.96390422813076</v>
      </c>
      <c r="H151" s="46">
        <v>115.96852782183296</v>
      </c>
      <c r="I151" s="46">
        <v>107.31263157894738</v>
      </c>
      <c r="J151" s="46">
        <v>107.00631578947369</v>
      </c>
      <c r="K151" s="46">
        <v>105.98526315789475</v>
      </c>
      <c r="L151" s="46">
        <v>103.84105263157896</v>
      </c>
      <c r="M151" s="46">
        <v>99.55263157894737</v>
      </c>
      <c r="N151" s="45"/>
    </row>
    <row r="152" spans="1:14" x14ac:dyDescent="0.25">
      <c r="A152" s="306"/>
      <c r="B152" s="323"/>
      <c r="C152" s="21" t="s">
        <v>173</v>
      </c>
      <c r="D152" s="1" t="s">
        <v>19</v>
      </c>
      <c r="E152" s="47">
        <v>0</v>
      </c>
      <c r="F152" s="47">
        <v>0</v>
      </c>
      <c r="G152" s="47">
        <v>0</v>
      </c>
      <c r="H152" s="47">
        <v>0</v>
      </c>
      <c r="I152" s="47">
        <v>0</v>
      </c>
      <c r="J152" s="47">
        <v>0</v>
      </c>
      <c r="K152" s="47">
        <v>0</v>
      </c>
      <c r="L152" s="47">
        <v>0</v>
      </c>
      <c r="M152" s="47">
        <v>0</v>
      </c>
      <c r="N152" s="45"/>
    </row>
    <row r="153" spans="1:14" x14ac:dyDescent="0.25">
      <c r="A153" s="306"/>
      <c r="B153" s="323"/>
      <c r="C153" s="21" t="s">
        <v>110</v>
      </c>
      <c r="D153" s="1" t="s">
        <v>8</v>
      </c>
      <c r="E153" s="44"/>
      <c r="F153" s="44"/>
      <c r="G153" s="44"/>
      <c r="H153" s="44"/>
      <c r="I153" s="44"/>
      <c r="J153" s="44"/>
      <c r="K153" s="44"/>
      <c r="L153" s="44"/>
      <c r="M153" s="44"/>
      <c r="N153" s="45"/>
    </row>
    <row r="154" spans="1:14" x14ac:dyDescent="0.25">
      <c r="A154" s="306"/>
      <c r="B154" s="323"/>
      <c r="C154" s="21" t="s">
        <v>111</v>
      </c>
      <c r="D154" s="1" t="s">
        <v>9</v>
      </c>
      <c r="E154" s="46">
        <v>6.5502363642054595</v>
      </c>
      <c r="F154" s="46">
        <v>5.5462196046361836</v>
      </c>
      <c r="G154" s="46">
        <v>4.3189171268439228</v>
      </c>
      <c r="H154" s="46">
        <v>3.4790558346549889</v>
      </c>
      <c r="I154" s="46">
        <v>2.0378947368421052</v>
      </c>
      <c r="J154" s="46">
        <v>2.0189473684210526</v>
      </c>
      <c r="K154" s="46">
        <v>1.9557894736842103</v>
      </c>
      <c r="L154" s="46">
        <v>1.8231578947368419</v>
      </c>
      <c r="M154" s="46">
        <v>1.557894736842105</v>
      </c>
      <c r="N154" s="45"/>
    </row>
    <row r="155" spans="1:14" x14ac:dyDescent="0.25">
      <c r="A155" s="306"/>
      <c r="B155" s="323"/>
      <c r="C155" s="21" t="s">
        <v>35</v>
      </c>
      <c r="D155" s="1" t="s">
        <v>10</v>
      </c>
      <c r="E155" s="46">
        <v>0</v>
      </c>
      <c r="F155" s="46">
        <v>0</v>
      </c>
      <c r="G155" s="46">
        <v>0</v>
      </c>
      <c r="H155" s="46">
        <v>0</v>
      </c>
      <c r="I155" s="46">
        <v>0</v>
      </c>
      <c r="J155" s="46">
        <v>0</v>
      </c>
      <c r="K155" s="46">
        <v>1.6357894736842103E-3</v>
      </c>
      <c r="L155" s="46">
        <v>1.5031578947368419E-3</v>
      </c>
      <c r="M155" s="46">
        <v>1.2378947368421051E-3</v>
      </c>
      <c r="N155" s="45"/>
    </row>
    <row r="156" spans="1:14" x14ac:dyDescent="0.25">
      <c r="A156" s="306"/>
      <c r="B156" s="323"/>
      <c r="C156" s="22" t="s">
        <v>24</v>
      </c>
      <c r="D156" s="23" t="s">
        <v>10</v>
      </c>
      <c r="E156" s="46">
        <v>0</v>
      </c>
      <c r="F156" s="46">
        <v>0</v>
      </c>
      <c r="G156" s="46">
        <v>0</v>
      </c>
      <c r="H156" s="46">
        <v>0</v>
      </c>
      <c r="I156" s="46">
        <v>0</v>
      </c>
      <c r="J156" s="46">
        <v>0</v>
      </c>
      <c r="K156" s="46">
        <v>0</v>
      </c>
      <c r="L156" s="46">
        <v>0</v>
      </c>
      <c r="M156" s="46">
        <v>0</v>
      </c>
      <c r="N156" s="45"/>
    </row>
    <row r="157" spans="1:14" x14ac:dyDescent="0.25">
      <c r="A157" s="306"/>
      <c r="B157" s="323"/>
      <c r="C157" s="21" t="s">
        <v>25</v>
      </c>
      <c r="D157" s="1" t="s">
        <v>7</v>
      </c>
      <c r="E157" s="47">
        <v>0.94349999999999989</v>
      </c>
      <c r="F157" s="47">
        <v>0.94349999999999989</v>
      </c>
      <c r="G157" s="47">
        <v>0.94349999999999989</v>
      </c>
      <c r="H157" s="47">
        <v>0.94349999999999989</v>
      </c>
      <c r="I157" s="47">
        <v>0.94349999999999989</v>
      </c>
      <c r="J157" s="47">
        <v>0.94349999999999989</v>
      </c>
      <c r="K157" s="47">
        <v>0.99</v>
      </c>
      <c r="L157" s="47">
        <v>0.99</v>
      </c>
      <c r="M157" s="47">
        <v>0.99</v>
      </c>
      <c r="N157" s="45"/>
    </row>
    <row r="158" spans="1:14" x14ac:dyDescent="0.25">
      <c r="A158" s="306"/>
      <c r="B158" s="323"/>
      <c r="C158" s="21" t="s">
        <v>26</v>
      </c>
      <c r="D158" s="1" t="s">
        <v>14</v>
      </c>
      <c r="E158" s="46">
        <v>1524.6</v>
      </c>
      <c r="F158" s="46">
        <v>1749.6</v>
      </c>
      <c r="G158" s="46">
        <v>2349.6</v>
      </c>
      <c r="H158" s="46">
        <v>3174.6</v>
      </c>
      <c r="I158" s="46">
        <v>4299.6000000000004</v>
      </c>
      <c r="J158" s="46">
        <v>14213</v>
      </c>
      <c r="K158" s="46">
        <v>21713</v>
      </c>
      <c r="L158" s="46">
        <v>37463</v>
      </c>
      <c r="M158" s="46">
        <v>68963</v>
      </c>
      <c r="N158" s="45"/>
    </row>
    <row r="159" spans="1:14" x14ac:dyDescent="0.25">
      <c r="A159" s="306"/>
      <c r="B159" s="323"/>
      <c r="C159" s="21" t="s">
        <v>27</v>
      </c>
      <c r="D159" s="1" t="s">
        <v>4</v>
      </c>
      <c r="E159" s="44">
        <v>40</v>
      </c>
      <c r="F159" s="44">
        <v>40</v>
      </c>
      <c r="G159" s="44">
        <v>40</v>
      </c>
      <c r="H159" s="44">
        <v>40</v>
      </c>
      <c r="I159" s="44">
        <v>40</v>
      </c>
      <c r="J159" s="44">
        <v>40</v>
      </c>
      <c r="K159" s="44">
        <v>40</v>
      </c>
      <c r="L159" s="44">
        <v>40</v>
      </c>
      <c r="M159" s="44">
        <v>40</v>
      </c>
      <c r="N159" s="45"/>
    </row>
    <row r="160" spans="1:14" x14ac:dyDescent="0.25">
      <c r="A160" s="306"/>
      <c r="B160" s="323"/>
      <c r="C160" s="21" t="s">
        <v>117</v>
      </c>
      <c r="D160" s="1" t="s">
        <v>19</v>
      </c>
      <c r="E160" s="44">
        <v>0.35</v>
      </c>
      <c r="F160" s="44">
        <v>0.35</v>
      </c>
      <c r="G160" s="44">
        <v>0.35</v>
      </c>
      <c r="H160" s="44">
        <v>0.35</v>
      </c>
      <c r="I160" s="44">
        <v>0.35</v>
      </c>
      <c r="J160" s="44">
        <v>0.35</v>
      </c>
      <c r="K160" s="44">
        <v>0.35</v>
      </c>
      <c r="L160" s="44">
        <v>0.35</v>
      </c>
      <c r="M160" s="44">
        <v>0.35</v>
      </c>
      <c r="N160" s="45"/>
    </row>
    <row r="161" spans="1:14" x14ac:dyDescent="0.25">
      <c r="A161" s="306"/>
      <c r="B161" s="323"/>
      <c r="C161" s="21" t="s">
        <v>36</v>
      </c>
      <c r="D161" s="1" t="s">
        <v>19</v>
      </c>
      <c r="E161" s="44">
        <v>1.8571428571428572</v>
      </c>
      <c r="F161" s="44">
        <v>1.8571428571428572</v>
      </c>
      <c r="G161" s="44">
        <v>1.8571428571428572</v>
      </c>
      <c r="H161" s="44">
        <v>1.8571428571428572</v>
      </c>
      <c r="I161" s="44">
        <v>1.8571428571428572</v>
      </c>
      <c r="J161" s="44">
        <v>1.8571428571428572</v>
      </c>
      <c r="K161" s="44">
        <v>1.8571428571428572</v>
      </c>
      <c r="L161" s="44">
        <v>1.8571428571428572</v>
      </c>
      <c r="M161" s="44">
        <v>1.8571428571428572</v>
      </c>
      <c r="N161" s="45"/>
    </row>
    <row r="162" spans="1:14" x14ac:dyDescent="0.25">
      <c r="A162" s="306"/>
      <c r="B162" s="323"/>
      <c r="C162" s="21" t="s">
        <v>37</v>
      </c>
      <c r="D162" s="1" t="s">
        <v>4</v>
      </c>
      <c r="E162" s="44">
        <v>20</v>
      </c>
      <c r="F162" s="44">
        <v>20</v>
      </c>
      <c r="G162" s="44">
        <v>20</v>
      </c>
      <c r="H162" s="44">
        <v>20</v>
      </c>
      <c r="I162" s="44">
        <v>20</v>
      </c>
      <c r="J162" s="44">
        <v>20</v>
      </c>
      <c r="K162" s="44">
        <v>20</v>
      </c>
      <c r="L162" s="44">
        <v>20</v>
      </c>
      <c r="M162" s="44">
        <v>20</v>
      </c>
      <c r="N162" s="45"/>
    </row>
    <row r="163" spans="1:14" x14ac:dyDescent="0.25">
      <c r="A163" s="306"/>
      <c r="B163" s="323"/>
      <c r="C163" s="21" t="s">
        <v>38</v>
      </c>
      <c r="D163" s="1" t="s">
        <v>6</v>
      </c>
      <c r="E163" s="46">
        <v>6439.2406849033259</v>
      </c>
      <c r="F163" s="46">
        <v>4332.7824241831977</v>
      </c>
      <c r="G163" s="46">
        <v>2669.5160351066907</v>
      </c>
      <c r="H163" s="46">
        <v>2110.1894367812192</v>
      </c>
      <c r="I163" s="46">
        <v>1784.2871082104245</v>
      </c>
      <c r="J163" s="46">
        <v>1409.7428212977536</v>
      </c>
      <c r="K163" s="46">
        <v>1109.4282603302854</v>
      </c>
      <c r="L163" s="46">
        <v>892.85832488167068</v>
      </c>
      <c r="M163" s="46">
        <v>730.28644907126954</v>
      </c>
      <c r="N163" s="45"/>
    </row>
    <row r="164" spans="1:14" x14ac:dyDescent="0.25">
      <c r="A164" s="306"/>
      <c r="B164" s="323"/>
      <c r="C164" s="21" t="s">
        <v>176</v>
      </c>
      <c r="D164" s="1" t="s">
        <v>19</v>
      </c>
      <c r="E164" s="47">
        <v>0</v>
      </c>
      <c r="F164" s="47">
        <v>0</v>
      </c>
      <c r="G164" s="47">
        <v>0</v>
      </c>
      <c r="H164" s="47">
        <v>0</v>
      </c>
      <c r="I164" s="47">
        <v>0</v>
      </c>
      <c r="J164" s="47">
        <v>0</v>
      </c>
      <c r="K164" s="47">
        <v>0</v>
      </c>
      <c r="L164" s="47">
        <v>0</v>
      </c>
      <c r="M164" s="47">
        <v>0</v>
      </c>
      <c r="N164" s="45"/>
    </row>
    <row r="165" spans="1:14" x14ac:dyDescent="0.25">
      <c r="A165" s="306"/>
      <c r="B165" s="323"/>
      <c r="C165" s="21" t="s">
        <v>118</v>
      </c>
      <c r="D165" s="1" t="s">
        <v>8</v>
      </c>
      <c r="E165" s="44"/>
      <c r="F165" s="44"/>
      <c r="G165" s="44"/>
      <c r="H165" s="44"/>
      <c r="I165" s="44"/>
      <c r="J165" s="44"/>
      <c r="K165" s="44"/>
      <c r="L165" s="44"/>
      <c r="M165" s="44"/>
      <c r="N165" s="45"/>
    </row>
    <row r="166" spans="1:14" x14ac:dyDescent="0.25">
      <c r="A166" s="306"/>
      <c r="B166" s="323"/>
      <c r="C166" s="21" t="s">
        <v>119</v>
      </c>
      <c r="D166" s="1" t="s">
        <v>9</v>
      </c>
      <c r="E166" s="44"/>
      <c r="F166" s="44"/>
      <c r="G166" s="44"/>
      <c r="H166" s="44"/>
      <c r="I166" s="44"/>
      <c r="J166" s="44"/>
      <c r="K166" s="44"/>
      <c r="L166" s="44"/>
      <c r="M166" s="44"/>
      <c r="N166" s="45"/>
    </row>
    <row r="167" spans="1:14" x14ac:dyDescent="0.25">
      <c r="A167" s="306"/>
      <c r="B167" s="323"/>
      <c r="C167" s="21" t="s">
        <v>39</v>
      </c>
      <c r="D167" s="1" t="s">
        <v>10</v>
      </c>
      <c r="E167" s="46">
        <v>5.4632155805897732E-2</v>
      </c>
      <c r="F167" s="46">
        <v>6.9225169277652349E-2</v>
      </c>
      <c r="G167" s="46">
        <v>5.5072970988733948E-2</v>
      </c>
      <c r="H167" s="46">
        <v>4.6604222305577481E-2</v>
      </c>
      <c r="I167" s="46">
        <v>4.0289223212275231E-2</v>
      </c>
      <c r="J167" s="46">
        <v>2.4583755873341454E-2</v>
      </c>
      <c r="K167" s="46">
        <v>1.9104989606490121E-2</v>
      </c>
      <c r="L167" s="46">
        <v>1.5182594783541725E-2</v>
      </c>
      <c r="M167" s="46">
        <v>1.3307545040231683E-2</v>
      </c>
      <c r="N167" s="45"/>
    </row>
    <row r="168" spans="1:14" x14ac:dyDescent="0.25">
      <c r="A168" s="306"/>
      <c r="B168" s="323"/>
      <c r="C168" s="22" t="s">
        <v>40</v>
      </c>
      <c r="D168" s="23" t="s">
        <v>10</v>
      </c>
      <c r="E168" s="46">
        <v>0</v>
      </c>
      <c r="F168" s="46">
        <v>0</v>
      </c>
      <c r="G168" s="46">
        <v>0</v>
      </c>
      <c r="H168" s="46">
        <v>0</v>
      </c>
      <c r="I168" s="46">
        <v>0</v>
      </c>
      <c r="J168" s="46">
        <v>0</v>
      </c>
      <c r="K168" s="46">
        <v>0</v>
      </c>
      <c r="L168" s="46">
        <v>0</v>
      </c>
      <c r="M168" s="46">
        <v>0</v>
      </c>
      <c r="N168" s="45"/>
    </row>
    <row r="169" spans="1:14" x14ac:dyDescent="0.25">
      <c r="A169" s="306"/>
      <c r="B169" s="323"/>
      <c r="C169" s="21" t="s">
        <v>41</v>
      </c>
      <c r="D169" s="1" t="s">
        <v>14</v>
      </c>
      <c r="E169" s="44"/>
      <c r="F169" s="44"/>
      <c r="G169" s="44"/>
      <c r="H169" s="44"/>
      <c r="I169" s="44"/>
      <c r="J169" s="44"/>
      <c r="K169" s="44"/>
      <c r="L169" s="44"/>
      <c r="M169" s="44"/>
      <c r="N169" s="45"/>
    </row>
    <row r="170" spans="1:14" x14ac:dyDescent="0.25">
      <c r="A170" s="306"/>
      <c r="B170" s="323"/>
      <c r="C170" s="21" t="s">
        <v>42</v>
      </c>
      <c r="D170" s="1" t="s">
        <v>4</v>
      </c>
      <c r="E170" s="44"/>
      <c r="F170" s="44"/>
      <c r="G170" s="44"/>
      <c r="H170" s="44"/>
      <c r="I170" s="44"/>
      <c r="J170" s="44"/>
      <c r="K170" s="44"/>
      <c r="L170" s="44"/>
      <c r="M170" s="44"/>
      <c r="N170" s="45"/>
    </row>
    <row r="171" spans="1:14" x14ac:dyDescent="0.25">
      <c r="A171" s="306"/>
      <c r="B171" s="323"/>
      <c r="C171" s="21" t="s">
        <v>43</v>
      </c>
      <c r="D171" s="1" t="s">
        <v>7</v>
      </c>
      <c r="E171" s="50">
        <v>0.5</v>
      </c>
      <c r="F171" s="50">
        <v>0.5</v>
      </c>
      <c r="G171" s="50">
        <v>0.5</v>
      </c>
      <c r="H171" s="50">
        <v>0.5</v>
      </c>
      <c r="I171" s="50">
        <v>0.5</v>
      </c>
      <c r="J171" s="50">
        <v>0.5</v>
      </c>
      <c r="K171" s="50">
        <v>0.5</v>
      </c>
      <c r="L171" s="50">
        <v>0.5</v>
      </c>
      <c r="M171" s="50">
        <v>0.5</v>
      </c>
      <c r="N171" s="45"/>
    </row>
    <row r="172" spans="1:14" ht="14.45" customHeight="1" x14ac:dyDescent="0.25">
      <c r="A172" s="306"/>
      <c r="B172" s="323"/>
      <c r="C172" s="24" t="s">
        <v>44</v>
      </c>
      <c r="D172" s="1" t="s">
        <v>7</v>
      </c>
      <c r="E172" s="47">
        <v>0.66625430833964439</v>
      </c>
      <c r="F172" s="47">
        <v>0.66367464936796561</v>
      </c>
      <c r="G172" s="47">
        <v>0.65679555877682227</v>
      </c>
      <c r="H172" s="47">
        <v>0.64733680921400016</v>
      </c>
      <c r="I172" s="47">
        <v>0.63443851435560639</v>
      </c>
      <c r="J172" s="47">
        <v>0.4680070358050421</v>
      </c>
      <c r="K172" s="47">
        <v>0.46713859851464173</v>
      </c>
      <c r="L172" s="47">
        <v>0.46531488020480088</v>
      </c>
      <c r="M172" s="47">
        <v>0.47</v>
      </c>
      <c r="N172" s="45"/>
    </row>
    <row r="173" spans="1:14" ht="14.45" customHeight="1" x14ac:dyDescent="0.25">
      <c r="A173" s="306"/>
      <c r="B173" s="323"/>
      <c r="C173" s="24" t="s">
        <v>45</v>
      </c>
      <c r="D173" s="1" t="s">
        <v>7</v>
      </c>
      <c r="E173" s="47">
        <v>0.25092243745356524</v>
      </c>
      <c r="F173" s="47">
        <v>0.25657675134016689</v>
      </c>
      <c r="G173" s="47">
        <v>0.27165492170443795</v>
      </c>
      <c r="H173" s="47">
        <v>0.29238740595531065</v>
      </c>
      <c r="I173" s="47">
        <v>0.32065897538831889</v>
      </c>
      <c r="J173" s="47">
        <v>0.41290384467151914</v>
      </c>
      <c r="K173" s="47">
        <v>0.41363974384019625</v>
      </c>
      <c r="L173" s="47">
        <v>0.41518513209441815</v>
      </c>
      <c r="M173" s="47">
        <v>0.41599999999999998</v>
      </c>
      <c r="N173" s="45"/>
    </row>
    <row r="174" spans="1:14" ht="14.45" customHeight="1" x14ac:dyDescent="0.25">
      <c r="A174" s="306"/>
      <c r="B174" s="323"/>
      <c r="C174" s="25" t="s">
        <v>120</v>
      </c>
      <c r="D174" s="23" t="s">
        <v>10</v>
      </c>
      <c r="E174" s="46">
        <v>0.16</v>
      </c>
      <c r="F174" s="46">
        <v>0.16</v>
      </c>
      <c r="G174" s="46">
        <v>0.16</v>
      </c>
      <c r="H174" s="46">
        <v>0.16</v>
      </c>
      <c r="I174" s="46">
        <v>0.06</v>
      </c>
      <c r="J174" s="46">
        <v>0.05</v>
      </c>
      <c r="K174" s="46">
        <v>4.3999999999999997E-2</v>
      </c>
      <c r="L174" s="46">
        <v>4.3999999999999997E-2</v>
      </c>
      <c r="M174" s="46">
        <v>4.3999999999999997E-2</v>
      </c>
      <c r="N174" s="45"/>
    </row>
    <row r="175" spans="1:14" ht="14.45" customHeight="1" x14ac:dyDescent="0.25">
      <c r="A175" s="306"/>
      <c r="B175" s="323"/>
      <c r="C175" s="25" t="s">
        <v>121</v>
      </c>
      <c r="D175" s="23" t="s">
        <v>122</v>
      </c>
      <c r="E175" s="46">
        <v>0.08</v>
      </c>
      <c r="F175" s="46">
        <v>0.08</v>
      </c>
      <c r="G175" s="46">
        <v>0.08</v>
      </c>
      <c r="H175" s="46">
        <v>0.08</v>
      </c>
      <c r="I175" s="46">
        <v>0.03</v>
      </c>
      <c r="J175" s="46">
        <v>0</v>
      </c>
      <c r="K175" s="46">
        <v>0</v>
      </c>
      <c r="L175" s="46">
        <v>0</v>
      </c>
      <c r="M175" s="46">
        <v>0</v>
      </c>
      <c r="N175" s="45"/>
    </row>
    <row r="176" spans="1:14" ht="14.45" customHeight="1" x14ac:dyDescent="0.25">
      <c r="A176" s="306"/>
      <c r="B176" s="323"/>
      <c r="C176" s="25" t="s">
        <v>123</v>
      </c>
      <c r="D176" s="23" t="s">
        <v>124</v>
      </c>
      <c r="E176" s="44">
        <v>5.4999999999999997E-3</v>
      </c>
      <c r="F176" s="44">
        <v>5.4999999999999997E-3</v>
      </c>
      <c r="G176" s="44">
        <v>5.4999999999999997E-3</v>
      </c>
      <c r="H176" s="44">
        <v>5.4999999999999997E-3</v>
      </c>
      <c r="I176" s="44">
        <v>5.4999999999999997E-3</v>
      </c>
      <c r="J176" s="44">
        <v>5.4999999999999997E-3</v>
      </c>
      <c r="K176" s="44">
        <v>5.4999999999999997E-3</v>
      </c>
      <c r="L176" s="44">
        <v>5.4999999999999997E-3</v>
      </c>
      <c r="M176" s="44">
        <v>5.4999999999999997E-3</v>
      </c>
      <c r="N176" s="45"/>
    </row>
    <row r="177" spans="1:14" ht="14.45" customHeight="1" x14ac:dyDescent="0.25">
      <c r="A177" s="306">
        <v>12</v>
      </c>
      <c r="B177" s="323" t="s">
        <v>178</v>
      </c>
      <c r="C177" s="21" t="s">
        <v>109</v>
      </c>
      <c r="D177" s="1" t="s">
        <v>19</v>
      </c>
      <c r="E177" s="51">
        <v>1</v>
      </c>
      <c r="F177" s="51">
        <v>1</v>
      </c>
      <c r="G177" s="51">
        <v>1</v>
      </c>
      <c r="H177" s="51">
        <v>1</v>
      </c>
      <c r="I177" s="51">
        <v>1</v>
      </c>
      <c r="J177" s="51">
        <v>1</v>
      </c>
      <c r="K177" s="51">
        <v>1</v>
      </c>
      <c r="L177" s="51">
        <v>1</v>
      </c>
      <c r="M177" s="51">
        <v>1</v>
      </c>
      <c r="N177" s="45"/>
    </row>
    <row r="178" spans="1:14" x14ac:dyDescent="0.25">
      <c r="A178" s="306"/>
      <c r="B178" s="323"/>
      <c r="C178" s="21" t="s">
        <v>21</v>
      </c>
      <c r="D178" s="1" t="s">
        <v>19</v>
      </c>
      <c r="E178" s="44">
        <v>0.8</v>
      </c>
      <c r="F178" s="44">
        <v>0.8</v>
      </c>
      <c r="G178" s="44">
        <v>0.8</v>
      </c>
      <c r="H178" s="44">
        <v>0.8</v>
      </c>
      <c r="I178" s="44">
        <v>0.8</v>
      </c>
      <c r="J178" s="44">
        <v>0.8</v>
      </c>
      <c r="K178" s="44">
        <v>0.8</v>
      </c>
      <c r="L178" s="44">
        <v>0.8</v>
      </c>
      <c r="M178" s="44">
        <v>0.8</v>
      </c>
      <c r="N178" s="45"/>
    </row>
    <row r="179" spans="1:14" x14ac:dyDescent="0.25">
      <c r="A179" s="306"/>
      <c r="B179" s="323"/>
      <c r="C179" s="21" t="s">
        <v>22</v>
      </c>
      <c r="D179" s="1" t="s">
        <v>4</v>
      </c>
      <c r="E179" s="44">
        <v>20</v>
      </c>
      <c r="F179" s="44">
        <v>20</v>
      </c>
      <c r="G179" s="44">
        <v>20</v>
      </c>
      <c r="H179" s="44">
        <v>20</v>
      </c>
      <c r="I179" s="44">
        <v>20</v>
      </c>
      <c r="J179" s="44">
        <v>20</v>
      </c>
      <c r="K179" s="44">
        <v>20</v>
      </c>
      <c r="L179" s="44">
        <v>20</v>
      </c>
      <c r="M179" s="44">
        <v>20</v>
      </c>
      <c r="N179" s="45"/>
    </row>
    <row r="180" spans="1:14" x14ac:dyDescent="0.25">
      <c r="A180" s="306"/>
      <c r="B180" s="323"/>
      <c r="C180" s="21" t="s">
        <v>23</v>
      </c>
      <c r="D180" s="1" t="s">
        <v>6</v>
      </c>
      <c r="E180" s="46">
        <v>218.34121214018199</v>
      </c>
      <c r="F180" s="46">
        <v>184.87398682120613</v>
      </c>
      <c r="G180" s="46">
        <v>143.96390422813076</v>
      </c>
      <c r="H180" s="46">
        <v>115.96852782183296</v>
      </c>
      <c r="I180" s="46">
        <v>107.31263157894738</v>
      </c>
      <c r="J180" s="46">
        <v>107.00631578947369</v>
      </c>
      <c r="K180" s="46">
        <v>105.98526315789475</v>
      </c>
      <c r="L180" s="46">
        <v>103.84105263157896</v>
      </c>
      <c r="M180" s="46">
        <v>99.55263157894737</v>
      </c>
      <c r="N180" s="45"/>
    </row>
    <row r="181" spans="1:14" ht="14.45" customHeight="1" x14ac:dyDescent="0.25">
      <c r="A181" s="306"/>
      <c r="B181" s="323"/>
      <c r="C181" s="21" t="s">
        <v>173</v>
      </c>
      <c r="D181" s="1" t="s">
        <v>19</v>
      </c>
      <c r="E181" s="47">
        <v>0.2</v>
      </c>
      <c r="F181" s="47">
        <v>0.2</v>
      </c>
      <c r="G181" s="47">
        <v>0.2</v>
      </c>
      <c r="H181" s="47">
        <v>0.2</v>
      </c>
      <c r="I181" s="47">
        <v>0.2</v>
      </c>
      <c r="J181" s="47">
        <v>0.2</v>
      </c>
      <c r="K181" s="47">
        <v>0.2</v>
      </c>
      <c r="L181" s="47">
        <v>0.2</v>
      </c>
      <c r="M181" s="47">
        <v>0.2</v>
      </c>
      <c r="N181" s="45"/>
    </row>
    <row r="182" spans="1:14" x14ac:dyDescent="0.25">
      <c r="A182" s="306"/>
      <c r="B182" s="323"/>
      <c r="C182" s="21" t="s">
        <v>110</v>
      </c>
      <c r="D182" s="1" t="s">
        <v>8</v>
      </c>
      <c r="E182" s="44"/>
      <c r="F182" s="44"/>
      <c r="G182" s="44"/>
      <c r="H182" s="44"/>
      <c r="I182" s="44"/>
      <c r="J182" s="44"/>
      <c r="K182" s="44"/>
      <c r="L182" s="44"/>
      <c r="M182" s="44"/>
      <c r="N182" s="45"/>
    </row>
    <row r="183" spans="1:14" x14ac:dyDescent="0.25">
      <c r="A183" s="306"/>
      <c r="B183" s="323"/>
      <c r="C183" s="21" t="s">
        <v>111</v>
      </c>
      <c r="D183" s="1" t="s">
        <v>9</v>
      </c>
      <c r="E183" s="46">
        <v>6.5502363642054595</v>
      </c>
      <c r="F183" s="46">
        <v>5.5462196046361836</v>
      </c>
      <c r="G183" s="46">
        <v>4.3189171268439228</v>
      </c>
      <c r="H183" s="46">
        <v>3.4790558346549889</v>
      </c>
      <c r="I183" s="46">
        <v>2.0378947368421052</v>
      </c>
      <c r="J183" s="46">
        <v>2.0189473684210526</v>
      </c>
      <c r="K183" s="46">
        <v>1.9557894736842103</v>
      </c>
      <c r="L183" s="46">
        <v>1.8231578947368419</v>
      </c>
      <c r="M183" s="46">
        <v>1.557894736842105</v>
      </c>
      <c r="N183" s="45"/>
    </row>
    <row r="184" spans="1:14" x14ac:dyDescent="0.25">
      <c r="A184" s="306"/>
      <c r="B184" s="323"/>
      <c r="C184" s="21" t="s">
        <v>35</v>
      </c>
      <c r="D184" s="1" t="s">
        <v>10</v>
      </c>
      <c r="E184" s="46">
        <v>0</v>
      </c>
      <c r="F184" s="46">
        <v>0</v>
      </c>
      <c r="G184" s="46">
        <v>0</v>
      </c>
      <c r="H184" s="46">
        <v>0</v>
      </c>
      <c r="I184" s="46">
        <v>0</v>
      </c>
      <c r="J184" s="46">
        <v>0</v>
      </c>
      <c r="K184" s="46">
        <v>1.6357894736842103E-3</v>
      </c>
      <c r="L184" s="46">
        <v>1.5031578947368419E-3</v>
      </c>
      <c r="M184" s="46">
        <v>1.2378947368421051E-3</v>
      </c>
      <c r="N184" s="45"/>
    </row>
    <row r="185" spans="1:14" x14ac:dyDescent="0.25">
      <c r="A185" s="306"/>
      <c r="B185" s="323"/>
      <c r="C185" s="22" t="s">
        <v>24</v>
      </c>
      <c r="D185" s="23" t="s">
        <v>10</v>
      </c>
      <c r="E185" s="46">
        <v>0</v>
      </c>
      <c r="F185" s="46">
        <v>0</v>
      </c>
      <c r="G185" s="46">
        <v>0</v>
      </c>
      <c r="H185" s="46">
        <v>0</v>
      </c>
      <c r="I185" s="46">
        <v>0</v>
      </c>
      <c r="J185" s="46">
        <v>0</v>
      </c>
      <c r="K185" s="46">
        <v>0</v>
      </c>
      <c r="L185" s="46">
        <v>0</v>
      </c>
      <c r="M185" s="46">
        <v>0</v>
      </c>
      <c r="N185" s="45"/>
    </row>
    <row r="186" spans="1:14" x14ac:dyDescent="0.25">
      <c r="A186" s="306"/>
      <c r="B186" s="323"/>
      <c r="C186" s="21" t="s">
        <v>25</v>
      </c>
      <c r="D186" s="1" t="s">
        <v>7</v>
      </c>
      <c r="E186" s="47">
        <v>0.94349999999999989</v>
      </c>
      <c r="F186" s="47">
        <v>0.94349999999999989</v>
      </c>
      <c r="G186" s="47">
        <v>0.94349999999999989</v>
      </c>
      <c r="H186" s="47">
        <v>0.94349999999999989</v>
      </c>
      <c r="I186" s="47">
        <v>0.94349999999999989</v>
      </c>
      <c r="J186" s="47">
        <v>0.94349999999999989</v>
      </c>
      <c r="K186" s="47">
        <v>0.99</v>
      </c>
      <c r="L186" s="47">
        <v>0.99</v>
      </c>
      <c r="M186" s="47">
        <v>0.99</v>
      </c>
      <c r="N186" s="45"/>
    </row>
    <row r="187" spans="1:14" x14ac:dyDescent="0.25">
      <c r="A187" s="306"/>
      <c r="B187" s="323"/>
      <c r="C187" s="21" t="s">
        <v>26</v>
      </c>
      <c r="D187" s="1" t="s">
        <v>14</v>
      </c>
      <c r="E187" s="46">
        <v>1524.6</v>
      </c>
      <c r="F187" s="46">
        <v>1749.6</v>
      </c>
      <c r="G187" s="46">
        <v>2349.6</v>
      </c>
      <c r="H187" s="46">
        <v>3174.6</v>
      </c>
      <c r="I187" s="46">
        <v>4299.6000000000004</v>
      </c>
      <c r="J187" s="46">
        <v>14213</v>
      </c>
      <c r="K187" s="46">
        <v>21713</v>
      </c>
      <c r="L187" s="46">
        <v>37463</v>
      </c>
      <c r="M187" s="46">
        <v>68963</v>
      </c>
      <c r="N187" s="45"/>
    </row>
    <row r="188" spans="1:14" x14ac:dyDescent="0.25">
      <c r="A188" s="306"/>
      <c r="B188" s="323"/>
      <c r="C188" s="21" t="s">
        <v>27</v>
      </c>
      <c r="D188" s="1" t="s">
        <v>4</v>
      </c>
      <c r="E188" s="44">
        <v>40</v>
      </c>
      <c r="F188" s="44">
        <v>40</v>
      </c>
      <c r="G188" s="44">
        <v>40</v>
      </c>
      <c r="H188" s="44">
        <v>40</v>
      </c>
      <c r="I188" s="44">
        <v>40</v>
      </c>
      <c r="J188" s="44">
        <v>40</v>
      </c>
      <c r="K188" s="44">
        <v>40</v>
      </c>
      <c r="L188" s="44">
        <v>40</v>
      </c>
      <c r="M188" s="44">
        <v>40</v>
      </c>
      <c r="N188" s="45"/>
    </row>
    <row r="189" spans="1:14" x14ac:dyDescent="0.25">
      <c r="A189" s="306"/>
      <c r="B189" s="323"/>
      <c r="C189" s="21" t="s">
        <v>125</v>
      </c>
      <c r="D189" s="1" t="s">
        <v>19</v>
      </c>
      <c r="E189" s="51">
        <v>0.3125</v>
      </c>
      <c r="F189" s="51">
        <v>0.3125</v>
      </c>
      <c r="G189" s="51">
        <v>0.3125</v>
      </c>
      <c r="H189" s="51">
        <v>0.3125</v>
      </c>
      <c r="I189" s="51">
        <v>0.3125</v>
      </c>
      <c r="J189" s="51">
        <v>0.3125</v>
      </c>
      <c r="K189" s="51">
        <v>0.3125</v>
      </c>
      <c r="L189" s="51">
        <v>0.3125</v>
      </c>
      <c r="M189" s="51">
        <v>0.3125</v>
      </c>
      <c r="N189" s="45"/>
    </row>
    <row r="190" spans="1:14" x14ac:dyDescent="0.25">
      <c r="A190" s="306"/>
      <c r="B190" s="323"/>
      <c r="C190" s="21" t="s">
        <v>126</v>
      </c>
      <c r="D190" s="1" t="s">
        <v>19</v>
      </c>
      <c r="E190" s="44">
        <v>0.64</v>
      </c>
      <c r="F190" s="44">
        <v>0.64</v>
      </c>
      <c r="G190" s="44">
        <v>0.64</v>
      </c>
      <c r="H190" s="44">
        <v>0.64</v>
      </c>
      <c r="I190" s="44">
        <v>0.64</v>
      </c>
      <c r="J190" s="44">
        <v>0.64</v>
      </c>
      <c r="K190" s="44">
        <v>0.64</v>
      </c>
      <c r="L190" s="44">
        <v>0.64</v>
      </c>
      <c r="M190" s="44">
        <v>0.64</v>
      </c>
      <c r="N190" s="45"/>
    </row>
    <row r="191" spans="1:14" ht="14.45" customHeight="1" x14ac:dyDescent="0.25">
      <c r="A191" s="306"/>
      <c r="B191" s="323"/>
      <c r="C191" s="24" t="s">
        <v>127</v>
      </c>
      <c r="D191" s="1" t="s">
        <v>4</v>
      </c>
      <c r="E191" s="44">
        <v>20</v>
      </c>
      <c r="F191" s="44">
        <v>20</v>
      </c>
      <c r="G191" s="44">
        <v>20</v>
      </c>
      <c r="H191" s="44">
        <v>20</v>
      </c>
      <c r="I191" s="44">
        <v>20</v>
      </c>
      <c r="J191" s="44">
        <v>20</v>
      </c>
      <c r="K191" s="44">
        <v>20</v>
      </c>
      <c r="L191" s="44">
        <v>20</v>
      </c>
      <c r="M191" s="44">
        <v>20</v>
      </c>
      <c r="N191" s="45"/>
    </row>
    <row r="192" spans="1:14" ht="14.45" customHeight="1" x14ac:dyDescent="0.25">
      <c r="A192" s="306"/>
      <c r="B192" s="323"/>
      <c r="C192" s="24" t="s">
        <v>128</v>
      </c>
      <c r="D192" s="1" t="s">
        <v>6</v>
      </c>
      <c r="E192" s="52">
        <v>969.96443035977279</v>
      </c>
      <c r="F192" s="46">
        <v>955.88615085209335</v>
      </c>
      <c r="G192" s="46">
        <v>918.34407216494844</v>
      </c>
      <c r="H192" s="46">
        <v>866.72371397012409</v>
      </c>
      <c r="I192" s="46">
        <v>796.33231643172724</v>
      </c>
      <c r="J192" s="46">
        <v>655.54952135493363</v>
      </c>
      <c r="K192" s="46">
        <v>563.57142857142856</v>
      </c>
      <c r="L192" s="46">
        <v>563.57142857142856</v>
      </c>
      <c r="M192" s="46">
        <v>563.57142857142856</v>
      </c>
      <c r="N192" s="45"/>
    </row>
    <row r="193" spans="1:14" ht="14.45" customHeight="1" x14ac:dyDescent="0.25">
      <c r="A193" s="306"/>
      <c r="B193" s="323"/>
      <c r="C193" s="21" t="s">
        <v>179</v>
      </c>
      <c r="D193" s="1" t="s">
        <v>19</v>
      </c>
      <c r="E193" s="47">
        <v>0</v>
      </c>
      <c r="F193" s="47">
        <v>0.35</v>
      </c>
      <c r="G193" s="47">
        <v>0.35</v>
      </c>
      <c r="H193" s="47">
        <v>0.35</v>
      </c>
      <c r="I193" s="47">
        <v>0.35</v>
      </c>
      <c r="J193" s="47">
        <v>0.35</v>
      </c>
      <c r="K193" s="47">
        <v>0.35</v>
      </c>
      <c r="L193" s="47">
        <v>0.35</v>
      </c>
      <c r="M193" s="47">
        <v>0.35</v>
      </c>
      <c r="N193" s="45"/>
    </row>
    <row r="194" spans="1:14" x14ac:dyDescent="0.25">
      <c r="A194" s="306"/>
      <c r="B194" s="323"/>
      <c r="C194" s="21" t="s">
        <v>129</v>
      </c>
      <c r="D194" s="1" t="s">
        <v>8</v>
      </c>
      <c r="E194" s="46">
        <v>59.884830633284238</v>
      </c>
      <c r="F194" s="46">
        <v>77.502650957290129</v>
      </c>
      <c r="G194" s="46">
        <v>124.48350515463918</v>
      </c>
      <c r="H194" s="46">
        <v>189.0821796759941</v>
      </c>
      <c r="I194" s="46">
        <v>277.17128129602355</v>
      </c>
      <c r="J194" s="46">
        <v>453.34948453608251</v>
      </c>
      <c r="K194" s="46">
        <v>629.52768777614153</v>
      </c>
      <c r="L194" s="46">
        <v>629.52768777614153</v>
      </c>
      <c r="M194" s="46">
        <v>629.52768777614153</v>
      </c>
      <c r="N194" s="45"/>
    </row>
    <row r="195" spans="1:14" x14ac:dyDescent="0.25">
      <c r="A195" s="306"/>
      <c r="B195" s="323"/>
      <c r="C195" s="21" t="s">
        <v>130</v>
      </c>
      <c r="D195" s="1" t="s">
        <v>9</v>
      </c>
      <c r="E195" s="44"/>
      <c r="F195" s="44"/>
      <c r="G195" s="44"/>
      <c r="H195" s="44"/>
      <c r="I195" s="44"/>
      <c r="J195" s="44"/>
      <c r="K195" s="44"/>
      <c r="L195" s="44"/>
      <c r="M195" s="44"/>
    </row>
    <row r="196" spans="1:14" x14ac:dyDescent="0.25">
      <c r="A196" s="306"/>
      <c r="B196" s="323"/>
      <c r="C196" s="21" t="s">
        <v>131</v>
      </c>
      <c r="D196" s="1" t="s">
        <v>10</v>
      </c>
      <c r="E196" s="44"/>
      <c r="F196" s="44"/>
      <c r="G196" s="44"/>
      <c r="H196" s="44"/>
      <c r="I196" s="44"/>
      <c r="J196" s="44"/>
      <c r="K196" s="44"/>
      <c r="L196" s="44"/>
      <c r="M196" s="44"/>
    </row>
    <row r="197" spans="1:14" ht="18.75" x14ac:dyDescent="0.25">
      <c r="A197" s="306"/>
      <c r="B197" s="323"/>
      <c r="C197" s="53" t="s">
        <v>132</v>
      </c>
      <c r="D197" s="23" t="s">
        <v>17</v>
      </c>
      <c r="E197" s="44"/>
      <c r="F197" s="44"/>
      <c r="G197" s="44"/>
      <c r="H197" s="44"/>
      <c r="I197" s="44"/>
      <c r="J197" s="44"/>
      <c r="K197" s="44"/>
      <c r="L197" s="44"/>
      <c r="M197" s="44"/>
    </row>
    <row r="198" spans="1:14" ht="14.45" customHeight="1" x14ac:dyDescent="0.25">
      <c r="A198" s="306">
        <v>13</v>
      </c>
      <c r="B198" s="323" t="s">
        <v>180</v>
      </c>
      <c r="C198" s="21" t="s">
        <v>109</v>
      </c>
      <c r="D198" s="1" t="s">
        <v>19</v>
      </c>
      <c r="E198" s="44">
        <v>1</v>
      </c>
      <c r="F198" s="44">
        <v>1</v>
      </c>
      <c r="G198" s="44">
        <v>1</v>
      </c>
      <c r="H198" s="44">
        <v>1</v>
      </c>
      <c r="I198" s="44">
        <v>1</v>
      </c>
      <c r="J198" s="44">
        <v>1</v>
      </c>
      <c r="K198" s="44">
        <v>1</v>
      </c>
      <c r="L198" s="44">
        <v>1</v>
      </c>
      <c r="M198" s="44">
        <v>1</v>
      </c>
    </row>
    <row r="199" spans="1:14" x14ac:dyDescent="0.25">
      <c r="A199" s="306"/>
      <c r="B199" s="323"/>
      <c r="C199" s="21" t="s">
        <v>21</v>
      </c>
      <c r="D199" s="1" t="s">
        <v>19</v>
      </c>
      <c r="E199" s="44">
        <v>0.65</v>
      </c>
      <c r="F199" s="44">
        <v>0.65</v>
      </c>
      <c r="G199" s="44">
        <v>0.65</v>
      </c>
      <c r="H199" s="44">
        <v>0.65</v>
      </c>
      <c r="I199" s="44">
        <v>0.65</v>
      </c>
      <c r="J199" s="44">
        <v>0.65</v>
      </c>
      <c r="K199" s="44">
        <v>0.65</v>
      </c>
      <c r="L199" s="44">
        <v>0.65</v>
      </c>
      <c r="M199" s="44">
        <v>0.65</v>
      </c>
    </row>
    <row r="200" spans="1:14" x14ac:dyDescent="0.25">
      <c r="A200" s="306"/>
      <c r="B200" s="323"/>
      <c r="C200" s="21" t="s">
        <v>22</v>
      </c>
      <c r="D200" s="1" t="s">
        <v>4</v>
      </c>
      <c r="E200" s="44">
        <v>20</v>
      </c>
      <c r="F200" s="44">
        <v>20</v>
      </c>
      <c r="G200" s="44">
        <v>20</v>
      </c>
      <c r="H200" s="44">
        <v>20</v>
      </c>
      <c r="I200" s="44">
        <v>20</v>
      </c>
      <c r="J200" s="44">
        <v>20</v>
      </c>
      <c r="K200" s="44">
        <v>20</v>
      </c>
      <c r="L200" s="44">
        <v>20</v>
      </c>
      <c r="M200" s="44">
        <v>20</v>
      </c>
    </row>
    <row r="201" spans="1:14" x14ac:dyDescent="0.25">
      <c r="A201" s="306"/>
      <c r="B201" s="323"/>
      <c r="C201" s="21" t="s">
        <v>23</v>
      </c>
      <c r="D201" s="1" t="s">
        <v>6</v>
      </c>
      <c r="E201" s="46">
        <v>218.34121214018199</v>
      </c>
      <c r="F201" s="46">
        <v>184.87398682120613</v>
      </c>
      <c r="G201" s="46">
        <v>143.96390422813076</v>
      </c>
      <c r="H201" s="46">
        <v>115.96852782183296</v>
      </c>
      <c r="I201" s="46">
        <v>107.31263157894738</v>
      </c>
      <c r="J201" s="46">
        <v>107.00631578947369</v>
      </c>
      <c r="K201" s="46">
        <v>105.98526315789475</v>
      </c>
      <c r="L201" s="46">
        <v>103.84105263157896</v>
      </c>
      <c r="M201" s="46">
        <v>99.55263157894737</v>
      </c>
    </row>
    <row r="202" spans="1:14" x14ac:dyDescent="0.25">
      <c r="A202" s="306"/>
      <c r="B202" s="323"/>
      <c r="C202" s="21" t="s">
        <v>173</v>
      </c>
      <c r="D202" s="1" t="s">
        <v>19</v>
      </c>
      <c r="E202" s="47">
        <v>0.2</v>
      </c>
      <c r="F202" s="47">
        <v>0.2</v>
      </c>
      <c r="G202" s="47">
        <v>0.2</v>
      </c>
      <c r="H202" s="47">
        <v>0.2</v>
      </c>
      <c r="I202" s="47">
        <v>0.2</v>
      </c>
      <c r="J202" s="47">
        <v>0.2</v>
      </c>
      <c r="K202" s="47">
        <v>0.2</v>
      </c>
      <c r="L202" s="47">
        <v>0.2</v>
      </c>
      <c r="M202" s="47">
        <v>0.2</v>
      </c>
    </row>
    <row r="203" spans="1:14" x14ac:dyDescent="0.25">
      <c r="A203" s="306"/>
      <c r="B203" s="323"/>
      <c r="C203" s="21" t="s">
        <v>110</v>
      </c>
      <c r="D203" s="1" t="s">
        <v>8</v>
      </c>
      <c r="E203" s="44"/>
      <c r="F203" s="44"/>
      <c r="G203" s="44"/>
      <c r="H203" s="44"/>
      <c r="I203" s="44"/>
      <c r="J203" s="44"/>
      <c r="K203" s="44"/>
      <c r="L203" s="44"/>
      <c r="M203" s="44"/>
    </row>
    <row r="204" spans="1:14" x14ac:dyDescent="0.25">
      <c r="A204" s="306"/>
      <c r="B204" s="323"/>
      <c r="C204" s="21" t="s">
        <v>111</v>
      </c>
      <c r="D204" s="1" t="s">
        <v>9</v>
      </c>
      <c r="E204" s="46">
        <v>6.5502363642054595</v>
      </c>
      <c r="F204" s="46">
        <v>5.5462196046361836</v>
      </c>
      <c r="G204" s="46">
        <v>4.3189171268439228</v>
      </c>
      <c r="H204" s="46">
        <v>3.4790558346549889</v>
      </c>
      <c r="I204" s="46">
        <v>2.0378947368421052</v>
      </c>
      <c r="J204" s="46">
        <v>2.0189473684210526</v>
      </c>
      <c r="K204" s="46">
        <v>1.9557894736842103</v>
      </c>
      <c r="L204" s="46">
        <v>1.8231578947368419</v>
      </c>
      <c r="M204" s="46">
        <v>1.557894736842105</v>
      </c>
    </row>
    <row r="205" spans="1:14" x14ac:dyDescent="0.25">
      <c r="A205" s="306"/>
      <c r="B205" s="323"/>
      <c r="C205" s="21" t="s">
        <v>35</v>
      </c>
      <c r="D205" s="1" t="s">
        <v>10</v>
      </c>
      <c r="E205" s="46">
        <v>0</v>
      </c>
      <c r="F205" s="46">
        <v>0</v>
      </c>
      <c r="G205" s="46">
        <v>0</v>
      </c>
      <c r="H205" s="46">
        <v>0</v>
      </c>
      <c r="I205" s="46">
        <v>0</v>
      </c>
      <c r="J205" s="46">
        <v>0</v>
      </c>
      <c r="K205" s="46">
        <v>1.6357894736842103E-3</v>
      </c>
      <c r="L205" s="46">
        <v>1.5031578947368419E-3</v>
      </c>
      <c r="M205" s="46">
        <v>1.2378947368421051E-3</v>
      </c>
    </row>
    <row r="206" spans="1:14" x14ac:dyDescent="0.25">
      <c r="A206" s="306"/>
      <c r="B206" s="323"/>
      <c r="C206" s="22" t="s">
        <v>24</v>
      </c>
      <c r="D206" s="23" t="s">
        <v>10</v>
      </c>
      <c r="E206" s="46">
        <v>0</v>
      </c>
      <c r="F206" s="46">
        <v>0</v>
      </c>
      <c r="G206" s="46">
        <v>0</v>
      </c>
      <c r="H206" s="46">
        <v>0</v>
      </c>
      <c r="I206" s="46">
        <v>0</v>
      </c>
      <c r="J206" s="46">
        <v>0</v>
      </c>
      <c r="K206" s="46">
        <v>0</v>
      </c>
      <c r="L206" s="46">
        <v>0</v>
      </c>
      <c r="M206" s="46">
        <v>0</v>
      </c>
    </row>
    <row r="207" spans="1:14" x14ac:dyDescent="0.25">
      <c r="A207" s="306"/>
      <c r="B207" s="323"/>
      <c r="C207" s="21" t="s">
        <v>25</v>
      </c>
      <c r="D207" s="1" t="s">
        <v>7</v>
      </c>
      <c r="E207" s="47">
        <v>0.94349999999999989</v>
      </c>
      <c r="F207" s="47">
        <v>0.94349999999999989</v>
      </c>
      <c r="G207" s="47">
        <v>0.94349999999999989</v>
      </c>
      <c r="H207" s="47">
        <v>0.94349999999999989</v>
      </c>
      <c r="I207" s="47">
        <v>0.94349999999999989</v>
      </c>
      <c r="J207" s="47">
        <v>0.94349999999999989</v>
      </c>
      <c r="K207" s="47">
        <v>0.99</v>
      </c>
      <c r="L207" s="47">
        <v>0.99</v>
      </c>
      <c r="M207" s="47">
        <v>0.99</v>
      </c>
    </row>
    <row r="208" spans="1:14" x14ac:dyDescent="0.25">
      <c r="A208" s="306"/>
      <c r="B208" s="323"/>
      <c r="C208" s="21" t="s">
        <v>26</v>
      </c>
      <c r="D208" s="1" t="s">
        <v>14</v>
      </c>
      <c r="E208" s="46">
        <v>1524.6</v>
      </c>
      <c r="F208" s="46">
        <v>1749.6</v>
      </c>
      <c r="G208" s="46">
        <v>2349.6</v>
      </c>
      <c r="H208" s="46">
        <v>3174.6</v>
      </c>
      <c r="I208" s="46">
        <v>4299.6000000000004</v>
      </c>
      <c r="J208" s="46">
        <v>14213</v>
      </c>
      <c r="K208" s="46">
        <v>21713</v>
      </c>
      <c r="L208" s="46">
        <v>37463</v>
      </c>
      <c r="M208" s="46">
        <v>68963</v>
      </c>
    </row>
    <row r="209" spans="1:13" x14ac:dyDescent="0.25">
      <c r="A209" s="306"/>
      <c r="B209" s="323"/>
      <c r="C209" s="21" t="s">
        <v>27</v>
      </c>
      <c r="D209" s="1" t="s">
        <v>4</v>
      </c>
      <c r="E209" s="44">
        <v>40</v>
      </c>
      <c r="F209" s="44">
        <v>40</v>
      </c>
      <c r="G209" s="44">
        <v>40</v>
      </c>
      <c r="H209" s="44">
        <v>40</v>
      </c>
      <c r="I209" s="44">
        <v>40</v>
      </c>
      <c r="J209" s="44">
        <v>40</v>
      </c>
      <c r="K209" s="44">
        <v>40</v>
      </c>
      <c r="L209" s="44">
        <v>40</v>
      </c>
      <c r="M209" s="44">
        <v>40</v>
      </c>
    </row>
    <row r="210" spans="1:13" x14ac:dyDescent="0.25">
      <c r="A210" s="306"/>
      <c r="B210" s="323"/>
      <c r="C210" s="21" t="s">
        <v>125</v>
      </c>
      <c r="D210" s="1" t="s">
        <v>19</v>
      </c>
      <c r="E210" s="51">
        <v>0.546875</v>
      </c>
      <c r="F210" s="51">
        <v>0.546875</v>
      </c>
      <c r="G210" s="51">
        <v>0.54687499999999989</v>
      </c>
      <c r="H210" s="51">
        <v>0.546875</v>
      </c>
      <c r="I210" s="51">
        <v>0.546875</v>
      </c>
      <c r="J210" s="51">
        <v>0.546875</v>
      </c>
      <c r="K210" s="51">
        <v>0.546875</v>
      </c>
      <c r="L210" s="51">
        <v>0.546875</v>
      </c>
      <c r="M210" s="51">
        <v>0.546875</v>
      </c>
    </row>
    <row r="211" spans="1:13" x14ac:dyDescent="0.25">
      <c r="A211" s="306"/>
      <c r="B211" s="323"/>
      <c r="C211" s="21" t="s">
        <v>126</v>
      </c>
      <c r="D211" s="1" t="s">
        <v>19</v>
      </c>
      <c r="E211" s="44">
        <v>0.64</v>
      </c>
      <c r="F211" s="44">
        <v>0.64</v>
      </c>
      <c r="G211" s="44">
        <v>0.64</v>
      </c>
      <c r="H211" s="44">
        <v>0.64</v>
      </c>
      <c r="I211" s="44">
        <v>0.64</v>
      </c>
      <c r="J211" s="44">
        <v>0.64</v>
      </c>
      <c r="K211" s="44">
        <v>0.64</v>
      </c>
      <c r="L211" s="44">
        <v>0.64</v>
      </c>
      <c r="M211" s="44">
        <v>0.64</v>
      </c>
    </row>
    <row r="212" spans="1:13" x14ac:dyDescent="0.25">
      <c r="A212" s="306"/>
      <c r="B212" s="323"/>
      <c r="C212" s="24" t="s">
        <v>127</v>
      </c>
      <c r="D212" s="1" t="s">
        <v>4</v>
      </c>
      <c r="E212" s="44">
        <v>20</v>
      </c>
      <c r="F212" s="44">
        <v>20</v>
      </c>
      <c r="G212" s="44">
        <v>20</v>
      </c>
      <c r="H212" s="44">
        <v>20</v>
      </c>
      <c r="I212" s="44">
        <v>20</v>
      </c>
      <c r="J212" s="44">
        <v>20</v>
      </c>
      <c r="K212" s="44">
        <v>20</v>
      </c>
      <c r="L212" s="44">
        <v>20</v>
      </c>
      <c r="M212" s="44">
        <v>20</v>
      </c>
    </row>
    <row r="213" spans="1:13" x14ac:dyDescent="0.25">
      <c r="A213" s="306"/>
      <c r="B213" s="323"/>
      <c r="C213" s="24" t="s">
        <v>128</v>
      </c>
      <c r="D213" s="1" t="s">
        <v>6</v>
      </c>
      <c r="E213" s="52">
        <v>959.40572072901318</v>
      </c>
      <c r="F213" s="46">
        <v>934.76873159057436</v>
      </c>
      <c r="G213" s="46">
        <v>869.07009388807069</v>
      </c>
      <c r="H213" s="46">
        <v>778.73446704712808</v>
      </c>
      <c r="I213" s="46">
        <v>655.54952135493363</v>
      </c>
      <c r="J213" s="46">
        <v>563.57142857142856</v>
      </c>
      <c r="K213" s="46">
        <v>563.57142857142856</v>
      </c>
      <c r="L213" s="46">
        <v>563.57142857142856</v>
      </c>
      <c r="M213" s="46">
        <v>563.57142857142856</v>
      </c>
    </row>
    <row r="214" spans="1:13" x14ac:dyDescent="0.25">
      <c r="A214" s="306"/>
      <c r="B214" s="323"/>
      <c r="C214" s="21" t="s">
        <v>179</v>
      </c>
      <c r="D214" s="1" t="s">
        <v>19</v>
      </c>
      <c r="E214" s="47">
        <v>0.35</v>
      </c>
      <c r="F214" s="47">
        <v>0.35</v>
      </c>
      <c r="G214" s="47">
        <v>0.35</v>
      </c>
      <c r="H214" s="47">
        <v>0.35</v>
      </c>
      <c r="I214" s="47">
        <v>0.35</v>
      </c>
      <c r="J214" s="47">
        <v>0.35</v>
      </c>
      <c r="K214" s="47">
        <v>0.35</v>
      </c>
      <c r="L214" s="47">
        <v>0.35</v>
      </c>
      <c r="M214" s="47">
        <v>0.35</v>
      </c>
    </row>
    <row r="215" spans="1:13" x14ac:dyDescent="0.25">
      <c r="A215" s="306"/>
      <c r="B215" s="323"/>
      <c r="C215" s="21" t="s">
        <v>129</v>
      </c>
      <c r="D215" s="1" t="s">
        <v>8</v>
      </c>
      <c r="E215" s="46">
        <v>59.884830633284238</v>
      </c>
      <c r="F215" s="46">
        <v>77.502650957290129</v>
      </c>
      <c r="G215" s="46">
        <v>124.48350515463918</v>
      </c>
      <c r="H215" s="46">
        <v>189.0821796759941</v>
      </c>
      <c r="I215" s="46">
        <v>277.17128129602355</v>
      </c>
      <c r="J215" s="46">
        <v>453.34948453608251</v>
      </c>
      <c r="K215" s="46">
        <v>629.52768777614153</v>
      </c>
      <c r="L215" s="46">
        <v>629.52768777614153</v>
      </c>
      <c r="M215" s="46">
        <v>629.52768777614153</v>
      </c>
    </row>
    <row r="216" spans="1:13" x14ac:dyDescent="0.25">
      <c r="A216" s="306"/>
      <c r="B216" s="323"/>
      <c r="C216" s="21" t="s">
        <v>130</v>
      </c>
      <c r="D216" s="1" t="s">
        <v>9</v>
      </c>
      <c r="E216" s="44"/>
      <c r="F216" s="44"/>
      <c r="G216" s="44"/>
      <c r="H216" s="44"/>
      <c r="I216" s="44"/>
      <c r="J216" s="44"/>
      <c r="K216" s="44"/>
      <c r="L216" s="44"/>
      <c r="M216" s="44"/>
    </row>
    <row r="217" spans="1:13" x14ac:dyDescent="0.25">
      <c r="A217" s="306"/>
      <c r="B217" s="323"/>
      <c r="C217" s="21" t="s">
        <v>131</v>
      </c>
      <c r="D217" s="1" t="s">
        <v>10</v>
      </c>
      <c r="E217" s="44"/>
      <c r="F217" s="44"/>
      <c r="G217" s="44"/>
      <c r="H217" s="44"/>
      <c r="I217" s="44"/>
      <c r="J217" s="44"/>
      <c r="K217" s="44"/>
      <c r="L217" s="44"/>
      <c r="M217" s="44"/>
    </row>
    <row r="218" spans="1:13" ht="18.75" x14ac:dyDescent="0.25">
      <c r="A218" s="306"/>
      <c r="B218" s="323"/>
      <c r="C218" s="53" t="s">
        <v>132</v>
      </c>
      <c r="D218" s="23" t="s">
        <v>17</v>
      </c>
      <c r="E218" s="44"/>
      <c r="F218" s="44"/>
      <c r="G218" s="44"/>
      <c r="H218" s="44"/>
      <c r="I218" s="44"/>
      <c r="J218" s="44"/>
      <c r="K218" s="44"/>
      <c r="L218" s="44"/>
      <c r="M218" s="44"/>
    </row>
    <row r="219" spans="1:13" x14ac:dyDescent="0.25">
      <c r="A219" s="324">
        <v>14</v>
      </c>
      <c r="B219" s="327" t="s">
        <v>181</v>
      </c>
      <c r="C219" s="21" t="s">
        <v>112</v>
      </c>
      <c r="D219" s="1" t="s">
        <v>19</v>
      </c>
      <c r="E219" s="51">
        <v>1</v>
      </c>
      <c r="F219" s="51">
        <v>1</v>
      </c>
      <c r="G219" s="51">
        <v>1</v>
      </c>
      <c r="H219" s="51">
        <v>1</v>
      </c>
      <c r="I219" s="51">
        <v>1</v>
      </c>
      <c r="J219" s="51">
        <v>1</v>
      </c>
      <c r="K219" s="51">
        <v>1</v>
      </c>
      <c r="L219" s="51">
        <v>1</v>
      </c>
      <c r="M219" s="51">
        <v>1</v>
      </c>
    </row>
    <row r="220" spans="1:13" x14ac:dyDescent="0.25">
      <c r="A220" s="325"/>
      <c r="B220" s="328"/>
      <c r="C220" s="21" t="s">
        <v>28</v>
      </c>
      <c r="D220" s="1" t="s">
        <v>19</v>
      </c>
      <c r="E220" s="44">
        <v>0.8</v>
      </c>
      <c r="F220" s="44">
        <v>0.8</v>
      </c>
      <c r="G220" s="44">
        <v>0.8</v>
      </c>
      <c r="H220" s="44">
        <v>0.8</v>
      </c>
      <c r="I220" s="44">
        <v>0.8</v>
      </c>
      <c r="J220" s="44">
        <v>0.8</v>
      </c>
      <c r="K220" s="44">
        <v>0.8</v>
      </c>
      <c r="L220" s="44">
        <v>0.8</v>
      </c>
      <c r="M220" s="44">
        <v>0.8</v>
      </c>
    </row>
    <row r="221" spans="1:13" x14ac:dyDescent="0.25">
      <c r="A221" s="325"/>
      <c r="B221" s="328"/>
      <c r="C221" s="21" t="s">
        <v>29</v>
      </c>
      <c r="D221" s="1" t="s">
        <v>4</v>
      </c>
      <c r="E221" s="44">
        <v>20</v>
      </c>
      <c r="F221" s="44">
        <v>20</v>
      </c>
      <c r="G221" s="44">
        <v>20</v>
      </c>
      <c r="H221" s="44">
        <v>20</v>
      </c>
      <c r="I221" s="44">
        <v>20</v>
      </c>
      <c r="J221" s="44">
        <v>20</v>
      </c>
      <c r="K221" s="44">
        <v>20</v>
      </c>
      <c r="L221" s="44">
        <v>20</v>
      </c>
      <c r="M221" s="44">
        <v>20</v>
      </c>
    </row>
    <row r="222" spans="1:13" x14ac:dyDescent="0.25">
      <c r="A222" s="325"/>
      <c r="B222" s="328"/>
      <c r="C222" s="21" t="s">
        <v>30</v>
      </c>
      <c r="D222" s="1" t="s">
        <v>6</v>
      </c>
      <c r="E222" s="46">
        <v>939.47924488610727</v>
      </c>
      <c r="F222" s="46">
        <v>670.86780042435419</v>
      </c>
      <c r="G222" s="46">
        <v>523.42631254470632</v>
      </c>
      <c r="H222" s="46">
        <v>523.42631254470632</v>
      </c>
      <c r="I222" s="46">
        <v>523.42631254470632</v>
      </c>
      <c r="J222" s="46">
        <v>523.42631254470632</v>
      </c>
      <c r="K222" s="46">
        <v>1136.3124641115969</v>
      </c>
      <c r="L222" s="46">
        <v>988.42533284709032</v>
      </c>
      <c r="M222" s="46">
        <v>868.76381718516643</v>
      </c>
    </row>
    <row r="223" spans="1:13" x14ac:dyDescent="0.25">
      <c r="A223" s="325"/>
      <c r="B223" s="328"/>
      <c r="C223" s="21" t="s">
        <v>174</v>
      </c>
      <c r="D223" s="1" t="s">
        <v>19</v>
      </c>
      <c r="E223" s="47">
        <v>0.35</v>
      </c>
      <c r="F223" s="47">
        <v>0.35</v>
      </c>
      <c r="G223" s="47">
        <v>0.35</v>
      </c>
      <c r="H223" s="47">
        <v>0.35</v>
      </c>
      <c r="I223" s="47">
        <v>0.35</v>
      </c>
      <c r="J223" s="47">
        <v>0.35</v>
      </c>
      <c r="K223" s="47">
        <v>0.35</v>
      </c>
      <c r="L223" s="47">
        <v>0.35</v>
      </c>
      <c r="M223" s="47">
        <v>0.35</v>
      </c>
    </row>
    <row r="224" spans="1:13" x14ac:dyDescent="0.25">
      <c r="A224" s="325"/>
      <c r="B224" s="328"/>
      <c r="C224" s="21" t="s">
        <v>113</v>
      </c>
      <c r="D224" s="1" t="s">
        <v>8</v>
      </c>
      <c r="E224" s="44"/>
      <c r="F224" s="44"/>
      <c r="G224" s="44"/>
      <c r="H224" s="44"/>
      <c r="I224" s="44"/>
      <c r="J224" s="44"/>
      <c r="K224" s="44"/>
      <c r="L224" s="44"/>
      <c r="M224" s="44"/>
    </row>
    <row r="225" spans="1:13" x14ac:dyDescent="0.25">
      <c r="A225" s="325"/>
      <c r="B225" s="328"/>
      <c r="C225" s="21" t="s">
        <v>114</v>
      </c>
      <c r="D225" s="1" t="s">
        <v>9</v>
      </c>
      <c r="E225" s="44"/>
      <c r="F225" s="44"/>
      <c r="G225" s="44"/>
      <c r="H225" s="44"/>
      <c r="I225" s="44"/>
      <c r="J225" s="44"/>
      <c r="K225" s="44"/>
      <c r="L225" s="44"/>
      <c r="M225" s="44"/>
    </row>
    <row r="226" spans="1:13" x14ac:dyDescent="0.25">
      <c r="A226" s="325"/>
      <c r="B226" s="328"/>
      <c r="C226" s="21" t="s">
        <v>115</v>
      </c>
      <c r="D226" s="1" t="s">
        <v>10</v>
      </c>
      <c r="E226" s="46">
        <v>0</v>
      </c>
      <c r="F226" s="46">
        <v>0</v>
      </c>
      <c r="G226" s="46">
        <v>0</v>
      </c>
      <c r="H226" s="46">
        <v>0</v>
      </c>
      <c r="I226" s="46">
        <v>0</v>
      </c>
      <c r="J226" s="46">
        <v>0</v>
      </c>
      <c r="K226" s="46">
        <v>2.1700000000000001E-3</v>
      </c>
      <c r="L226" s="46">
        <v>2.1700000000000001E-3</v>
      </c>
      <c r="M226" s="46">
        <v>2.1700000000000001E-3</v>
      </c>
    </row>
    <row r="227" spans="1:13" ht="18.75" x14ac:dyDescent="0.25">
      <c r="A227" s="325"/>
      <c r="B227" s="328"/>
      <c r="C227" s="22" t="s">
        <v>116</v>
      </c>
      <c r="D227" s="23" t="s">
        <v>17</v>
      </c>
      <c r="E227" s="46">
        <v>0</v>
      </c>
      <c r="F227" s="46">
        <v>0</v>
      </c>
      <c r="G227" s="46">
        <v>0</v>
      </c>
      <c r="H227" s="46">
        <v>0</v>
      </c>
      <c r="I227" s="46">
        <v>0</v>
      </c>
      <c r="J227" s="46">
        <v>0</v>
      </c>
      <c r="K227" s="46">
        <v>0</v>
      </c>
      <c r="L227" s="46">
        <v>0</v>
      </c>
      <c r="M227" s="46">
        <v>0</v>
      </c>
    </row>
    <row r="228" spans="1:13" x14ac:dyDescent="0.25">
      <c r="A228" s="325"/>
      <c r="B228" s="328"/>
      <c r="C228" s="22" t="s">
        <v>31</v>
      </c>
      <c r="D228" s="23" t="s">
        <v>10</v>
      </c>
      <c r="E228" s="46">
        <v>0</v>
      </c>
      <c r="F228" s="46">
        <v>0</v>
      </c>
      <c r="G228" s="46">
        <v>0</v>
      </c>
      <c r="H228" s="46">
        <v>0</v>
      </c>
      <c r="I228" s="46">
        <v>0</v>
      </c>
      <c r="J228" s="46">
        <v>0</v>
      </c>
      <c r="K228" s="46">
        <v>0</v>
      </c>
      <c r="L228" s="46">
        <v>0</v>
      </c>
      <c r="M228" s="46">
        <v>0</v>
      </c>
    </row>
    <row r="229" spans="1:13" x14ac:dyDescent="0.25">
      <c r="A229" s="325"/>
      <c r="B229" s="328"/>
      <c r="C229" s="21" t="s">
        <v>32</v>
      </c>
      <c r="D229" s="2" t="s">
        <v>19</v>
      </c>
      <c r="E229" s="44">
        <v>3.09</v>
      </c>
      <c r="F229" s="44">
        <v>3.09</v>
      </c>
      <c r="G229" s="44">
        <v>3.09</v>
      </c>
      <c r="H229" s="44">
        <v>3.09</v>
      </c>
      <c r="I229" s="44">
        <v>3.09</v>
      </c>
      <c r="J229" s="44">
        <v>3.09</v>
      </c>
      <c r="K229" s="44">
        <v>3.09</v>
      </c>
      <c r="L229" s="44">
        <v>3.09</v>
      </c>
      <c r="M229" s="44">
        <v>3.09</v>
      </c>
    </row>
    <row r="230" spans="1:13" x14ac:dyDescent="0.25">
      <c r="A230" s="325"/>
      <c r="B230" s="328"/>
      <c r="C230" s="21" t="s">
        <v>33</v>
      </c>
      <c r="D230" s="2" t="s">
        <v>14</v>
      </c>
      <c r="E230" s="44"/>
      <c r="F230" s="44"/>
      <c r="G230" s="44"/>
      <c r="H230" s="44"/>
      <c r="I230" s="44"/>
      <c r="J230" s="44"/>
      <c r="K230" s="44"/>
      <c r="L230" s="44"/>
      <c r="M230" s="44"/>
    </row>
    <row r="231" spans="1:13" x14ac:dyDescent="0.25">
      <c r="A231" s="325"/>
      <c r="B231" s="328"/>
      <c r="C231" s="21" t="s">
        <v>34</v>
      </c>
      <c r="D231" s="2" t="s">
        <v>4</v>
      </c>
      <c r="E231" s="44"/>
      <c r="F231" s="44"/>
      <c r="G231" s="44"/>
      <c r="H231" s="44"/>
      <c r="I231" s="44"/>
      <c r="J231" s="44"/>
      <c r="K231" s="44"/>
      <c r="L231" s="44"/>
      <c r="M231" s="44"/>
    </row>
    <row r="232" spans="1:13" x14ac:dyDescent="0.25">
      <c r="A232" s="325"/>
      <c r="B232" s="328"/>
      <c r="C232" s="21" t="s">
        <v>125</v>
      </c>
      <c r="D232" s="1" t="s">
        <v>19</v>
      </c>
      <c r="E232" s="51">
        <v>0.3125</v>
      </c>
      <c r="F232" s="51">
        <v>0.3125</v>
      </c>
      <c r="G232" s="51">
        <v>0.3125</v>
      </c>
      <c r="H232" s="51">
        <v>0.3125</v>
      </c>
      <c r="I232" s="51">
        <v>0.3125</v>
      </c>
      <c r="J232" s="51">
        <v>0.3125</v>
      </c>
      <c r="K232" s="51">
        <v>0.3125</v>
      </c>
      <c r="L232" s="51">
        <v>0.3125</v>
      </c>
      <c r="M232" s="51">
        <v>0.3125</v>
      </c>
    </row>
    <row r="233" spans="1:13" x14ac:dyDescent="0.25">
      <c r="A233" s="325"/>
      <c r="B233" s="328"/>
      <c r="C233" s="21" t="s">
        <v>126</v>
      </c>
      <c r="D233" s="1" t="s">
        <v>19</v>
      </c>
      <c r="E233" s="44">
        <v>0.64</v>
      </c>
      <c r="F233" s="44">
        <v>0.64</v>
      </c>
      <c r="G233" s="44">
        <v>0.64</v>
      </c>
      <c r="H233" s="44">
        <v>0.64</v>
      </c>
      <c r="I233" s="44">
        <v>0.64</v>
      </c>
      <c r="J233" s="44">
        <v>0.64</v>
      </c>
      <c r="K233" s="44">
        <v>0.64</v>
      </c>
      <c r="L233" s="44">
        <v>0.64</v>
      </c>
      <c r="M233" s="44">
        <v>0.64</v>
      </c>
    </row>
    <row r="234" spans="1:13" x14ac:dyDescent="0.25">
      <c r="A234" s="325"/>
      <c r="B234" s="328"/>
      <c r="C234" s="24" t="s">
        <v>127</v>
      </c>
      <c r="D234" s="1" t="s">
        <v>4</v>
      </c>
      <c r="E234" s="44">
        <v>20</v>
      </c>
      <c r="F234" s="44">
        <v>20</v>
      </c>
      <c r="G234" s="44">
        <v>20</v>
      </c>
      <c r="H234" s="44">
        <v>20</v>
      </c>
      <c r="I234" s="44">
        <v>20</v>
      </c>
      <c r="J234" s="44">
        <v>20</v>
      </c>
      <c r="K234" s="44">
        <v>20</v>
      </c>
      <c r="L234" s="44">
        <v>20</v>
      </c>
      <c r="M234" s="44">
        <v>20</v>
      </c>
    </row>
    <row r="235" spans="1:13" x14ac:dyDescent="0.25">
      <c r="A235" s="325"/>
      <c r="B235" s="328"/>
      <c r="C235" s="24" t="s">
        <v>128</v>
      </c>
      <c r="D235" s="1" t="s">
        <v>6</v>
      </c>
      <c r="E235" s="52">
        <v>969.96443035977279</v>
      </c>
      <c r="F235" s="52">
        <v>955.88615085209335</v>
      </c>
      <c r="G235" s="52">
        <v>918.34407216494844</v>
      </c>
      <c r="H235" s="52">
        <v>866.72371397012409</v>
      </c>
      <c r="I235" s="52">
        <v>796.33231643172724</v>
      </c>
      <c r="J235" s="52">
        <v>655.54952135493363</v>
      </c>
      <c r="K235" s="52">
        <v>563.57142857142856</v>
      </c>
      <c r="L235" s="52">
        <v>563.57142857142856</v>
      </c>
      <c r="M235" s="52">
        <v>563.57142857142856</v>
      </c>
    </row>
    <row r="236" spans="1:13" x14ac:dyDescent="0.25">
      <c r="A236" s="325"/>
      <c r="B236" s="328"/>
      <c r="C236" s="24" t="s">
        <v>179</v>
      </c>
      <c r="D236" s="1" t="s">
        <v>19</v>
      </c>
      <c r="E236" s="47">
        <v>0.35</v>
      </c>
      <c r="F236" s="47">
        <v>0.35</v>
      </c>
      <c r="G236" s="47">
        <v>0.35</v>
      </c>
      <c r="H236" s="47">
        <v>0.35</v>
      </c>
      <c r="I236" s="47">
        <v>0.35</v>
      </c>
      <c r="J236" s="47">
        <v>0.35</v>
      </c>
      <c r="K236" s="47">
        <v>0.35</v>
      </c>
      <c r="L236" s="47">
        <v>0.35</v>
      </c>
      <c r="M236" s="47">
        <v>0.35</v>
      </c>
    </row>
    <row r="237" spans="1:13" x14ac:dyDescent="0.25">
      <c r="A237" s="325"/>
      <c r="B237" s="328"/>
      <c r="C237" s="21" t="s">
        <v>129</v>
      </c>
      <c r="D237" s="1" t="s">
        <v>8</v>
      </c>
      <c r="E237" s="46">
        <v>59.884830633284238</v>
      </c>
      <c r="F237" s="46">
        <v>77.502650957290129</v>
      </c>
      <c r="G237" s="46">
        <v>124.48350515463918</v>
      </c>
      <c r="H237" s="46">
        <v>189.0821796759941</v>
      </c>
      <c r="I237" s="46">
        <v>277.17128129602355</v>
      </c>
      <c r="J237" s="46">
        <v>453.34948453608251</v>
      </c>
      <c r="K237" s="46">
        <v>629.52768777614153</v>
      </c>
      <c r="L237" s="46">
        <v>629.52768777614153</v>
      </c>
      <c r="M237" s="46">
        <v>629.52768777614153</v>
      </c>
    </row>
    <row r="238" spans="1:13" x14ac:dyDescent="0.25">
      <c r="A238" s="325"/>
      <c r="B238" s="328"/>
      <c r="C238" s="21" t="s">
        <v>130</v>
      </c>
      <c r="D238" s="1" t="s">
        <v>9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1:13" x14ac:dyDescent="0.25">
      <c r="A239" s="325"/>
      <c r="B239" s="328"/>
      <c r="C239" s="21" t="s">
        <v>131</v>
      </c>
      <c r="D239" s="1" t="s">
        <v>10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1:13" ht="18.75" x14ac:dyDescent="0.25">
      <c r="A240" s="326"/>
      <c r="B240" s="329"/>
      <c r="C240" s="53" t="s">
        <v>132</v>
      </c>
      <c r="D240" s="23" t="s">
        <v>17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1:13" x14ac:dyDescent="0.25">
      <c r="A241" s="324">
        <v>15</v>
      </c>
      <c r="B241" s="327" t="s">
        <v>182</v>
      </c>
      <c r="C241" s="21" t="s">
        <v>112</v>
      </c>
      <c r="D241" s="1" t="s">
        <v>19</v>
      </c>
      <c r="E241" s="51">
        <v>1</v>
      </c>
      <c r="F241" s="51">
        <v>1</v>
      </c>
      <c r="G241" s="51">
        <v>1</v>
      </c>
      <c r="H241" s="51">
        <v>1</v>
      </c>
      <c r="I241" s="51">
        <v>1</v>
      </c>
      <c r="J241" s="51">
        <v>1</v>
      </c>
      <c r="K241" s="51">
        <v>1</v>
      </c>
      <c r="L241" s="51">
        <v>1</v>
      </c>
      <c r="M241" s="51">
        <v>1</v>
      </c>
    </row>
    <row r="242" spans="1:13" x14ac:dyDescent="0.25">
      <c r="A242" s="325"/>
      <c r="B242" s="328"/>
      <c r="C242" s="21" t="s">
        <v>28</v>
      </c>
      <c r="D242" s="1" t="s">
        <v>19</v>
      </c>
      <c r="E242" s="44">
        <v>0.65</v>
      </c>
      <c r="F242" s="44">
        <v>0.65</v>
      </c>
      <c r="G242" s="44">
        <v>0.65</v>
      </c>
      <c r="H242" s="44">
        <v>0.65</v>
      </c>
      <c r="I242" s="44">
        <v>0.65</v>
      </c>
      <c r="J242" s="44">
        <v>0.65</v>
      </c>
      <c r="K242" s="44">
        <v>0.65</v>
      </c>
      <c r="L242" s="44">
        <v>0.65</v>
      </c>
      <c r="M242" s="44">
        <v>0.65</v>
      </c>
    </row>
    <row r="243" spans="1:13" x14ac:dyDescent="0.25">
      <c r="A243" s="325"/>
      <c r="B243" s="328"/>
      <c r="C243" s="21" t="s">
        <v>29</v>
      </c>
      <c r="D243" s="1" t="s">
        <v>4</v>
      </c>
      <c r="E243" s="44">
        <v>20</v>
      </c>
      <c r="F243" s="44">
        <v>20</v>
      </c>
      <c r="G243" s="44">
        <v>20</v>
      </c>
      <c r="H243" s="44">
        <v>20</v>
      </c>
      <c r="I243" s="44">
        <v>20</v>
      </c>
      <c r="J243" s="44">
        <v>20</v>
      </c>
      <c r="K243" s="44">
        <v>20</v>
      </c>
      <c r="L243" s="44">
        <v>20</v>
      </c>
      <c r="M243" s="44">
        <v>20</v>
      </c>
    </row>
    <row r="244" spans="1:13" x14ac:dyDescent="0.25">
      <c r="A244" s="325"/>
      <c r="B244" s="328"/>
      <c r="C244" s="21" t="s">
        <v>30</v>
      </c>
      <c r="D244" s="1" t="s">
        <v>6</v>
      </c>
      <c r="E244" s="46">
        <v>939.47924488610727</v>
      </c>
      <c r="F244" s="46">
        <v>670.86780042435419</v>
      </c>
      <c r="G244" s="46">
        <v>523.42631254470632</v>
      </c>
      <c r="H244" s="46">
        <v>523.42631254470632</v>
      </c>
      <c r="I244" s="46">
        <v>523.42631254470632</v>
      </c>
      <c r="J244" s="46">
        <v>523.42631254470632</v>
      </c>
      <c r="K244" s="46">
        <v>1136.3124641115969</v>
      </c>
      <c r="L244" s="46">
        <v>988.42533284709032</v>
      </c>
      <c r="M244" s="46">
        <v>868.76381718516643</v>
      </c>
    </row>
    <row r="245" spans="1:13" x14ac:dyDescent="0.25">
      <c r="A245" s="325"/>
      <c r="B245" s="328"/>
      <c r="C245" s="21" t="s">
        <v>174</v>
      </c>
      <c r="D245" s="1" t="s">
        <v>19</v>
      </c>
      <c r="E245" s="47">
        <v>0.35</v>
      </c>
      <c r="F245" s="47">
        <v>0.35</v>
      </c>
      <c r="G245" s="47">
        <v>0.35</v>
      </c>
      <c r="H245" s="47">
        <v>0.35</v>
      </c>
      <c r="I245" s="47">
        <v>0.35</v>
      </c>
      <c r="J245" s="47">
        <v>0.35</v>
      </c>
      <c r="K245" s="47">
        <v>0.35</v>
      </c>
      <c r="L245" s="47">
        <v>0.35</v>
      </c>
      <c r="M245" s="47">
        <v>0.35</v>
      </c>
    </row>
    <row r="246" spans="1:13" x14ac:dyDescent="0.25">
      <c r="A246" s="325"/>
      <c r="B246" s="328"/>
      <c r="C246" s="21" t="s">
        <v>113</v>
      </c>
      <c r="D246" s="1" t="s">
        <v>8</v>
      </c>
      <c r="E246" s="44"/>
      <c r="F246" s="44"/>
      <c r="G246" s="44"/>
      <c r="H246" s="44"/>
      <c r="I246" s="44"/>
      <c r="J246" s="44"/>
      <c r="K246" s="44"/>
      <c r="L246" s="44"/>
      <c r="M246" s="44"/>
    </row>
    <row r="247" spans="1:13" x14ac:dyDescent="0.25">
      <c r="A247" s="325"/>
      <c r="B247" s="328"/>
      <c r="C247" s="21" t="s">
        <v>114</v>
      </c>
      <c r="D247" s="1" t="s">
        <v>9</v>
      </c>
      <c r="E247" s="44"/>
      <c r="F247" s="44"/>
      <c r="G247" s="44"/>
      <c r="H247" s="44"/>
      <c r="I247" s="44"/>
      <c r="J247" s="44"/>
      <c r="K247" s="44"/>
      <c r="L247" s="44"/>
      <c r="M247" s="44"/>
    </row>
    <row r="248" spans="1:13" x14ac:dyDescent="0.25">
      <c r="A248" s="325"/>
      <c r="B248" s="328"/>
      <c r="C248" s="21" t="s">
        <v>115</v>
      </c>
      <c r="D248" s="1" t="s">
        <v>10</v>
      </c>
      <c r="E248" s="46">
        <v>0</v>
      </c>
      <c r="F248" s="46">
        <v>0</v>
      </c>
      <c r="G248" s="46">
        <v>0</v>
      </c>
      <c r="H248" s="46">
        <v>0</v>
      </c>
      <c r="I248" s="46">
        <v>0</v>
      </c>
      <c r="J248" s="46">
        <v>0</v>
      </c>
      <c r="K248" s="46">
        <v>2.1700000000000001E-3</v>
      </c>
      <c r="L248" s="46">
        <v>2.1700000000000001E-3</v>
      </c>
      <c r="M248" s="46">
        <v>2.1700000000000001E-3</v>
      </c>
    </row>
    <row r="249" spans="1:13" ht="18.75" x14ac:dyDescent="0.25">
      <c r="A249" s="325"/>
      <c r="B249" s="328"/>
      <c r="C249" s="22" t="s">
        <v>116</v>
      </c>
      <c r="D249" s="23" t="s">
        <v>17</v>
      </c>
      <c r="E249" s="46">
        <v>0</v>
      </c>
      <c r="F249" s="46">
        <v>0</v>
      </c>
      <c r="G249" s="46">
        <v>0</v>
      </c>
      <c r="H249" s="46">
        <v>0</v>
      </c>
      <c r="I249" s="46">
        <v>0</v>
      </c>
      <c r="J249" s="46">
        <v>0</v>
      </c>
      <c r="K249" s="46">
        <v>0</v>
      </c>
      <c r="L249" s="46">
        <v>0</v>
      </c>
      <c r="M249" s="46">
        <v>0</v>
      </c>
    </row>
    <row r="250" spans="1:13" x14ac:dyDescent="0.25">
      <c r="A250" s="325"/>
      <c r="B250" s="328"/>
      <c r="C250" s="22" t="s">
        <v>31</v>
      </c>
      <c r="D250" s="23" t="s">
        <v>10</v>
      </c>
      <c r="E250" s="46">
        <v>0</v>
      </c>
      <c r="F250" s="46">
        <v>0</v>
      </c>
      <c r="G250" s="46">
        <v>0</v>
      </c>
      <c r="H250" s="46">
        <v>0</v>
      </c>
      <c r="I250" s="46">
        <v>0</v>
      </c>
      <c r="J250" s="46">
        <v>0</v>
      </c>
      <c r="K250" s="46">
        <v>0</v>
      </c>
      <c r="L250" s="46">
        <v>0</v>
      </c>
      <c r="M250" s="46">
        <v>0</v>
      </c>
    </row>
    <row r="251" spans="1:13" x14ac:dyDescent="0.25">
      <c r="A251" s="325"/>
      <c r="B251" s="328"/>
      <c r="C251" s="21" t="s">
        <v>32</v>
      </c>
      <c r="D251" s="2" t="s">
        <v>19</v>
      </c>
      <c r="E251" s="44">
        <v>3.09</v>
      </c>
      <c r="F251" s="44">
        <v>3.09</v>
      </c>
      <c r="G251" s="44">
        <v>3.09</v>
      </c>
      <c r="H251" s="44">
        <v>3.09</v>
      </c>
      <c r="I251" s="44">
        <v>3.09</v>
      </c>
      <c r="J251" s="44">
        <v>3.09</v>
      </c>
      <c r="K251" s="44">
        <v>3.09</v>
      </c>
      <c r="L251" s="44">
        <v>3.09</v>
      </c>
      <c r="M251" s="44">
        <v>3.09</v>
      </c>
    </row>
    <row r="252" spans="1:13" x14ac:dyDescent="0.25">
      <c r="A252" s="325"/>
      <c r="B252" s="328"/>
      <c r="C252" s="21" t="s">
        <v>33</v>
      </c>
      <c r="D252" s="2" t="s">
        <v>14</v>
      </c>
      <c r="E252" s="44"/>
      <c r="F252" s="44"/>
      <c r="G252" s="44"/>
      <c r="H252" s="44"/>
      <c r="I252" s="44"/>
      <c r="J252" s="44"/>
      <c r="K252" s="44"/>
      <c r="L252" s="44"/>
      <c r="M252" s="44"/>
    </row>
    <row r="253" spans="1:13" x14ac:dyDescent="0.25">
      <c r="A253" s="325"/>
      <c r="B253" s="328"/>
      <c r="C253" s="21" t="s">
        <v>34</v>
      </c>
      <c r="D253" s="2" t="s">
        <v>4</v>
      </c>
      <c r="E253" s="44"/>
      <c r="F253" s="44"/>
      <c r="G253" s="44"/>
      <c r="H253" s="44"/>
      <c r="I253" s="44"/>
      <c r="J253" s="44"/>
      <c r="K253" s="44"/>
      <c r="L253" s="44"/>
      <c r="M253" s="44"/>
    </row>
    <row r="254" spans="1:13" x14ac:dyDescent="0.25">
      <c r="A254" s="325"/>
      <c r="B254" s="328"/>
      <c r="C254" s="21" t="s">
        <v>125</v>
      </c>
      <c r="D254" s="1" t="s">
        <v>19</v>
      </c>
      <c r="E254" s="51">
        <v>0.546875</v>
      </c>
      <c r="F254" s="51">
        <v>0.546875</v>
      </c>
      <c r="G254" s="51">
        <v>0.54687499999999989</v>
      </c>
      <c r="H254" s="51">
        <v>0.546875</v>
      </c>
      <c r="I254" s="51">
        <v>0.546875</v>
      </c>
      <c r="J254" s="51">
        <v>0.546875</v>
      </c>
      <c r="K254" s="51">
        <v>0.546875</v>
      </c>
      <c r="L254" s="51">
        <v>0.546875</v>
      </c>
      <c r="M254" s="51">
        <v>0.546875</v>
      </c>
    </row>
    <row r="255" spans="1:13" x14ac:dyDescent="0.25">
      <c r="A255" s="325"/>
      <c r="B255" s="328"/>
      <c r="C255" s="21" t="s">
        <v>126</v>
      </c>
      <c r="D255" s="1" t="s">
        <v>19</v>
      </c>
      <c r="E255" s="44">
        <v>0.64</v>
      </c>
      <c r="F255" s="44">
        <v>0.64</v>
      </c>
      <c r="G255" s="44">
        <v>0.64</v>
      </c>
      <c r="H255" s="44">
        <v>0.64</v>
      </c>
      <c r="I255" s="44">
        <v>0.64</v>
      </c>
      <c r="J255" s="44">
        <v>0.64</v>
      </c>
      <c r="K255" s="44">
        <v>0.64</v>
      </c>
      <c r="L255" s="44">
        <v>0.64</v>
      </c>
      <c r="M255" s="44">
        <v>0.64</v>
      </c>
    </row>
    <row r="256" spans="1:13" x14ac:dyDescent="0.25">
      <c r="A256" s="325"/>
      <c r="B256" s="328"/>
      <c r="C256" s="24" t="s">
        <v>127</v>
      </c>
      <c r="D256" s="1" t="s">
        <v>4</v>
      </c>
      <c r="E256" s="44">
        <v>20</v>
      </c>
      <c r="F256" s="44">
        <v>20</v>
      </c>
      <c r="G256" s="44">
        <v>20</v>
      </c>
      <c r="H256" s="44">
        <v>20</v>
      </c>
      <c r="I256" s="44">
        <v>20</v>
      </c>
      <c r="J256" s="44">
        <v>20</v>
      </c>
      <c r="K256" s="44">
        <v>20</v>
      </c>
      <c r="L256" s="44">
        <v>20</v>
      </c>
      <c r="M256" s="44">
        <v>20</v>
      </c>
    </row>
    <row r="257" spans="1:13" x14ac:dyDescent="0.25">
      <c r="A257" s="325"/>
      <c r="B257" s="328"/>
      <c r="C257" s="24" t="s">
        <v>128</v>
      </c>
      <c r="D257" s="1" t="s">
        <v>6</v>
      </c>
      <c r="E257" s="52">
        <v>959.40572072901318</v>
      </c>
      <c r="F257" s="52">
        <v>934.76873159057436</v>
      </c>
      <c r="G257" s="52">
        <v>869.07009388807069</v>
      </c>
      <c r="H257" s="52">
        <v>778.73446704712808</v>
      </c>
      <c r="I257" s="52">
        <v>655.54952135493363</v>
      </c>
      <c r="J257" s="52">
        <v>563.57142857142856</v>
      </c>
      <c r="K257" s="52">
        <v>563.57142857142856</v>
      </c>
      <c r="L257" s="52">
        <v>563.57142857142856</v>
      </c>
      <c r="M257" s="52">
        <v>563.57142857142856</v>
      </c>
    </row>
    <row r="258" spans="1:13" x14ac:dyDescent="0.25">
      <c r="A258" s="325"/>
      <c r="B258" s="328"/>
      <c r="C258" s="24" t="s">
        <v>179</v>
      </c>
      <c r="D258" s="1" t="s">
        <v>19</v>
      </c>
      <c r="E258" s="47">
        <v>0.35</v>
      </c>
      <c r="F258" s="47">
        <v>0.35</v>
      </c>
      <c r="G258" s="47">
        <v>0.35</v>
      </c>
      <c r="H258" s="47">
        <v>0.35</v>
      </c>
      <c r="I258" s="47">
        <v>0.35</v>
      </c>
      <c r="J258" s="47">
        <v>0.35</v>
      </c>
      <c r="K258" s="47">
        <v>0.35</v>
      </c>
      <c r="L258" s="47">
        <v>0.35</v>
      </c>
      <c r="M258" s="47">
        <v>0.35</v>
      </c>
    </row>
    <row r="259" spans="1:13" x14ac:dyDescent="0.25">
      <c r="A259" s="325"/>
      <c r="B259" s="328"/>
      <c r="C259" s="21" t="s">
        <v>129</v>
      </c>
      <c r="D259" s="1" t="s">
        <v>8</v>
      </c>
      <c r="E259" s="46">
        <v>59.884830633284238</v>
      </c>
      <c r="F259" s="46">
        <v>77.502650957290129</v>
      </c>
      <c r="G259" s="46">
        <v>124.48350515463918</v>
      </c>
      <c r="H259" s="46">
        <v>189.0821796759941</v>
      </c>
      <c r="I259" s="46">
        <v>277.17128129602355</v>
      </c>
      <c r="J259" s="46">
        <v>453.34948453608251</v>
      </c>
      <c r="K259" s="46">
        <v>629.52768777614153</v>
      </c>
      <c r="L259" s="46">
        <v>629.52768777614153</v>
      </c>
      <c r="M259" s="46">
        <v>629.52768777614153</v>
      </c>
    </row>
    <row r="260" spans="1:13" x14ac:dyDescent="0.25">
      <c r="A260" s="325"/>
      <c r="B260" s="328"/>
      <c r="C260" s="21" t="s">
        <v>130</v>
      </c>
      <c r="D260" s="1" t="s">
        <v>9</v>
      </c>
      <c r="E260" s="44"/>
      <c r="F260" s="44"/>
      <c r="G260" s="44"/>
      <c r="H260" s="44"/>
      <c r="I260" s="44"/>
      <c r="J260" s="44"/>
      <c r="K260" s="44"/>
      <c r="L260" s="44"/>
      <c r="M260" s="44"/>
    </row>
    <row r="261" spans="1:13" x14ac:dyDescent="0.25">
      <c r="A261" s="325"/>
      <c r="B261" s="328"/>
      <c r="C261" s="21" t="s">
        <v>131</v>
      </c>
      <c r="D261" s="1" t="s">
        <v>10</v>
      </c>
      <c r="E261" s="44"/>
      <c r="F261" s="44"/>
      <c r="G261" s="44"/>
      <c r="H261" s="44"/>
      <c r="I261" s="44"/>
      <c r="J261" s="44"/>
      <c r="K261" s="44"/>
      <c r="L261" s="44"/>
      <c r="M261" s="44"/>
    </row>
    <row r="262" spans="1:13" ht="18.75" x14ac:dyDescent="0.25">
      <c r="A262" s="326"/>
      <c r="B262" s="329"/>
      <c r="C262" s="53" t="s">
        <v>132</v>
      </c>
      <c r="D262" s="23" t="s">
        <v>17</v>
      </c>
      <c r="E262" s="44"/>
      <c r="F262" s="44"/>
      <c r="G262" s="44"/>
      <c r="H262" s="44"/>
      <c r="I262" s="44"/>
      <c r="J262" s="44"/>
      <c r="K262" s="44"/>
      <c r="L262" s="44"/>
      <c r="M262" s="44"/>
    </row>
    <row r="263" spans="1:13" x14ac:dyDescent="0.25">
      <c r="A263" s="306">
        <v>16</v>
      </c>
      <c r="B263" s="323" t="s">
        <v>156</v>
      </c>
      <c r="C263" s="21" t="s">
        <v>101</v>
      </c>
      <c r="D263" s="1" t="s">
        <v>4</v>
      </c>
      <c r="E263" s="44">
        <v>40</v>
      </c>
      <c r="F263" s="44">
        <v>40</v>
      </c>
      <c r="G263" s="44">
        <v>40</v>
      </c>
      <c r="H263" s="44">
        <v>40</v>
      </c>
      <c r="I263" s="44">
        <v>40</v>
      </c>
      <c r="J263" s="44">
        <v>40</v>
      </c>
      <c r="K263" s="44">
        <v>40</v>
      </c>
      <c r="L263" s="44">
        <v>40</v>
      </c>
      <c r="M263" s="44">
        <v>40</v>
      </c>
    </row>
    <row r="264" spans="1:13" x14ac:dyDescent="0.25">
      <c r="A264" s="306"/>
      <c r="B264" s="323"/>
      <c r="C264" s="21" t="s">
        <v>5</v>
      </c>
      <c r="D264" s="1" t="s">
        <v>6</v>
      </c>
      <c r="E264" s="46">
        <v>300</v>
      </c>
      <c r="F264" s="46">
        <v>183.33333333333334</v>
      </c>
      <c r="G264" s="46">
        <v>100</v>
      </c>
      <c r="H264" s="46">
        <v>76</v>
      </c>
      <c r="I264" s="46">
        <v>60</v>
      </c>
      <c r="J264" s="46">
        <v>42.857142857142854</v>
      </c>
      <c r="K264" s="46">
        <v>27.058823529411764</v>
      </c>
      <c r="L264" s="46">
        <v>18.421052631578949</v>
      </c>
      <c r="M264" s="46">
        <v>13.75</v>
      </c>
    </row>
    <row r="265" spans="1:13" x14ac:dyDescent="0.25">
      <c r="A265" s="306"/>
      <c r="B265" s="323"/>
      <c r="C265" s="21" t="s">
        <v>172</v>
      </c>
      <c r="D265" s="1" t="s">
        <v>19</v>
      </c>
      <c r="E265" s="47">
        <v>0.35</v>
      </c>
      <c r="F265" s="47">
        <v>0.35</v>
      </c>
      <c r="G265" s="47">
        <v>0.35</v>
      </c>
      <c r="H265" s="47">
        <v>0.35</v>
      </c>
      <c r="I265" s="47">
        <v>0.35</v>
      </c>
      <c r="J265" s="47">
        <v>0.35</v>
      </c>
      <c r="K265" s="47">
        <v>0.35</v>
      </c>
      <c r="L265" s="47">
        <v>0.35</v>
      </c>
      <c r="M265" s="47">
        <v>0.35</v>
      </c>
    </row>
    <row r="266" spans="1:13" x14ac:dyDescent="0.25">
      <c r="A266" s="306"/>
      <c r="B266" s="323"/>
      <c r="C266" s="21" t="s">
        <v>102</v>
      </c>
      <c r="D266" s="1" t="s">
        <v>8</v>
      </c>
      <c r="E266" s="46">
        <v>0</v>
      </c>
      <c r="F266" s="46">
        <v>0</v>
      </c>
      <c r="G266" s="46">
        <v>0</v>
      </c>
      <c r="H266" s="46">
        <v>0</v>
      </c>
      <c r="I266" s="46">
        <v>0</v>
      </c>
      <c r="J266" s="46">
        <v>0</v>
      </c>
      <c r="K266" s="46">
        <v>0</v>
      </c>
      <c r="L266" s="46">
        <v>0</v>
      </c>
      <c r="M266" s="46">
        <v>0</v>
      </c>
    </row>
    <row r="267" spans="1:13" x14ac:dyDescent="0.25">
      <c r="A267" s="306"/>
      <c r="B267" s="323"/>
      <c r="C267" s="21" t="s">
        <v>103</v>
      </c>
      <c r="D267" s="1" t="s">
        <v>9</v>
      </c>
      <c r="E267" s="44"/>
      <c r="F267" s="44"/>
      <c r="G267" s="44"/>
      <c r="H267" s="44"/>
      <c r="I267" s="44"/>
      <c r="J267" s="44"/>
      <c r="K267" s="44"/>
      <c r="L267" s="44"/>
      <c r="M267" s="44"/>
    </row>
    <row r="268" spans="1:13" x14ac:dyDescent="0.25">
      <c r="A268" s="306"/>
      <c r="B268" s="323"/>
      <c r="C268" s="21" t="s">
        <v>104</v>
      </c>
      <c r="D268" s="1" t="s">
        <v>10</v>
      </c>
      <c r="E268" s="44"/>
      <c r="F268" s="44"/>
      <c r="G268" s="44"/>
      <c r="H268" s="44"/>
      <c r="I268" s="44"/>
      <c r="J268" s="44"/>
      <c r="K268" s="44"/>
      <c r="L268" s="44"/>
      <c r="M268" s="44"/>
    </row>
    <row r="269" spans="1:13" x14ac:dyDescent="0.25">
      <c r="A269" s="306"/>
      <c r="B269" s="323"/>
      <c r="C269" s="22" t="s">
        <v>11</v>
      </c>
      <c r="D269" s="23" t="s">
        <v>10</v>
      </c>
      <c r="E269" s="44"/>
      <c r="F269" s="44"/>
      <c r="G269" s="44"/>
      <c r="H269" s="44"/>
      <c r="I269" s="44"/>
      <c r="J269" s="44"/>
      <c r="K269" s="44"/>
      <c r="L269" s="44"/>
      <c r="M269" s="44"/>
    </row>
    <row r="270" spans="1:13" x14ac:dyDescent="0.25">
      <c r="A270" s="306"/>
      <c r="B270" s="323"/>
      <c r="C270" s="21" t="s">
        <v>12</v>
      </c>
      <c r="D270" s="1" t="s">
        <v>7</v>
      </c>
      <c r="E270" s="47">
        <v>1</v>
      </c>
      <c r="F270" s="47">
        <v>1</v>
      </c>
      <c r="G270" s="47">
        <v>1</v>
      </c>
      <c r="H270" s="47">
        <v>1</v>
      </c>
      <c r="I270" s="47">
        <v>1</v>
      </c>
      <c r="J270" s="47">
        <v>1</v>
      </c>
      <c r="K270" s="47">
        <v>1</v>
      </c>
      <c r="L270" s="47">
        <v>1</v>
      </c>
      <c r="M270" s="47">
        <v>1</v>
      </c>
    </row>
    <row r="271" spans="1:13" x14ac:dyDescent="0.25">
      <c r="A271" s="306"/>
      <c r="B271" s="323"/>
      <c r="C271" s="21" t="s">
        <v>13</v>
      </c>
      <c r="D271" s="1" t="s">
        <v>14</v>
      </c>
      <c r="E271" s="46">
        <v>20161.05</v>
      </c>
      <c r="F271" s="46">
        <v>20736.3</v>
      </c>
      <c r="G271" s="46">
        <v>22270.3</v>
      </c>
      <c r="H271" s="46">
        <v>24379.55</v>
      </c>
      <c r="I271" s="46">
        <v>27255.8</v>
      </c>
      <c r="J271" s="46">
        <v>33008.300000000003</v>
      </c>
      <c r="K271" s="46">
        <v>52183.3</v>
      </c>
      <c r="L271" s="46">
        <v>98768.8</v>
      </c>
      <c r="M271" s="46">
        <v>190105.68460000001</v>
      </c>
    </row>
    <row r="272" spans="1:13" x14ac:dyDescent="0.25">
      <c r="A272" s="306"/>
      <c r="B272" s="323"/>
      <c r="C272" s="21" t="s">
        <v>15</v>
      </c>
      <c r="D272" s="1" t="s">
        <v>4</v>
      </c>
      <c r="E272" s="44">
        <v>40</v>
      </c>
      <c r="F272" s="44">
        <v>40</v>
      </c>
      <c r="G272" s="44">
        <v>40</v>
      </c>
      <c r="H272" s="44">
        <v>40</v>
      </c>
      <c r="I272" s="44">
        <v>40</v>
      </c>
      <c r="J272" s="44">
        <v>40</v>
      </c>
      <c r="K272" s="44">
        <v>40</v>
      </c>
      <c r="L272" s="44">
        <v>40</v>
      </c>
      <c r="M272" s="44">
        <v>40</v>
      </c>
    </row>
    <row r="273" spans="1:13" x14ac:dyDescent="0.25">
      <c r="A273" s="306">
        <v>17</v>
      </c>
      <c r="B273" s="323" t="s">
        <v>157</v>
      </c>
      <c r="C273" s="21" t="s">
        <v>101</v>
      </c>
      <c r="D273" s="1" t="s">
        <v>4</v>
      </c>
      <c r="E273" s="44">
        <v>40</v>
      </c>
      <c r="F273" s="44">
        <v>40</v>
      </c>
      <c r="G273" s="44">
        <v>40</v>
      </c>
      <c r="H273" s="44">
        <v>40</v>
      </c>
      <c r="I273" s="44">
        <v>40</v>
      </c>
      <c r="J273" s="44">
        <v>40</v>
      </c>
      <c r="K273" s="44">
        <v>40</v>
      </c>
      <c r="L273" s="44">
        <v>40</v>
      </c>
      <c r="M273" s="44">
        <v>40</v>
      </c>
    </row>
    <row r="274" spans="1:13" x14ac:dyDescent="0.25">
      <c r="A274" s="306"/>
      <c r="B274" s="323"/>
      <c r="C274" s="21" t="s">
        <v>5</v>
      </c>
      <c r="D274" s="1" t="s">
        <v>6</v>
      </c>
      <c r="E274" s="44"/>
      <c r="F274" s="44"/>
      <c r="G274" s="44"/>
      <c r="H274" s="44"/>
      <c r="I274" s="44"/>
      <c r="J274" s="44"/>
      <c r="K274" s="44"/>
      <c r="L274" s="44"/>
      <c r="M274" s="44"/>
    </row>
    <row r="275" spans="1:13" x14ac:dyDescent="0.25">
      <c r="A275" s="306"/>
      <c r="B275" s="323"/>
      <c r="C275" s="21" t="s">
        <v>172</v>
      </c>
      <c r="D275" s="1" t="s">
        <v>19</v>
      </c>
      <c r="E275" s="47">
        <v>0.35</v>
      </c>
      <c r="F275" s="47">
        <v>0.35</v>
      </c>
      <c r="G275" s="47">
        <v>0.35</v>
      </c>
      <c r="H275" s="47">
        <v>0.35</v>
      </c>
      <c r="I275" s="47">
        <v>0.35</v>
      </c>
      <c r="J275" s="47">
        <v>0.35</v>
      </c>
      <c r="K275" s="47">
        <v>0.35</v>
      </c>
      <c r="L275" s="47">
        <v>0.35</v>
      </c>
      <c r="M275" s="47">
        <v>0.35</v>
      </c>
    </row>
    <row r="276" spans="1:13" x14ac:dyDescent="0.25">
      <c r="A276" s="306"/>
      <c r="B276" s="323"/>
      <c r="C276" s="21" t="s">
        <v>102</v>
      </c>
      <c r="D276" s="1" t="s">
        <v>8</v>
      </c>
      <c r="E276" s="46">
        <v>0</v>
      </c>
      <c r="F276" s="46">
        <v>0</v>
      </c>
      <c r="G276" s="46">
        <v>0</v>
      </c>
      <c r="H276" s="46">
        <v>0</v>
      </c>
      <c r="I276" s="46">
        <v>0</v>
      </c>
      <c r="J276" s="46">
        <v>0</v>
      </c>
      <c r="K276" s="46">
        <v>0</v>
      </c>
      <c r="L276" s="46">
        <v>0</v>
      </c>
      <c r="M276" s="46">
        <v>0</v>
      </c>
    </row>
    <row r="277" spans="1:13" x14ac:dyDescent="0.25">
      <c r="A277" s="306"/>
      <c r="B277" s="323"/>
      <c r="C277" s="21" t="s">
        <v>103</v>
      </c>
      <c r="D277" s="1" t="s">
        <v>9</v>
      </c>
      <c r="E277" s="44"/>
      <c r="F277" s="44"/>
      <c r="G277" s="44"/>
      <c r="H277" s="44"/>
      <c r="I277" s="44"/>
      <c r="J277" s="44"/>
      <c r="K277" s="44"/>
      <c r="L277" s="44"/>
      <c r="M277" s="44"/>
    </row>
    <row r="278" spans="1:13" x14ac:dyDescent="0.25">
      <c r="A278" s="306"/>
      <c r="B278" s="323"/>
      <c r="C278" s="21" t="s">
        <v>104</v>
      </c>
      <c r="D278" s="1" t="s">
        <v>10</v>
      </c>
      <c r="E278" s="44"/>
      <c r="F278" s="44"/>
      <c r="G278" s="44"/>
      <c r="H278" s="44"/>
      <c r="I278" s="44"/>
      <c r="J278" s="44"/>
      <c r="K278" s="44"/>
      <c r="L278" s="44"/>
      <c r="M278" s="44"/>
    </row>
    <row r="279" spans="1:13" x14ac:dyDescent="0.25">
      <c r="A279" s="306"/>
      <c r="B279" s="323"/>
      <c r="C279" s="22" t="s">
        <v>11</v>
      </c>
      <c r="D279" s="23" t="s">
        <v>10</v>
      </c>
      <c r="E279" s="44"/>
      <c r="F279" s="44"/>
      <c r="G279" s="44"/>
      <c r="H279" s="44"/>
      <c r="I279" s="44"/>
      <c r="J279" s="44"/>
      <c r="K279" s="44"/>
      <c r="L279" s="44"/>
      <c r="M279" s="44"/>
    </row>
    <row r="280" spans="1:13" x14ac:dyDescent="0.25">
      <c r="A280" s="306"/>
      <c r="B280" s="323"/>
      <c r="C280" s="21" t="s">
        <v>12</v>
      </c>
      <c r="D280" s="1" t="s">
        <v>7</v>
      </c>
      <c r="E280" s="47">
        <v>1</v>
      </c>
      <c r="F280" s="47">
        <v>1</v>
      </c>
      <c r="G280" s="47">
        <v>1</v>
      </c>
      <c r="H280" s="47">
        <v>1</v>
      </c>
      <c r="I280" s="47">
        <v>1</v>
      </c>
      <c r="J280" s="47">
        <v>1</v>
      </c>
      <c r="K280" s="47">
        <v>1</v>
      </c>
      <c r="L280" s="47">
        <v>1</v>
      </c>
      <c r="M280" s="47">
        <v>1</v>
      </c>
    </row>
    <row r="281" spans="1:13" x14ac:dyDescent="0.25">
      <c r="A281" s="306"/>
      <c r="B281" s="323"/>
      <c r="C281" s="21" t="s">
        <v>13</v>
      </c>
      <c r="D281" s="1" t="s">
        <v>14</v>
      </c>
      <c r="E281" s="46">
        <v>59966.789999999994</v>
      </c>
      <c r="F281" s="46">
        <v>60249.539999999994</v>
      </c>
      <c r="G281" s="46">
        <v>61003.539999999994</v>
      </c>
      <c r="H281" s="46">
        <v>62040.289999999994</v>
      </c>
      <c r="I281" s="46">
        <v>63454.039999999994</v>
      </c>
      <c r="J281" s="46">
        <v>66281.539999999994</v>
      </c>
      <c r="K281" s="46">
        <v>75706.539999999994</v>
      </c>
      <c r="L281" s="46">
        <v>95499.04</v>
      </c>
      <c r="M281" s="46">
        <v>135084.03999999998</v>
      </c>
    </row>
    <row r="282" spans="1:13" x14ac:dyDescent="0.25">
      <c r="A282" s="306"/>
      <c r="B282" s="323"/>
      <c r="C282" s="21" t="s">
        <v>15</v>
      </c>
      <c r="D282" s="1" t="s">
        <v>4</v>
      </c>
      <c r="E282" s="46">
        <v>40</v>
      </c>
      <c r="F282" s="46">
        <v>40</v>
      </c>
      <c r="G282" s="46">
        <v>40</v>
      </c>
      <c r="H282" s="46">
        <v>40</v>
      </c>
      <c r="I282" s="46">
        <v>40</v>
      </c>
      <c r="J282" s="46">
        <v>40</v>
      </c>
      <c r="K282" s="46">
        <v>40</v>
      </c>
      <c r="L282" s="46">
        <v>40</v>
      </c>
      <c r="M282" s="46">
        <v>40</v>
      </c>
    </row>
  </sheetData>
  <sheetProtection algorithmName="SHA-512" hashValue="Q/LD+HizXkEjbbJ3qS5svCw1U5ycLu9eOsLhqsFYSOS41OdyTRQiaXYUD50JtVDldMwzTpezdI2jgvG3d/Ij1A==" saltValue="wfENVz1tqbOEqeLFsLwKHw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1">
    <tabColor theme="9" tint="-0.249977111117893"/>
  </sheetPr>
  <dimension ref="A1:O282"/>
  <sheetViews>
    <sheetView zoomScale="85" zoomScaleNormal="85" workbookViewId="0">
      <pane ySplit="1" topLeftCell="A77" activePane="bottomLeft" state="frozen"/>
      <selection activeCell="F118" sqref="F118"/>
      <selection pane="bottomLeft" activeCell="E2" sqref="E2:M282"/>
    </sheetView>
  </sheetViews>
  <sheetFormatPr baseColWidth="10" defaultColWidth="10.85546875" defaultRowHeight="15" x14ac:dyDescent="0.25"/>
  <cols>
    <col min="1" max="1" width="4.7109375" style="30" customWidth="1"/>
    <col min="2" max="2" width="20.140625" style="30" bestFit="1" customWidth="1"/>
    <col min="3" max="3" width="45.42578125" style="26" customWidth="1"/>
    <col min="4" max="4" width="12.140625" style="27" customWidth="1"/>
    <col min="5" max="12" width="12.28515625" style="54" bestFit="1" customWidth="1"/>
    <col min="13" max="13" width="13.42578125" style="54" bestFit="1" customWidth="1"/>
    <col min="14" max="14" width="15" style="30" customWidth="1"/>
    <col min="15" max="16384" width="10.85546875" style="30"/>
  </cols>
  <sheetData>
    <row r="1" spans="1:14" ht="15.75" x14ac:dyDescent="0.25">
      <c r="A1" s="40"/>
      <c r="B1" s="41" t="s">
        <v>0</v>
      </c>
      <c r="C1" s="28" t="s">
        <v>1</v>
      </c>
      <c r="D1" s="29" t="s">
        <v>2</v>
      </c>
      <c r="E1" s="42">
        <v>15</v>
      </c>
      <c r="F1" s="43">
        <v>30</v>
      </c>
      <c r="G1" s="43">
        <v>70</v>
      </c>
      <c r="H1" s="43">
        <v>125</v>
      </c>
      <c r="I1" s="43">
        <v>200</v>
      </c>
      <c r="J1" s="43">
        <v>350</v>
      </c>
      <c r="K1" s="43">
        <v>850</v>
      </c>
      <c r="L1" s="43">
        <v>1900</v>
      </c>
      <c r="M1" s="43">
        <v>4000</v>
      </c>
    </row>
    <row r="2" spans="1:14" x14ac:dyDescent="0.25">
      <c r="A2" s="306">
        <v>1</v>
      </c>
      <c r="B2" s="322" t="s">
        <v>3</v>
      </c>
      <c r="C2" s="21" t="s">
        <v>101</v>
      </c>
      <c r="D2" s="1" t="s">
        <v>4</v>
      </c>
      <c r="E2" s="44">
        <v>20</v>
      </c>
      <c r="F2" s="44">
        <v>20</v>
      </c>
      <c r="G2" s="44">
        <v>20</v>
      </c>
      <c r="H2" s="44">
        <v>20</v>
      </c>
      <c r="I2" s="44">
        <v>20</v>
      </c>
      <c r="J2" s="44">
        <v>20</v>
      </c>
      <c r="K2" s="44">
        <v>20</v>
      </c>
      <c r="L2" s="44">
        <v>20</v>
      </c>
      <c r="M2" s="44">
        <v>20</v>
      </c>
      <c r="N2" s="45"/>
    </row>
    <row r="3" spans="1:14" x14ac:dyDescent="0.25">
      <c r="A3" s="306"/>
      <c r="B3" s="322"/>
      <c r="C3" s="21" t="s">
        <v>5</v>
      </c>
      <c r="D3" s="1" t="s">
        <v>6</v>
      </c>
      <c r="E3" s="46">
        <v>212.90273464055423</v>
      </c>
      <c r="F3" s="46">
        <v>180.29847756137553</v>
      </c>
      <c r="G3" s="46">
        <v>140.44328080448224</v>
      </c>
      <c r="H3" s="46">
        <v>113.16977842477434</v>
      </c>
      <c r="I3" s="46">
        <v>107.31263157894738</v>
      </c>
      <c r="J3" s="46">
        <v>107.00631578947369</v>
      </c>
      <c r="K3" s="46">
        <v>105.98526315789475</v>
      </c>
      <c r="L3" s="46">
        <v>103.84105263157896</v>
      </c>
      <c r="M3" s="46">
        <v>99.55263157894737</v>
      </c>
      <c r="N3" s="45"/>
    </row>
    <row r="4" spans="1:14" x14ac:dyDescent="0.25">
      <c r="A4" s="306"/>
      <c r="B4" s="322"/>
      <c r="C4" s="21" t="s">
        <v>172</v>
      </c>
      <c r="D4" s="1" t="s">
        <v>19</v>
      </c>
      <c r="E4" s="47">
        <v>0</v>
      </c>
      <c r="F4" s="47">
        <v>0</v>
      </c>
      <c r="G4" s="47">
        <v>0</v>
      </c>
      <c r="H4" s="47">
        <v>0</v>
      </c>
      <c r="I4" s="47">
        <v>0</v>
      </c>
      <c r="J4" s="47">
        <v>0</v>
      </c>
      <c r="K4" s="47">
        <v>0</v>
      </c>
      <c r="L4" s="47">
        <v>0</v>
      </c>
      <c r="M4" s="47">
        <v>0</v>
      </c>
      <c r="N4" s="45"/>
    </row>
    <row r="5" spans="1:14" x14ac:dyDescent="0.25">
      <c r="A5" s="306"/>
      <c r="B5" s="322"/>
      <c r="C5" s="21" t="s">
        <v>102</v>
      </c>
      <c r="D5" s="1" t="s">
        <v>8</v>
      </c>
      <c r="E5" s="44"/>
      <c r="F5" s="44"/>
      <c r="G5" s="44"/>
      <c r="H5" s="44"/>
      <c r="I5" s="44"/>
      <c r="J5" s="44"/>
      <c r="K5" s="44"/>
      <c r="L5" s="44"/>
      <c r="M5" s="44"/>
      <c r="N5" s="45"/>
    </row>
    <row r="6" spans="1:14" x14ac:dyDescent="0.25">
      <c r="A6" s="306"/>
      <c r="B6" s="322"/>
      <c r="C6" s="21" t="s">
        <v>103</v>
      </c>
      <c r="D6" s="1" t="s">
        <v>9</v>
      </c>
      <c r="E6" s="46">
        <v>6.3870820392166268</v>
      </c>
      <c r="F6" s="46">
        <v>5.4089543268412656</v>
      </c>
      <c r="G6" s="46">
        <v>4.2132984241344671</v>
      </c>
      <c r="H6" s="46">
        <v>3.3950933527432299</v>
      </c>
      <c r="I6" s="46">
        <v>2.0378947368421052</v>
      </c>
      <c r="J6" s="46">
        <v>2.0189473684210526</v>
      </c>
      <c r="K6" s="46">
        <v>1.9557894736842103</v>
      </c>
      <c r="L6" s="46">
        <v>1.8231578947368419</v>
      </c>
      <c r="M6" s="46">
        <v>1.557894736842105</v>
      </c>
      <c r="N6" s="45"/>
    </row>
    <row r="7" spans="1:14" x14ac:dyDescent="0.25">
      <c r="A7" s="306"/>
      <c r="B7" s="322"/>
      <c r="C7" s="21" t="s">
        <v>104</v>
      </c>
      <c r="D7" s="1" t="s">
        <v>10</v>
      </c>
      <c r="E7" s="46">
        <v>0</v>
      </c>
      <c r="F7" s="46">
        <v>0</v>
      </c>
      <c r="G7" s="46">
        <v>0</v>
      </c>
      <c r="H7" s="46">
        <v>0</v>
      </c>
      <c r="I7" s="46">
        <v>0</v>
      </c>
      <c r="J7" s="46">
        <v>0</v>
      </c>
      <c r="K7" s="46">
        <v>1.6357894736842103E-3</v>
      </c>
      <c r="L7" s="46">
        <v>1.5031578947368419E-3</v>
      </c>
      <c r="M7" s="46">
        <v>1.2378947368421051E-3</v>
      </c>
      <c r="N7" s="45"/>
    </row>
    <row r="8" spans="1:14" x14ac:dyDescent="0.25">
      <c r="A8" s="306"/>
      <c r="B8" s="322"/>
      <c r="C8" s="22" t="s">
        <v>11</v>
      </c>
      <c r="D8" s="23" t="s">
        <v>10</v>
      </c>
      <c r="E8" s="46">
        <v>0</v>
      </c>
      <c r="F8" s="44"/>
      <c r="G8" s="44"/>
      <c r="H8" s="44"/>
      <c r="I8" s="44"/>
      <c r="J8" s="44"/>
      <c r="K8" s="44"/>
      <c r="L8" s="44"/>
      <c r="M8" s="44"/>
      <c r="N8" s="45"/>
    </row>
    <row r="9" spans="1:14" x14ac:dyDescent="0.25">
      <c r="A9" s="306"/>
      <c r="B9" s="322"/>
      <c r="C9" s="21" t="s">
        <v>12</v>
      </c>
      <c r="D9" s="1" t="s">
        <v>7</v>
      </c>
      <c r="E9" s="47">
        <v>0.96599999999999986</v>
      </c>
      <c r="F9" s="47">
        <v>0.96599999999999986</v>
      </c>
      <c r="G9" s="47">
        <v>0.96599999999999986</v>
      </c>
      <c r="H9" s="47">
        <v>0.96599999999999986</v>
      </c>
      <c r="I9" s="47">
        <v>0.96599999999999986</v>
      </c>
      <c r="J9" s="47">
        <v>0.96599999999999986</v>
      </c>
      <c r="K9" s="47">
        <v>0.99</v>
      </c>
      <c r="L9" s="47">
        <v>0.99</v>
      </c>
      <c r="M9" s="47">
        <v>0.99</v>
      </c>
      <c r="N9" s="45"/>
    </row>
    <row r="10" spans="1:14" x14ac:dyDescent="0.25">
      <c r="A10" s="306"/>
      <c r="B10" s="322"/>
      <c r="C10" s="21" t="s">
        <v>13</v>
      </c>
      <c r="D10" s="1" t="s">
        <v>14</v>
      </c>
      <c r="E10" s="46">
        <v>1524.6</v>
      </c>
      <c r="F10" s="46">
        <v>1749.6</v>
      </c>
      <c r="G10" s="46">
        <v>2349.6</v>
      </c>
      <c r="H10" s="46">
        <v>3174.6</v>
      </c>
      <c r="I10" s="46">
        <v>4299.6000000000004</v>
      </c>
      <c r="J10" s="46">
        <v>14213</v>
      </c>
      <c r="K10" s="46">
        <v>21713</v>
      </c>
      <c r="L10" s="46">
        <v>37463</v>
      </c>
      <c r="M10" s="46">
        <v>68963</v>
      </c>
      <c r="N10" s="45"/>
    </row>
    <row r="11" spans="1:14" x14ac:dyDescent="0.25">
      <c r="A11" s="306"/>
      <c r="B11" s="322"/>
      <c r="C11" s="21" t="s">
        <v>15</v>
      </c>
      <c r="D11" s="1" t="s">
        <v>4</v>
      </c>
      <c r="E11" s="44">
        <v>40</v>
      </c>
      <c r="F11" s="44">
        <v>40</v>
      </c>
      <c r="G11" s="44">
        <v>40</v>
      </c>
      <c r="H11" s="44">
        <v>40</v>
      </c>
      <c r="I11" s="44">
        <v>40</v>
      </c>
      <c r="J11" s="44">
        <v>40</v>
      </c>
      <c r="K11" s="44">
        <v>40</v>
      </c>
      <c r="L11" s="44">
        <v>40</v>
      </c>
      <c r="M11" s="44">
        <v>40</v>
      </c>
      <c r="N11" s="45"/>
    </row>
    <row r="12" spans="1:14" x14ac:dyDescent="0.25">
      <c r="A12" s="306">
        <v>2</v>
      </c>
      <c r="B12" s="322" t="s">
        <v>16</v>
      </c>
      <c r="C12" s="21" t="s">
        <v>101</v>
      </c>
      <c r="D12" s="1" t="s">
        <v>4</v>
      </c>
      <c r="E12" s="44">
        <v>20</v>
      </c>
      <c r="F12" s="44">
        <v>20</v>
      </c>
      <c r="G12" s="44">
        <v>20</v>
      </c>
      <c r="H12" s="44">
        <v>20</v>
      </c>
      <c r="I12" s="44">
        <v>20</v>
      </c>
      <c r="J12" s="44">
        <v>20</v>
      </c>
      <c r="K12" s="44">
        <v>20</v>
      </c>
      <c r="L12" s="44">
        <v>20</v>
      </c>
      <c r="M12" s="44">
        <v>20</v>
      </c>
      <c r="N12" s="45"/>
    </row>
    <row r="13" spans="1:14" x14ac:dyDescent="0.25">
      <c r="A13" s="306"/>
      <c r="B13" s="322"/>
      <c r="C13" s="21" t="s">
        <v>5</v>
      </c>
      <c r="D13" s="1" t="s">
        <v>6</v>
      </c>
      <c r="E13" s="46">
        <v>546.16621384855091</v>
      </c>
      <c r="F13" s="46">
        <v>344.85151773440816</v>
      </c>
      <c r="G13" s="46">
        <v>196.57546506841882</v>
      </c>
      <c r="H13" s="46">
        <v>133.8092461921685</v>
      </c>
      <c r="I13" s="46">
        <v>116.6</v>
      </c>
      <c r="J13" s="46">
        <v>116.6</v>
      </c>
      <c r="K13" s="46">
        <v>183.58935144726829</v>
      </c>
      <c r="L13" s="46">
        <v>266.9570997947219</v>
      </c>
      <c r="M13" s="46">
        <v>433.69259648962918</v>
      </c>
      <c r="N13" s="45"/>
    </row>
    <row r="14" spans="1:14" x14ac:dyDescent="0.25">
      <c r="A14" s="306"/>
      <c r="B14" s="322"/>
      <c r="C14" s="21" t="s">
        <v>172</v>
      </c>
      <c r="D14" s="1" t="s">
        <v>19</v>
      </c>
      <c r="E14" s="47">
        <v>0</v>
      </c>
      <c r="F14" s="47">
        <v>0</v>
      </c>
      <c r="G14" s="47">
        <v>0</v>
      </c>
      <c r="H14" s="47">
        <v>0</v>
      </c>
      <c r="I14" s="47">
        <v>0</v>
      </c>
      <c r="J14" s="47">
        <v>0</v>
      </c>
      <c r="K14" s="47">
        <v>0</v>
      </c>
      <c r="L14" s="47">
        <v>0</v>
      </c>
      <c r="M14" s="47">
        <v>0</v>
      </c>
      <c r="N14" s="45"/>
    </row>
    <row r="15" spans="1:14" x14ac:dyDescent="0.25">
      <c r="A15" s="306"/>
      <c r="B15" s="322"/>
      <c r="C15" s="21" t="s">
        <v>102</v>
      </c>
      <c r="D15" s="1" t="s">
        <v>8</v>
      </c>
      <c r="E15" s="44"/>
      <c r="F15" s="44"/>
      <c r="G15" s="44"/>
      <c r="H15" s="44"/>
      <c r="I15" s="44"/>
      <c r="J15" s="44"/>
      <c r="K15" s="44"/>
      <c r="L15" s="44"/>
      <c r="M15" s="44"/>
      <c r="N15" s="45"/>
    </row>
    <row r="16" spans="1:14" x14ac:dyDescent="0.25">
      <c r="A16" s="306"/>
      <c r="B16" s="322"/>
      <c r="C16" s="21" t="s">
        <v>103</v>
      </c>
      <c r="D16" s="1" t="s">
        <v>9</v>
      </c>
      <c r="E16" s="46">
        <v>32.769972830913019</v>
      </c>
      <c r="F16" s="46">
        <v>20.691091064064466</v>
      </c>
      <c r="G16" s="46">
        <v>11.79452790410512</v>
      </c>
      <c r="H16" s="46">
        <v>8.0285547715301089</v>
      </c>
      <c r="I16" s="46">
        <v>7.5737355939785713</v>
      </c>
      <c r="J16" s="46">
        <v>7.5737355939785713</v>
      </c>
      <c r="K16" s="46">
        <v>7.1924080591053237</v>
      </c>
      <c r="L16" s="46">
        <v>6.5764174258485379</v>
      </c>
      <c r="M16" s="46">
        <v>5.3444361593349683</v>
      </c>
      <c r="N16" s="45"/>
    </row>
    <row r="17" spans="1:14" x14ac:dyDescent="0.25">
      <c r="A17" s="306"/>
      <c r="B17" s="322"/>
      <c r="C17" s="21" t="s">
        <v>104</v>
      </c>
      <c r="D17" s="1" t="s">
        <v>10</v>
      </c>
      <c r="E17" s="46">
        <v>0</v>
      </c>
      <c r="F17" s="46">
        <v>0</v>
      </c>
      <c r="G17" s="46">
        <v>0</v>
      </c>
      <c r="H17" s="46">
        <v>0</v>
      </c>
      <c r="I17" s="46">
        <v>0</v>
      </c>
      <c r="J17" s="46">
        <v>0</v>
      </c>
      <c r="K17" s="46">
        <v>2.1041043506444756E-3</v>
      </c>
      <c r="L17" s="46">
        <v>2.1041043506444756E-3</v>
      </c>
      <c r="M17" s="46">
        <v>2.1041043506444756E-3</v>
      </c>
      <c r="N17" s="45"/>
    </row>
    <row r="18" spans="1:14" x14ac:dyDescent="0.25">
      <c r="A18" s="306"/>
      <c r="B18" s="322"/>
      <c r="C18" s="22" t="s">
        <v>11</v>
      </c>
      <c r="D18" s="23" t="s">
        <v>10</v>
      </c>
      <c r="E18" s="46">
        <v>0</v>
      </c>
      <c r="F18" s="46">
        <v>0</v>
      </c>
      <c r="G18" s="46">
        <v>0</v>
      </c>
      <c r="H18" s="46">
        <v>0</v>
      </c>
      <c r="I18" s="46">
        <v>0</v>
      </c>
      <c r="J18" s="46">
        <v>0</v>
      </c>
      <c r="K18" s="46">
        <v>0</v>
      </c>
      <c r="L18" s="46">
        <v>0</v>
      </c>
      <c r="M18" s="46">
        <v>0</v>
      </c>
      <c r="N18" s="45"/>
    </row>
    <row r="19" spans="1:14" x14ac:dyDescent="0.25">
      <c r="A19" s="306"/>
      <c r="B19" s="322"/>
      <c r="C19" s="21" t="s">
        <v>12</v>
      </c>
      <c r="D19" s="1" t="s">
        <v>7</v>
      </c>
      <c r="E19" s="47">
        <v>0.76000000000000023</v>
      </c>
      <c r="F19" s="47">
        <v>0.76000000000000023</v>
      </c>
      <c r="G19" s="47">
        <v>0.76000000000000023</v>
      </c>
      <c r="H19" s="47">
        <v>0.76000000000000023</v>
      </c>
      <c r="I19" s="47">
        <v>0.76000000000000023</v>
      </c>
      <c r="J19" s="47">
        <v>0.76000000000000023</v>
      </c>
      <c r="K19" s="47">
        <v>0.76000000000000023</v>
      </c>
      <c r="L19" s="47">
        <v>0.95733333333333326</v>
      </c>
      <c r="M19" s="47">
        <v>0.95733333333333326</v>
      </c>
      <c r="N19" s="45"/>
    </row>
    <row r="20" spans="1:14" x14ac:dyDescent="0.25">
      <c r="A20" s="306"/>
      <c r="B20" s="322"/>
      <c r="C20" s="21" t="s">
        <v>13</v>
      </c>
      <c r="D20" s="1" t="s">
        <v>14</v>
      </c>
      <c r="E20" s="44"/>
      <c r="F20" s="44"/>
      <c r="G20" s="44"/>
      <c r="H20" s="44"/>
      <c r="I20" s="44"/>
      <c r="J20" s="44"/>
      <c r="K20" s="44"/>
      <c r="L20" s="44"/>
      <c r="M20" s="44"/>
      <c r="N20" s="45"/>
    </row>
    <row r="21" spans="1:14" x14ac:dyDescent="0.25">
      <c r="A21" s="306"/>
      <c r="B21" s="322"/>
      <c r="C21" s="21" t="s">
        <v>15</v>
      </c>
      <c r="D21" s="1" t="s">
        <v>4</v>
      </c>
      <c r="E21" s="44"/>
      <c r="F21" s="44"/>
      <c r="G21" s="44"/>
      <c r="H21" s="44"/>
      <c r="I21" s="44"/>
      <c r="J21" s="44"/>
      <c r="K21" s="44"/>
      <c r="L21" s="44"/>
      <c r="M21" s="44"/>
      <c r="N21" s="45"/>
    </row>
    <row r="22" spans="1:14" ht="14.45" customHeight="1" x14ac:dyDescent="0.25">
      <c r="A22" s="306">
        <v>3</v>
      </c>
      <c r="B22" s="323" t="s">
        <v>144</v>
      </c>
      <c r="C22" s="21" t="s">
        <v>101</v>
      </c>
      <c r="D22" s="1" t="s">
        <v>4</v>
      </c>
      <c r="E22" s="44">
        <v>20</v>
      </c>
      <c r="F22" s="44">
        <v>20</v>
      </c>
      <c r="G22" s="44">
        <v>20</v>
      </c>
      <c r="H22" s="44">
        <v>20</v>
      </c>
      <c r="I22" s="44">
        <v>20</v>
      </c>
      <c r="J22" s="44">
        <v>20</v>
      </c>
      <c r="K22" s="44">
        <v>20</v>
      </c>
      <c r="L22" s="44">
        <v>20</v>
      </c>
      <c r="M22" s="44">
        <v>20</v>
      </c>
      <c r="N22" s="45"/>
    </row>
    <row r="23" spans="1:14" x14ac:dyDescent="0.25">
      <c r="A23" s="306"/>
      <c r="B23" s="323"/>
      <c r="C23" s="21" t="s">
        <v>5</v>
      </c>
      <c r="D23" s="1" t="s">
        <v>6</v>
      </c>
      <c r="E23" s="46">
        <v>865.6981523557846</v>
      </c>
      <c r="F23" s="46">
        <v>618.18184751144668</v>
      </c>
      <c r="G23" s="46">
        <v>482.31953407260886</v>
      </c>
      <c r="H23" s="46">
        <v>482.31953407260886</v>
      </c>
      <c r="I23" s="46">
        <v>482.31953407260886</v>
      </c>
      <c r="J23" s="46">
        <v>482.31953407260886</v>
      </c>
      <c r="K23" s="46">
        <v>1136.3124641115969</v>
      </c>
      <c r="L23" s="46">
        <v>988.42533284709032</v>
      </c>
      <c r="M23" s="46">
        <v>868.76381718516643</v>
      </c>
      <c r="N23" s="45"/>
    </row>
    <row r="24" spans="1:14" x14ac:dyDescent="0.25">
      <c r="A24" s="306"/>
      <c r="B24" s="323"/>
      <c r="C24" s="21" t="s">
        <v>172</v>
      </c>
      <c r="D24" s="1" t="s">
        <v>19</v>
      </c>
      <c r="E24" s="47">
        <v>0.35</v>
      </c>
      <c r="F24" s="47">
        <v>0.35</v>
      </c>
      <c r="G24" s="47">
        <v>0.35</v>
      </c>
      <c r="H24" s="47">
        <v>0.35</v>
      </c>
      <c r="I24" s="47">
        <v>0.35</v>
      </c>
      <c r="J24" s="47">
        <v>0.35</v>
      </c>
      <c r="K24" s="47">
        <v>0.35</v>
      </c>
      <c r="L24" s="47">
        <v>0.35</v>
      </c>
      <c r="M24" s="47">
        <v>0.35</v>
      </c>
      <c r="N24" s="45"/>
    </row>
    <row r="25" spans="1:14" x14ac:dyDescent="0.25">
      <c r="A25" s="306"/>
      <c r="B25" s="323"/>
      <c r="C25" s="21" t="s">
        <v>102</v>
      </c>
      <c r="D25" s="1" t="s">
        <v>8</v>
      </c>
      <c r="E25" s="44"/>
      <c r="F25" s="44"/>
      <c r="G25" s="44"/>
      <c r="H25" s="44"/>
      <c r="I25" s="44"/>
      <c r="J25" s="44"/>
      <c r="K25" s="44"/>
      <c r="L25" s="44"/>
      <c r="M25" s="44"/>
      <c r="N25" s="45"/>
    </row>
    <row r="26" spans="1:14" x14ac:dyDescent="0.25">
      <c r="A26" s="306"/>
      <c r="B26" s="323"/>
      <c r="C26" s="21" t="s">
        <v>103</v>
      </c>
      <c r="D26" s="1" t="s">
        <v>9</v>
      </c>
      <c r="E26" s="46">
        <v>12.985472285336769</v>
      </c>
      <c r="F26" s="46">
        <v>9.2727277126716992</v>
      </c>
      <c r="G26" s="46">
        <v>7.234793011089133</v>
      </c>
      <c r="H26" s="46">
        <v>7.234793011089133</v>
      </c>
      <c r="I26" s="46">
        <v>7.234793011089133</v>
      </c>
      <c r="J26" s="46">
        <v>7.234793011089133</v>
      </c>
      <c r="K26" s="46">
        <v>1.76</v>
      </c>
      <c r="L26" s="46">
        <v>1.76</v>
      </c>
      <c r="M26" s="46">
        <v>1.76</v>
      </c>
      <c r="N26" s="45"/>
    </row>
    <row r="27" spans="1:14" x14ac:dyDescent="0.25">
      <c r="A27" s="306"/>
      <c r="B27" s="323"/>
      <c r="C27" s="21" t="s">
        <v>104</v>
      </c>
      <c r="D27" s="1" t="s">
        <v>10</v>
      </c>
      <c r="E27" s="46">
        <v>0</v>
      </c>
      <c r="F27" s="46">
        <v>0</v>
      </c>
      <c r="G27" s="46">
        <v>0</v>
      </c>
      <c r="H27" s="46">
        <v>0</v>
      </c>
      <c r="I27" s="46">
        <v>0</v>
      </c>
      <c r="J27" s="46">
        <v>0</v>
      </c>
      <c r="K27" s="46">
        <v>2.1199999999999999E-3</v>
      </c>
      <c r="L27" s="46">
        <v>2.1199999999999999E-3</v>
      </c>
      <c r="M27" s="46">
        <v>2.1199999999999999E-3</v>
      </c>
      <c r="N27" s="45"/>
    </row>
    <row r="28" spans="1:14" ht="18.75" x14ac:dyDescent="0.25">
      <c r="A28" s="306"/>
      <c r="B28" s="323"/>
      <c r="C28" s="22" t="s">
        <v>105</v>
      </c>
      <c r="D28" s="23" t="s">
        <v>17</v>
      </c>
      <c r="E28" s="46">
        <v>0</v>
      </c>
      <c r="F28" s="46">
        <v>0</v>
      </c>
      <c r="G28" s="46">
        <v>0</v>
      </c>
      <c r="H28" s="46">
        <v>0</v>
      </c>
      <c r="I28" s="46">
        <v>0</v>
      </c>
      <c r="J28" s="46">
        <v>0</v>
      </c>
      <c r="K28" s="46">
        <v>0</v>
      </c>
      <c r="L28" s="46">
        <v>0</v>
      </c>
      <c r="M28" s="46">
        <v>0</v>
      </c>
      <c r="N28" s="45"/>
    </row>
    <row r="29" spans="1:14" x14ac:dyDescent="0.25">
      <c r="A29" s="306"/>
      <c r="B29" s="323"/>
      <c r="C29" s="22" t="s">
        <v>11</v>
      </c>
      <c r="D29" s="23" t="s">
        <v>10</v>
      </c>
      <c r="E29" s="46">
        <v>0</v>
      </c>
      <c r="F29" s="46">
        <v>0</v>
      </c>
      <c r="G29" s="46">
        <v>0</v>
      </c>
      <c r="H29" s="46">
        <v>0</v>
      </c>
      <c r="I29" s="46">
        <v>0</v>
      </c>
      <c r="J29" s="46">
        <v>0</v>
      </c>
      <c r="K29" s="46">
        <v>0</v>
      </c>
      <c r="L29" s="46">
        <v>0</v>
      </c>
      <c r="M29" s="46">
        <v>0</v>
      </c>
      <c r="N29" s="45"/>
    </row>
    <row r="30" spans="1:14" x14ac:dyDescent="0.25">
      <c r="A30" s="306"/>
      <c r="B30" s="323"/>
      <c r="C30" s="21" t="s">
        <v>18</v>
      </c>
      <c r="D30" s="2" t="s">
        <v>19</v>
      </c>
      <c r="E30" s="44">
        <v>3.7399999999999998</v>
      </c>
      <c r="F30" s="44">
        <v>3.7399999999999998</v>
      </c>
      <c r="G30" s="44">
        <v>3.7399999999999998</v>
      </c>
      <c r="H30" s="44">
        <v>3.7399999999999998</v>
      </c>
      <c r="I30" s="44">
        <v>3.7399999999999998</v>
      </c>
      <c r="J30" s="44">
        <v>3.7399999999999998</v>
      </c>
      <c r="K30" s="44">
        <v>3.7399999999999998</v>
      </c>
      <c r="L30" s="44">
        <v>3.7399999999999998</v>
      </c>
      <c r="M30" s="44">
        <v>3.7399999999999998</v>
      </c>
      <c r="N30" s="45"/>
    </row>
    <row r="31" spans="1:14" x14ac:dyDescent="0.25">
      <c r="A31" s="306"/>
      <c r="B31" s="323"/>
      <c r="C31" s="21" t="s">
        <v>13</v>
      </c>
      <c r="D31" s="1" t="s">
        <v>14</v>
      </c>
      <c r="E31" s="44"/>
      <c r="F31" s="44"/>
      <c r="G31" s="44"/>
      <c r="H31" s="44"/>
      <c r="I31" s="44"/>
      <c r="J31" s="44"/>
      <c r="K31" s="44"/>
      <c r="L31" s="44"/>
      <c r="M31" s="44"/>
      <c r="N31" s="45"/>
    </row>
    <row r="32" spans="1:14" x14ac:dyDescent="0.25">
      <c r="A32" s="306"/>
      <c r="B32" s="323"/>
      <c r="C32" s="21" t="s">
        <v>15</v>
      </c>
      <c r="D32" s="1" t="s">
        <v>4</v>
      </c>
      <c r="E32" s="44"/>
      <c r="F32" s="44"/>
      <c r="G32" s="44"/>
      <c r="H32" s="44"/>
      <c r="I32" s="44"/>
      <c r="J32" s="44"/>
      <c r="K32" s="44"/>
      <c r="L32" s="44"/>
      <c r="M32" s="44"/>
      <c r="N32" s="45"/>
    </row>
    <row r="33" spans="1:14" ht="14.45" customHeight="1" x14ac:dyDescent="0.25">
      <c r="A33" s="306">
        <v>4</v>
      </c>
      <c r="B33" s="323" t="s">
        <v>145</v>
      </c>
      <c r="C33" s="21" t="s">
        <v>101</v>
      </c>
      <c r="D33" s="1" t="s">
        <v>4</v>
      </c>
      <c r="E33" s="44">
        <v>20</v>
      </c>
      <c r="F33" s="44">
        <v>20</v>
      </c>
      <c r="G33" s="44">
        <v>20</v>
      </c>
      <c r="H33" s="44">
        <v>20</v>
      </c>
      <c r="I33" s="44">
        <v>20</v>
      </c>
      <c r="J33" s="44">
        <v>20</v>
      </c>
      <c r="K33" s="44">
        <v>20</v>
      </c>
      <c r="L33" s="44">
        <v>20</v>
      </c>
      <c r="M33" s="44">
        <v>20</v>
      </c>
      <c r="N33" s="45"/>
    </row>
    <row r="34" spans="1:14" x14ac:dyDescent="0.25">
      <c r="A34" s="306"/>
      <c r="B34" s="323"/>
      <c r="C34" s="21" t="s">
        <v>5</v>
      </c>
      <c r="D34" s="1" t="s">
        <v>6</v>
      </c>
      <c r="E34" s="46">
        <v>865.6981523557846</v>
      </c>
      <c r="F34" s="46">
        <v>618.18184751144668</v>
      </c>
      <c r="G34" s="46">
        <v>482.31953407260886</v>
      </c>
      <c r="H34" s="46">
        <v>482.31953407260886</v>
      </c>
      <c r="I34" s="46">
        <v>482.31953407260886</v>
      </c>
      <c r="J34" s="46">
        <v>482.31953407260886</v>
      </c>
      <c r="K34" s="46">
        <v>1136.3124641115969</v>
      </c>
      <c r="L34" s="46">
        <v>988.42533284709032</v>
      </c>
      <c r="M34" s="46">
        <v>868.76381718516643</v>
      </c>
      <c r="N34" s="45"/>
    </row>
    <row r="35" spans="1:14" x14ac:dyDescent="0.25">
      <c r="A35" s="306"/>
      <c r="B35" s="323"/>
      <c r="C35" s="21" t="s">
        <v>172</v>
      </c>
      <c r="D35" s="1" t="s">
        <v>19</v>
      </c>
      <c r="E35" s="47">
        <v>0.35</v>
      </c>
      <c r="F35" s="47">
        <v>0.35</v>
      </c>
      <c r="G35" s="47">
        <v>0.35</v>
      </c>
      <c r="H35" s="47">
        <v>0.35</v>
      </c>
      <c r="I35" s="47">
        <v>0.35</v>
      </c>
      <c r="J35" s="47">
        <v>0.35</v>
      </c>
      <c r="K35" s="47">
        <v>0.35</v>
      </c>
      <c r="L35" s="47">
        <v>0.35</v>
      </c>
      <c r="M35" s="47">
        <v>0.35</v>
      </c>
      <c r="N35" s="45"/>
    </row>
    <row r="36" spans="1:14" x14ac:dyDescent="0.25">
      <c r="A36" s="306"/>
      <c r="B36" s="323"/>
      <c r="C36" s="21" t="s">
        <v>102</v>
      </c>
      <c r="D36" s="1" t="s">
        <v>8</v>
      </c>
      <c r="E36" s="44"/>
      <c r="F36" s="44"/>
      <c r="G36" s="44"/>
      <c r="H36" s="44"/>
      <c r="I36" s="44"/>
      <c r="J36" s="44"/>
      <c r="K36" s="44"/>
      <c r="L36" s="44"/>
      <c r="M36" s="44"/>
      <c r="N36" s="45"/>
    </row>
    <row r="37" spans="1:14" x14ac:dyDescent="0.25">
      <c r="A37" s="306"/>
      <c r="B37" s="323"/>
      <c r="C37" s="21" t="s">
        <v>103</v>
      </c>
      <c r="D37" s="1" t="s">
        <v>9</v>
      </c>
      <c r="E37" s="46">
        <v>12.985472285336769</v>
      </c>
      <c r="F37" s="46">
        <v>9.2727277126716992</v>
      </c>
      <c r="G37" s="46">
        <v>7.234793011089133</v>
      </c>
      <c r="H37" s="46">
        <v>7.234793011089133</v>
      </c>
      <c r="I37" s="46">
        <v>7.234793011089133</v>
      </c>
      <c r="J37" s="46">
        <v>7.234793011089133</v>
      </c>
      <c r="K37" s="46">
        <v>1.76</v>
      </c>
      <c r="L37" s="46">
        <v>1.76</v>
      </c>
      <c r="M37" s="46">
        <v>1.76</v>
      </c>
      <c r="N37" s="45"/>
    </row>
    <row r="38" spans="1:14" x14ac:dyDescent="0.25">
      <c r="A38" s="306"/>
      <c r="B38" s="323"/>
      <c r="C38" s="21" t="s">
        <v>104</v>
      </c>
      <c r="D38" s="1" t="s">
        <v>10</v>
      </c>
      <c r="E38" s="46">
        <v>0</v>
      </c>
      <c r="F38" s="46">
        <v>0</v>
      </c>
      <c r="G38" s="46">
        <v>0</v>
      </c>
      <c r="H38" s="46">
        <v>0</v>
      </c>
      <c r="I38" s="46">
        <v>0</v>
      </c>
      <c r="J38" s="46">
        <v>0</v>
      </c>
      <c r="K38" s="46">
        <v>2.1199999999999999E-3</v>
      </c>
      <c r="L38" s="46">
        <v>2.1199999999999999E-3</v>
      </c>
      <c r="M38" s="46">
        <v>2.1199999999999999E-3</v>
      </c>
      <c r="N38" s="45"/>
    </row>
    <row r="39" spans="1:14" ht="18.75" x14ac:dyDescent="0.25">
      <c r="A39" s="306"/>
      <c r="B39" s="323"/>
      <c r="C39" s="22" t="s">
        <v>105</v>
      </c>
      <c r="D39" s="23" t="s">
        <v>17</v>
      </c>
      <c r="E39" s="46">
        <v>0</v>
      </c>
      <c r="F39" s="46">
        <v>0</v>
      </c>
      <c r="G39" s="46">
        <v>0</v>
      </c>
      <c r="H39" s="46">
        <v>0</v>
      </c>
      <c r="I39" s="46">
        <v>0</v>
      </c>
      <c r="J39" s="46">
        <v>0</v>
      </c>
      <c r="K39" s="46">
        <v>0</v>
      </c>
      <c r="L39" s="46">
        <v>0</v>
      </c>
      <c r="M39" s="46">
        <v>0</v>
      </c>
      <c r="N39" s="45"/>
    </row>
    <row r="40" spans="1:14" x14ac:dyDescent="0.25">
      <c r="A40" s="306"/>
      <c r="B40" s="323"/>
      <c r="C40" s="22" t="s">
        <v>11</v>
      </c>
      <c r="D40" s="23" t="s">
        <v>10</v>
      </c>
      <c r="E40" s="46">
        <v>0</v>
      </c>
      <c r="F40" s="46">
        <v>0</v>
      </c>
      <c r="G40" s="46">
        <v>0</v>
      </c>
      <c r="H40" s="46">
        <v>0</v>
      </c>
      <c r="I40" s="46">
        <v>0</v>
      </c>
      <c r="J40" s="46">
        <v>0</v>
      </c>
      <c r="K40" s="46">
        <v>0</v>
      </c>
      <c r="L40" s="46">
        <v>0</v>
      </c>
      <c r="M40" s="46">
        <v>0</v>
      </c>
      <c r="N40" s="45"/>
    </row>
    <row r="41" spans="1:14" x14ac:dyDescent="0.25">
      <c r="A41" s="306"/>
      <c r="B41" s="323"/>
      <c r="C41" s="21" t="s">
        <v>18</v>
      </c>
      <c r="D41" s="2" t="s">
        <v>19</v>
      </c>
      <c r="E41" s="44">
        <v>3.4899999999999998</v>
      </c>
      <c r="F41" s="44">
        <v>3.4899999999999998</v>
      </c>
      <c r="G41" s="44">
        <v>3.4899999999999998</v>
      </c>
      <c r="H41" s="44">
        <v>3.4899999999999998</v>
      </c>
      <c r="I41" s="44">
        <v>3.4899999999999998</v>
      </c>
      <c r="J41" s="44">
        <v>3.4899999999999998</v>
      </c>
      <c r="K41" s="44">
        <v>3.4899999999999998</v>
      </c>
      <c r="L41" s="44">
        <v>3.4899999999999998</v>
      </c>
      <c r="M41" s="44">
        <v>3.4899999999999998</v>
      </c>
      <c r="N41" s="45"/>
    </row>
    <row r="42" spans="1:14" x14ac:dyDescent="0.25">
      <c r="A42" s="306"/>
      <c r="B42" s="323"/>
      <c r="C42" s="21" t="s">
        <v>13</v>
      </c>
      <c r="D42" s="1" t="s">
        <v>14</v>
      </c>
      <c r="E42" s="44"/>
      <c r="F42" s="44"/>
      <c r="G42" s="44"/>
      <c r="H42" s="44"/>
      <c r="I42" s="44"/>
      <c r="J42" s="44"/>
      <c r="K42" s="44"/>
      <c r="L42" s="44"/>
      <c r="M42" s="44"/>
      <c r="N42" s="45"/>
    </row>
    <row r="43" spans="1:14" x14ac:dyDescent="0.25">
      <c r="A43" s="306"/>
      <c r="B43" s="323"/>
      <c r="C43" s="21" t="s">
        <v>15</v>
      </c>
      <c r="D43" s="1" t="s">
        <v>4</v>
      </c>
      <c r="E43" s="44"/>
      <c r="F43" s="44"/>
      <c r="G43" s="44"/>
      <c r="H43" s="44"/>
      <c r="I43" s="44"/>
      <c r="J43" s="44"/>
      <c r="K43" s="44"/>
      <c r="L43" s="44"/>
      <c r="M43" s="44"/>
      <c r="N43" s="45"/>
    </row>
    <row r="44" spans="1:14" ht="14.45" customHeight="1" x14ac:dyDescent="0.25">
      <c r="A44" s="306">
        <v>5</v>
      </c>
      <c r="B44" s="323" t="s">
        <v>146</v>
      </c>
      <c r="C44" s="21" t="s">
        <v>101</v>
      </c>
      <c r="D44" s="1" t="s">
        <v>4</v>
      </c>
      <c r="E44" s="44">
        <v>20</v>
      </c>
      <c r="F44" s="44">
        <v>20</v>
      </c>
      <c r="G44" s="44">
        <v>20</v>
      </c>
      <c r="H44" s="44">
        <v>20</v>
      </c>
      <c r="I44" s="44">
        <v>20</v>
      </c>
      <c r="J44" s="44">
        <v>20</v>
      </c>
      <c r="K44" s="44">
        <v>20</v>
      </c>
      <c r="L44" s="44">
        <v>20</v>
      </c>
      <c r="M44" s="44">
        <v>20</v>
      </c>
      <c r="N44" s="45"/>
    </row>
    <row r="45" spans="1:14" x14ac:dyDescent="0.25">
      <c r="A45" s="306"/>
      <c r="B45" s="323"/>
      <c r="C45" s="21" t="s">
        <v>20</v>
      </c>
      <c r="D45" s="1" t="s">
        <v>6</v>
      </c>
      <c r="E45" s="46">
        <v>865.6981523557846</v>
      </c>
      <c r="F45" s="46">
        <v>618.18184751144668</v>
      </c>
      <c r="G45" s="46">
        <v>482.31953407260886</v>
      </c>
      <c r="H45" s="46">
        <v>482.31953407260886</v>
      </c>
      <c r="I45" s="46">
        <v>482.31953407260886</v>
      </c>
      <c r="J45" s="46">
        <v>482.31953407260886</v>
      </c>
      <c r="K45" s="46">
        <v>1136.3124641115969</v>
      </c>
      <c r="L45" s="46">
        <v>988.42533284709032</v>
      </c>
      <c r="M45" s="46">
        <v>868.76381718516643</v>
      </c>
      <c r="N45" s="45"/>
    </row>
    <row r="46" spans="1:14" x14ac:dyDescent="0.25">
      <c r="A46" s="306"/>
      <c r="B46" s="323"/>
      <c r="C46" s="21" t="s">
        <v>172</v>
      </c>
      <c r="D46" s="1" t="s">
        <v>19</v>
      </c>
      <c r="E46" s="47">
        <v>0.35</v>
      </c>
      <c r="F46" s="47">
        <v>0.35</v>
      </c>
      <c r="G46" s="47">
        <v>0.35</v>
      </c>
      <c r="H46" s="47">
        <v>0.35</v>
      </c>
      <c r="I46" s="47">
        <v>0.35</v>
      </c>
      <c r="J46" s="47">
        <v>0.35</v>
      </c>
      <c r="K46" s="47">
        <v>0.35</v>
      </c>
      <c r="L46" s="47">
        <v>0.35</v>
      </c>
      <c r="M46" s="47">
        <v>0.35</v>
      </c>
      <c r="N46" s="45"/>
    </row>
    <row r="47" spans="1:14" x14ac:dyDescent="0.25">
      <c r="A47" s="306"/>
      <c r="B47" s="323"/>
      <c r="C47" s="21" t="s">
        <v>102</v>
      </c>
      <c r="D47" s="1" t="s">
        <v>8</v>
      </c>
      <c r="E47" s="44"/>
      <c r="F47" s="44"/>
      <c r="G47" s="44"/>
      <c r="H47" s="44"/>
      <c r="I47" s="44"/>
      <c r="J47" s="44"/>
      <c r="K47" s="44"/>
      <c r="L47" s="44"/>
      <c r="M47" s="44"/>
      <c r="N47" s="45"/>
    </row>
    <row r="48" spans="1:14" x14ac:dyDescent="0.25">
      <c r="A48" s="306"/>
      <c r="B48" s="323"/>
      <c r="C48" s="21" t="s">
        <v>103</v>
      </c>
      <c r="D48" s="1" t="s">
        <v>9</v>
      </c>
      <c r="E48" s="46">
        <v>12.985472285336769</v>
      </c>
      <c r="F48" s="46">
        <v>9.2727277126716992</v>
      </c>
      <c r="G48" s="46">
        <v>7.234793011089133</v>
      </c>
      <c r="H48" s="46">
        <v>7.234793011089133</v>
      </c>
      <c r="I48" s="46">
        <v>7.234793011089133</v>
      </c>
      <c r="J48" s="46">
        <v>7.234793011089133</v>
      </c>
      <c r="K48" s="46">
        <v>1.76</v>
      </c>
      <c r="L48" s="46">
        <v>1.76</v>
      </c>
      <c r="M48" s="46">
        <v>1.76</v>
      </c>
      <c r="N48" s="45"/>
    </row>
    <row r="49" spans="1:14" x14ac:dyDescent="0.25">
      <c r="A49" s="306"/>
      <c r="B49" s="323"/>
      <c r="C49" s="21" t="s">
        <v>104</v>
      </c>
      <c r="D49" s="1" t="s">
        <v>10</v>
      </c>
      <c r="E49" s="46">
        <v>0</v>
      </c>
      <c r="F49" s="46">
        <v>0</v>
      </c>
      <c r="G49" s="46">
        <v>0</v>
      </c>
      <c r="H49" s="46">
        <v>0</v>
      </c>
      <c r="I49" s="46">
        <v>0</v>
      </c>
      <c r="J49" s="46">
        <v>0</v>
      </c>
      <c r="K49" s="46">
        <v>2.1199999999999999E-3</v>
      </c>
      <c r="L49" s="46">
        <v>2.1199999999999999E-3</v>
      </c>
      <c r="M49" s="46">
        <v>2.1199999999999999E-3</v>
      </c>
      <c r="N49" s="45"/>
    </row>
    <row r="50" spans="1:14" ht="18.75" x14ac:dyDescent="0.25">
      <c r="A50" s="306"/>
      <c r="B50" s="323"/>
      <c r="C50" s="22" t="s">
        <v>105</v>
      </c>
      <c r="D50" s="23" t="s">
        <v>17</v>
      </c>
      <c r="E50" s="46">
        <v>0</v>
      </c>
      <c r="F50" s="46">
        <v>0</v>
      </c>
      <c r="G50" s="46">
        <v>0</v>
      </c>
      <c r="H50" s="46">
        <v>0</v>
      </c>
      <c r="I50" s="46">
        <v>0</v>
      </c>
      <c r="J50" s="46">
        <v>0</v>
      </c>
      <c r="K50" s="46">
        <v>0</v>
      </c>
      <c r="L50" s="46">
        <v>0</v>
      </c>
      <c r="M50" s="46">
        <v>0</v>
      </c>
      <c r="N50" s="45"/>
    </row>
    <row r="51" spans="1:14" x14ac:dyDescent="0.25">
      <c r="A51" s="306"/>
      <c r="B51" s="323"/>
      <c r="C51" s="22" t="s">
        <v>11</v>
      </c>
      <c r="D51" s="23" t="s">
        <v>10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5"/>
    </row>
    <row r="52" spans="1:14" x14ac:dyDescent="0.25">
      <c r="A52" s="306"/>
      <c r="B52" s="323"/>
      <c r="C52" s="21" t="s">
        <v>18</v>
      </c>
      <c r="D52" s="2" t="s">
        <v>19</v>
      </c>
      <c r="E52" s="44">
        <v>3.2399999999999998</v>
      </c>
      <c r="F52" s="44">
        <v>3.2399999999999998</v>
      </c>
      <c r="G52" s="44">
        <v>3.2399999999999998</v>
      </c>
      <c r="H52" s="44">
        <v>3.2399999999999998</v>
      </c>
      <c r="I52" s="44">
        <v>3.2399999999999998</v>
      </c>
      <c r="J52" s="44">
        <v>3.2399999999999998</v>
      </c>
      <c r="K52" s="44">
        <v>3.2399999999999998</v>
      </c>
      <c r="L52" s="44">
        <v>3.2399999999999998</v>
      </c>
      <c r="M52" s="44">
        <v>3.2399999999999998</v>
      </c>
      <c r="N52" s="45"/>
    </row>
    <row r="53" spans="1:14" x14ac:dyDescent="0.25">
      <c r="A53" s="306"/>
      <c r="B53" s="323"/>
      <c r="C53" s="21" t="s">
        <v>13</v>
      </c>
      <c r="D53" s="2" t="s">
        <v>14</v>
      </c>
      <c r="E53" s="44"/>
      <c r="F53" s="44"/>
      <c r="G53" s="44"/>
      <c r="H53" s="44"/>
      <c r="I53" s="44"/>
      <c r="J53" s="44"/>
      <c r="K53" s="44"/>
      <c r="L53" s="44"/>
      <c r="M53" s="44"/>
      <c r="N53" s="45"/>
    </row>
    <row r="54" spans="1:14" x14ac:dyDescent="0.25">
      <c r="A54" s="306"/>
      <c r="B54" s="323"/>
      <c r="C54" s="21" t="s">
        <v>15</v>
      </c>
      <c r="D54" s="2" t="s">
        <v>4</v>
      </c>
      <c r="E54" s="44"/>
      <c r="F54" s="44"/>
      <c r="G54" s="44"/>
      <c r="H54" s="44"/>
      <c r="I54" s="44"/>
      <c r="J54" s="44"/>
      <c r="K54" s="44"/>
      <c r="L54" s="44"/>
      <c r="M54" s="44"/>
      <c r="N54" s="45"/>
    </row>
    <row r="55" spans="1:14" ht="14.45" customHeight="1" x14ac:dyDescent="0.25">
      <c r="A55" s="306">
        <v>6</v>
      </c>
      <c r="B55" s="323" t="s">
        <v>147</v>
      </c>
      <c r="C55" s="21" t="s">
        <v>101</v>
      </c>
      <c r="D55" s="1" t="s">
        <v>4</v>
      </c>
      <c r="E55" s="44">
        <v>20</v>
      </c>
      <c r="F55" s="44">
        <v>20</v>
      </c>
      <c r="G55" s="44">
        <v>20</v>
      </c>
      <c r="H55" s="44">
        <v>20</v>
      </c>
      <c r="I55" s="44">
        <v>20</v>
      </c>
      <c r="J55" s="44">
        <v>20</v>
      </c>
      <c r="K55" s="44">
        <v>20</v>
      </c>
      <c r="L55" s="44">
        <v>20</v>
      </c>
      <c r="M55" s="44">
        <v>20</v>
      </c>
      <c r="N55" s="45"/>
    </row>
    <row r="56" spans="1:14" x14ac:dyDescent="0.25">
      <c r="A56" s="306"/>
      <c r="B56" s="323"/>
      <c r="C56" s="21" t="s">
        <v>20</v>
      </c>
      <c r="D56" s="1" t="s">
        <v>6</v>
      </c>
      <c r="E56" s="46">
        <v>876.88417547131348</v>
      </c>
      <c r="F56" s="46">
        <v>610.32909690692122</v>
      </c>
      <c r="G56" s="46">
        <v>466.55672962478747</v>
      </c>
      <c r="H56" s="46">
        <v>466.55672962478747</v>
      </c>
      <c r="I56" s="46">
        <v>466.55672962478747</v>
      </c>
      <c r="J56" s="46">
        <v>466.55672962478747</v>
      </c>
      <c r="K56" s="46">
        <v>637.82399999999996</v>
      </c>
      <c r="L56" s="46">
        <v>637.82399999999996</v>
      </c>
      <c r="M56" s="46">
        <v>637.82399999999996</v>
      </c>
      <c r="N56" s="45"/>
    </row>
    <row r="57" spans="1:14" x14ac:dyDescent="0.25">
      <c r="A57" s="306"/>
      <c r="B57" s="323"/>
      <c r="C57" s="21" t="s">
        <v>172</v>
      </c>
      <c r="D57" s="1" t="s">
        <v>19</v>
      </c>
      <c r="E57" s="47">
        <v>0.35</v>
      </c>
      <c r="F57" s="47">
        <v>0.35</v>
      </c>
      <c r="G57" s="47">
        <v>0.35</v>
      </c>
      <c r="H57" s="47">
        <v>0.35</v>
      </c>
      <c r="I57" s="47">
        <v>0.35</v>
      </c>
      <c r="J57" s="47">
        <v>0.35</v>
      </c>
      <c r="K57" s="47">
        <v>0.35</v>
      </c>
      <c r="L57" s="47">
        <v>0.35</v>
      </c>
      <c r="M57" s="47">
        <v>0.35</v>
      </c>
      <c r="N57" s="45"/>
    </row>
    <row r="58" spans="1:14" x14ac:dyDescent="0.25">
      <c r="A58" s="306"/>
      <c r="B58" s="323"/>
      <c r="C58" s="21" t="s">
        <v>102</v>
      </c>
      <c r="D58" s="1" t="s">
        <v>8</v>
      </c>
      <c r="E58" s="44"/>
      <c r="F58" s="44"/>
      <c r="G58" s="44"/>
      <c r="H58" s="44"/>
      <c r="I58" s="44"/>
      <c r="J58" s="44"/>
      <c r="K58" s="44"/>
      <c r="L58" s="44"/>
      <c r="M58" s="44"/>
      <c r="N58" s="45"/>
    </row>
    <row r="59" spans="1:14" x14ac:dyDescent="0.25">
      <c r="A59" s="306"/>
      <c r="B59" s="323"/>
      <c r="C59" s="21" t="s">
        <v>103</v>
      </c>
      <c r="D59" s="1" t="s">
        <v>9</v>
      </c>
      <c r="E59" s="46">
        <v>13.153262632069701</v>
      </c>
      <c r="F59" s="46">
        <v>9.1549364536038187</v>
      </c>
      <c r="G59" s="46">
        <v>6.9983509443718122</v>
      </c>
      <c r="H59" s="46">
        <v>6.9983509443718122</v>
      </c>
      <c r="I59" s="46">
        <v>6.9983509443718122</v>
      </c>
      <c r="J59" s="46">
        <v>6.9983509443718122</v>
      </c>
      <c r="K59" s="46">
        <v>1.76</v>
      </c>
      <c r="L59" s="46">
        <v>1.76</v>
      </c>
      <c r="M59" s="46">
        <v>1.76</v>
      </c>
      <c r="N59" s="45"/>
    </row>
    <row r="60" spans="1:14" x14ac:dyDescent="0.25">
      <c r="A60" s="306"/>
      <c r="B60" s="323"/>
      <c r="C60" s="21" t="s">
        <v>104</v>
      </c>
      <c r="D60" s="1" t="s">
        <v>10</v>
      </c>
      <c r="E60" s="46">
        <v>0</v>
      </c>
      <c r="F60" s="46">
        <v>0</v>
      </c>
      <c r="G60" s="46">
        <v>0</v>
      </c>
      <c r="H60" s="46">
        <v>0</v>
      </c>
      <c r="I60" s="46">
        <v>0</v>
      </c>
      <c r="J60" s="46">
        <v>0</v>
      </c>
      <c r="K60" s="46">
        <v>2.1199999999999999E-3</v>
      </c>
      <c r="L60" s="46">
        <v>2.1199999999999999E-3</v>
      </c>
      <c r="M60" s="46">
        <v>2.1199999999999999E-3</v>
      </c>
      <c r="N60" s="45"/>
    </row>
    <row r="61" spans="1:14" ht="18.75" x14ac:dyDescent="0.25">
      <c r="A61" s="306"/>
      <c r="B61" s="323"/>
      <c r="C61" s="22" t="s">
        <v>105</v>
      </c>
      <c r="D61" s="23" t="s">
        <v>17</v>
      </c>
      <c r="E61" s="46">
        <v>0</v>
      </c>
      <c r="F61" s="46">
        <v>0</v>
      </c>
      <c r="G61" s="46">
        <v>0</v>
      </c>
      <c r="H61" s="46">
        <v>0</v>
      </c>
      <c r="I61" s="46">
        <v>0</v>
      </c>
      <c r="J61" s="46">
        <v>0</v>
      </c>
      <c r="K61" s="46">
        <v>0</v>
      </c>
      <c r="L61" s="46">
        <v>0</v>
      </c>
      <c r="M61" s="46">
        <v>0</v>
      </c>
      <c r="N61" s="45"/>
    </row>
    <row r="62" spans="1:14" x14ac:dyDescent="0.25">
      <c r="A62" s="306"/>
      <c r="B62" s="323"/>
      <c r="C62" s="22" t="s">
        <v>11</v>
      </c>
      <c r="D62" s="23" t="s">
        <v>10</v>
      </c>
      <c r="E62" s="46">
        <v>0</v>
      </c>
      <c r="F62" s="46">
        <v>0</v>
      </c>
      <c r="G62" s="46">
        <v>0</v>
      </c>
      <c r="H62" s="46">
        <v>0</v>
      </c>
      <c r="I62" s="46">
        <v>0</v>
      </c>
      <c r="J62" s="46">
        <v>0</v>
      </c>
      <c r="K62" s="46">
        <v>0</v>
      </c>
      <c r="L62" s="46">
        <v>0</v>
      </c>
      <c r="M62" s="46">
        <v>0</v>
      </c>
      <c r="N62" s="45"/>
    </row>
    <row r="63" spans="1:14" x14ac:dyDescent="0.25">
      <c r="A63" s="306"/>
      <c r="B63" s="323"/>
      <c r="C63" s="21" t="s">
        <v>18</v>
      </c>
      <c r="D63" s="2" t="s">
        <v>19</v>
      </c>
      <c r="E63" s="44">
        <v>4.42</v>
      </c>
      <c r="F63" s="44">
        <v>4.42</v>
      </c>
      <c r="G63" s="44">
        <v>4.42</v>
      </c>
      <c r="H63" s="44">
        <v>4.42</v>
      </c>
      <c r="I63" s="44">
        <v>4.42</v>
      </c>
      <c r="J63" s="44">
        <v>4.42</v>
      </c>
      <c r="K63" s="44">
        <v>4.42</v>
      </c>
      <c r="L63" s="44">
        <v>4.42</v>
      </c>
      <c r="M63" s="44">
        <v>4.42</v>
      </c>
      <c r="N63" s="45"/>
    </row>
    <row r="64" spans="1:14" x14ac:dyDescent="0.25">
      <c r="A64" s="306"/>
      <c r="B64" s="323"/>
      <c r="C64" s="21" t="s">
        <v>13</v>
      </c>
      <c r="D64" s="1" t="s">
        <v>14</v>
      </c>
      <c r="E64" s="44"/>
      <c r="F64" s="44"/>
      <c r="G64" s="44"/>
      <c r="H64" s="44"/>
      <c r="I64" s="44"/>
      <c r="J64" s="44"/>
      <c r="K64" s="44"/>
      <c r="L64" s="44"/>
      <c r="M64" s="44"/>
      <c r="N64" s="45"/>
    </row>
    <row r="65" spans="1:14" x14ac:dyDescent="0.25">
      <c r="A65" s="306"/>
      <c r="B65" s="323"/>
      <c r="C65" s="21" t="s">
        <v>15</v>
      </c>
      <c r="D65" s="1" t="s">
        <v>4</v>
      </c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4" x14ac:dyDescent="0.25">
      <c r="A66" s="306"/>
      <c r="B66" s="323"/>
      <c r="C66" s="21" t="s">
        <v>106</v>
      </c>
      <c r="D66" s="1" t="s">
        <v>6</v>
      </c>
      <c r="E66" s="46">
        <v>2542.5468857578812</v>
      </c>
      <c r="F66" s="46">
        <v>1739.7683009926391</v>
      </c>
      <c r="G66" s="46">
        <v>1094.1291208875389</v>
      </c>
      <c r="H66" s="46">
        <v>380.08243340521</v>
      </c>
      <c r="I66" s="46">
        <v>259.16347752478634</v>
      </c>
      <c r="J66" s="46">
        <v>164.27135179750144</v>
      </c>
      <c r="K66" s="46">
        <v>79.72644599626463</v>
      </c>
      <c r="L66" s="46">
        <v>69.838906006886361</v>
      </c>
      <c r="M66" s="46">
        <v>69.838906006886361</v>
      </c>
      <c r="N66" s="45"/>
    </row>
    <row r="67" spans="1:14" x14ac:dyDescent="0.25">
      <c r="A67" s="306"/>
      <c r="B67" s="323"/>
      <c r="C67" s="21" t="s">
        <v>107</v>
      </c>
      <c r="D67" s="1" t="s">
        <v>4</v>
      </c>
      <c r="E67" s="44"/>
      <c r="F67" s="44"/>
      <c r="G67" s="44"/>
      <c r="H67" s="44"/>
      <c r="I67" s="44"/>
      <c r="J67" s="44"/>
      <c r="K67" s="44"/>
      <c r="L67" s="44"/>
      <c r="M67" s="44"/>
      <c r="N67" s="45"/>
    </row>
    <row r="68" spans="1:14" ht="14.45" customHeight="1" x14ac:dyDescent="0.25">
      <c r="A68" s="306">
        <v>7</v>
      </c>
      <c r="B68" s="323" t="s">
        <v>148</v>
      </c>
      <c r="C68" s="21" t="s">
        <v>101</v>
      </c>
      <c r="D68" s="1" t="s">
        <v>4</v>
      </c>
      <c r="E68" s="44">
        <v>20</v>
      </c>
      <c r="F68" s="44">
        <v>20</v>
      </c>
      <c r="G68" s="44">
        <v>20</v>
      </c>
      <c r="H68" s="44">
        <v>20</v>
      </c>
      <c r="I68" s="44">
        <v>20</v>
      </c>
      <c r="J68" s="44">
        <v>20</v>
      </c>
      <c r="K68" s="44">
        <v>20</v>
      </c>
      <c r="L68" s="44">
        <v>20</v>
      </c>
      <c r="M68" s="44">
        <v>20</v>
      </c>
      <c r="N68" s="45"/>
    </row>
    <row r="69" spans="1:14" x14ac:dyDescent="0.25">
      <c r="A69" s="306"/>
      <c r="B69" s="323"/>
      <c r="C69" s="21" t="s">
        <v>20</v>
      </c>
      <c r="D69" s="1" t="s">
        <v>6</v>
      </c>
      <c r="E69" s="46">
        <v>876.88417547131348</v>
      </c>
      <c r="F69" s="46">
        <v>610.32909690692122</v>
      </c>
      <c r="G69" s="46">
        <v>466.55672962478747</v>
      </c>
      <c r="H69" s="46">
        <v>466.55672962478747</v>
      </c>
      <c r="I69" s="46">
        <v>466.55672962478747</v>
      </c>
      <c r="J69" s="46">
        <v>466.55672962478747</v>
      </c>
      <c r="K69" s="46">
        <v>637.82399999999996</v>
      </c>
      <c r="L69" s="46">
        <v>637.82399999999996</v>
      </c>
      <c r="M69" s="46">
        <v>637.82399999999996</v>
      </c>
      <c r="N69" s="45"/>
    </row>
    <row r="70" spans="1:14" x14ac:dyDescent="0.25">
      <c r="A70" s="306"/>
      <c r="B70" s="323"/>
      <c r="C70" s="21" t="s">
        <v>172</v>
      </c>
      <c r="D70" s="1" t="s">
        <v>19</v>
      </c>
      <c r="E70" s="47">
        <v>0.35</v>
      </c>
      <c r="F70" s="47">
        <v>0.35</v>
      </c>
      <c r="G70" s="47">
        <v>0.35</v>
      </c>
      <c r="H70" s="47">
        <v>0.35</v>
      </c>
      <c r="I70" s="47">
        <v>0.35</v>
      </c>
      <c r="J70" s="47">
        <v>0.35</v>
      </c>
      <c r="K70" s="47">
        <v>0.35</v>
      </c>
      <c r="L70" s="47">
        <v>0.35</v>
      </c>
      <c r="M70" s="47">
        <v>0.35</v>
      </c>
      <c r="N70" s="45"/>
    </row>
    <row r="71" spans="1:14" x14ac:dyDescent="0.25">
      <c r="A71" s="306"/>
      <c r="B71" s="323"/>
      <c r="C71" s="21" t="s">
        <v>102</v>
      </c>
      <c r="D71" s="1" t="s">
        <v>8</v>
      </c>
      <c r="E71" s="44"/>
      <c r="F71" s="44"/>
      <c r="G71" s="44"/>
      <c r="H71" s="44"/>
      <c r="I71" s="44"/>
      <c r="J71" s="44"/>
      <c r="K71" s="44"/>
      <c r="L71" s="44"/>
      <c r="M71" s="44"/>
      <c r="N71" s="45"/>
    </row>
    <row r="72" spans="1:14" x14ac:dyDescent="0.25">
      <c r="A72" s="306"/>
      <c r="B72" s="323"/>
      <c r="C72" s="21" t="s">
        <v>103</v>
      </c>
      <c r="D72" s="1" t="s">
        <v>9</v>
      </c>
      <c r="E72" s="46">
        <v>13.153262632069701</v>
      </c>
      <c r="F72" s="46">
        <v>9.1549364536038187</v>
      </c>
      <c r="G72" s="46">
        <v>6.9983509443718122</v>
      </c>
      <c r="H72" s="46">
        <v>6.9983509443718122</v>
      </c>
      <c r="I72" s="46">
        <v>6.9983509443718122</v>
      </c>
      <c r="J72" s="46">
        <v>6.9983509443718122</v>
      </c>
      <c r="K72" s="46">
        <v>1.76</v>
      </c>
      <c r="L72" s="46">
        <v>1.76</v>
      </c>
      <c r="M72" s="46">
        <v>1.76</v>
      </c>
      <c r="N72" s="45"/>
    </row>
    <row r="73" spans="1:14" x14ac:dyDescent="0.25">
      <c r="A73" s="306"/>
      <c r="B73" s="323"/>
      <c r="C73" s="21" t="s">
        <v>104</v>
      </c>
      <c r="D73" s="1" t="s">
        <v>10</v>
      </c>
      <c r="E73" s="46">
        <v>0</v>
      </c>
      <c r="F73" s="46">
        <v>0</v>
      </c>
      <c r="G73" s="46">
        <v>0</v>
      </c>
      <c r="H73" s="46">
        <v>0</v>
      </c>
      <c r="I73" s="46">
        <v>0</v>
      </c>
      <c r="J73" s="46">
        <v>0</v>
      </c>
      <c r="K73" s="46">
        <v>2.1199999999999999E-3</v>
      </c>
      <c r="L73" s="46">
        <v>2.1199999999999999E-3</v>
      </c>
      <c r="M73" s="46">
        <v>2.1199999999999999E-3</v>
      </c>
      <c r="N73" s="45"/>
    </row>
    <row r="74" spans="1:14" ht="18.75" x14ac:dyDescent="0.25">
      <c r="A74" s="306"/>
      <c r="B74" s="323"/>
      <c r="C74" s="22" t="s">
        <v>105</v>
      </c>
      <c r="D74" s="23" t="s">
        <v>17</v>
      </c>
      <c r="E74" s="46">
        <v>0</v>
      </c>
      <c r="F74" s="46">
        <v>0</v>
      </c>
      <c r="G74" s="46">
        <v>0</v>
      </c>
      <c r="H74" s="46">
        <v>0</v>
      </c>
      <c r="I74" s="46">
        <v>0</v>
      </c>
      <c r="J74" s="46">
        <v>0</v>
      </c>
      <c r="K74" s="46">
        <v>0</v>
      </c>
      <c r="L74" s="46">
        <v>0</v>
      </c>
      <c r="M74" s="46">
        <v>0</v>
      </c>
      <c r="N74" s="45"/>
    </row>
    <row r="75" spans="1:14" x14ac:dyDescent="0.25">
      <c r="A75" s="306"/>
      <c r="B75" s="323"/>
      <c r="C75" s="22" t="s">
        <v>11</v>
      </c>
      <c r="D75" s="23" t="s">
        <v>10</v>
      </c>
      <c r="E75" s="46">
        <v>0</v>
      </c>
      <c r="F75" s="46">
        <v>0</v>
      </c>
      <c r="G75" s="46">
        <v>0</v>
      </c>
      <c r="H75" s="46">
        <v>0</v>
      </c>
      <c r="I75" s="46">
        <v>0</v>
      </c>
      <c r="J75" s="46">
        <v>0</v>
      </c>
      <c r="K75" s="46">
        <v>0</v>
      </c>
      <c r="L75" s="46">
        <v>0</v>
      </c>
      <c r="M75" s="46">
        <v>0</v>
      </c>
      <c r="N75" s="45"/>
    </row>
    <row r="76" spans="1:14" x14ac:dyDescent="0.25">
      <c r="A76" s="306"/>
      <c r="B76" s="323"/>
      <c r="C76" s="21" t="s">
        <v>18</v>
      </c>
      <c r="D76" s="2" t="s">
        <v>19</v>
      </c>
      <c r="E76" s="44">
        <v>4.12</v>
      </c>
      <c r="F76" s="44">
        <v>4.12</v>
      </c>
      <c r="G76" s="44">
        <v>4.12</v>
      </c>
      <c r="H76" s="44">
        <v>4.12</v>
      </c>
      <c r="I76" s="44">
        <v>4.12</v>
      </c>
      <c r="J76" s="44">
        <v>4.12</v>
      </c>
      <c r="K76" s="44">
        <v>4.12</v>
      </c>
      <c r="L76" s="44">
        <v>4.12</v>
      </c>
      <c r="M76" s="44">
        <v>4.12</v>
      </c>
      <c r="N76" s="45"/>
    </row>
    <row r="77" spans="1:14" x14ac:dyDescent="0.25">
      <c r="A77" s="306"/>
      <c r="B77" s="323"/>
      <c r="C77" s="21" t="s">
        <v>13</v>
      </c>
      <c r="D77" s="1" t="s">
        <v>14</v>
      </c>
      <c r="E77" s="44"/>
      <c r="F77" s="44"/>
      <c r="G77" s="44"/>
      <c r="H77" s="44"/>
      <c r="I77" s="44"/>
      <c r="J77" s="44"/>
      <c r="K77" s="44"/>
      <c r="L77" s="44"/>
      <c r="M77" s="44"/>
      <c r="N77" s="45"/>
    </row>
    <row r="78" spans="1:14" x14ac:dyDescent="0.25">
      <c r="A78" s="306"/>
      <c r="B78" s="323"/>
      <c r="C78" s="21" t="s">
        <v>15</v>
      </c>
      <c r="D78" s="1" t="s">
        <v>4</v>
      </c>
      <c r="E78" s="44"/>
      <c r="F78" s="44"/>
      <c r="G78" s="44"/>
      <c r="H78" s="44"/>
      <c r="I78" s="44"/>
      <c r="J78" s="44"/>
      <c r="K78" s="44"/>
      <c r="L78" s="44"/>
      <c r="M78" s="44"/>
      <c r="N78" s="45"/>
    </row>
    <row r="79" spans="1:14" x14ac:dyDescent="0.25">
      <c r="A79" s="306"/>
      <c r="B79" s="323"/>
      <c r="C79" s="21" t="s">
        <v>106</v>
      </c>
      <c r="D79" s="1" t="s">
        <v>6</v>
      </c>
      <c r="E79" s="46">
        <v>2542.5468857578812</v>
      </c>
      <c r="F79" s="46">
        <v>1739.7683009926391</v>
      </c>
      <c r="G79" s="46">
        <v>1094.1291208875389</v>
      </c>
      <c r="H79" s="46">
        <v>380.08243340521</v>
      </c>
      <c r="I79" s="46">
        <v>259.16347752478634</v>
      </c>
      <c r="J79" s="46">
        <v>164.27135179750144</v>
      </c>
      <c r="K79" s="46">
        <v>79.72644599626463</v>
      </c>
      <c r="L79" s="46">
        <v>69.838906006886361</v>
      </c>
      <c r="M79" s="46">
        <v>69.838906006886361</v>
      </c>
      <c r="N79" s="45"/>
    </row>
    <row r="80" spans="1:14" x14ac:dyDescent="0.25">
      <c r="A80" s="306"/>
      <c r="B80" s="323"/>
      <c r="C80" s="21" t="s">
        <v>107</v>
      </c>
      <c r="D80" s="1" t="s">
        <v>4</v>
      </c>
      <c r="E80" s="44"/>
      <c r="F80" s="44"/>
      <c r="G80" s="44"/>
      <c r="H80" s="44"/>
      <c r="I80" s="44"/>
      <c r="J80" s="44"/>
      <c r="K80" s="44"/>
      <c r="L80" s="44"/>
      <c r="M80" s="44"/>
      <c r="N80" s="45"/>
    </row>
    <row r="81" spans="1:14" ht="14.45" customHeight="1" x14ac:dyDescent="0.25">
      <c r="A81" s="306">
        <v>8</v>
      </c>
      <c r="B81" s="323" t="s">
        <v>149</v>
      </c>
      <c r="C81" s="21" t="s">
        <v>101</v>
      </c>
      <c r="D81" s="1" t="s">
        <v>4</v>
      </c>
      <c r="E81" s="44">
        <v>20</v>
      </c>
      <c r="F81" s="44">
        <v>20</v>
      </c>
      <c r="G81" s="44">
        <v>20</v>
      </c>
      <c r="H81" s="44">
        <v>20</v>
      </c>
      <c r="I81" s="44">
        <v>20</v>
      </c>
      <c r="J81" s="44">
        <v>20</v>
      </c>
      <c r="K81" s="44">
        <v>20</v>
      </c>
      <c r="L81" s="44">
        <v>20</v>
      </c>
      <c r="M81" s="44">
        <v>20</v>
      </c>
      <c r="N81" s="45"/>
    </row>
    <row r="82" spans="1:14" x14ac:dyDescent="0.25">
      <c r="A82" s="306"/>
      <c r="B82" s="323"/>
      <c r="C82" s="21" t="s">
        <v>20</v>
      </c>
      <c r="D82" s="1" t="s">
        <v>6</v>
      </c>
      <c r="E82" s="46">
        <v>876.88417547131348</v>
      </c>
      <c r="F82" s="46">
        <v>610.32909690692122</v>
      </c>
      <c r="G82" s="46">
        <v>466.55672962478747</v>
      </c>
      <c r="H82" s="46">
        <v>466.55672962478747</v>
      </c>
      <c r="I82" s="46">
        <v>466.55672962478747</v>
      </c>
      <c r="J82" s="46">
        <v>466.55672962478747</v>
      </c>
      <c r="K82" s="46">
        <v>637.82399999999996</v>
      </c>
      <c r="L82" s="46">
        <v>637.82399999999996</v>
      </c>
      <c r="M82" s="46">
        <v>637.82399999999996</v>
      </c>
      <c r="N82" s="45"/>
    </row>
    <row r="83" spans="1:14" x14ac:dyDescent="0.25">
      <c r="A83" s="306"/>
      <c r="B83" s="323"/>
      <c r="C83" s="21" t="s">
        <v>172</v>
      </c>
      <c r="D83" s="1" t="s">
        <v>19</v>
      </c>
      <c r="E83" s="47">
        <v>0.35</v>
      </c>
      <c r="F83" s="47">
        <v>0.35</v>
      </c>
      <c r="G83" s="47">
        <v>0.35</v>
      </c>
      <c r="H83" s="47">
        <v>0.35</v>
      </c>
      <c r="I83" s="47">
        <v>0.35</v>
      </c>
      <c r="J83" s="47">
        <v>0.35</v>
      </c>
      <c r="K83" s="47">
        <v>0.35</v>
      </c>
      <c r="L83" s="47">
        <v>0.35</v>
      </c>
      <c r="M83" s="47">
        <v>0.35</v>
      </c>
      <c r="N83" s="45"/>
    </row>
    <row r="84" spans="1:14" x14ac:dyDescent="0.25">
      <c r="A84" s="306"/>
      <c r="B84" s="323"/>
      <c r="C84" s="21" t="s">
        <v>102</v>
      </c>
      <c r="D84" s="1" t="s">
        <v>8</v>
      </c>
      <c r="E84" s="44"/>
      <c r="F84" s="44"/>
      <c r="G84" s="44"/>
      <c r="H84" s="44"/>
      <c r="I84" s="44"/>
      <c r="J84" s="44"/>
      <c r="K84" s="44"/>
      <c r="L84" s="44"/>
      <c r="M84" s="44"/>
      <c r="N84" s="45"/>
    </row>
    <row r="85" spans="1:14" x14ac:dyDescent="0.25">
      <c r="A85" s="306"/>
      <c r="B85" s="323"/>
      <c r="C85" s="21" t="s">
        <v>103</v>
      </c>
      <c r="D85" s="1" t="s">
        <v>9</v>
      </c>
      <c r="E85" s="46">
        <v>13.153262632069701</v>
      </c>
      <c r="F85" s="46">
        <v>9.1549364536038187</v>
      </c>
      <c r="G85" s="46">
        <v>6.9983509443718122</v>
      </c>
      <c r="H85" s="46">
        <v>6.9983509443718122</v>
      </c>
      <c r="I85" s="46">
        <v>6.9983509443718122</v>
      </c>
      <c r="J85" s="46">
        <v>6.9983509443718122</v>
      </c>
      <c r="K85" s="46">
        <v>1.76</v>
      </c>
      <c r="L85" s="46">
        <v>1.76</v>
      </c>
      <c r="M85" s="46">
        <v>1.76</v>
      </c>
      <c r="N85" s="45"/>
    </row>
    <row r="86" spans="1:14" x14ac:dyDescent="0.25">
      <c r="A86" s="306"/>
      <c r="B86" s="323"/>
      <c r="C86" s="21" t="s">
        <v>104</v>
      </c>
      <c r="D86" s="1" t="s">
        <v>10</v>
      </c>
      <c r="E86" s="46">
        <v>0</v>
      </c>
      <c r="F86" s="46">
        <v>0</v>
      </c>
      <c r="G86" s="46">
        <v>0</v>
      </c>
      <c r="H86" s="46">
        <v>0</v>
      </c>
      <c r="I86" s="46">
        <v>0</v>
      </c>
      <c r="J86" s="46">
        <v>0</v>
      </c>
      <c r="K86" s="46">
        <v>2.1199999999999999E-3</v>
      </c>
      <c r="L86" s="46">
        <v>2.1199999999999999E-3</v>
      </c>
      <c r="M86" s="46">
        <v>2.1199999999999999E-3</v>
      </c>
      <c r="N86" s="45"/>
    </row>
    <row r="87" spans="1:14" ht="18.75" x14ac:dyDescent="0.25">
      <c r="A87" s="306"/>
      <c r="B87" s="323"/>
      <c r="C87" s="22" t="s">
        <v>105</v>
      </c>
      <c r="D87" s="23" t="s">
        <v>17</v>
      </c>
      <c r="E87" s="46">
        <v>0</v>
      </c>
      <c r="F87" s="46">
        <v>0</v>
      </c>
      <c r="G87" s="46">
        <v>0</v>
      </c>
      <c r="H87" s="46">
        <v>0</v>
      </c>
      <c r="I87" s="46">
        <v>0</v>
      </c>
      <c r="J87" s="46">
        <v>0</v>
      </c>
      <c r="K87" s="46">
        <v>0</v>
      </c>
      <c r="L87" s="46">
        <v>0</v>
      </c>
      <c r="M87" s="46">
        <v>0</v>
      </c>
      <c r="N87" s="45"/>
    </row>
    <row r="88" spans="1:14" x14ac:dyDescent="0.25">
      <c r="A88" s="306"/>
      <c r="B88" s="323"/>
      <c r="C88" s="22" t="s">
        <v>11</v>
      </c>
      <c r="D88" s="23" t="s">
        <v>10</v>
      </c>
      <c r="E88" s="46">
        <v>0</v>
      </c>
      <c r="F88" s="46">
        <v>0</v>
      </c>
      <c r="G88" s="46">
        <v>0</v>
      </c>
      <c r="H88" s="46">
        <v>0</v>
      </c>
      <c r="I88" s="46">
        <v>0</v>
      </c>
      <c r="J88" s="46">
        <v>0</v>
      </c>
      <c r="K88" s="46">
        <v>0</v>
      </c>
      <c r="L88" s="46">
        <v>0</v>
      </c>
      <c r="M88" s="46">
        <v>0</v>
      </c>
      <c r="N88" s="45"/>
    </row>
    <row r="89" spans="1:14" x14ac:dyDescent="0.25">
      <c r="A89" s="306"/>
      <c r="B89" s="323"/>
      <c r="C89" s="21" t="s">
        <v>18</v>
      </c>
      <c r="D89" s="2" t="s">
        <v>19</v>
      </c>
      <c r="E89" s="44">
        <v>3.82</v>
      </c>
      <c r="F89" s="44">
        <v>3.82</v>
      </c>
      <c r="G89" s="44">
        <v>3.82</v>
      </c>
      <c r="H89" s="44">
        <v>3.82</v>
      </c>
      <c r="I89" s="44">
        <v>3.82</v>
      </c>
      <c r="J89" s="44">
        <v>3.82</v>
      </c>
      <c r="K89" s="44">
        <v>3.82</v>
      </c>
      <c r="L89" s="44">
        <v>3.82</v>
      </c>
      <c r="M89" s="44">
        <v>3.82</v>
      </c>
      <c r="N89" s="45"/>
    </row>
    <row r="90" spans="1:14" x14ac:dyDescent="0.25">
      <c r="A90" s="306"/>
      <c r="B90" s="323"/>
      <c r="C90" s="21" t="s">
        <v>13</v>
      </c>
      <c r="D90" s="2" t="s">
        <v>14</v>
      </c>
      <c r="E90" s="44"/>
      <c r="F90" s="44"/>
      <c r="G90" s="44"/>
      <c r="H90" s="44"/>
      <c r="I90" s="44"/>
      <c r="J90" s="44"/>
      <c r="K90" s="44"/>
      <c r="L90" s="44"/>
      <c r="M90" s="44"/>
      <c r="N90" s="45"/>
    </row>
    <row r="91" spans="1:14" x14ac:dyDescent="0.25">
      <c r="A91" s="306"/>
      <c r="B91" s="323"/>
      <c r="C91" s="21" t="s">
        <v>15</v>
      </c>
      <c r="D91" s="1" t="s">
        <v>4</v>
      </c>
      <c r="E91" s="44"/>
      <c r="F91" s="44"/>
      <c r="G91" s="44"/>
      <c r="H91" s="44"/>
      <c r="I91" s="44"/>
      <c r="J91" s="44"/>
      <c r="K91" s="44"/>
      <c r="L91" s="44"/>
      <c r="M91" s="44"/>
      <c r="N91" s="45"/>
    </row>
    <row r="92" spans="1:14" x14ac:dyDescent="0.25">
      <c r="A92" s="306"/>
      <c r="B92" s="323"/>
      <c r="C92" s="21" t="s">
        <v>106</v>
      </c>
      <c r="D92" s="1" t="s">
        <v>6</v>
      </c>
      <c r="E92" s="46">
        <v>2542.5468857578812</v>
      </c>
      <c r="F92" s="46">
        <v>1739.7683009926391</v>
      </c>
      <c r="G92" s="46">
        <v>1094.1291208875389</v>
      </c>
      <c r="H92" s="46">
        <v>380.08243340521</v>
      </c>
      <c r="I92" s="46">
        <v>259.16347752478634</v>
      </c>
      <c r="J92" s="46">
        <v>164.27135179750144</v>
      </c>
      <c r="K92" s="46">
        <v>79.72644599626463</v>
      </c>
      <c r="L92" s="46">
        <v>69.838906006886361</v>
      </c>
      <c r="M92" s="46">
        <v>69.838906006886361</v>
      </c>
      <c r="N92" s="45"/>
    </row>
    <row r="93" spans="1:14" x14ac:dyDescent="0.25">
      <c r="A93" s="306"/>
      <c r="B93" s="323"/>
      <c r="C93" s="21" t="s">
        <v>107</v>
      </c>
      <c r="D93" s="1" t="s">
        <v>4</v>
      </c>
      <c r="E93" s="44"/>
      <c r="F93" s="44"/>
      <c r="G93" s="44"/>
      <c r="H93" s="44"/>
      <c r="I93" s="44"/>
      <c r="J93" s="44"/>
      <c r="K93" s="44"/>
      <c r="L93" s="44"/>
      <c r="M93" s="44"/>
      <c r="N93" s="45"/>
    </row>
    <row r="94" spans="1:14" ht="15" customHeight="1" x14ac:dyDescent="0.25">
      <c r="A94" s="306">
        <v>9</v>
      </c>
      <c r="B94" s="323" t="s">
        <v>108</v>
      </c>
      <c r="C94" s="21" t="s">
        <v>109</v>
      </c>
      <c r="D94" s="1" t="s">
        <v>19</v>
      </c>
      <c r="E94" s="44">
        <v>1</v>
      </c>
      <c r="F94" s="44">
        <v>1</v>
      </c>
      <c r="G94" s="44">
        <v>1</v>
      </c>
      <c r="H94" s="44">
        <v>1</v>
      </c>
      <c r="I94" s="44">
        <v>1</v>
      </c>
      <c r="J94" s="44">
        <v>1</v>
      </c>
      <c r="K94" s="44">
        <v>1</v>
      </c>
      <c r="L94" s="44">
        <v>1</v>
      </c>
      <c r="M94" s="44">
        <v>1</v>
      </c>
      <c r="N94" s="45"/>
    </row>
    <row r="95" spans="1:14" x14ac:dyDescent="0.25">
      <c r="A95" s="306"/>
      <c r="B95" s="323"/>
      <c r="C95" s="21" t="s">
        <v>21</v>
      </c>
      <c r="D95" s="1" t="s">
        <v>19</v>
      </c>
      <c r="E95" s="44">
        <v>0.35</v>
      </c>
      <c r="F95" s="44">
        <v>0.35</v>
      </c>
      <c r="G95" s="44">
        <v>0.35</v>
      </c>
      <c r="H95" s="44">
        <v>0.35</v>
      </c>
      <c r="I95" s="44">
        <v>0.35</v>
      </c>
      <c r="J95" s="44">
        <v>0.35</v>
      </c>
      <c r="K95" s="44">
        <v>0.35</v>
      </c>
      <c r="L95" s="44">
        <v>0.35</v>
      </c>
      <c r="M95" s="44">
        <v>0.35</v>
      </c>
      <c r="N95" s="45"/>
    </row>
    <row r="96" spans="1:14" x14ac:dyDescent="0.25">
      <c r="A96" s="306"/>
      <c r="B96" s="323"/>
      <c r="C96" s="21" t="s">
        <v>22</v>
      </c>
      <c r="D96" s="1" t="s">
        <v>4</v>
      </c>
      <c r="E96" s="44">
        <v>20</v>
      </c>
      <c r="F96" s="44">
        <v>20</v>
      </c>
      <c r="G96" s="44">
        <v>20</v>
      </c>
      <c r="H96" s="44">
        <v>20</v>
      </c>
      <c r="I96" s="44">
        <v>20</v>
      </c>
      <c r="J96" s="44">
        <v>20</v>
      </c>
      <c r="K96" s="44">
        <v>20</v>
      </c>
      <c r="L96" s="44">
        <v>20</v>
      </c>
      <c r="M96" s="44">
        <v>20</v>
      </c>
      <c r="N96" s="45"/>
    </row>
    <row r="97" spans="1:15" x14ac:dyDescent="0.25">
      <c r="A97" s="306"/>
      <c r="B97" s="323"/>
      <c r="C97" s="21" t="s">
        <v>23</v>
      </c>
      <c r="D97" s="1" t="s">
        <v>6</v>
      </c>
      <c r="E97" s="46">
        <v>212.90273464055423</v>
      </c>
      <c r="F97" s="46">
        <v>180.29847756137553</v>
      </c>
      <c r="G97" s="46">
        <v>140.44328080448224</v>
      </c>
      <c r="H97" s="46">
        <v>113.16977842477434</v>
      </c>
      <c r="I97" s="46">
        <v>107.31263157894738</v>
      </c>
      <c r="J97" s="46">
        <v>107.00631578947369</v>
      </c>
      <c r="K97" s="46">
        <v>105.98526315789475</v>
      </c>
      <c r="L97" s="46">
        <v>103.84105263157896</v>
      </c>
      <c r="M97" s="46">
        <v>99.55263157894737</v>
      </c>
      <c r="N97" s="45"/>
    </row>
    <row r="98" spans="1:15" x14ac:dyDescent="0.25">
      <c r="A98" s="306"/>
      <c r="B98" s="323"/>
      <c r="C98" s="21" t="s">
        <v>173</v>
      </c>
      <c r="D98" s="1" t="s">
        <v>19</v>
      </c>
      <c r="E98" s="47">
        <v>0.2</v>
      </c>
      <c r="F98" s="47">
        <v>0.2</v>
      </c>
      <c r="G98" s="47">
        <v>0.2</v>
      </c>
      <c r="H98" s="47">
        <v>0.2</v>
      </c>
      <c r="I98" s="47">
        <v>0.2</v>
      </c>
      <c r="J98" s="47">
        <v>0.2</v>
      </c>
      <c r="K98" s="47">
        <v>0.2</v>
      </c>
      <c r="L98" s="47">
        <v>0.2</v>
      </c>
      <c r="M98" s="47">
        <v>0.2</v>
      </c>
      <c r="N98" s="45"/>
    </row>
    <row r="99" spans="1:15" x14ac:dyDescent="0.25">
      <c r="A99" s="306"/>
      <c r="B99" s="323"/>
      <c r="C99" s="21" t="s">
        <v>110</v>
      </c>
      <c r="D99" s="1" t="s">
        <v>8</v>
      </c>
      <c r="E99" s="44"/>
      <c r="F99" s="44"/>
      <c r="G99" s="44"/>
      <c r="H99" s="44"/>
      <c r="I99" s="44"/>
      <c r="J99" s="44"/>
      <c r="K99" s="44"/>
      <c r="L99" s="44"/>
      <c r="M99" s="44"/>
      <c r="N99" s="45"/>
    </row>
    <row r="100" spans="1:15" x14ac:dyDescent="0.25">
      <c r="A100" s="306"/>
      <c r="B100" s="323"/>
      <c r="C100" s="21" t="s">
        <v>111</v>
      </c>
      <c r="D100" s="1" t="s">
        <v>9</v>
      </c>
      <c r="E100" s="46">
        <v>6.3870820392166268</v>
      </c>
      <c r="F100" s="46">
        <v>5.4089543268412656</v>
      </c>
      <c r="G100" s="46">
        <v>4.2132984241344671</v>
      </c>
      <c r="H100" s="46">
        <v>3.3950933527432299</v>
      </c>
      <c r="I100" s="46">
        <v>2.0378947368421052</v>
      </c>
      <c r="J100" s="46">
        <v>2.0189473684210526</v>
      </c>
      <c r="K100" s="46">
        <v>1.9557894736842103</v>
      </c>
      <c r="L100" s="46">
        <v>1.8231578947368419</v>
      </c>
      <c r="M100" s="46">
        <v>1.557894736842105</v>
      </c>
      <c r="N100" s="45"/>
    </row>
    <row r="101" spans="1:15" x14ac:dyDescent="0.25">
      <c r="A101" s="306"/>
      <c r="B101" s="323"/>
      <c r="C101" s="21" t="s">
        <v>35</v>
      </c>
      <c r="D101" s="1" t="s">
        <v>10</v>
      </c>
      <c r="E101" s="46">
        <v>0</v>
      </c>
      <c r="F101" s="46">
        <v>0</v>
      </c>
      <c r="G101" s="46">
        <v>0</v>
      </c>
      <c r="H101" s="46">
        <v>0</v>
      </c>
      <c r="I101" s="46">
        <v>0</v>
      </c>
      <c r="J101" s="46">
        <v>0</v>
      </c>
      <c r="K101" s="46">
        <v>1.6357894736842103E-3</v>
      </c>
      <c r="L101" s="46">
        <v>1.5031578947368419E-3</v>
      </c>
      <c r="M101" s="46">
        <v>1.2378947368421051E-3</v>
      </c>
      <c r="N101" s="45"/>
    </row>
    <row r="102" spans="1:15" x14ac:dyDescent="0.25">
      <c r="A102" s="306"/>
      <c r="B102" s="323"/>
      <c r="C102" s="22" t="s">
        <v>24</v>
      </c>
      <c r="D102" s="23" t="s">
        <v>10</v>
      </c>
      <c r="E102" s="47">
        <v>0</v>
      </c>
      <c r="F102" s="47">
        <v>0</v>
      </c>
      <c r="G102" s="47">
        <v>0</v>
      </c>
      <c r="H102" s="47">
        <v>0</v>
      </c>
      <c r="I102" s="47">
        <v>0</v>
      </c>
      <c r="J102" s="47">
        <v>0</v>
      </c>
      <c r="K102" s="47">
        <v>0</v>
      </c>
      <c r="L102" s="47">
        <v>0</v>
      </c>
      <c r="M102" s="47">
        <v>0</v>
      </c>
      <c r="N102" s="45"/>
    </row>
    <row r="103" spans="1:15" x14ac:dyDescent="0.25">
      <c r="A103" s="306"/>
      <c r="B103" s="323"/>
      <c r="C103" s="21" t="s">
        <v>25</v>
      </c>
      <c r="D103" s="1" t="s">
        <v>7</v>
      </c>
      <c r="E103" s="47">
        <v>0.96599999999999986</v>
      </c>
      <c r="F103" s="47">
        <v>0.96599999999999986</v>
      </c>
      <c r="G103" s="47">
        <v>0.96599999999999986</v>
      </c>
      <c r="H103" s="47">
        <v>0.96599999999999986</v>
      </c>
      <c r="I103" s="47">
        <v>0.96599999999999986</v>
      </c>
      <c r="J103" s="47">
        <v>0.96599999999999986</v>
      </c>
      <c r="K103" s="47">
        <v>0.99</v>
      </c>
      <c r="L103" s="47">
        <v>0.99</v>
      </c>
      <c r="M103" s="47">
        <v>0.99</v>
      </c>
      <c r="N103" s="45"/>
    </row>
    <row r="104" spans="1:15" x14ac:dyDescent="0.25">
      <c r="A104" s="306"/>
      <c r="B104" s="323"/>
      <c r="C104" s="21" t="s">
        <v>26</v>
      </c>
      <c r="D104" s="1" t="s">
        <v>14</v>
      </c>
      <c r="E104" s="46">
        <v>1524.6</v>
      </c>
      <c r="F104" s="46">
        <v>1749.6</v>
      </c>
      <c r="G104" s="46">
        <v>2349.6</v>
      </c>
      <c r="H104" s="46">
        <v>3174.6</v>
      </c>
      <c r="I104" s="46">
        <v>4299.6000000000004</v>
      </c>
      <c r="J104" s="46">
        <v>14213</v>
      </c>
      <c r="K104" s="46">
        <v>21713</v>
      </c>
      <c r="L104" s="46">
        <v>37463</v>
      </c>
      <c r="M104" s="46">
        <v>68963</v>
      </c>
      <c r="N104" s="45"/>
    </row>
    <row r="105" spans="1:15" x14ac:dyDescent="0.25">
      <c r="A105" s="306"/>
      <c r="B105" s="323"/>
      <c r="C105" s="21" t="s">
        <v>27</v>
      </c>
      <c r="D105" s="1" t="s">
        <v>4</v>
      </c>
      <c r="E105" s="44">
        <v>40</v>
      </c>
      <c r="F105" s="44">
        <v>40</v>
      </c>
      <c r="G105" s="44">
        <v>40</v>
      </c>
      <c r="H105" s="44">
        <v>40</v>
      </c>
      <c r="I105" s="44">
        <v>40</v>
      </c>
      <c r="J105" s="44">
        <v>40</v>
      </c>
      <c r="K105" s="44">
        <v>40</v>
      </c>
      <c r="L105" s="44">
        <v>40</v>
      </c>
      <c r="M105" s="44">
        <v>40</v>
      </c>
      <c r="N105" s="45"/>
    </row>
    <row r="106" spans="1:15" x14ac:dyDescent="0.25">
      <c r="A106" s="306"/>
      <c r="B106" s="323"/>
      <c r="C106" s="21" t="s">
        <v>112</v>
      </c>
      <c r="D106" s="1" t="s">
        <v>19</v>
      </c>
      <c r="E106" s="44">
        <v>0.5</v>
      </c>
      <c r="F106" s="44">
        <v>0.5</v>
      </c>
      <c r="G106" s="44">
        <v>0.5</v>
      </c>
      <c r="H106" s="44">
        <v>0.5</v>
      </c>
      <c r="I106" s="44">
        <v>0.5</v>
      </c>
      <c r="J106" s="44">
        <v>0.5</v>
      </c>
      <c r="K106" s="44">
        <v>0.5</v>
      </c>
      <c r="L106" s="44">
        <v>0.5</v>
      </c>
      <c r="M106" s="44">
        <v>0.5</v>
      </c>
      <c r="N106" s="45"/>
      <c r="O106" s="65"/>
    </row>
    <row r="107" spans="1:15" x14ac:dyDescent="0.25">
      <c r="A107" s="306"/>
      <c r="B107" s="323"/>
      <c r="C107" s="21" t="s">
        <v>28</v>
      </c>
      <c r="D107" s="1" t="s">
        <v>19</v>
      </c>
      <c r="E107" s="44">
        <v>1.3</v>
      </c>
      <c r="F107" s="44">
        <v>1.3</v>
      </c>
      <c r="G107" s="44">
        <v>1.3</v>
      </c>
      <c r="H107" s="44">
        <v>1.3</v>
      </c>
      <c r="I107" s="44">
        <v>1.3</v>
      </c>
      <c r="J107" s="44">
        <v>1.3</v>
      </c>
      <c r="K107" s="44">
        <v>1.3</v>
      </c>
      <c r="L107" s="44">
        <v>1.3</v>
      </c>
      <c r="M107" s="44">
        <v>1.3</v>
      </c>
      <c r="N107" s="45"/>
    </row>
    <row r="108" spans="1:15" x14ac:dyDescent="0.25">
      <c r="A108" s="306"/>
      <c r="B108" s="323"/>
      <c r="C108" s="21" t="s">
        <v>29</v>
      </c>
      <c r="D108" s="1" t="s">
        <v>4</v>
      </c>
      <c r="E108" s="44">
        <v>20</v>
      </c>
      <c r="F108" s="44">
        <v>20</v>
      </c>
      <c r="G108" s="44">
        <v>20</v>
      </c>
      <c r="H108" s="44">
        <v>20</v>
      </c>
      <c r="I108" s="44">
        <v>20</v>
      </c>
      <c r="J108" s="44">
        <v>20</v>
      </c>
      <c r="K108" s="44">
        <v>20</v>
      </c>
      <c r="L108" s="44">
        <v>20</v>
      </c>
      <c r="M108" s="44">
        <v>20</v>
      </c>
      <c r="N108" s="45"/>
    </row>
    <row r="109" spans="1:15" x14ac:dyDescent="0.25">
      <c r="A109" s="306"/>
      <c r="B109" s="323"/>
      <c r="C109" s="21" t="s">
        <v>30</v>
      </c>
      <c r="D109" s="1" t="s">
        <v>6</v>
      </c>
      <c r="E109" s="46">
        <v>1212.3185014395658</v>
      </c>
      <c r="F109" s="46">
        <v>865.6981523557846</v>
      </c>
      <c r="G109" s="46">
        <v>573.57643801209713</v>
      </c>
      <c r="H109" s="46">
        <v>482.31953407260886</v>
      </c>
      <c r="I109" s="46">
        <v>482.31953407260886</v>
      </c>
      <c r="J109" s="46">
        <v>482.31953407260886</v>
      </c>
      <c r="K109" s="46">
        <v>1281.3816732362875</v>
      </c>
      <c r="L109" s="46">
        <v>1114.6142868924398</v>
      </c>
      <c r="M109" s="46">
        <v>979.67598602574503</v>
      </c>
      <c r="N109" s="45"/>
    </row>
    <row r="110" spans="1:15" x14ac:dyDescent="0.25">
      <c r="A110" s="306"/>
      <c r="B110" s="323"/>
      <c r="C110" s="21" t="s">
        <v>174</v>
      </c>
      <c r="D110" s="1" t="s">
        <v>19</v>
      </c>
      <c r="E110" s="47">
        <v>0.35</v>
      </c>
      <c r="F110" s="47">
        <v>0.35</v>
      </c>
      <c r="G110" s="47">
        <v>0.35</v>
      </c>
      <c r="H110" s="47">
        <v>0.35</v>
      </c>
      <c r="I110" s="47">
        <v>0.35</v>
      </c>
      <c r="J110" s="47">
        <v>0.35</v>
      </c>
      <c r="K110" s="47">
        <v>0.35</v>
      </c>
      <c r="L110" s="47">
        <v>0.35</v>
      </c>
      <c r="M110" s="47">
        <v>0.35</v>
      </c>
      <c r="N110" s="45"/>
    </row>
    <row r="111" spans="1:15" x14ac:dyDescent="0.25">
      <c r="A111" s="306"/>
      <c r="B111" s="323"/>
      <c r="C111" s="21" t="s">
        <v>113</v>
      </c>
      <c r="D111" s="1" t="s">
        <v>8</v>
      </c>
      <c r="E111" s="44"/>
      <c r="F111" s="44"/>
      <c r="G111" s="44"/>
      <c r="H111" s="44"/>
      <c r="I111" s="44"/>
      <c r="J111" s="44"/>
      <c r="K111" s="44"/>
      <c r="L111" s="44"/>
      <c r="M111" s="44"/>
      <c r="N111" s="45"/>
    </row>
    <row r="112" spans="1:15" x14ac:dyDescent="0.25">
      <c r="A112" s="306"/>
      <c r="B112" s="323"/>
      <c r="C112" s="21" t="s">
        <v>114</v>
      </c>
      <c r="D112" s="1" t="s">
        <v>9</v>
      </c>
      <c r="E112" s="44"/>
      <c r="F112" s="44"/>
      <c r="G112" s="44"/>
      <c r="H112" s="44"/>
      <c r="I112" s="44"/>
      <c r="J112" s="44"/>
      <c r="K112" s="44"/>
      <c r="L112" s="44"/>
      <c r="M112" s="44"/>
      <c r="N112" s="45"/>
    </row>
    <row r="113" spans="1:15" x14ac:dyDescent="0.25">
      <c r="A113" s="306"/>
      <c r="B113" s="323"/>
      <c r="C113" s="21" t="s">
        <v>115</v>
      </c>
      <c r="D113" s="1" t="s">
        <v>10</v>
      </c>
      <c r="E113" s="46">
        <v>0</v>
      </c>
      <c r="F113" s="46">
        <v>0</v>
      </c>
      <c r="G113" s="46">
        <v>0</v>
      </c>
      <c r="H113" s="46">
        <v>0</v>
      </c>
      <c r="I113" s="46">
        <v>0</v>
      </c>
      <c r="J113" s="46">
        <v>0</v>
      </c>
      <c r="K113" s="46">
        <v>0</v>
      </c>
      <c r="L113" s="46">
        <v>2.1199999999999999E-3</v>
      </c>
      <c r="M113" s="46">
        <v>2.1199999999999999E-3</v>
      </c>
      <c r="N113" s="48"/>
      <c r="O113" s="49"/>
    </row>
    <row r="114" spans="1:15" ht="18.75" x14ac:dyDescent="0.25">
      <c r="A114" s="306"/>
      <c r="B114" s="323"/>
      <c r="C114" s="22" t="s">
        <v>116</v>
      </c>
      <c r="D114" s="23" t="s">
        <v>17</v>
      </c>
      <c r="E114" s="46">
        <v>0</v>
      </c>
      <c r="F114" s="46">
        <v>0</v>
      </c>
      <c r="G114" s="46">
        <v>0</v>
      </c>
      <c r="H114" s="46">
        <v>0</v>
      </c>
      <c r="I114" s="46">
        <v>0</v>
      </c>
      <c r="J114" s="46">
        <v>0</v>
      </c>
      <c r="K114" s="46">
        <v>0</v>
      </c>
      <c r="L114" s="46">
        <v>0</v>
      </c>
      <c r="M114" s="46">
        <v>0</v>
      </c>
      <c r="N114" s="45"/>
    </row>
    <row r="115" spans="1:15" x14ac:dyDescent="0.25">
      <c r="A115" s="306"/>
      <c r="B115" s="323"/>
      <c r="C115" s="22" t="s">
        <v>31</v>
      </c>
      <c r="D115" s="23" t="s">
        <v>10</v>
      </c>
      <c r="E115" s="46">
        <v>0</v>
      </c>
      <c r="F115" s="46">
        <v>0</v>
      </c>
      <c r="G115" s="46">
        <v>0</v>
      </c>
      <c r="H115" s="46">
        <v>0</v>
      </c>
      <c r="I115" s="46">
        <v>0</v>
      </c>
      <c r="J115" s="46">
        <v>0</v>
      </c>
      <c r="K115" s="46">
        <v>0</v>
      </c>
      <c r="L115" s="46">
        <v>0</v>
      </c>
      <c r="M115" s="46">
        <v>0</v>
      </c>
      <c r="N115" s="45"/>
    </row>
    <row r="116" spans="1:15" x14ac:dyDescent="0.25">
      <c r="A116" s="306"/>
      <c r="B116" s="323"/>
      <c r="C116" s="21" t="s">
        <v>32</v>
      </c>
      <c r="D116" s="2" t="s">
        <v>19</v>
      </c>
      <c r="E116" s="44">
        <v>3.2399999999999998</v>
      </c>
      <c r="F116" s="44">
        <v>3.2399999999999998</v>
      </c>
      <c r="G116" s="44">
        <v>3.2399999999999998</v>
      </c>
      <c r="H116" s="44">
        <v>3.2399999999999998</v>
      </c>
      <c r="I116" s="44">
        <v>3.2399999999999998</v>
      </c>
      <c r="J116" s="44">
        <v>3.2399999999999998</v>
      </c>
      <c r="K116" s="44">
        <v>3.2399999999999998</v>
      </c>
      <c r="L116" s="44">
        <v>3.2399999999999998</v>
      </c>
      <c r="M116" s="44">
        <v>3.2399999999999998</v>
      </c>
      <c r="N116" s="45"/>
    </row>
    <row r="117" spans="1:15" x14ac:dyDescent="0.25">
      <c r="A117" s="306"/>
      <c r="B117" s="323"/>
      <c r="C117" s="21" t="s">
        <v>33</v>
      </c>
      <c r="D117" s="2" t="s">
        <v>14</v>
      </c>
      <c r="E117" s="44"/>
      <c r="F117" s="44"/>
      <c r="G117" s="44"/>
      <c r="H117" s="44"/>
      <c r="I117" s="44"/>
      <c r="J117" s="44"/>
      <c r="K117" s="44"/>
      <c r="L117" s="44"/>
      <c r="M117" s="44"/>
      <c r="N117" s="45"/>
    </row>
    <row r="118" spans="1:15" x14ac:dyDescent="0.25">
      <c r="A118" s="306"/>
      <c r="B118" s="323"/>
      <c r="C118" s="21" t="s">
        <v>34</v>
      </c>
      <c r="D118" s="2" t="s">
        <v>4</v>
      </c>
      <c r="E118" s="44"/>
      <c r="F118" s="44"/>
      <c r="G118" s="44"/>
      <c r="H118" s="44"/>
      <c r="I118" s="44"/>
      <c r="J118" s="44"/>
      <c r="K118" s="44"/>
      <c r="L118" s="44"/>
      <c r="M118" s="44"/>
      <c r="N118" s="45"/>
    </row>
    <row r="119" spans="1:15" ht="15" customHeight="1" x14ac:dyDescent="0.25">
      <c r="A119" s="306">
        <v>10</v>
      </c>
      <c r="B119" s="323" t="s">
        <v>175</v>
      </c>
      <c r="C119" s="21" t="s">
        <v>109</v>
      </c>
      <c r="D119" s="1" t="s">
        <v>19</v>
      </c>
      <c r="E119" s="44">
        <v>1</v>
      </c>
      <c r="F119" s="44">
        <v>1</v>
      </c>
      <c r="G119" s="44">
        <v>1</v>
      </c>
      <c r="H119" s="44">
        <v>1</v>
      </c>
      <c r="I119" s="44">
        <v>1</v>
      </c>
      <c r="J119" s="44">
        <v>1</v>
      </c>
      <c r="K119" s="44">
        <v>1</v>
      </c>
      <c r="L119" s="44">
        <v>1</v>
      </c>
      <c r="M119" s="44">
        <v>1</v>
      </c>
      <c r="N119" s="45"/>
    </row>
    <row r="120" spans="1:15" x14ac:dyDescent="0.25">
      <c r="A120" s="306"/>
      <c r="B120" s="323"/>
      <c r="C120" s="21" t="s">
        <v>21</v>
      </c>
      <c r="D120" s="1" t="s">
        <v>19</v>
      </c>
      <c r="E120" s="44">
        <v>0.35</v>
      </c>
      <c r="F120" s="44">
        <v>0.35</v>
      </c>
      <c r="G120" s="44">
        <v>0.35</v>
      </c>
      <c r="H120" s="44">
        <v>0.35</v>
      </c>
      <c r="I120" s="44">
        <v>0.35</v>
      </c>
      <c r="J120" s="44">
        <v>0.35</v>
      </c>
      <c r="K120" s="44">
        <v>0.35</v>
      </c>
      <c r="L120" s="44">
        <v>0.35</v>
      </c>
      <c r="M120" s="44">
        <v>0.35</v>
      </c>
      <c r="N120" s="45"/>
    </row>
    <row r="121" spans="1:15" x14ac:dyDescent="0.25">
      <c r="A121" s="306"/>
      <c r="B121" s="323"/>
      <c r="C121" s="21" t="s">
        <v>22</v>
      </c>
      <c r="D121" s="1" t="s">
        <v>4</v>
      </c>
      <c r="E121" s="44">
        <v>20</v>
      </c>
      <c r="F121" s="44">
        <v>20</v>
      </c>
      <c r="G121" s="44">
        <v>20</v>
      </c>
      <c r="H121" s="44">
        <v>20</v>
      </c>
      <c r="I121" s="44">
        <v>20</v>
      </c>
      <c r="J121" s="44">
        <v>20</v>
      </c>
      <c r="K121" s="44">
        <v>20</v>
      </c>
      <c r="L121" s="44">
        <v>20</v>
      </c>
      <c r="M121" s="44">
        <v>20</v>
      </c>
      <c r="N121" s="45"/>
    </row>
    <row r="122" spans="1:15" x14ac:dyDescent="0.25">
      <c r="A122" s="306"/>
      <c r="B122" s="323"/>
      <c r="C122" s="21" t="s">
        <v>23</v>
      </c>
      <c r="D122" s="1" t="s">
        <v>6</v>
      </c>
      <c r="E122" s="46">
        <v>212.90273464055423</v>
      </c>
      <c r="F122" s="46">
        <v>180.29847756137553</v>
      </c>
      <c r="G122" s="46">
        <v>140.44328080448224</v>
      </c>
      <c r="H122" s="46">
        <v>113.16977842477434</v>
      </c>
      <c r="I122" s="46">
        <v>107.31263157894738</v>
      </c>
      <c r="J122" s="46">
        <v>107.00631578947369</v>
      </c>
      <c r="K122" s="46">
        <v>105.98526315789475</v>
      </c>
      <c r="L122" s="46">
        <v>103.84105263157896</v>
      </c>
      <c r="M122" s="46">
        <v>99.55263157894737</v>
      </c>
      <c r="N122" s="45"/>
    </row>
    <row r="123" spans="1:15" x14ac:dyDescent="0.25">
      <c r="A123" s="306"/>
      <c r="B123" s="323"/>
      <c r="C123" s="21" t="s">
        <v>173</v>
      </c>
      <c r="D123" s="1" t="s">
        <v>19</v>
      </c>
      <c r="E123" s="47">
        <v>0</v>
      </c>
      <c r="F123" s="47">
        <v>0</v>
      </c>
      <c r="G123" s="47">
        <v>0</v>
      </c>
      <c r="H123" s="47">
        <v>0</v>
      </c>
      <c r="I123" s="47">
        <v>0</v>
      </c>
      <c r="J123" s="47">
        <v>0</v>
      </c>
      <c r="K123" s="47">
        <v>0</v>
      </c>
      <c r="L123" s="47">
        <v>0</v>
      </c>
      <c r="M123" s="47">
        <v>0</v>
      </c>
      <c r="N123" s="45"/>
    </row>
    <row r="124" spans="1:15" x14ac:dyDescent="0.25">
      <c r="A124" s="306"/>
      <c r="B124" s="323"/>
      <c r="C124" s="21" t="s">
        <v>110</v>
      </c>
      <c r="D124" s="1" t="s">
        <v>8</v>
      </c>
      <c r="E124" s="44"/>
      <c r="F124" s="44"/>
      <c r="G124" s="44"/>
      <c r="H124" s="44"/>
      <c r="I124" s="44"/>
      <c r="J124" s="44"/>
      <c r="K124" s="44"/>
      <c r="L124" s="44"/>
      <c r="M124" s="44"/>
      <c r="N124" s="45"/>
    </row>
    <row r="125" spans="1:15" x14ac:dyDescent="0.25">
      <c r="A125" s="306"/>
      <c r="B125" s="323"/>
      <c r="C125" s="21" t="s">
        <v>111</v>
      </c>
      <c r="D125" s="1" t="s">
        <v>9</v>
      </c>
      <c r="E125" s="46">
        <v>6.3870820392166268</v>
      </c>
      <c r="F125" s="46">
        <v>5.4089543268412656</v>
      </c>
      <c r="G125" s="46">
        <v>4.2132984241344671</v>
      </c>
      <c r="H125" s="46">
        <v>3.3950933527432299</v>
      </c>
      <c r="I125" s="46">
        <v>2.0378947368421052</v>
      </c>
      <c r="J125" s="46">
        <v>2.0189473684210526</v>
      </c>
      <c r="K125" s="46">
        <v>1.9557894736842103</v>
      </c>
      <c r="L125" s="46">
        <v>1.8231578947368419</v>
      </c>
      <c r="M125" s="46">
        <v>1.557894736842105</v>
      </c>
      <c r="N125" s="45"/>
    </row>
    <row r="126" spans="1:15" x14ac:dyDescent="0.25">
      <c r="A126" s="306"/>
      <c r="B126" s="323"/>
      <c r="C126" s="21" t="s">
        <v>35</v>
      </c>
      <c r="D126" s="1" t="s">
        <v>10</v>
      </c>
      <c r="E126" s="46">
        <v>0</v>
      </c>
      <c r="F126" s="46">
        <v>0</v>
      </c>
      <c r="G126" s="46">
        <v>0</v>
      </c>
      <c r="H126" s="46">
        <v>0</v>
      </c>
      <c r="I126" s="46">
        <v>0</v>
      </c>
      <c r="J126" s="46">
        <v>0</v>
      </c>
      <c r="K126" s="46">
        <v>1.6357894736842103E-3</v>
      </c>
      <c r="L126" s="46">
        <v>1.5031578947368419E-3</v>
      </c>
      <c r="M126" s="46">
        <v>1.2378947368421051E-3</v>
      </c>
      <c r="N126" s="45"/>
    </row>
    <row r="127" spans="1:15" x14ac:dyDescent="0.25">
      <c r="A127" s="306"/>
      <c r="B127" s="323"/>
      <c r="C127" s="22" t="s">
        <v>24</v>
      </c>
      <c r="D127" s="23" t="s">
        <v>10</v>
      </c>
      <c r="E127" s="46">
        <v>0</v>
      </c>
      <c r="F127" s="46">
        <v>0</v>
      </c>
      <c r="G127" s="46">
        <v>0</v>
      </c>
      <c r="H127" s="46">
        <v>0</v>
      </c>
      <c r="I127" s="46">
        <v>0</v>
      </c>
      <c r="J127" s="46">
        <v>0</v>
      </c>
      <c r="K127" s="46">
        <v>0</v>
      </c>
      <c r="L127" s="46">
        <v>0</v>
      </c>
      <c r="M127" s="46">
        <v>0</v>
      </c>
      <c r="N127" s="45"/>
    </row>
    <row r="128" spans="1:15" x14ac:dyDescent="0.25">
      <c r="A128" s="306"/>
      <c r="B128" s="323"/>
      <c r="C128" s="21" t="s">
        <v>25</v>
      </c>
      <c r="D128" s="1" t="s">
        <v>7</v>
      </c>
      <c r="E128" s="47">
        <v>0.96599999999999986</v>
      </c>
      <c r="F128" s="47">
        <v>0.96599999999999986</v>
      </c>
      <c r="G128" s="47">
        <v>0.96599999999999986</v>
      </c>
      <c r="H128" s="47">
        <v>0.96599999999999986</v>
      </c>
      <c r="I128" s="47">
        <v>0.96599999999999986</v>
      </c>
      <c r="J128" s="47">
        <v>0.96599999999999986</v>
      </c>
      <c r="K128" s="47">
        <v>0.99</v>
      </c>
      <c r="L128" s="47">
        <v>0.99</v>
      </c>
      <c r="M128" s="47">
        <v>0.99</v>
      </c>
      <c r="N128" s="45"/>
    </row>
    <row r="129" spans="1:14" x14ac:dyDescent="0.25">
      <c r="A129" s="306"/>
      <c r="B129" s="323"/>
      <c r="C129" s="21" t="s">
        <v>26</v>
      </c>
      <c r="D129" s="1" t="s">
        <v>14</v>
      </c>
      <c r="E129" s="46">
        <v>1524.6</v>
      </c>
      <c r="F129" s="46">
        <v>1749.6</v>
      </c>
      <c r="G129" s="46">
        <v>2349.6</v>
      </c>
      <c r="H129" s="46">
        <v>3174.6</v>
      </c>
      <c r="I129" s="46">
        <v>4299.6000000000004</v>
      </c>
      <c r="J129" s="46">
        <v>14213</v>
      </c>
      <c r="K129" s="46">
        <v>21713</v>
      </c>
      <c r="L129" s="46">
        <v>37463</v>
      </c>
      <c r="M129" s="46">
        <v>68963</v>
      </c>
      <c r="N129" s="45"/>
    </row>
    <row r="130" spans="1:14" x14ac:dyDescent="0.25">
      <c r="A130" s="306"/>
      <c r="B130" s="323"/>
      <c r="C130" s="21" t="s">
        <v>27</v>
      </c>
      <c r="D130" s="1" t="s">
        <v>4</v>
      </c>
      <c r="E130" s="44">
        <v>40</v>
      </c>
      <c r="F130" s="44">
        <v>40</v>
      </c>
      <c r="G130" s="44">
        <v>40</v>
      </c>
      <c r="H130" s="44">
        <v>40</v>
      </c>
      <c r="I130" s="44">
        <v>40</v>
      </c>
      <c r="J130" s="44">
        <v>40</v>
      </c>
      <c r="K130" s="44">
        <v>40</v>
      </c>
      <c r="L130" s="44">
        <v>40</v>
      </c>
      <c r="M130" s="44">
        <v>40</v>
      </c>
      <c r="N130" s="45"/>
    </row>
    <row r="131" spans="1:14" x14ac:dyDescent="0.25">
      <c r="A131" s="306"/>
      <c r="B131" s="323"/>
      <c r="C131" s="21" t="s">
        <v>117</v>
      </c>
      <c r="D131" s="1" t="s">
        <v>19</v>
      </c>
      <c r="E131" s="44">
        <v>0.35</v>
      </c>
      <c r="F131" s="44">
        <v>0.35</v>
      </c>
      <c r="G131" s="44">
        <v>0.35</v>
      </c>
      <c r="H131" s="44">
        <v>0.35</v>
      </c>
      <c r="I131" s="44">
        <v>0.35</v>
      </c>
      <c r="J131" s="44">
        <v>0.35</v>
      </c>
      <c r="K131" s="44">
        <v>0.35</v>
      </c>
      <c r="L131" s="44">
        <v>0.35</v>
      </c>
      <c r="M131" s="44">
        <v>0.35</v>
      </c>
      <c r="N131" s="45"/>
    </row>
    <row r="132" spans="1:14" x14ac:dyDescent="0.25">
      <c r="A132" s="306"/>
      <c r="B132" s="323"/>
      <c r="C132" s="21" t="s">
        <v>36</v>
      </c>
      <c r="D132" s="1" t="s">
        <v>19</v>
      </c>
      <c r="E132" s="44">
        <v>1.8571428571428572</v>
      </c>
      <c r="F132" s="44">
        <v>1.8571428571428572</v>
      </c>
      <c r="G132" s="44">
        <v>1.8571428571428572</v>
      </c>
      <c r="H132" s="44">
        <v>1.8571428571428572</v>
      </c>
      <c r="I132" s="44">
        <v>1.8571428571428572</v>
      </c>
      <c r="J132" s="44">
        <v>1.8571428571428572</v>
      </c>
      <c r="K132" s="44">
        <v>1.8571428571428572</v>
      </c>
      <c r="L132" s="44">
        <v>1.8571428571428572</v>
      </c>
      <c r="M132" s="44">
        <v>1.8571428571428572</v>
      </c>
      <c r="N132" s="45"/>
    </row>
    <row r="133" spans="1:14" x14ac:dyDescent="0.25">
      <c r="A133" s="306"/>
      <c r="B133" s="323"/>
      <c r="C133" s="21" t="s">
        <v>37</v>
      </c>
      <c r="D133" s="1" t="s">
        <v>4</v>
      </c>
      <c r="E133" s="44">
        <v>20</v>
      </c>
      <c r="F133" s="44">
        <v>20</v>
      </c>
      <c r="G133" s="44">
        <v>20</v>
      </c>
      <c r="H133" s="44">
        <v>20</v>
      </c>
      <c r="I133" s="44">
        <v>20</v>
      </c>
      <c r="J133" s="44">
        <v>20</v>
      </c>
      <c r="K133" s="44">
        <v>20</v>
      </c>
      <c r="L133" s="44">
        <v>20</v>
      </c>
      <c r="M133" s="44">
        <v>20</v>
      </c>
      <c r="N133" s="45"/>
    </row>
    <row r="134" spans="1:14" x14ac:dyDescent="0.25">
      <c r="A134" s="306"/>
      <c r="B134" s="323"/>
      <c r="C134" s="21" t="s">
        <v>38</v>
      </c>
      <c r="D134" s="1" t="s">
        <v>6</v>
      </c>
      <c r="E134" s="46">
        <v>6505.2925894863074</v>
      </c>
      <c r="F134" s="46">
        <v>4401.6753460736363</v>
      </c>
      <c r="G134" s="46">
        <v>2730.489848151858</v>
      </c>
      <c r="H134" s="46">
        <v>2119.9941480339958</v>
      </c>
      <c r="I134" s="46">
        <v>1761.8425600025264</v>
      </c>
      <c r="J134" s="46">
        <v>1439.7537496450543</v>
      </c>
      <c r="K134" s="46">
        <v>1128.0333292524301</v>
      </c>
      <c r="L134" s="46">
        <v>904.18982423028638</v>
      </c>
      <c r="M134" s="46">
        <v>736.80866636730173</v>
      </c>
      <c r="N134" s="45"/>
    </row>
    <row r="135" spans="1:14" x14ac:dyDescent="0.25">
      <c r="A135" s="306"/>
      <c r="B135" s="323"/>
      <c r="C135" s="21" t="s">
        <v>176</v>
      </c>
      <c r="D135" s="1" t="s">
        <v>19</v>
      </c>
      <c r="E135" s="47">
        <v>0</v>
      </c>
      <c r="F135" s="47">
        <v>0</v>
      </c>
      <c r="G135" s="47">
        <v>0</v>
      </c>
      <c r="H135" s="47">
        <v>0</v>
      </c>
      <c r="I135" s="47">
        <v>0</v>
      </c>
      <c r="J135" s="47">
        <v>0</v>
      </c>
      <c r="K135" s="47">
        <v>0</v>
      </c>
      <c r="L135" s="47">
        <v>0</v>
      </c>
      <c r="M135" s="47">
        <v>0</v>
      </c>
      <c r="N135" s="45"/>
    </row>
    <row r="136" spans="1:14" x14ac:dyDescent="0.25">
      <c r="A136" s="306"/>
      <c r="B136" s="323"/>
      <c r="C136" s="21" t="s">
        <v>118</v>
      </c>
      <c r="D136" s="1" t="s">
        <v>8</v>
      </c>
      <c r="E136" s="44"/>
      <c r="F136" s="44"/>
      <c r="G136" s="44"/>
      <c r="H136" s="44"/>
      <c r="I136" s="44"/>
      <c r="J136" s="44"/>
      <c r="K136" s="44"/>
      <c r="L136" s="44"/>
      <c r="M136" s="44"/>
      <c r="N136" s="45"/>
    </row>
    <row r="137" spans="1:14" x14ac:dyDescent="0.25">
      <c r="A137" s="306"/>
      <c r="B137" s="323"/>
      <c r="C137" s="21" t="s">
        <v>119</v>
      </c>
      <c r="D137" s="1" t="s">
        <v>9</v>
      </c>
      <c r="E137" s="44"/>
      <c r="F137" s="44"/>
      <c r="G137" s="44"/>
      <c r="H137" s="44"/>
      <c r="I137" s="44"/>
      <c r="J137" s="44"/>
      <c r="K137" s="44"/>
      <c r="L137" s="44"/>
      <c r="M137" s="44"/>
      <c r="N137" s="45"/>
    </row>
    <row r="138" spans="1:14" x14ac:dyDescent="0.25">
      <c r="A138" s="306"/>
      <c r="B138" s="323"/>
      <c r="C138" s="21" t="s">
        <v>39</v>
      </c>
      <c r="D138" s="1" t="s">
        <v>10</v>
      </c>
      <c r="E138" s="46">
        <v>5.4632155805897732E-2</v>
      </c>
      <c r="F138" s="46">
        <v>6.9225169277652349E-2</v>
      </c>
      <c r="G138" s="46">
        <v>5.5072970988733948E-2</v>
      </c>
      <c r="H138" s="46">
        <v>4.6604222305577481E-2</v>
      </c>
      <c r="I138" s="46">
        <v>4.0289223212275231E-2</v>
      </c>
      <c r="J138" s="46">
        <v>2.4583755873341454E-2</v>
      </c>
      <c r="K138" s="46">
        <v>1.9104989606490121E-2</v>
      </c>
      <c r="L138" s="46">
        <v>1.5182594783541725E-2</v>
      </c>
      <c r="M138" s="46">
        <v>1.3307545040231683E-2</v>
      </c>
      <c r="N138" s="45"/>
    </row>
    <row r="139" spans="1:14" x14ac:dyDescent="0.25">
      <c r="A139" s="306"/>
      <c r="B139" s="323"/>
      <c r="C139" s="22" t="s">
        <v>40</v>
      </c>
      <c r="D139" s="23" t="s">
        <v>10</v>
      </c>
      <c r="E139" s="46">
        <v>0</v>
      </c>
      <c r="F139" s="46">
        <v>0</v>
      </c>
      <c r="G139" s="46">
        <v>0</v>
      </c>
      <c r="H139" s="46">
        <v>0</v>
      </c>
      <c r="I139" s="46">
        <v>0</v>
      </c>
      <c r="J139" s="46">
        <v>0</v>
      </c>
      <c r="K139" s="46">
        <v>0</v>
      </c>
      <c r="L139" s="46">
        <v>0</v>
      </c>
      <c r="M139" s="46">
        <v>0</v>
      </c>
      <c r="N139" s="45"/>
    </row>
    <row r="140" spans="1:14" x14ac:dyDescent="0.25">
      <c r="A140" s="306"/>
      <c r="B140" s="323"/>
      <c r="C140" s="21" t="s">
        <v>41</v>
      </c>
      <c r="D140" s="1" t="s">
        <v>14</v>
      </c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1:14" x14ac:dyDescent="0.25">
      <c r="A141" s="306"/>
      <c r="B141" s="323"/>
      <c r="C141" s="21" t="s">
        <v>42</v>
      </c>
      <c r="D141" s="1" t="s">
        <v>4</v>
      </c>
      <c r="E141" s="44"/>
      <c r="F141" s="44"/>
      <c r="G141" s="44"/>
      <c r="H141" s="44"/>
      <c r="I141" s="44"/>
      <c r="J141" s="44"/>
      <c r="K141" s="44"/>
      <c r="L141" s="44"/>
      <c r="M141" s="44"/>
      <c r="N141" s="45"/>
    </row>
    <row r="142" spans="1:14" x14ac:dyDescent="0.25">
      <c r="A142" s="306"/>
      <c r="B142" s="323"/>
      <c r="C142" s="21" t="s">
        <v>43</v>
      </c>
      <c r="D142" s="1" t="s">
        <v>7</v>
      </c>
      <c r="E142" s="50">
        <v>0.25</v>
      </c>
      <c r="F142" s="50">
        <v>0.25</v>
      </c>
      <c r="G142" s="50">
        <v>0.25</v>
      </c>
      <c r="H142" s="50">
        <v>0.25</v>
      </c>
      <c r="I142" s="50">
        <v>0.25</v>
      </c>
      <c r="J142" s="50">
        <v>0.25</v>
      </c>
      <c r="K142" s="50">
        <v>0.25</v>
      </c>
      <c r="L142" s="50">
        <v>0.25</v>
      </c>
      <c r="M142" s="50">
        <v>0.25</v>
      </c>
      <c r="N142" s="45"/>
    </row>
    <row r="143" spans="1:14" x14ac:dyDescent="0.25">
      <c r="A143" s="306"/>
      <c r="B143" s="323"/>
      <c r="C143" s="24" t="s">
        <v>44</v>
      </c>
      <c r="D143" s="1" t="s">
        <v>7</v>
      </c>
      <c r="E143" s="47">
        <v>0.66625430833964439</v>
      </c>
      <c r="F143" s="47">
        <v>0.66367464936796561</v>
      </c>
      <c r="G143" s="47">
        <v>0.65679555877682227</v>
      </c>
      <c r="H143" s="47">
        <v>0.64733680921400016</v>
      </c>
      <c r="I143" s="47">
        <v>0.63443851435560639</v>
      </c>
      <c r="J143" s="47">
        <v>0.4680070358050421</v>
      </c>
      <c r="K143" s="47">
        <v>0.46713859851464173</v>
      </c>
      <c r="L143" s="47">
        <v>0.46531488020480088</v>
      </c>
      <c r="M143" s="47">
        <v>0.47</v>
      </c>
      <c r="N143" s="45"/>
    </row>
    <row r="144" spans="1:14" x14ac:dyDescent="0.25">
      <c r="A144" s="306"/>
      <c r="B144" s="323"/>
      <c r="C144" s="24" t="s">
        <v>45</v>
      </c>
      <c r="D144" s="1" t="s">
        <v>7</v>
      </c>
      <c r="E144" s="47">
        <v>0.25092243745356524</v>
      </c>
      <c r="F144" s="47">
        <v>0.25657675134016689</v>
      </c>
      <c r="G144" s="47">
        <v>0.27165492170443795</v>
      </c>
      <c r="H144" s="47">
        <v>0.29238740595531065</v>
      </c>
      <c r="I144" s="47">
        <v>0.32065897538831889</v>
      </c>
      <c r="J144" s="47">
        <v>0.41290384467151914</v>
      </c>
      <c r="K144" s="47">
        <v>0.41363974384019625</v>
      </c>
      <c r="L144" s="47">
        <v>0.41518513209441815</v>
      </c>
      <c r="M144" s="47">
        <v>0.41599999999999998</v>
      </c>
      <c r="N144" s="45"/>
    </row>
    <row r="145" spans="1:14" x14ac:dyDescent="0.25">
      <c r="A145" s="306"/>
      <c r="B145" s="323"/>
      <c r="C145" s="25" t="s">
        <v>120</v>
      </c>
      <c r="D145" s="23" t="s">
        <v>10</v>
      </c>
      <c r="E145" s="46">
        <v>0.16</v>
      </c>
      <c r="F145" s="46">
        <v>0.16</v>
      </c>
      <c r="G145" s="46">
        <v>0.16</v>
      </c>
      <c r="H145" s="46">
        <v>0.16</v>
      </c>
      <c r="I145" s="46">
        <v>0.06</v>
      </c>
      <c r="J145" s="46">
        <v>0.05</v>
      </c>
      <c r="K145" s="46">
        <v>4.3999999999999997E-2</v>
      </c>
      <c r="L145" s="46">
        <v>4.3999999999999997E-2</v>
      </c>
      <c r="M145" s="46">
        <v>4.3999999999999997E-2</v>
      </c>
      <c r="N145" s="45"/>
    </row>
    <row r="146" spans="1:14" x14ac:dyDescent="0.25">
      <c r="A146" s="306"/>
      <c r="B146" s="323"/>
      <c r="C146" s="25" t="s">
        <v>121</v>
      </c>
      <c r="D146" s="23" t="s">
        <v>122</v>
      </c>
      <c r="E146" s="46">
        <v>0.08</v>
      </c>
      <c r="F146" s="46">
        <v>0.08</v>
      </c>
      <c r="G146" s="46">
        <v>0.08</v>
      </c>
      <c r="H146" s="46">
        <v>0.08</v>
      </c>
      <c r="I146" s="46">
        <v>0.03</v>
      </c>
      <c r="J146" s="46">
        <v>0</v>
      </c>
      <c r="K146" s="46">
        <v>0</v>
      </c>
      <c r="L146" s="46">
        <v>0</v>
      </c>
      <c r="M146" s="46">
        <v>0</v>
      </c>
      <c r="N146" s="45"/>
    </row>
    <row r="147" spans="1:14" x14ac:dyDescent="0.25">
      <c r="A147" s="306"/>
      <c r="B147" s="323"/>
      <c r="C147" s="25" t="s">
        <v>123</v>
      </c>
      <c r="D147" s="23" t="s">
        <v>124</v>
      </c>
      <c r="E147" s="44">
        <v>5.4999999999999997E-3</v>
      </c>
      <c r="F147" s="44">
        <v>5.4999999999999997E-3</v>
      </c>
      <c r="G147" s="44">
        <v>5.4999999999999997E-3</v>
      </c>
      <c r="H147" s="44">
        <v>5.4999999999999997E-3</v>
      </c>
      <c r="I147" s="44">
        <v>5.4999999999999997E-3</v>
      </c>
      <c r="J147" s="44">
        <v>5.4999999999999997E-3</v>
      </c>
      <c r="K147" s="44">
        <v>5.4999999999999997E-3</v>
      </c>
      <c r="L147" s="44">
        <v>5.4999999999999997E-3</v>
      </c>
      <c r="M147" s="44">
        <v>5.4999999999999997E-3</v>
      </c>
      <c r="N147" s="45"/>
    </row>
    <row r="148" spans="1:14" ht="15" customHeight="1" x14ac:dyDescent="0.25">
      <c r="A148" s="306">
        <v>11</v>
      </c>
      <c r="B148" s="323" t="s">
        <v>177</v>
      </c>
      <c r="C148" s="21" t="s">
        <v>109</v>
      </c>
      <c r="D148" s="1" t="s">
        <v>19</v>
      </c>
      <c r="E148" s="44">
        <v>1</v>
      </c>
      <c r="F148" s="44">
        <v>1</v>
      </c>
      <c r="G148" s="44">
        <v>1</v>
      </c>
      <c r="H148" s="44">
        <v>1</v>
      </c>
      <c r="I148" s="44">
        <v>1</v>
      </c>
      <c r="J148" s="44">
        <v>1</v>
      </c>
      <c r="K148" s="44">
        <v>1</v>
      </c>
      <c r="L148" s="44">
        <v>1</v>
      </c>
      <c r="M148" s="44">
        <v>1</v>
      </c>
      <c r="N148" s="45"/>
    </row>
    <row r="149" spans="1:14" x14ac:dyDescent="0.25">
      <c r="A149" s="306"/>
      <c r="B149" s="323"/>
      <c r="C149" s="21" t="s">
        <v>21</v>
      </c>
      <c r="D149" s="1" t="s">
        <v>19</v>
      </c>
      <c r="E149" s="44">
        <v>0.35</v>
      </c>
      <c r="F149" s="44">
        <v>0.35</v>
      </c>
      <c r="G149" s="44">
        <v>0.35</v>
      </c>
      <c r="H149" s="44">
        <v>0.35</v>
      </c>
      <c r="I149" s="44">
        <v>0.35</v>
      </c>
      <c r="J149" s="44">
        <v>0.35</v>
      </c>
      <c r="K149" s="44">
        <v>0.35</v>
      </c>
      <c r="L149" s="44">
        <v>0.35</v>
      </c>
      <c r="M149" s="44">
        <v>0.35</v>
      </c>
      <c r="N149" s="45"/>
    </row>
    <row r="150" spans="1:14" x14ac:dyDescent="0.25">
      <c r="A150" s="306"/>
      <c r="B150" s="323"/>
      <c r="C150" s="21" t="s">
        <v>22</v>
      </c>
      <c r="D150" s="1" t="s">
        <v>4</v>
      </c>
      <c r="E150" s="44">
        <v>20</v>
      </c>
      <c r="F150" s="44">
        <v>20</v>
      </c>
      <c r="G150" s="44">
        <v>20</v>
      </c>
      <c r="H150" s="44">
        <v>20</v>
      </c>
      <c r="I150" s="44">
        <v>20</v>
      </c>
      <c r="J150" s="44">
        <v>20</v>
      </c>
      <c r="K150" s="44">
        <v>20</v>
      </c>
      <c r="L150" s="44">
        <v>20</v>
      </c>
      <c r="M150" s="44">
        <v>20</v>
      </c>
      <c r="N150" s="45"/>
    </row>
    <row r="151" spans="1:14" x14ac:dyDescent="0.25">
      <c r="A151" s="306"/>
      <c r="B151" s="323"/>
      <c r="C151" s="21" t="s">
        <v>23</v>
      </c>
      <c r="D151" s="1" t="s">
        <v>6</v>
      </c>
      <c r="E151" s="46">
        <v>212.90273464055423</v>
      </c>
      <c r="F151" s="46">
        <v>180.29847756137553</v>
      </c>
      <c r="G151" s="46">
        <v>140.44328080448224</v>
      </c>
      <c r="H151" s="46">
        <v>113.16977842477434</v>
      </c>
      <c r="I151" s="46">
        <v>107.31263157894738</v>
      </c>
      <c r="J151" s="46">
        <v>107.00631578947369</v>
      </c>
      <c r="K151" s="46">
        <v>105.98526315789475</v>
      </c>
      <c r="L151" s="46">
        <v>103.84105263157896</v>
      </c>
      <c r="M151" s="46">
        <v>99.55263157894737</v>
      </c>
      <c r="N151" s="45"/>
    </row>
    <row r="152" spans="1:14" x14ac:dyDescent="0.25">
      <c r="A152" s="306"/>
      <c r="B152" s="323"/>
      <c r="C152" s="21" t="s">
        <v>173</v>
      </c>
      <c r="D152" s="1" t="s">
        <v>19</v>
      </c>
      <c r="E152" s="47">
        <v>0</v>
      </c>
      <c r="F152" s="47">
        <v>0</v>
      </c>
      <c r="G152" s="47">
        <v>0</v>
      </c>
      <c r="H152" s="47">
        <v>0</v>
      </c>
      <c r="I152" s="47">
        <v>0</v>
      </c>
      <c r="J152" s="47">
        <v>0</v>
      </c>
      <c r="K152" s="47">
        <v>0</v>
      </c>
      <c r="L152" s="47">
        <v>0</v>
      </c>
      <c r="M152" s="47">
        <v>0</v>
      </c>
      <c r="N152" s="45"/>
    </row>
    <row r="153" spans="1:14" x14ac:dyDescent="0.25">
      <c r="A153" s="306"/>
      <c r="B153" s="323"/>
      <c r="C153" s="21" t="s">
        <v>110</v>
      </c>
      <c r="D153" s="1" t="s">
        <v>8</v>
      </c>
      <c r="E153" s="44"/>
      <c r="F153" s="44"/>
      <c r="G153" s="44"/>
      <c r="H153" s="44"/>
      <c r="I153" s="44"/>
      <c r="J153" s="44"/>
      <c r="K153" s="44"/>
      <c r="L153" s="44"/>
      <c r="M153" s="44"/>
      <c r="N153" s="45"/>
    </row>
    <row r="154" spans="1:14" x14ac:dyDescent="0.25">
      <c r="A154" s="306"/>
      <c r="B154" s="323"/>
      <c r="C154" s="21" t="s">
        <v>111</v>
      </c>
      <c r="D154" s="1" t="s">
        <v>9</v>
      </c>
      <c r="E154" s="46">
        <v>6.3870820392166268</v>
      </c>
      <c r="F154" s="46">
        <v>5.4089543268412656</v>
      </c>
      <c r="G154" s="46">
        <v>4.2132984241344671</v>
      </c>
      <c r="H154" s="46">
        <v>3.3950933527432299</v>
      </c>
      <c r="I154" s="46">
        <v>2.0378947368421052</v>
      </c>
      <c r="J154" s="46">
        <v>2.0189473684210526</v>
      </c>
      <c r="K154" s="46">
        <v>1.9557894736842103</v>
      </c>
      <c r="L154" s="46">
        <v>1.8231578947368419</v>
      </c>
      <c r="M154" s="46">
        <v>1.557894736842105</v>
      </c>
      <c r="N154" s="45"/>
    </row>
    <row r="155" spans="1:14" x14ac:dyDescent="0.25">
      <c r="A155" s="306"/>
      <c r="B155" s="323"/>
      <c r="C155" s="21" t="s">
        <v>35</v>
      </c>
      <c r="D155" s="1" t="s">
        <v>10</v>
      </c>
      <c r="E155" s="46">
        <v>0</v>
      </c>
      <c r="F155" s="46">
        <v>0</v>
      </c>
      <c r="G155" s="46">
        <v>0</v>
      </c>
      <c r="H155" s="46">
        <v>0</v>
      </c>
      <c r="I155" s="46">
        <v>0</v>
      </c>
      <c r="J155" s="46">
        <v>0</v>
      </c>
      <c r="K155" s="46">
        <v>1.6357894736842103E-3</v>
      </c>
      <c r="L155" s="46">
        <v>1.5031578947368419E-3</v>
      </c>
      <c r="M155" s="46">
        <v>1.2378947368421051E-3</v>
      </c>
      <c r="N155" s="45"/>
    </row>
    <row r="156" spans="1:14" x14ac:dyDescent="0.25">
      <c r="A156" s="306"/>
      <c r="B156" s="323"/>
      <c r="C156" s="22" t="s">
        <v>24</v>
      </c>
      <c r="D156" s="23" t="s">
        <v>10</v>
      </c>
      <c r="E156" s="46">
        <v>0</v>
      </c>
      <c r="F156" s="46">
        <v>0</v>
      </c>
      <c r="G156" s="46">
        <v>0</v>
      </c>
      <c r="H156" s="46">
        <v>0</v>
      </c>
      <c r="I156" s="46">
        <v>0</v>
      </c>
      <c r="J156" s="46">
        <v>0</v>
      </c>
      <c r="K156" s="46">
        <v>0</v>
      </c>
      <c r="L156" s="46">
        <v>0</v>
      </c>
      <c r="M156" s="46">
        <v>0</v>
      </c>
      <c r="N156" s="45"/>
    </row>
    <row r="157" spans="1:14" x14ac:dyDescent="0.25">
      <c r="A157" s="306"/>
      <c r="B157" s="323"/>
      <c r="C157" s="21" t="s">
        <v>25</v>
      </c>
      <c r="D157" s="1" t="s">
        <v>7</v>
      </c>
      <c r="E157" s="47">
        <v>0.96599999999999986</v>
      </c>
      <c r="F157" s="47">
        <v>0.96599999999999986</v>
      </c>
      <c r="G157" s="47">
        <v>0.96599999999999986</v>
      </c>
      <c r="H157" s="47">
        <v>0.96599999999999986</v>
      </c>
      <c r="I157" s="47">
        <v>0.96599999999999986</v>
      </c>
      <c r="J157" s="47">
        <v>0.96599999999999986</v>
      </c>
      <c r="K157" s="47">
        <v>0.99</v>
      </c>
      <c r="L157" s="47">
        <v>0.99</v>
      </c>
      <c r="M157" s="47">
        <v>0.99</v>
      </c>
      <c r="N157" s="45"/>
    </row>
    <row r="158" spans="1:14" x14ac:dyDescent="0.25">
      <c r="A158" s="306"/>
      <c r="B158" s="323"/>
      <c r="C158" s="21" t="s">
        <v>26</v>
      </c>
      <c r="D158" s="1" t="s">
        <v>14</v>
      </c>
      <c r="E158" s="46">
        <v>1524.6</v>
      </c>
      <c r="F158" s="46">
        <v>1749.6</v>
      </c>
      <c r="G158" s="46">
        <v>2349.6</v>
      </c>
      <c r="H158" s="46">
        <v>3174.6</v>
      </c>
      <c r="I158" s="46">
        <v>4299.6000000000004</v>
      </c>
      <c r="J158" s="46">
        <v>14213</v>
      </c>
      <c r="K158" s="46">
        <v>21713</v>
      </c>
      <c r="L158" s="46">
        <v>37463</v>
      </c>
      <c r="M158" s="46">
        <v>68963</v>
      </c>
      <c r="N158" s="45"/>
    </row>
    <row r="159" spans="1:14" x14ac:dyDescent="0.25">
      <c r="A159" s="306"/>
      <c r="B159" s="323"/>
      <c r="C159" s="21" t="s">
        <v>27</v>
      </c>
      <c r="D159" s="1" t="s">
        <v>4</v>
      </c>
      <c r="E159" s="44">
        <v>40</v>
      </c>
      <c r="F159" s="44">
        <v>40</v>
      </c>
      <c r="G159" s="44">
        <v>40</v>
      </c>
      <c r="H159" s="44">
        <v>40</v>
      </c>
      <c r="I159" s="44">
        <v>40</v>
      </c>
      <c r="J159" s="44">
        <v>40</v>
      </c>
      <c r="K159" s="44">
        <v>40</v>
      </c>
      <c r="L159" s="44">
        <v>40</v>
      </c>
      <c r="M159" s="44">
        <v>40</v>
      </c>
      <c r="N159" s="45"/>
    </row>
    <row r="160" spans="1:14" x14ac:dyDescent="0.25">
      <c r="A160" s="306"/>
      <c r="B160" s="323"/>
      <c r="C160" s="21" t="s">
        <v>117</v>
      </c>
      <c r="D160" s="1" t="s">
        <v>19</v>
      </c>
      <c r="E160" s="44">
        <v>0.35</v>
      </c>
      <c r="F160" s="44">
        <v>0.35</v>
      </c>
      <c r="G160" s="44">
        <v>0.35</v>
      </c>
      <c r="H160" s="44">
        <v>0.35</v>
      </c>
      <c r="I160" s="44">
        <v>0.35</v>
      </c>
      <c r="J160" s="44">
        <v>0.35</v>
      </c>
      <c r="K160" s="44">
        <v>0.35</v>
      </c>
      <c r="L160" s="44">
        <v>0.35</v>
      </c>
      <c r="M160" s="44">
        <v>0.35</v>
      </c>
      <c r="N160" s="45"/>
    </row>
    <row r="161" spans="1:14" x14ac:dyDescent="0.25">
      <c r="A161" s="306"/>
      <c r="B161" s="323"/>
      <c r="C161" s="21" t="s">
        <v>36</v>
      </c>
      <c r="D161" s="1" t="s">
        <v>19</v>
      </c>
      <c r="E161" s="44">
        <v>1.8571428571428572</v>
      </c>
      <c r="F161" s="44">
        <v>1.8571428571428572</v>
      </c>
      <c r="G161" s="44">
        <v>1.8571428571428572</v>
      </c>
      <c r="H161" s="44">
        <v>1.8571428571428572</v>
      </c>
      <c r="I161" s="44">
        <v>1.8571428571428572</v>
      </c>
      <c r="J161" s="44">
        <v>1.8571428571428572</v>
      </c>
      <c r="K161" s="44">
        <v>1.8571428571428572</v>
      </c>
      <c r="L161" s="44">
        <v>1.8571428571428572</v>
      </c>
      <c r="M161" s="44">
        <v>1.8571428571428572</v>
      </c>
      <c r="N161" s="45"/>
    </row>
    <row r="162" spans="1:14" x14ac:dyDescent="0.25">
      <c r="A162" s="306"/>
      <c r="B162" s="323"/>
      <c r="C162" s="21" t="s">
        <v>37</v>
      </c>
      <c r="D162" s="1" t="s">
        <v>4</v>
      </c>
      <c r="E162" s="44">
        <v>20</v>
      </c>
      <c r="F162" s="44">
        <v>20</v>
      </c>
      <c r="G162" s="44">
        <v>20</v>
      </c>
      <c r="H162" s="44">
        <v>20</v>
      </c>
      <c r="I162" s="44">
        <v>20</v>
      </c>
      <c r="J162" s="44">
        <v>20</v>
      </c>
      <c r="K162" s="44">
        <v>20</v>
      </c>
      <c r="L162" s="44">
        <v>20</v>
      </c>
      <c r="M162" s="44">
        <v>20</v>
      </c>
      <c r="N162" s="45"/>
    </row>
    <row r="163" spans="1:14" x14ac:dyDescent="0.25">
      <c r="A163" s="306"/>
      <c r="B163" s="323"/>
      <c r="C163" s="21" t="s">
        <v>38</v>
      </c>
      <c r="D163" s="1" t="s">
        <v>6</v>
      </c>
      <c r="E163" s="46">
        <v>6505.2925894863074</v>
      </c>
      <c r="F163" s="46">
        <v>4401.6753460736363</v>
      </c>
      <c r="G163" s="46">
        <v>2730.489848151858</v>
      </c>
      <c r="H163" s="46">
        <v>2119.9941480339958</v>
      </c>
      <c r="I163" s="46">
        <v>1761.8425600025264</v>
      </c>
      <c r="J163" s="46">
        <v>1439.7537496450543</v>
      </c>
      <c r="K163" s="46">
        <v>1128.0333292524301</v>
      </c>
      <c r="L163" s="46">
        <v>904.18982423028638</v>
      </c>
      <c r="M163" s="46">
        <v>736.80866636730173</v>
      </c>
      <c r="N163" s="45"/>
    </row>
    <row r="164" spans="1:14" x14ac:dyDescent="0.25">
      <c r="A164" s="306"/>
      <c r="B164" s="323"/>
      <c r="C164" s="21" t="s">
        <v>176</v>
      </c>
      <c r="D164" s="1" t="s">
        <v>19</v>
      </c>
      <c r="E164" s="47">
        <v>0</v>
      </c>
      <c r="F164" s="47">
        <v>0</v>
      </c>
      <c r="G164" s="47">
        <v>0</v>
      </c>
      <c r="H164" s="47">
        <v>0</v>
      </c>
      <c r="I164" s="47">
        <v>0</v>
      </c>
      <c r="J164" s="47">
        <v>0</v>
      </c>
      <c r="K164" s="47">
        <v>0</v>
      </c>
      <c r="L164" s="47">
        <v>0</v>
      </c>
      <c r="M164" s="47">
        <v>0</v>
      </c>
      <c r="N164" s="45"/>
    </row>
    <row r="165" spans="1:14" x14ac:dyDescent="0.25">
      <c r="A165" s="306"/>
      <c r="B165" s="323"/>
      <c r="C165" s="21" t="s">
        <v>118</v>
      </c>
      <c r="D165" s="1" t="s">
        <v>8</v>
      </c>
      <c r="E165" s="44"/>
      <c r="F165" s="44"/>
      <c r="G165" s="44"/>
      <c r="H165" s="44"/>
      <c r="I165" s="44"/>
      <c r="J165" s="44"/>
      <c r="K165" s="44"/>
      <c r="L165" s="44"/>
      <c r="M165" s="44"/>
      <c r="N165" s="45"/>
    </row>
    <row r="166" spans="1:14" x14ac:dyDescent="0.25">
      <c r="A166" s="306"/>
      <c r="B166" s="323"/>
      <c r="C166" s="21" t="s">
        <v>119</v>
      </c>
      <c r="D166" s="1" t="s">
        <v>9</v>
      </c>
      <c r="E166" s="44"/>
      <c r="F166" s="44"/>
      <c r="G166" s="44"/>
      <c r="H166" s="44"/>
      <c r="I166" s="44"/>
      <c r="J166" s="44"/>
      <c r="K166" s="44"/>
      <c r="L166" s="44"/>
      <c r="M166" s="44"/>
      <c r="N166" s="45"/>
    </row>
    <row r="167" spans="1:14" x14ac:dyDescent="0.25">
      <c r="A167" s="306"/>
      <c r="B167" s="323"/>
      <c r="C167" s="21" t="s">
        <v>39</v>
      </c>
      <c r="D167" s="1" t="s">
        <v>10</v>
      </c>
      <c r="E167" s="46">
        <v>5.4632155805897732E-2</v>
      </c>
      <c r="F167" s="46">
        <v>6.9225169277652349E-2</v>
      </c>
      <c r="G167" s="46">
        <v>5.5072970988733948E-2</v>
      </c>
      <c r="H167" s="46">
        <v>4.6604222305577481E-2</v>
      </c>
      <c r="I167" s="46">
        <v>4.0289223212275231E-2</v>
      </c>
      <c r="J167" s="46">
        <v>2.4583755873341454E-2</v>
      </c>
      <c r="K167" s="46">
        <v>1.9104989606490121E-2</v>
      </c>
      <c r="L167" s="46">
        <v>1.5182594783541725E-2</v>
      </c>
      <c r="M167" s="46">
        <v>1.3307545040231683E-2</v>
      </c>
      <c r="N167" s="45"/>
    </row>
    <row r="168" spans="1:14" x14ac:dyDescent="0.25">
      <c r="A168" s="306"/>
      <c r="B168" s="323"/>
      <c r="C168" s="22" t="s">
        <v>40</v>
      </c>
      <c r="D168" s="23" t="s">
        <v>10</v>
      </c>
      <c r="E168" s="46">
        <v>0</v>
      </c>
      <c r="F168" s="46">
        <v>0</v>
      </c>
      <c r="G168" s="46">
        <v>0</v>
      </c>
      <c r="H168" s="46">
        <v>0</v>
      </c>
      <c r="I168" s="46">
        <v>0</v>
      </c>
      <c r="J168" s="46">
        <v>0</v>
      </c>
      <c r="K168" s="46">
        <v>0</v>
      </c>
      <c r="L168" s="46">
        <v>0</v>
      </c>
      <c r="M168" s="46">
        <v>0</v>
      </c>
      <c r="N168" s="45"/>
    </row>
    <row r="169" spans="1:14" x14ac:dyDescent="0.25">
      <c r="A169" s="306"/>
      <c r="B169" s="323"/>
      <c r="C169" s="21" t="s">
        <v>41</v>
      </c>
      <c r="D169" s="1" t="s">
        <v>14</v>
      </c>
      <c r="E169" s="44"/>
      <c r="F169" s="44"/>
      <c r="G169" s="44"/>
      <c r="H169" s="44"/>
      <c r="I169" s="44"/>
      <c r="J169" s="44"/>
      <c r="K169" s="44"/>
      <c r="L169" s="44"/>
      <c r="M169" s="44"/>
      <c r="N169" s="45"/>
    </row>
    <row r="170" spans="1:14" x14ac:dyDescent="0.25">
      <c r="A170" s="306"/>
      <c r="B170" s="323"/>
      <c r="C170" s="21" t="s">
        <v>42</v>
      </c>
      <c r="D170" s="1" t="s">
        <v>4</v>
      </c>
      <c r="E170" s="44"/>
      <c r="F170" s="44"/>
      <c r="G170" s="44"/>
      <c r="H170" s="44"/>
      <c r="I170" s="44"/>
      <c r="J170" s="44"/>
      <c r="K170" s="44"/>
      <c r="L170" s="44"/>
      <c r="M170" s="44"/>
      <c r="N170" s="45"/>
    </row>
    <row r="171" spans="1:14" x14ac:dyDescent="0.25">
      <c r="A171" s="306"/>
      <c r="B171" s="323"/>
      <c r="C171" s="21" t="s">
        <v>43</v>
      </c>
      <c r="D171" s="1" t="s">
        <v>7</v>
      </c>
      <c r="E171" s="50">
        <v>0.5</v>
      </c>
      <c r="F171" s="50">
        <v>0.5</v>
      </c>
      <c r="G171" s="50">
        <v>0.5</v>
      </c>
      <c r="H171" s="50">
        <v>0.5</v>
      </c>
      <c r="I171" s="50">
        <v>0.5</v>
      </c>
      <c r="J171" s="50">
        <v>0.5</v>
      </c>
      <c r="K171" s="50">
        <v>0.5</v>
      </c>
      <c r="L171" s="50">
        <v>0.5</v>
      </c>
      <c r="M171" s="50">
        <v>0.5</v>
      </c>
      <c r="N171" s="45"/>
    </row>
    <row r="172" spans="1:14" ht="14.45" customHeight="1" x14ac:dyDescent="0.25">
      <c r="A172" s="306"/>
      <c r="B172" s="323"/>
      <c r="C172" s="24" t="s">
        <v>44</v>
      </c>
      <c r="D172" s="1" t="s">
        <v>7</v>
      </c>
      <c r="E172" s="47">
        <v>0.66625430833964439</v>
      </c>
      <c r="F172" s="47">
        <v>0.66367464936796561</v>
      </c>
      <c r="G172" s="47">
        <v>0.65679555877682227</v>
      </c>
      <c r="H172" s="47">
        <v>0.64733680921400016</v>
      </c>
      <c r="I172" s="47">
        <v>0.63443851435560639</v>
      </c>
      <c r="J172" s="47">
        <v>0.4680070358050421</v>
      </c>
      <c r="K172" s="47">
        <v>0.46713859851464173</v>
      </c>
      <c r="L172" s="47">
        <v>0.46531488020480088</v>
      </c>
      <c r="M172" s="47">
        <v>0.47</v>
      </c>
      <c r="N172" s="45"/>
    </row>
    <row r="173" spans="1:14" ht="14.45" customHeight="1" x14ac:dyDescent="0.25">
      <c r="A173" s="306"/>
      <c r="B173" s="323"/>
      <c r="C173" s="24" t="s">
        <v>45</v>
      </c>
      <c r="D173" s="1" t="s">
        <v>7</v>
      </c>
      <c r="E173" s="47">
        <v>0.25092243745356524</v>
      </c>
      <c r="F173" s="47">
        <v>0.25657675134016689</v>
      </c>
      <c r="G173" s="47">
        <v>0.27165492170443795</v>
      </c>
      <c r="H173" s="47">
        <v>0.29238740595531065</v>
      </c>
      <c r="I173" s="47">
        <v>0.32065897538831889</v>
      </c>
      <c r="J173" s="47">
        <v>0.41290384467151914</v>
      </c>
      <c r="K173" s="47">
        <v>0.41363974384019625</v>
      </c>
      <c r="L173" s="47">
        <v>0.41518513209441815</v>
      </c>
      <c r="M173" s="47">
        <v>0.41599999999999998</v>
      </c>
      <c r="N173" s="45"/>
    </row>
    <row r="174" spans="1:14" ht="14.45" customHeight="1" x14ac:dyDescent="0.25">
      <c r="A174" s="306"/>
      <c r="B174" s="323"/>
      <c r="C174" s="25" t="s">
        <v>120</v>
      </c>
      <c r="D174" s="23" t="s">
        <v>10</v>
      </c>
      <c r="E174" s="46">
        <v>0.16</v>
      </c>
      <c r="F174" s="46">
        <v>0.16</v>
      </c>
      <c r="G174" s="46">
        <v>0.16</v>
      </c>
      <c r="H174" s="46">
        <v>0.16</v>
      </c>
      <c r="I174" s="46">
        <v>0.06</v>
      </c>
      <c r="J174" s="46">
        <v>0.05</v>
      </c>
      <c r="K174" s="46">
        <v>4.3999999999999997E-2</v>
      </c>
      <c r="L174" s="46">
        <v>4.3999999999999997E-2</v>
      </c>
      <c r="M174" s="46">
        <v>4.3999999999999997E-2</v>
      </c>
      <c r="N174" s="45"/>
    </row>
    <row r="175" spans="1:14" ht="14.45" customHeight="1" x14ac:dyDescent="0.25">
      <c r="A175" s="306"/>
      <c r="B175" s="323"/>
      <c r="C175" s="25" t="s">
        <v>121</v>
      </c>
      <c r="D175" s="23" t="s">
        <v>122</v>
      </c>
      <c r="E175" s="46">
        <v>0.08</v>
      </c>
      <c r="F175" s="46">
        <v>0.08</v>
      </c>
      <c r="G175" s="46">
        <v>0.08</v>
      </c>
      <c r="H175" s="46">
        <v>0.08</v>
      </c>
      <c r="I175" s="46">
        <v>0.03</v>
      </c>
      <c r="J175" s="46">
        <v>0</v>
      </c>
      <c r="K175" s="46">
        <v>0</v>
      </c>
      <c r="L175" s="46">
        <v>0</v>
      </c>
      <c r="M175" s="46">
        <v>0</v>
      </c>
      <c r="N175" s="45"/>
    </row>
    <row r="176" spans="1:14" ht="14.45" customHeight="1" x14ac:dyDescent="0.25">
      <c r="A176" s="306"/>
      <c r="B176" s="323"/>
      <c r="C176" s="25" t="s">
        <v>123</v>
      </c>
      <c r="D176" s="23" t="s">
        <v>124</v>
      </c>
      <c r="E176" s="44">
        <v>5.4999999999999997E-3</v>
      </c>
      <c r="F176" s="44">
        <v>5.4999999999999997E-3</v>
      </c>
      <c r="G176" s="44">
        <v>5.4999999999999997E-3</v>
      </c>
      <c r="H176" s="44">
        <v>5.4999999999999997E-3</v>
      </c>
      <c r="I176" s="44">
        <v>5.4999999999999997E-3</v>
      </c>
      <c r="J176" s="44">
        <v>5.4999999999999997E-3</v>
      </c>
      <c r="K176" s="44">
        <v>5.4999999999999997E-3</v>
      </c>
      <c r="L176" s="44">
        <v>5.4999999999999997E-3</v>
      </c>
      <c r="M176" s="44">
        <v>5.4999999999999997E-3</v>
      </c>
      <c r="N176" s="45"/>
    </row>
    <row r="177" spans="1:14" ht="14.45" customHeight="1" x14ac:dyDescent="0.25">
      <c r="A177" s="306">
        <v>12</v>
      </c>
      <c r="B177" s="323" t="s">
        <v>178</v>
      </c>
      <c r="C177" s="21" t="s">
        <v>109</v>
      </c>
      <c r="D177" s="1" t="s">
        <v>19</v>
      </c>
      <c r="E177" s="51">
        <v>1</v>
      </c>
      <c r="F177" s="51">
        <v>1</v>
      </c>
      <c r="G177" s="51">
        <v>1</v>
      </c>
      <c r="H177" s="51">
        <v>1</v>
      </c>
      <c r="I177" s="51">
        <v>1</v>
      </c>
      <c r="J177" s="51">
        <v>1</v>
      </c>
      <c r="K177" s="51">
        <v>1</v>
      </c>
      <c r="L177" s="51">
        <v>1</v>
      </c>
      <c r="M177" s="51">
        <v>1</v>
      </c>
      <c r="N177" s="45"/>
    </row>
    <row r="178" spans="1:14" x14ac:dyDescent="0.25">
      <c r="A178" s="306"/>
      <c r="B178" s="323"/>
      <c r="C178" s="21" t="s">
        <v>21</v>
      </c>
      <c r="D178" s="1" t="s">
        <v>19</v>
      </c>
      <c r="E178" s="44">
        <v>0.8</v>
      </c>
      <c r="F178" s="44">
        <v>0.8</v>
      </c>
      <c r="G178" s="44">
        <v>0.8</v>
      </c>
      <c r="H178" s="44">
        <v>0.8</v>
      </c>
      <c r="I178" s="44">
        <v>0.8</v>
      </c>
      <c r="J178" s="44">
        <v>0.8</v>
      </c>
      <c r="K178" s="44">
        <v>0.8</v>
      </c>
      <c r="L178" s="44">
        <v>0.8</v>
      </c>
      <c r="M178" s="44">
        <v>0.8</v>
      </c>
      <c r="N178" s="45"/>
    </row>
    <row r="179" spans="1:14" x14ac:dyDescent="0.25">
      <c r="A179" s="306"/>
      <c r="B179" s="323"/>
      <c r="C179" s="21" t="s">
        <v>22</v>
      </c>
      <c r="D179" s="1" t="s">
        <v>4</v>
      </c>
      <c r="E179" s="44">
        <v>20</v>
      </c>
      <c r="F179" s="44">
        <v>20</v>
      </c>
      <c r="G179" s="44">
        <v>20</v>
      </c>
      <c r="H179" s="44">
        <v>20</v>
      </c>
      <c r="I179" s="44">
        <v>20</v>
      </c>
      <c r="J179" s="44">
        <v>20</v>
      </c>
      <c r="K179" s="44">
        <v>20</v>
      </c>
      <c r="L179" s="44">
        <v>20</v>
      </c>
      <c r="M179" s="44">
        <v>20</v>
      </c>
      <c r="N179" s="45"/>
    </row>
    <row r="180" spans="1:14" x14ac:dyDescent="0.25">
      <c r="A180" s="306"/>
      <c r="B180" s="323"/>
      <c r="C180" s="21" t="s">
        <v>23</v>
      </c>
      <c r="D180" s="1" t="s">
        <v>6</v>
      </c>
      <c r="E180" s="46">
        <v>212.90273464055423</v>
      </c>
      <c r="F180" s="46">
        <v>180.29847756137553</v>
      </c>
      <c r="G180" s="46">
        <v>140.44328080448224</v>
      </c>
      <c r="H180" s="46">
        <v>113.16977842477434</v>
      </c>
      <c r="I180" s="46">
        <v>107.31263157894738</v>
      </c>
      <c r="J180" s="46">
        <v>107.00631578947369</v>
      </c>
      <c r="K180" s="46">
        <v>105.98526315789475</v>
      </c>
      <c r="L180" s="46">
        <v>103.84105263157896</v>
      </c>
      <c r="M180" s="46">
        <v>99.55263157894737</v>
      </c>
      <c r="N180" s="45"/>
    </row>
    <row r="181" spans="1:14" ht="14.45" customHeight="1" x14ac:dyDescent="0.25">
      <c r="A181" s="306"/>
      <c r="B181" s="323"/>
      <c r="C181" s="21" t="s">
        <v>173</v>
      </c>
      <c r="D181" s="1" t="s">
        <v>19</v>
      </c>
      <c r="E181" s="47">
        <v>0.2</v>
      </c>
      <c r="F181" s="47">
        <v>0.2</v>
      </c>
      <c r="G181" s="47">
        <v>0.2</v>
      </c>
      <c r="H181" s="47">
        <v>0.2</v>
      </c>
      <c r="I181" s="47">
        <v>0.2</v>
      </c>
      <c r="J181" s="47">
        <v>0.2</v>
      </c>
      <c r="K181" s="47">
        <v>0.2</v>
      </c>
      <c r="L181" s="47">
        <v>0.2</v>
      </c>
      <c r="M181" s="47">
        <v>0.2</v>
      </c>
      <c r="N181" s="45"/>
    </row>
    <row r="182" spans="1:14" x14ac:dyDescent="0.25">
      <c r="A182" s="306"/>
      <c r="B182" s="323"/>
      <c r="C182" s="21" t="s">
        <v>110</v>
      </c>
      <c r="D182" s="1" t="s">
        <v>8</v>
      </c>
      <c r="E182" s="44"/>
      <c r="F182" s="44"/>
      <c r="G182" s="44"/>
      <c r="H182" s="44"/>
      <c r="I182" s="44"/>
      <c r="J182" s="44"/>
      <c r="K182" s="44"/>
      <c r="L182" s="44"/>
      <c r="M182" s="44"/>
      <c r="N182" s="45"/>
    </row>
    <row r="183" spans="1:14" x14ac:dyDescent="0.25">
      <c r="A183" s="306"/>
      <c r="B183" s="323"/>
      <c r="C183" s="21" t="s">
        <v>111</v>
      </c>
      <c r="D183" s="1" t="s">
        <v>9</v>
      </c>
      <c r="E183" s="46">
        <v>6.3870820392166268</v>
      </c>
      <c r="F183" s="46">
        <v>5.4089543268412656</v>
      </c>
      <c r="G183" s="46">
        <v>4.2132984241344671</v>
      </c>
      <c r="H183" s="46">
        <v>3.3950933527432299</v>
      </c>
      <c r="I183" s="46">
        <v>2.0378947368421052</v>
      </c>
      <c r="J183" s="46">
        <v>2.0189473684210526</v>
      </c>
      <c r="K183" s="46">
        <v>1.9557894736842103</v>
      </c>
      <c r="L183" s="46">
        <v>1.8231578947368419</v>
      </c>
      <c r="M183" s="46">
        <v>1.557894736842105</v>
      </c>
      <c r="N183" s="45"/>
    </row>
    <row r="184" spans="1:14" x14ac:dyDescent="0.25">
      <c r="A184" s="306"/>
      <c r="B184" s="323"/>
      <c r="C184" s="21" t="s">
        <v>35</v>
      </c>
      <c r="D184" s="1" t="s">
        <v>10</v>
      </c>
      <c r="E184" s="46">
        <v>0</v>
      </c>
      <c r="F184" s="46">
        <v>0</v>
      </c>
      <c r="G184" s="46">
        <v>0</v>
      </c>
      <c r="H184" s="46">
        <v>0</v>
      </c>
      <c r="I184" s="46">
        <v>0</v>
      </c>
      <c r="J184" s="46">
        <v>0</v>
      </c>
      <c r="K184" s="46">
        <v>1.6357894736842103E-3</v>
      </c>
      <c r="L184" s="46">
        <v>1.5031578947368419E-3</v>
      </c>
      <c r="M184" s="46">
        <v>1.2378947368421051E-3</v>
      </c>
      <c r="N184" s="45"/>
    </row>
    <row r="185" spans="1:14" x14ac:dyDescent="0.25">
      <c r="A185" s="306"/>
      <c r="B185" s="323"/>
      <c r="C185" s="22" t="s">
        <v>24</v>
      </c>
      <c r="D185" s="23" t="s">
        <v>10</v>
      </c>
      <c r="E185" s="46">
        <v>0</v>
      </c>
      <c r="F185" s="46">
        <v>0</v>
      </c>
      <c r="G185" s="46">
        <v>0</v>
      </c>
      <c r="H185" s="46">
        <v>0</v>
      </c>
      <c r="I185" s="46">
        <v>0</v>
      </c>
      <c r="J185" s="46">
        <v>0</v>
      </c>
      <c r="K185" s="46">
        <v>0</v>
      </c>
      <c r="L185" s="46">
        <v>0</v>
      </c>
      <c r="M185" s="46">
        <v>0</v>
      </c>
      <c r="N185" s="45"/>
    </row>
    <row r="186" spans="1:14" x14ac:dyDescent="0.25">
      <c r="A186" s="306"/>
      <c r="B186" s="323"/>
      <c r="C186" s="21" t="s">
        <v>25</v>
      </c>
      <c r="D186" s="1" t="s">
        <v>7</v>
      </c>
      <c r="E186" s="47">
        <v>0.96599999999999986</v>
      </c>
      <c r="F186" s="47">
        <v>0.96599999999999986</v>
      </c>
      <c r="G186" s="47">
        <v>0.96599999999999986</v>
      </c>
      <c r="H186" s="47">
        <v>0.96599999999999986</v>
      </c>
      <c r="I186" s="47">
        <v>0.96599999999999986</v>
      </c>
      <c r="J186" s="47">
        <v>0.96599999999999986</v>
      </c>
      <c r="K186" s="47">
        <v>0.99</v>
      </c>
      <c r="L186" s="47">
        <v>0.99</v>
      </c>
      <c r="M186" s="47">
        <v>0.99</v>
      </c>
      <c r="N186" s="45"/>
    </row>
    <row r="187" spans="1:14" x14ac:dyDescent="0.25">
      <c r="A187" s="306"/>
      <c r="B187" s="323"/>
      <c r="C187" s="21" t="s">
        <v>26</v>
      </c>
      <c r="D187" s="1" t="s">
        <v>14</v>
      </c>
      <c r="E187" s="46">
        <v>1524.6</v>
      </c>
      <c r="F187" s="46">
        <v>1749.6</v>
      </c>
      <c r="G187" s="46">
        <v>2349.6</v>
      </c>
      <c r="H187" s="46">
        <v>3174.6</v>
      </c>
      <c r="I187" s="46">
        <v>4299.6000000000004</v>
      </c>
      <c r="J187" s="46">
        <v>14213</v>
      </c>
      <c r="K187" s="46">
        <v>21713</v>
      </c>
      <c r="L187" s="46">
        <v>37463</v>
      </c>
      <c r="M187" s="46">
        <v>68963</v>
      </c>
      <c r="N187" s="45"/>
    </row>
    <row r="188" spans="1:14" x14ac:dyDescent="0.25">
      <c r="A188" s="306"/>
      <c r="B188" s="323"/>
      <c r="C188" s="21" t="s">
        <v>27</v>
      </c>
      <c r="D188" s="1" t="s">
        <v>4</v>
      </c>
      <c r="E188" s="44">
        <v>40</v>
      </c>
      <c r="F188" s="44">
        <v>40</v>
      </c>
      <c r="G188" s="44">
        <v>40</v>
      </c>
      <c r="H188" s="44">
        <v>40</v>
      </c>
      <c r="I188" s="44">
        <v>40</v>
      </c>
      <c r="J188" s="44">
        <v>40</v>
      </c>
      <c r="K188" s="44">
        <v>40</v>
      </c>
      <c r="L188" s="44">
        <v>40</v>
      </c>
      <c r="M188" s="44">
        <v>40</v>
      </c>
      <c r="N188" s="45"/>
    </row>
    <row r="189" spans="1:14" x14ac:dyDescent="0.25">
      <c r="A189" s="306"/>
      <c r="B189" s="323"/>
      <c r="C189" s="21" t="s">
        <v>125</v>
      </c>
      <c r="D189" s="1" t="s">
        <v>19</v>
      </c>
      <c r="E189" s="51">
        <v>0.3125</v>
      </c>
      <c r="F189" s="51">
        <v>0.3125</v>
      </c>
      <c r="G189" s="51">
        <v>0.3125</v>
      </c>
      <c r="H189" s="51">
        <v>0.3125</v>
      </c>
      <c r="I189" s="51">
        <v>0.3125</v>
      </c>
      <c r="J189" s="51">
        <v>0.3125</v>
      </c>
      <c r="K189" s="51">
        <v>0.3125</v>
      </c>
      <c r="L189" s="51">
        <v>0.3125</v>
      </c>
      <c r="M189" s="51">
        <v>0.3125</v>
      </c>
      <c r="N189" s="45"/>
    </row>
    <row r="190" spans="1:14" x14ac:dyDescent="0.25">
      <c r="A190" s="306"/>
      <c r="B190" s="323"/>
      <c r="C190" s="21" t="s">
        <v>126</v>
      </c>
      <c r="D190" s="1" t="s">
        <v>19</v>
      </c>
      <c r="E190" s="44">
        <v>0.64</v>
      </c>
      <c r="F190" s="44">
        <v>0.64</v>
      </c>
      <c r="G190" s="44">
        <v>0.64</v>
      </c>
      <c r="H190" s="44">
        <v>0.64</v>
      </c>
      <c r="I190" s="44">
        <v>0.64</v>
      </c>
      <c r="J190" s="44">
        <v>0.64</v>
      </c>
      <c r="K190" s="44">
        <v>0.64</v>
      </c>
      <c r="L190" s="44">
        <v>0.64</v>
      </c>
      <c r="M190" s="44">
        <v>0.64</v>
      </c>
      <c r="N190" s="45"/>
    </row>
    <row r="191" spans="1:14" ht="14.45" customHeight="1" x14ac:dyDescent="0.25">
      <c r="A191" s="306"/>
      <c r="B191" s="323"/>
      <c r="C191" s="24" t="s">
        <v>127</v>
      </c>
      <c r="D191" s="1" t="s">
        <v>4</v>
      </c>
      <c r="E191" s="44">
        <v>20</v>
      </c>
      <c r="F191" s="44">
        <v>20</v>
      </c>
      <c r="G191" s="44">
        <v>20</v>
      </c>
      <c r="H191" s="44">
        <v>20</v>
      </c>
      <c r="I191" s="44">
        <v>20</v>
      </c>
      <c r="J191" s="44">
        <v>20</v>
      </c>
      <c r="K191" s="44">
        <v>20</v>
      </c>
      <c r="L191" s="44">
        <v>20</v>
      </c>
      <c r="M191" s="44">
        <v>20</v>
      </c>
      <c r="N191" s="45"/>
    </row>
    <row r="192" spans="1:14" ht="14.45" customHeight="1" x14ac:dyDescent="0.25">
      <c r="A192" s="306"/>
      <c r="B192" s="323"/>
      <c r="C192" s="24" t="s">
        <v>128</v>
      </c>
      <c r="D192" s="1" t="s">
        <v>6</v>
      </c>
      <c r="E192" s="52">
        <v>946.15063293358571</v>
      </c>
      <c r="F192" s="46">
        <v>932.03126095799144</v>
      </c>
      <c r="G192" s="46">
        <v>894.37960235640639</v>
      </c>
      <c r="H192" s="46">
        <v>842.60857177922708</v>
      </c>
      <c r="I192" s="46">
        <v>772.01171190125524</v>
      </c>
      <c r="J192" s="46">
        <v>630.81799214531168</v>
      </c>
      <c r="K192" s="46">
        <v>538.57142857142856</v>
      </c>
      <c r="L192" s="46">
        <v>538.57142857142856</v>
      </c>
      <c r="M192" s="46">
        <v>538.57142857142856</v>
      </c>
      <c r="N192" s="45"/>
    </row>
    <row r="193" spans="1:14" ht="14.45" customHeight="1" x14ac:dyDescent="0.25">
      <c r="A193" s="306"/>
      <c r="B193" s="323"/>
      <c r="C193" s="21" t="s">
        <v>179</v>
      </c>
      <c r="D193" s="1" t="s">
        <v>19</v>
      </c>
      <c r="E193" s="47">
        <v>0</v>
      </c>
      <c r="F193" s="47">
        <v>0.35</v>
      </c>
      <c r="G193" s="47">
        <v>0.35</v>
      </c>
      <c r="H193" s="47">
        <v>0.35</v>
      </c>
      <c r="I193" s="47">
        <v>0.35</v>
      </c>
      <c r="J193" s="47">
        <v>0.35</v>
      </c>
      <c r="K193" s="47">
        <v>0.35</v>
      </c>
      <c r="L193" s="47">
        <v>0.35</v>
      </c>
      <c r="M193" s="47">
        <v>0.35</v>
      </c>
      <c r="N193" s="45"/>
    </row>
    <row r="194" spans="1:14" x14ac:dyDescent="0.25">
      <c r="A194" s="306"/>
      <c r="B194" s="323"/>
      <c r="C194" s="21" t="s">
        <v>129</v>
      </c>
      <c r="D194" s="1" t="s">
        <v>8</v>
      </c>
      <c r="E194" s="46">
        <v>56.686008836524309</v>
      </c>
      <c r="F194" s="46">
        <v>74.027687776141391</v>
      </c>
      <c r="G194" s="46">
        <v>120.27216494845361</v>
      </c>
      <c r="H194" s="46">
        <v>183.85832106038291</v>
      </c>
      <c r="I194" s="46">
        <v>270.56671575846832</v>
      </c>
      <c r="J194" s="46">
        <v>443.98350515463915</v>
      </c>
      <c r="K194" s="46">
        <v>617.40029455081003</v>
      </c>
      <c r="L194" s="46">
        <v>617.40029455081003</v>
      </c>
      <c r="M194" s="46">
        <v>617.40029455081003</v>
      </c>
      <c r="N194" s="45"/>
    </row>
    <row r="195" spans="1:14" x14ac:dyDescent="0.25">
      <c r="A195" s="306"/>
      <c r="B195" s="323"/>
      <c r="C195" s="21" t="s">
        <v>130</v>
      </c>
      <c r="D195" s="1" t="s">
        <v>9</v>
      </c>
      <c r="E195" s="44"/>
      <c r="F195" s="44"/>
      <c r="G195" s="44"/>
      <c r="H195" s="44"/>
      <c r="I195" s="44"/>
      <c r="J195" s="44"/>
      <c r="K195" s="44"/>
      <c r="L195" s="44"/>
      <c r="M195" s="44"/>
    </row>
    <row r="196" spans="1:14" x14ac:dyDescent="0.25">
      <c r="A196" s="306"/>
      <c r="B196" s="323"/>
      <c r="C196" s="21" t="s">
        <v>131</v>
      </c>
      <c r="D196" s="1" t="s">
        <v>10</v>
      </c>
      <c r="E196" s="44"/>
      <c r="F196" s="44"/>
      <c r="G196" s="44"/>
      <c r="H196" s="44"/>
      <c r="I196" s="44"/>
      <c r="J196" s="44"/>
      <c r="K196" s="44"/>
      <c r="L196" s="44"/>
      <c r="M196" s="44"/>
    </row>
    <row r="197" spans="1:14" ht="18.75" x14ac:dyDescent="0.25">
      <c r="A197" s="306"/>
      <c r="B197" s="323"/>
      <c r="C197" s="53" t="s">
        <v>132</v>
      </c>
      <c r="D197" s="23" t="s">
        <v>17</v>
      </c>
      <c r="E197" s="44"/>
      <c r="F197" s="44"/>
      <c r="G197" s="44"/>
      <c r="H197" s="44"/>
      <c r="I197" s="44"/>
      <c r="J197" s="44"/>
      <c r="K197" s="44"/>
      <c r="L197" s="44"/>
      <c r="M197" s="44"/>
    </row>
    <row r="198" spans="1:14" ht="14.45" customHeight="1" x14ac:dyDescent="0.25">
      <c r="A198" s="306">
        <v>13</v>
      </c>
      <c r="B198" s="323" t="s">
        <v>180</v>
      </c>
      <c r="C198" s="21" t="s">
        <v>109</v>
      </c>
      <c r="D198" s="1" t="s">
        <v>19</v>
      </c>
      <c r="E198" s="44">
        <v>1</v>
      </c>
      <c r="F198" s="44">
        <v>1</v>
      </c>
      <c r="G198" s="44">
        <v>1</v>
      </c>
      <c r="H198" s="44">
        <v>1</v>
      </c>
      <c r="I198" s="44">
        <v>1</v>
      </c>
      <c r="J198" s="44">
        <v>1</v>
      </c>
      <c r="K198" s="44">
        <v>1</v>
      </c>
      <c r="L198" s="44">
        <v>1</v>
      </c>
      <c r="M198" s="44">
        <v>1</v>
      </c>
    </row>
    <row r="199" spans="1:14" x14ac:dyDescent="0.25">
      <c r="A199" s="306"/>
      <c r="B199" s="323"/>
      <c r="C199" s="21" t="s">
        <v>21</v>
      </c>
      <c r="D199" s="1" t="s">
        <v>19</v>
      </c>
      <c r="E199" s="44">
        <v>0.65</v>
      </c>
      <c r="F199" s="44">
        <v>0.65</v>
      </c>
      <c r="G199" s="44">
        <v>0.65</v>
      </c>
      <c r="H199" s="44">
        <v>0.65</v>
      </c>
      <c r="I199" s="44">
        <v>0.65</v>
      </c>
      <c r="J199" s="44">
        <v>0.65</v>
      </c>
      <c r="K199" s="44">
        <v>0.65</v>
      </c>
      <c r="L199" s="44">
        <v>0.65</v>
      </c>
      <c r="M199" s="44">
        <v>0.65</v>
      </c>
    </row>
    <row r="200" spans="1:14" x14ac:dyDescent="0.25">
      <c r="A200" s="306"/>
      <c r="B200" s="323"/>
      <c r="C200" s="21" t="s">
        <v>22</v>
      </c>
      <c r="D200" s="1" t="s">
        <v>4</v>
      </c>
      <c r="E200" s="44">
        <v>20</v>
      </c>
      <c r="F200" s="44">
        <v>20</v>
      </c>
      <c r="G200" s="44">
        <v>20</v>
      </c>
      <c r="H200" s="44">
        <v>20</v>
      </c>
      <c r="I200" s="44">
        <v>20</v>
      </c>
      <c r="J200" s="44">
        <v>20</v>
      </c>
      <c r="K200" s="44">
        <v>20</v>
      </c>
      <c r="L200" s="44">
        <v>20</v>
      </c>
      <c r="M200" s="44">
        <v>20</v>
      </c>
    </row>
    <row r="201" spans="1:14" x14ac:dyDescent="0.25">
      <c r="A201" s="306"/>
      <c r="B201" s="323"/>
      <c r="C201" s="21" t="s">
        <v>23</v>
      </c>
      <c r="D201" s="1" t="s">
        <v>6</v>
      </c>
      <c r="E201" s="46">
        <v>212.90273464055423</v>
      </c>
      <c r="F201" s="46">
        <v>180.29847756137553</v>
      </c>
      <c r="G201" s="46">
        <v>140.44328080448224</v>
      </c>
      <c r="H201" s="46">
        <v>113.16977842477434</v>
      </c>
      <c r="I201" s="46">
        <v>107.31263157894738</v>
      </c>
      <c r="J201" s="46">
        <v>107.00631578947369</v>
      </c>
      <c r="K201" s="46">
        <v>105.98526315789475</v>
      </c>
      <c r="L201" s="46">
        <v>103.84105263157896</v>
      </c>
      <c r="M201" s="46">
        <v>99.55263157894737</v>
      </c>
    </row>
    <row r="202" spans="1:14" x14ac:dyDescent="0.25">
      <c r="A202" s="306"/>
      <c r="B202" s="323"/>
      <c r="C202" s="21" t="s">
        <v>173</v>
      </c>
      <c r="D202" s="1" t="s">
        <v>19</v>
      </c>
      <c r="E202" s="47">
        <v>0.2</v>
      </c>
      <c r="F202" s="47">
        <v>0.2</v>
      </c>
      <c r="G202" s="47">
        <v>0.2</v>
      </c>
      <c r="H202" s="47">
        <v>0.2</v>
      </c>
      <c r="I202" s="47">
        <v>0.2</v>
      </c>
      <c r="J202" s="47">
        <v>0.2</v>
      </c>
      <c r="K202" s="47">
        <v>0.2</v>
      </c>
      <c r="L202" s="47">
        <v>0.2</v>
      </c>
      <c r="M202" s="47">
        <v>0.2</v>
      </c>
    </row>
    <row r="203" spans="1:14" x14ac:dyDescent="0.25">
      <c r="A203" s="306"/>
      <c r="B203" s="323"/>
      <c r="C203" s="21" t="s">
        <v>110</v>
      </c>
      <c r="D203" s="1" t="s">
        <v>8</v>
      </c>
      <c r="E203" s="44"/>
      <c r="F203" s="44"/>
      <c r="G203" s="44"/>
      <c r="H203" s="44"/>
      <c r="I203" s="44"/>
      <c r="J203" s="44"/>
      <c r="K203" s="44"/>
      <c r="L203" s="44"/>
      <c r="M203" s="44"/>
    </row>
    <row r="204" spans="1:14" x14ac:dyDescent="0.25">
      <c r="A204" s="306"/>
      <c r="B204" s="323"/>
      <c r="C204" s="21" t="s">
        <v>111</v>
      </c>
      <c r="D204" s="1" t="s">
        <v>9</v>
      </c>
      <c r="E204" s="46">
        <v>6.3870820392166268</v>
      </c>
      <c r="F204" s="46">
        <v>5.4089543268412656</v>
      </c>
      <c r="G204" s="46">
        <v>4.2132984241344671</v>
      </c>
      <c r="H204" s="46">
        <v>3.3950933527432299</v>
      </c>
      <c r="I204" s="46">
        <v>2.0378947368421052</v>
      </c>
      <c r="J204" s="46">
        <v>2.0189473684210526</v>
      </c>
      <c r="K204" s="46">
        <v>1.9557894736842103</v>
      </c>
      <c r="L204" s="46">
        <v>1.8231578947368419</v>
      </c>
      <c r="M204" s="46">
        <v>1.557894736842105</v>
      </c>
    </row>
    <row r="205" spans="1:14" x14ac:dyDescent="0.25">
      <c r="A205" s="306"/>
      <c r="B205" s="323"/>
      <c r="C205" s="21" t="s">
        <v>35</v>
      </c>
      <c r="D205" s="1" t="s">
        <v>10</v>
      </c>
      <c r="E205" s="46">
        <v>0</v>
      </c>
      <c r="F205" s="46">
        <v>0</v>
      </c>
      <c r="G205" s="46">
        <v>0</v>
      </c>
      <c r="H205" s="46">
        <v>0</v>
      </c>
      <c r="I205" s="46">
        <v>0</v>
      </c>
      <c r="J205" s="46">
        <v>0</v>
      </c>
      <c r="K205" s="46">
        <v>1.6357894736842103E-3</v>
      </c>
      <c r="L205" s="46">
        <v>1.5031578947368419E-3</v>
      </c>
      <c r="M205" s="46">
        <v>1.2378947368421051E-3</v>
      </c>
    </row>
    <row r="206" spans="1:14" x14ac:dyDescent="0.25">
      <c r="A206" s="306"/>
      <c r="B206" s="323"/>
      <c r="C206" s="22" t="s">
        <v>24</v>
      </c>
      <c r="D206" s="23" t="s">
        <v>10</v>
      </c>
      <c r="E206" s="46">
        <v>0</v>
      </c>
      <c r="F206" s="46">
        <v>0</v>
      </c>
      <c r="G206" s="46">
        <v>0</v>
      </c>
      <c r="H206" s="46">
        <v>0</v>
      </c>
      <c r="I206" s="46">
        <v>0</v>
      </c>
      <c r="J206" s="46">
        <v>0</v>
      </c>
      <c r="K206" s="46">
        <v>0</v>
      </c>
      <c r="L206" s="46">
        <v>0</v>
      </c>
      <c r="M206" s="46">
        <v>0</v>
      </c>
    </row>
    <row r="207" spans="1:14" x14ac:dyDescent="0.25">
      <c r="A207" s="306"/>
      <c r="B207" s="323"/>
      <c r="C207" s="21" t="s">
        <v>25</v>
      </c>
      <c r="D207" s="1" t="s">
        <v>7</v>
      </c>
      <c r="E207" s="47">
        <v>0.96599999999999986</v>
      </c>
      <c r="F207" s="47">
        <v>0.96599999999999986</v>
      </c>
      <c r="G207" s="47">
        <v>0.96599999999999986</v>
      </c>
      <c r="H207" s="47">
        <v>0.96599999999999986</v>
      </c>
      <c r="I207" s="47">
        <v>0.96599999999999986</v>
      </c>
      <c r="J207" s="47">
        <v>0.96599999999999986</v>
      </c>
      <c r="K207" s="47">
        <v>0.99</v>
      </c>
      <c r="L207" s="47">
        <v>0.99</v>
      </c>
      <c r="M207" s="47">
        <v>0.99</v>
      </c>
    </row>
    <row r="208" spans="1:14" x14ac:dyDescent="0.25">
      <c r="A208" s="306"/>
      <c r="B208" s="323"/>
      <c r="C208" s="21" t="s">
        <v>26</v>
      </c>
      <c r="D208" s="1" t="s">
        <v>14</v>
      </c>
      <c r="E208" s="46">
        <v>1524.6</v>
      </c>
      <c r="F208" s="46">
        <v>1749.6</v>
      </c>
      <c r="G208" s="46">
        <v>2349.6</v>
      </c>
      <c r="H208" s="46">
        <v>3174.6</v>
      </c>
      <c r="I208" s="46">
        <v>4299.6000000000004</v>
      </c>
      <c r="J208" s="46">
        <v>14213</v>
      </c>
      <c r="K208" s="46">
        <v>21713</v>
      </c>
      <c r="L208" s="46">
        <v>37463</v>
      </c>
      <c r="M208" s="46">
        <v>68963</v>
      </c>
    </row>
    <row r="209" spans="1:13" x14ac:dyDescent="0.25">
      <c r="A209" s="306"/>
      <c r="B209" s="323"/>
      <c r="C209" s="21" t="s">
        <v>27</v>
      </c>
      <c r="D209" s="1" t="s">
        <v>4</v>
      </c>
      <c r="E209" s="44">
        <v>40</v>
      </c>
      <c r="F209" s="44">
        <v>40</v>
      </c>
      <c r="G209" s="44">
        <v>40</v>
      </c>
      <c r="H209" s="44">
        <v>40</v>
      </c>
      <c r="I209" s="44">
        <v>40</v>
      </c>
      <c r="J209" s="44">
        <v>40</v>
      </c>
      <c r="K209" s="44">
        <v>40</v>
      </c>
      <c r="L209" s="44">
        <v>40</v>
      </c>
      <c r="M209" s="44">
        <v>40</v>
      </c>
    </row>
    <row r="210" spans="1:13" x14ac:dyDescent="0.25">
      <c r="A210" s="306"/>
      <c r="B210" s="323"/>
      <c r="C210" s="21" t="s">
        <v>125</v>
      </c>
      <c r="D210" s="1" t="s">
        <v>19</v>
      </c>
      <c r="E210" s="51">
        <v>0.546875</v>
      </c>
      <c r="F210" s="51">
        <v>0.546875</v>
      </c>
      <c r="G210" s="51">
        <v>0.54687499999999989</v>
      </c>
      <c r="H210" s="51">
        <v>0.546875</v>
      </c>
      <c r="I210" s="51">
        <v>0.546875</v>
      </c>
      <c r="J210" s="51">
        <v>0.546875</v>
      </c>
      <c r="K210" s="51">
        <v>0.546875</v>
      </c>
      <c r="L210" s="51">
        <v>0.546875</v>
      </c>
      <c r="M210" s="51">
        <v>0.546875</v>
      </c>
    </row>
    <row r="211" spans="1:13" x14ac:dyDescent="0.25">
      <c r="A211" s="306"/>
      <c r="B211" s="323"/>
      <c r="C211" s="21" t="s">
        <v>126</v>
      </c>
      <c r="D211" s="1" t="s">
        <v>19</v>
      </c>
      <c r="E211" s="44">
        <v>0.64</v>
      </c>
      <c r="F211" s="44">
        <v>0.64</v>
      </c>
      <c r="G211" s="44">
        <v>0.64</v>
      </c>
      <c r="H211" s="44">
        <v>0.64</v>
      </c>
      <c r="I211" s="44">
        <v>0.64</v>
      </c>
      <c r="J211" s="44">
        <v>0.64</v>
      </c>
      <c r="K211" s="44">
        <v>0.64</v>
      </c>
      <c r="L211" s="44">
        <v>0.64</v>
      </c>
      <c r="M211" s="44">
        <v>0.64</v>
      </c>
    </row>
    <row r="212" spans="1:13" x14ac:dyDescent="0.25">
      <c r="A212" s="306"/>
      <c r="B212" s="323"/>
      <c r="C212" s="24" t="s">
        <v>127</v>
      </c>
      <c r="D212" s="1" t="s">
        <v>4</v>
      </c>
      <c r="E212" s="44">
        <v>20</v>
      </c>
      <c r="F212" s="44">
        <v>20</v>
      </c>
      <c r="G212" s="44">
        <v>20</v>
      </c>
      <c r="H212" s="44">
        <v>20</v>
      </c>
      <c r="I212" s="44">
        <v>20</v>
      </c>
      <c r="J212" s="44">
        <v>20</v>
      </c>
      <c r="K212" s="44">
        <v>20</v>
      </c>
      <c r="L212" s="44">
        <v>20</v>
      </c>
      <c r="M212" s="44">
        <v>20</v>
      </c>
    </row>
    <row r="213" spans="1:13" x14ac:dyDescent="0.25">
      <c r="A213" s="306"/>
      <c r="B213" s="323"/>
      <c r="C213" s="24" t="s">
        <v>128</v>
      </c>
      <c r="D213" s="1" t="s">
        <v>6</v>
      </c>
      <c r="E213" s="52">
        <v>935.56110395189</v>
      </c>
      <c r="F213" s="46">
        <v>910.85220299459979</v>
      </c>
      <c r="G213" s="46">
        <v>844.9618004418262</v>
      </c>
      <c r="H213" s="46">
        <v>754.36249693176228</v>
      </c>
      <c r="I213" s="46">
        <v>630.81799214531168</v>
      </c>
      <c r="J213" s="46">
        <v>538.57142857142856</v>
      </c>
      <c r="K213" s="46">
        <v>538.57142857142856</v>
      </c>
      <c r="L213" s="46">
        <v>538.57142857142856</v>
      </c>
      <c r="M213" s="46">
        <v>538.57142857142856</v>
      </c>
    </row>
    <row r="214" spans="1:13" x14ac:dyDescent="0.25">
      <c r="A214" s="306"/>
      <c r="B214" s="323"/>
      <c r="C214" s="21" t="s">
        <v>179</v>
      </c>
      <c r="D214" s="1" t="s">
        <v>19</v>
      </c>
      <c r="E214" s="47">
        <v>0.35</v>
      </c>
      <c r="F214" s="47">
        <v>0.35</v>
      </c>
      <c r="G214" s="47">
        <v>0.35</v>
      </c>
      <c r="H214" s="47">
        <v>0.35</v>
      </c>
      <c r="I214" s="47">
        <v>0.35</v>
      </c>
      <c r="J214" s="47">
        <v>0.35</v>
      </c>
      <c r="K214" s="47">
        <v>0.35</v>
      </c>
      <c r="L214" s="47">
        <v>0.35</v>
      </c>
      <c r="M214" s="47">
        <v>0.35</v>
      </c>
    </row>
    <row r="215" spans="1:13" x14ac:dyDescent="0.25">
      <c r="A215" s="306"/>
      <c r="B215" s="323"/>
      <c r="C215" s="21" t="s">
        <v>129</v>
      </c>
      <c r="D215" s="1" t="s">
        <v>8</v>
      </c>
      <c r="E215" s="46">
        <v>56.686008836524309</v>
      </c>
      <c r="F215" s="46">
        <v>74.027687776141391</v>
      </c>
      <c r="G215" s="46">
        <v>120.27216494845361</v>
      </c>
      <c r="H215" s="46">
        <v>183.85832106038291</v>
      </c>
      <c r="I215" s="46">
        <v>270.56671575846832</v>
      </c>
      <c r="J215" s="46">
        <v>443.98350515463915</v>
      </c>
      <c r="K215" s="46">
        <v>617.40029455081003</v>
      </c>
      <c r="L215" s="46">
        <v>617.40029455081003</v>
      </c>
      <c r="M215" s="46">
        <v>617.40029455081003</v>
      </c>
    </row>
    <row r="216" spans="1:13" x14ac:dyDescent="0.25">
      <c r="A216" s="306"/>
      <c r="B216" s="323"/>
      <c r="C216" s="21" t="s">
        <v>130</v>
      </c>
      <c r="D216" s="1" t="s">
        <v>9</v>
      </c>
      <c r="E216" s="44"/>
      <c r="F216" s="44"/>
      <c r="G216" s="44"/>
      <c r="H216" s="44"/>
      <c r="I216" s="44"/>
      <c r="J216" s="44"/>
      <c r="K216" s="44"/>
      <c r="L216" s="44"/>
      <c r="M216" s="44"/>
    </row>
    <row r="217" spans="1:13" x14ac:dyDescent="0.25">
      <c r="A217" s="306"/>
      <c r="B217" s="323"/>
      <c r="C217" s="21" t="s">
        <v>131</v>
      </c>
      <c r="D217" s="1" t="s">
        <v>10</v>
      </c>
      <c r="E217" s="44"/>
      <c r="F217" s="44"/>
      <c r="G217" s="44"/>
      <c r="H217" s="44"/>
      <c r="I217" s="44"/>
      <c r="J217" s="44"/>
      <c r="K217" s="44"/>
      <c r="L217" s="44"/>
      <c r="M217" s="44"/>
    </row>
    <row r="218" spans="1:13" ht="18.75" x14ac:dyDescent="0.25">
      <c r="A218" s="306"/>
      <c r="B218" s="323"/>
      <c r="C218" s="53" t="s">
        <v>132</v>
      </c>
      <c r="D218" s="23" t="s">
        <v>17</v>
      </c>
      <c r="E218" s="44"/>
      <c r="F218" s="44"/>
      <c r="G218" s="44"/>
      <c r="H218" s="44"/>
      <c r="I218" s="44"/>
      <c r="J218" s="44"/>
      <c r="K218" s="44"/>
      <c r="L218" s="44"/>
      <c r="M218" s="44"/>
    </row>
    <row r="219" spans="1:13" x14ac:dyDescent="0.25">
      <c r="A219" s="324">
        <v>14</v>
      </c>
      <c r="B219" s="327" t="s">
        <v>181</v>
      </c>
      <c r="C219" s="21" t="s">
        <v>112</v>
      </c>
      <c r="D219" s="1" t="s">
        <v>19</v>
      </c>
      <c r="E219" s="51">
        <v>1</v>
      </c>
      <c r="F219" s="51">
        <v>1</v>
      </c>
      <c r="G219" s="51">
        <v>1</v>
      </c>
      <c r="H219" s="51">
        <v>1</v>
      </c>
      <c r="I219" s="51">
        <v>1</v>
      </c>
      <c r="J219" s="51">
        <v>1</v>
      </c>
      <c r="K219" s="51">
        <v>1</v>
      </c>
      <c r="L219" s="51">
        <v>1</v>
      </c>
      <c r="M219" s="51">
        <v>1</v>
      </c>
    </row>
    <row r="220" spans="1:13" x14ac:dyDescent="0.25">
      <c r="A220" s="325"/>
      <c r="B220" s="328"/>
      <c r="C220" s="21" t="s">
        <v>28</v>
      </c>
      <c r="D220" s="1" t="s">
        <v>19</v>
      </c>
      <c r="E220" s="44">
        <v>0.8</v>
      </c>
      <c r="F220" s="44">
        <v>0.8</v>
      </c>
      <c r="G220" s="44">
        <v>0.8</v>
      </c>
      <c r="H220" s="44">
        <v>0.8</v>
      </c>
      <c r="I220" s="44">
        <v>0.8</v>
      </c>
      <c r="J220" s="44">
        <v>0.8</v>
      </c>
      <c r="K220" s="44">
        <v>0.8</v>
      </c>
      <c r="L220" s="44">
        <v>0.8</v>
      </c>
      <c r="M220" s="44">
        <v>0.8</v>
      </c>
    </row>
    <row r="221" spans="1:13" x14ac:dyDescent="0.25">
      <c r="A221" s="325"/>
      <c r="B221" s="328"/>
      <c r="C221" s="21" t="s">
        <v>29</v>
      </c>
      <c r="D221" s="1" t="s">
        <v>4</v>
      </c>
      <c r="E221" s="44">
        <v>20</v>
      </c>
      <c r="F221" s="44">
        <v>20</v>
      </c>
      <c r="G221" s="44">
        <v>20</v>
      </c>
      <c r="H221" s="44">
        <v>20</v>
      </c>
      <c r="I221" s="44">
        <v>20</v>
      </c>
      <c r="J221" s="44">
        <v>20</v>
      </c>
      <c r="K221" s="44">
        <v>20</v>
      </c>
      <c r="L221" s="44">
        <v>20</v>
      </c>
      <c r="M221" s="44">
        <v>20</v>
      </c>
    </row>
    <row r="222" spans="1:13" x14ac:dyDescent="0.25">
      <c r="A222" s="325"/>
      <c r="B222" s="328"/>
      <c r="C222" s="21" t="s">
        <v>30</v>
      </c>
      <c r="D222" s="1" t="s">
        <v>6</v>
      </c>
      <c r="E222" s="46">
        <v>865.6981523557846</v>
      </c>
      <c r="F222" s="46">
        <v>618.18184751144668</v>
      </c>
      <c r="G222" s="46">
        <v>482.31953407260886</v>
      </c>
      <c r="H222" s="46">
        <v>482.31953407260886</v>
      </c>
      <c r="I222" s="46">
        <v>482.31953407260886</v>
      </c>
      <c r="J222" s="46">
        <v>482.31953407260886</v>
      </c>
      <c r="K222" s="46">
        <v>1136.3124641115969</v>
      </c>
      <c r="L222" s="46">
        <v>988.42533284709032</v>
      </c>
      <c r="M222" s="46">
        <v>868.76381718516643</v>
      </c>
    </row>
    <row r="223" spans="1:13" x14ac:dyDescent="0.25">
      <c r="A223" s="325"/>
      <c r="B223" s="328"/>
      <c r="C223" s="21" t="s">
        <v>174</v>
      </c>
      <c r="D223" s="1" t="s">
        <v>19</v>
      </c>
      <c r="E223" s="47">
        <v>0.35</v>
      </c>
      <c r="F223" s="47">
        <v>0.35</v>
      </c>
      <c r="G223" s="47">
        <v>0.35</v>
      </c>
      <c r="H223" s="47">
        <v>0.35</v>
      </c>
      <c r="I223" s="47">
        <v>0.35</v>
      </c>
      <c r="J223" s="47">
        <v>0.35</v>
      </c>
      <c r="K223" s="47">
        <v>0.35</v>
      </c>
      <c r="L223" s="47">
        <v>0.35</v>
      </c>
      <c r="M223" s="47">
        <v>0.35</v>
      </c>
    </row>
    <row r="224" spans="1:13" x14ac:dyDescent="0.25">
      <c r="A224" s="325"/>
      <c r="B224" s="328"/>
      <c r="C224" s="21" t="s">
        <v>113</v>
      </c>
      <c r="D224" s="1" t="s">
        <v>8</v>
      </c>
      <c r="E224" s="44"/>
      <c r="F224" s="44"/>
      <c r="G224" s="44"/>
      <c r="H224" s="44"/>
      <c r="I224" s="44"/>
      <c r="J224" s="44"/>
      <c r="K224" s="44"/>
      <c r="L224" s="44"/>
      <c r="M224" s="44"/>
    </row>
    <row r="225" spans="1:13" x14ac:dyDescent="0.25">
      <c r="A225" s="325"/>
      <c r="B225" s="328"/>
      <c r="C225" s="21" t="s">
        <v>114</v>
      </c>
      <c r="D225" s="1" t="s">
        <v>9</v>
      </c>
      <c r="E225" s="44"/>
      <c r="F225" s="44"/>
      <c r="G225" s="44"/>
      <c r="H225" s="44"/>
      <c r="I225" s="44"/>
      <c r="J225" s="44"/>
      <c r="K225" s="44"/>
      <c r="L225" s="44"/>
      <c r="M225" s="44"/>
    </row>
    <row r="226" spans="1:13" x14ac:dyDescent="0.25">
      <c r="A226" s="325"/>
      <c r="B226" s="328"/>
      <c r="C226" s="21" t="s">
        <v>115</v>
      </c>
      <c r="D226" s="1" t="s">
        <v>10</v>
      </c>
      <c r="E226" s="46">
        <v>0</v>
      </c>
      <c r="F226" s="46">
        <v>0</v>
      </c>
      <c r="G226" s="46">
        <v>0</v>
      </c>
      <c r="H226" s="46">
        <v>0</v>
      </c>
      <c r="I226" s="46">
        <v>0</v>
      </c>
      <c r="J226" s="46">
        <v>0</v>
      </c>
      <c r="K226" s="46">
        <v>2.1199999999999999E-3</v>
      </c>
      <c r="L226" s="46">
        <v>2.1199999999999999E-3</v>
      </c>
      <c r="M226" s="46">
        <v>2.1199999999999999E-3</v>
      </c>
    </row>
    <row r="227" spans="1:13" ht="18.75" x14ac:dyDescent="0.25">
      <c r="A227" s="325"/>
      <c r="B227" s="328"/>
      <c r="C227" s="22" t="s">
        <v>116</v>
      </c>
      <c r="D227" s="23" t="s">
        <v>17</v>
      </c>
      <c r="E227" s="46">
        <v>0</v>
      </c>
      <c r="F227" s="46">
        <v>0</v>
      </c>
      <c r="G227" s="46">
        <v>0</v>
      </c>
      <c r="H227" s="46">
        <v>0</v>
      </c>
      <c r="I227" s="46">
        <v>0</v>
      </c>
      <c r="J227" s="46">
        <v>0</v>
      </c>
      <c r="K227" s="46">
        <v>0</v>
      </c>
      <c r="L227" s="46">
        <v>0</v>
      </c>
      <c r="M227" s="46">
        <v>0</v>
      </c>
    </row>
    <row r="228" spans="1:13" x14ac:dyDescent="0.25">
      <c r="A228" s="325"/>
      <c r="B228" s="328"/>
      <c r="C228" s="22" t="s">
        <v>31</v>
      </c>
      <c r="D228" s="23" t="s">
        <v>10</v>
      </c>
      <c r="E228" s="46">
        <v>0</v>
      </c>
      <c r="F228" s="46">
        <v>0</v>
      </c>
      <c r="G228" s="46">
        <v>0</v>
      </c>
      <c r="H228" s="46">
        <v>0</v>
      </c>
      <c r="I228" s="46">
        <v>0</v>
      </c>
      <c r="J228" s="46">
        <v>0</v>
      </c>
      <c r="K228" s="46">
        <v>0</v>
      </c>
      <c r="L228" s="46">
        <v>0</v>
      </c>
      <c r="M228" s="46">
        <v>0</v>
      </c>
    </row>
    <row r="229" spans="1:13" x14ac:dyDescent="0.25">
      <c r="A229" s="325"/>
      <c r="B229" s="328"/>
      <c r="C229" s="21" t="s">
        <v>32</v>
      </c>
      <c r="D229" s="2" t="s">
        <v>19</v>
      </c>
      <c r="E229" s="44">
        <v>3.2399999999999998</v>
      </c>
      <c r="F229" s="44">
        <v>3.2399999999999998</v>
      </c>
      <c r="G229" s="44">
        <v>3.2399999999999998</v>
      </c>
      <c r="H229" s="44">
        <v>3.2399999999999998</v>
      </c>
      <c r="I229" s="44">
        <v>3.2399999999999998</v>
      </c>
      <c r="J229" s="44">
        <v>3.2399999999999998</v>
      </c>
      <c r="K229" s="44">
        <v>3.2399999999999998</v>
      </c>
      <c r="L229" s="44">
        <v>3.2399999999999998</v>
      </c>
      <c r="M229" s="44">
        <v>3.2399999999999998</v>
      </c>
    </row>
    <row r="230" spans="1:13" x14ac:dyDescent="0.25">
      <c r="A230" s="325"/>
      <c r="B230" s="328"/>
      <c r="C230" s="21" t="s">
        <v>33</v>
      </c>
      <c r="D230" s="2" t="s">
        <v>14</v>
      </c>
      <c r="E230" s="44"/>
      <c r="F230" s="44"/>
      <c r="G230" s="44"/>
      <c r="H230" s="44"/>
      <c r="I230" s="44"/>
      <c r="J230" s="44"/>
      <c r="K230" s="44"/>
      <c r="L230" s="44"/>
      <c r="M230" s="44"/>
    </row>
    <row r="231" spans="1:13" x14ac:dyDescent="0.25">
      <c r="A231" s="325"/>
      <c r="B231" s="328"/>
      <c r="C231" s="21" t="s">
        <v>34</v>
      </c>
      <c r="D231" s="2" t="s">
        <v>4</v>
      </c>
      <c r="E231" s="44"/>
      <c r="F231" s="44"/>
      <c r="G231" s="44"/>
      <c r="H231" s="44"/>
      <c r="I231" s="44"/>
      <c r="J231" s="44"/>
      <c r="K231" s="44"/>
      <c r="L231" s="44"/>
      <c r="M231" s="44"/>
    </row>
    <row r="232" spans="1:13" x14ac:dyDescent="0.25">
      <c r="A232" s="325"/>
      <c r="B232" s="328"/>
      <c r="C232" s="21" t="s">
        <v>125</v>
      </c>
      <c r="D232" s="1" t="s">
        <v>19</v>
      </c>
      <c r="E232" s="51">
        <v>0.3125</v>
      </c>
      <c r="F232" s="51">
        <v>0.3125</v>
      </c>
      <c r="G232" s="51">
        <v>0.3125</v>
      </c>
      <c r="H232" s="51">
        <v>0.3125</v>
      </c>
      <c r="I232" s="51">
        <v>0.3125</v>
      </c>
      <c r="J232" s="51">
        <v>0.3125</v>
      </c>
      <c r="K232" s="51">
        <v>0.3125</v>
      </c>
      <c r="L232" s="51">
        <v>0.3125</v>
      </c>
      <c r="M232" s="51">
        <v>0.3125</v>
      </c>
    </row>
    <row r="233" spans="1:13" x14ac:dyDescent="0.25">
      <c r="A233" s="325"/>
      <c r="B233" s="328"/>
      <c r="C233" s="21" t="s">
        <v>126</v>
      </c>
      <c r="D233" s="1" t="s">
        <v>19</v>
      </c>
      <c r="E233" s="44">
        <v>0.64</v>
      </c>
      <c r="F233" s="44">
        <v>0.64</v>
      </c>
      <c r="G233" s="44">
        <v>0.64</v>
      </c>
      <c r="H233" s="44">
        <v>0.64</v>
      </c>
      <c r="I233" s="44">
        <v>0.64</v>
      </c>
      <c r="J233" s="44">
        <v>0.64</v>
      </c>
      <c r="K233" s="44">
        <v>0.64</v>
      </c>
      <c r="L233" s="44">
        <v>0.64</v>
      </c>
      <c r="M233" s="44">
        <v>0.64</v>
      </c>
    </row>
    <row r="234" spans="1:13" x14ac:dyDescent="0.25">
      <c r="A234" s="325"/>
      <c r="B234" s="328"/>
      <c r="C234" s="24" t="s">
        <v>127</v>
      </c>
      <c r="D234" s="1" t="s">
        <v>4</v>
      </c>
      <c r="E234" s="44">
        <v>20</v>
      </c>
      <c r="F234" s="44">
        <v>20</v>
      </c>
      <c r="G234" s="44">
        <v>20</v>
      </c>
      <c r="H234" s="44">
        <v>20</v>
      </c>
      <c r="I234" s="44">
        <v>20</v>
      </c>
      <c r="J234" s="44">
        <v>20</v>
      </c>
      <c r="K234" s="44">
        <v>20</v>
      </c>
      <c r="L234" s="44">
        <v>20</v>
      </c>
      <c r="M234" s="44">
        <v>20</v>
      </c>
    </row>
    <row r="235" spans="1:13" x14ac:dyDescent="0.25">
      <c r="A235" s="325"/>
      <c r="B235" s="328"/>
      <c r="C235" s="24" t="s">
        <v>128</v>
      </c>
      <c r="D235" s="1" t="s">
        <v>6</v>
      </c>
      <c r="E235" s="52">
        <v>946.15063293358571</v>
      </c>
      <c r="F235" s="52">
        <v>932.03126095799144</v>
      </c>
      <c r="G235" s="52">
        <v>894.37960235640639</v>
      </c>
      <c r="H235" s="52">
        <v>842.60857177922708</v>
      </c>
      <c r="I235" s="52">
        <v>772.01171190125524</v>
      </c>
      <c r="J235" s="52">
        <v>630.81799214531168</v>
      </c>
      <c r="K235" s="52">
        <v>538.57142857142856</v>
      </c>
      <c r="L235" s="52">
        <v>538.57142857142856</v>
      </c>
      <c r="M235" s="52">
        <v>538.57142857142856</v>
      </c>
    </row>
    <row r="236" spans="1:13" x14ac:dyDescent="0.25">
      <c r="A236" s="325"/>
      <c r="B236" s="328"/>
      <c r="C236" s="24" t="s">
        <v>179</v>
      </c>
      <c r="D236" s="1" t="s">
        <v>19</v>
      </c>
      <c r="E236" s="47">
        <v>0.35</v>
      </c>
      <c r="F236" s="47">
        <v>0.35</v>
      </c>
      <c r="G236" s="47">
        <v>0.35</v>
      </c>
      <c r="H236" s="47">
        <v>0.35</v>
      </c>
      <c r="I236" s="47">
        <v>0.35</v>
      </c>
      <c r="J236" s="47">
        <v>0.35</v>
      </c>
      <c r="K236" s="47">
        <v>0.35</v>
      </c>
      <c r="L236" s="47">
        <v>0.35</v>
      </c>
      <c r="M236" s="47">
        <v>0.35</v>
      </c>
    </row>
    <row r="237" spans="1:13" x14ac:dyDescent="0.25">
      <c r="A237" s="325"/>
      <c r="B237" s="328"/>
      <c r="C237" s="21" t="s">
        <v>129</v>
      </c>
      <c r="D237" s="1" t="s">
        <v>8</v>
      </c>
      <c r="E237" s="46">
        <v>56.686008836524309</v>
      </c>
      <c r="F237" s="46">
        <v>74.027687776141391</v>
      </c>
      <c r="G237" s="46">
        <v>120.27216494845361</v>
      </c>
      <c r="H237" s="46">
        <v>183.85832106038291</v>
      </c>
      <c r="I237" s="46">
        <v>270.56671575846832</v>
      </c>
      <c r="J237" s="46">
        <v>443.98350515463915</v>
      </c>
      <c r="K237" s="46">
        <v>617.40029455081003</v>
      </c>
      <c r="L237" s="46">
        <v>617.40029455081003</v>
      </c>
      <c r="M237" s="46">
        <v>617.40029455081003</v>
      </c>
    </row>
    <row r="238" spans="1:13" x14ac:dyDescent="0.25">
      <c r="A238" s="325"/>
      <c r="B238" s="328"/>
      <c r="C238" s="21" t="s">
        <v>130</v>
      </c>
      <c r="D238" s="1" t="s">
        <v>9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1:13" x14ac:dyDescent="0.25">
      <c r="A239" s="325"/>
      <c r="B239" s="328"/>
      <c r="C239" s="21" t="s">
        <v>131</v>
      </c>
      <c r="D239" s="1" t="s">
        <v>10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1:13" ht="18.75" x14ac:dyDescent="0.25">
      <c r="A240" s="326"/>
      <c r="B240" s="329"/>
      <c r="C240" s="53" t="s">
        <v>132</v>
      </c>
      <c r="D240" s="23" t="s">
        <v>17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1:13" x14ac:dyDescent="0.25">
      <c r="A241" s="324">
        <v>15</v>
      </c>
      <c r="B241" s="327" t="s">
        <v>182</v>
      </c>
      <c r="C241" s="21" t="s">
        <v>112</v>
      </c>
      <c r="D241" s="1" t="s">
        <v>19</v>
      </c>
      <c r="E241" s="51">
        <v>1</v>
      </c>
      <c r="F241" s="51">
        <v>1</v>
      </c>
      <c r="G241" s="51">
        <v>1</v>
      </c>
      <c r="H241" s="51">
        <v>1</v>
      </c>
      <c r="I241" s="51">
        <v>1</v>
      </c>
      <c r="J241" s="51">
        <v>1</v>
      </c>
      <c r="K241" s="51">
        <v>1</v>
      </c>
      <c r="L241" s="51">
        <v>1</v>
      </c>
      <c r="M241" s="51">
        <v>1</v>
      </c>
    </row>
    <row r="242" spans="1:13" x14ac:dyDescent="0.25">
      <c r="A242" s="325"/>
      <c r="B242" s="328"/>
      <c r="C242" s="21" t="s">
        <v>28</v>
      </c>
      <c r="D242" s="1" t="s">
        <v>19</v>
      </c>
      <c r="E242" s="44">
        <v>0.65</v>
      </c>
      <c r="F242" s="44">
        <v>0.65</v>
      </c>
      <c r="G242" s="44">
        <v>0.65</v>
      </c>
      <c r="H242" s="44">
        <v>0.65</v>
      </c>
      <c r="I242" s="44">
        <v>0.65</v>
      </c>
      <c r="J242" s="44">
        <v>0.65</v>
      </c>
      <c r="K242" s="44">
        <v>0.65</v>
      </c>
      <c r="L242" s="44">
        <v>0.65</v>
      </c>
      <c r="M242" s="44">
        <v>0.65</v>
      </c>
    </row>
    <row r="243" spans="1:13" x14ac:dyDescent="0.25">
      <c r="A243" s="325"/>
      <c r="B243" s="328"/>
      <c r="C243" s="21" t="s">
        <v>29</v>
      </c>
      <c r="D243" s="1" t="s">
        <v>4</v>
      </c>
      <c r="E243" s="44">
        <v>20</v>
      </c>
      <c r="F243" s="44">
        <v>20</v>
      </c>
      <c r="G243" s="44">
        <v>20</v>
      </c>
      <c r="H243" s="44">
        <v>20</v>
      </c>
      <c r="I243" s="44">
        <v>20</v>
      </c>
      <c r="J243" s="44">
        <v>20</v>
      </c>
      <c r="K243" s="44">
        <v>20</v>
      </c>
      <c r="L243" s="44">
        <v>20</v>
      </c>
      <c r="M243" s="44">
        <v>20</v>
      </c>
    </row>
    <row r="244" spans="1:13" x14ac:dyDescent="0.25">
      <c r="A244" s="325"/>
      <c r="B244" s="328"/>
      <c r="C244" s="21" t="s">
        <v>30</v>
      </c>
      <c r="D244" s="1" t="s">
        <v>6</v>
      </c>
      <c r="E244" s="46">
        <v>865.6981523557846</v>
      </c>
      <c r="F244" s="46">
        <v>618.18184751144668</v>
      </c>
      <c r="G244" s="46">
        <v>482.31953407260886</v>
      </c>
      <c r="H244" s="46">
        <v>482.31953407260886</v>
      </c>
      <c r="I244" s="46">
        <v>482.31953407260886</v>
      </c>
      <c r="J244" s="46">
        <v>482.31953407260886</v>
      </c>
      <c r="K244" s="46">
        <v>1136.3124641115969</v>
      </c>
      <c r="L244" s="46">
        <v>988.42533284709032</v>
      </c>
      <c r="M244" s="46">
        <v>868.76381718516643</v>
      </c>
    </row>
    <row r="245" spans="1:13" x14ac:dyDescent="0.25">
      <c r="A245" s="325"/>
      <c r="B245" s="328"/>
      <c r="C245" s="21" t="s">
        <v>174</v>
      </c>
      <c r="D245" s="1" t="s">
        <v>19</v>
      </c>
      <c r="E245" s="47">
        <v>0.35</v>
      </c>
      <c r="F245" s="47">
        <v>0.35</v>
      </c>
      <c r="G245" s="47">
        <v>0.35</v>
      </c>
      <c r="H245" s="47">
        <v>0.35</v>
      </c>
      <c r="I245" s="47">
        <v>0.35</v>
      </c>
      <c r="J245" s="47">
        <v>0.35</v>
      </c>
      <c r="K245" s="47">
        <v>0.35</v>
      </c>
      <c r="L245" s="47">
        <v>0.35</v>
      </c>
      <c r="M245" s="47">
        <v>0.35</v>
      </c>
    </row>
    <row r="246" spans="1:13" x14ac:dyDescent="0.25">
      <c r="A246" s="325"/>
      <c r="B246" s="328"/>
      <c r="C246" s="21" t="s">
        <v>113</v>
      </c>
      <c r="D246" s="1" t="s">
        <v>8</v>
      </c>
      <c r="E246" s="44"/>
      <c r="F246" s="44"/>
      <c r="G246" s="44"/>
      <c r="H246" s="44"/>
      <c r="I246" s="44"/>
      <c r="J246" s="44"/>
      <c r="K246" s="44"/>
      <c r="L246" s="44"/>
      <c r="M246" s="44"/>
    </row>
    <row r="247" spans="1:13" x14ac:dyDescent="0.25">
      <c r="A247" s="325"/>
      <c r="B247" s="328"/>
      <c r="C247" s="21" t="s">
        <v>114</v>
      </c>
      <c r="D247" s="1" t="s">
        <v>9</v>
      </c>
      <c r="E247" s="44"/>
      <c r="F247" s="44"/>
      <c r="G247" s="44"/>
      <c r="H247" s="44"/>
      <c r="I247" s="44"/>
      <c r="J247" s="44"/>
      <c r="K247" s="44"/>
      <c r="L247" s="44"/>
      <c r="M247" s="44"/>
    </row>
    <row r="248" spans="1:13" x14ac:dyDescent="0.25">
      <c r="A248" s="325"/>
      <c r="B248" s="328"/>
      <c r="C248" s="21" t="s">
        <v>115</v>
      </c>
      <c r="D248" s="1" t="s">
        <v>10</v>
      </c>
      <c r="E248" s="46">
        <v>0</v>
      </c>
      <c r="F248" s="46">
        <v>0</v>
      </c>
      <c r="G248" s="46">
        <v>0</v>
      </c>
      <c r="H248" s="46">
        <v>0</v>
      </c>
      <c r="I248" s="46">
        <v>0</v>
      </c>
      <c r="J248" s="46">
        <v>0</v>
      </c>
      <c r="K248" s="46">
        <v>2.1199999999999999E-3</v>
      </c>
      <c r="L248" s="46">
        <v>2.1199999999999999E-3</v>
      </c>
      <c r="M248" s="46">
        <v>2.1199999999999999E-3</v>
      </c>
    </row>
    <row r="249" spans="1:13" ht="18.75" x14ac:dyDescent="0.25">
      <c r="A249" s="325"/>
      <c r="B249" s="328"/>
      <c r="C249" s="22" t="s">
        <v>116</v>
      </c>
      <c r="D249" s="23" t="s">
        <v>17</v>
      </c>
      <c r="E249" s="46">
        <v>0</v>
      </c>
      <c r="F249" s="46">
        <v>0</v>
      </c>
      <c r="G249" s="46">
        <v>0</v>
      </c>
      <c r="H249" s="46">
        <v>0</v>
      </c>
      <c r="I249" s="46">
        <v>0</v>
      </c>
      <c r="J249" s="46">
        <v>0</v>
      </c>
      <c r="K249" s="46">
        <v>0</v>
      </c>
      <c r="L249" s="46">
        <v>0</v>
      </c>
      <c r="M249" s="46">
        <v>0</v>
      </c>
    </row>
    <row r="250" spans="1:13" x14ac:dyDescent="0.25">
      <c r="A250" s="325"/>
      <c r="B250" s="328"/>
      <c r="C250" s="22" t="s">
        <v>31</v>
      </c>
      <c r="D250" s="23" t="s">
        <v>10</v>
      </c>
      <c r="E250" s="46">
        <v>0</v>
      </c>
      <c r="F250" s="46">
        <v>0</v>
      </c>
      <c r="G250" s="46">
        <v>0</v>
      </c>
      <c r="H250" s="46">
        <v>0</v>
      </c>
      <c r="I250" s="46">
        <v>0</v>
      </c>
      <c r="J250" s="46">
        <v>0</v>
      </c>
      <c r="K250" s="46">
        <v>0</v>
      </c>
      <c r="L250" s="46">
        <v>0</v>
      </c>
      <c r="M250" s="46">
        <v>0</v>
      </c>
    </row>
    <row r="251" spans="1:13" x14ac:dyDescent="0.25">
      <c r="A251" s="325"/>
      <c r="B251" s="328"/>
      <c r="C251" s="21" t="s">
        <v>32</v>
      </c>
      <c r="D251" s="2" t="s">
        <v>19</v>
      </c>
      <c r="E251" s="44">
        <v>3.2399999999999998</v>
      </c>
      <c r="F251" s="44">
        <v>3.2399999999999998</v>
      </c>
      <c r="G251" s="44">
        <v>3.2399999999999998</v>
      </c>
      <c r="H251" s="44">
        <v>3.2399999999999998</v>
      </c>
      <c r="I251" s="44">
        <v>3.2399999999999998</v>
      </c>
      <c r="J251" s="44">
        <v>3.2399999999999998</v>
      </c>
      <c r="K251" s="44">
        <v>3.2399999999999998</v>
      </c>
      <c r="L251" s="44">
        <v>3.2399999999999998</v>
      </c>
      <c r="M251" s="44">
        <v>3.2399999999999998</v>
      </c>
    </row>
    <row r="252" spans="1:13" x14ac:dyDescent="0.25">
      <c r="A252" s="325"/>
      <c r="B252" s="328"/>
      <c r="C252" s="21" t="s">
        <v>33</v>
      </c>
      <c r="D252" s="2" t="s">
        <v>14</v>
      </c>
      <c r="E252" s="44"/>
      <c r="F252" s="44"/>
      <c r="G252" s="44"/>
      <c r="H252" s="44"/>
      <c r="I252" s="44"/>
      <c r="J252" s="44"/>
      <c r="K252" s="44"/>
      <c r="L252" s="44"/>
      <c r="M252" s="44"/>
    </row>
    <row r="253" spans="1:13" x14ac:dyDescent="0.25">
      <c r="A253" s="325"/>
      <c r="B253" s="328"/>
      <c r="C253" s="21" t="s">
        <v>34</v>
      </c>
      <c r="D253" s="2" t="s">
        <v>4</v>
      </c>
      <c r="E253" s="44"/>
      <c r="F253" s="44"/>
      <c r="G253" s="44"/>
      <c r="H253" s="44"/>
      <c r="I253" s="44"/>
      <c r="J253" s="44"/>
      <c r="K253" s="44"/>
      <c r="L253" s="44"/>
      <c r="M253" s="44"/>
    </row>
    <row r="254" spans="1:13" x14ac:dyDescent="0.25">
      <c r="A254" s="325"/>
      <c r="B254" s="328"/>
      <c r="C254" s="21" t="s">
        <v>125</v>
      </c>
      <c r="D254" s="1" t="s">
        <v>19</v>
      </c>
      <c r="E254" s="51">
        <v>0.546875</v>
      </c>
      <c r="F254" s="51">
        <v>0.546875</v>
      </c>
      <c r="G254" s="51">
        <v>0.54687499999999989</v>
      </c>
      <c r="H254" s="51">
        <v>0.546875</v>
      </c>
      <c r="I254" s="51">
        <v>0.546875</v>
      </c>
      <c r="J254" s="51">
        <v>0.546875</v>
      </c>
      <c r="K254" s="51">
        <v>0.546875</v>
      </c>
      <c r="L254" s="51">
        <v>0.546875</v>
      </c>
      <c r="M254" s="51">
        <v>0.546875</v>
      </c>
    </row>
    <row r="255" spans="1:13" x14ac:dyDescent="0.25">
      <c r="A255" s="325"/>
      <c r="B255" s="328"/>
      <c r="C255" s="21" t="s">
        <v>126</v>
      </c>
      <c r="D255" s="1" t="s">
        <v>19</v>
      </c>
      <c r="E255" s="44">
        <v>0.64</v>
      </c>
      <c r="F255" s="44">
        <v>0.64</v>
      </c>
      <c r="G255" s="44">
        <v>0.64</v>
      </c>
      <c r="H255" s="44">
        <v>0.64</v>
      </c>
      <c r="I255" s="44">
        <v>0.64</v>
      </c>
      <c r="J255" s="44">
        <v>0.64</v>
      </c>
      <c r="K255" s="44">
        <v>0.64</v>
      </c>
      <c r="L255" s="44">
        <v>0.64</v>
      </c>
      <c r="M255" s="44">
        <v>0.64</v>
      </c>
    </row>
    <row r="256" spans="1:13" x14ac:dyDescent="0.25">
      <c r="A256" s="325"/>
      <c r="B256" s="328"/>
      <c r="C256" s="24" t="s">
        <v>127</v>
      </c>
      <c r="D256" s="1" t="s">
        <v>4</v>
      </c>
      <c r="E256" s="44">
        <v>20</v>
      </c>
      <c r="F256" s="44">
        <v>20</v>
      </c>
      <c r="G256" s="44">
        <v>20</v>
      </c>
      <c r="H256" s="44">
        <v>20</v>
      </c>
      <c r="I256" s="44">
        <v>20</v>
      </c>
      <c r="J256" s="44">
        <v>20</v>
      </c>
      <c r="K256" s="44">
        <v>20</v>
      </c>
      <c r="L256" s="44">
        <v>20</v>
      </c>
      <c r="M256" s="44">
        <v>20</v>
      </c>
    </row>
    <row r="257" spans="1:13" x14ac:dyDescent="0.25">
      <c r="A257" s="325"/>
      <c r="B257" s="328"/>
      <c r="C257" s="24" t="s">
        <v>128</v>
      </c>
      <c r="D257" s="1" t="s">
        <v>6</v>
      </c>
      <c r="E257" s="52">
        <v>935.56110395189</v>
      </c>
      <c r="F257" s="52">
        <v>910.85220299459979</v>
      </c>
      <c r="G257" s="52">
        <v>844.9618004418262</v>
      </c>
      <c r="H257" s="52">
        <v>754.36249693176228</v>
      </c>
      <c r="I257" s="52">
        <v>630.81799214531168</v>
      </c>
      <c r="J257" s="52">
        <v>538.57142857142856</v>
      </c>
      <c r="K257" s="52">
        <v>538.57142857142856</v>
      </c>
      <c r="L257" s="52">
        <v>538.57142857142856</v>
      </c>
      <c r="M257" s="52">
        <v>538.57142857142856</v>
      </c>
    </row>
    <row r="258" spans="1:13" x14ac:dyDescent="0.25">
      <c r="A258" s="325"/>
      <c r="B258" s="328"/>
      <c r="C258" s="24" t="s">
        <v>179</v>
      </c>
      <c r="D258" s="1" t="s">
        <v>19</v>
      </c>
      <c r="E258" s="47">
        <v>0.35</v>
      </c>
      <c r="F258" s="47">
        <v>0.35</v>
      </c>
      <c r="G258" s="47">
        <v>0.35</v>
      </c>
      <c r="H258" s="47">
        <v>0.35</v>
      </c>
      <c r="I258" s="47">
        <v>0.35</v>
      </c>
      <c r="J258" s="47">
        <v>0.35</v>
      </c>
      <c r="K258" s="47">
        <v>0.35</v>
      </c>
      <c r="L258" s="47">
        <v>0.35</v>
      </c>
      <c r="M258" s="47">
        <v>0.35</v>
      </c>
    </row>
    <row r="259" spans="1:13" x14ac:dyDescent="0.25">
      <c r="A259" s="325"/>
      <c r="B259" s="328"/>
      <c r="C259" s="21" t="s">
        <v>129</v>
      </c>
      <c r="D259" s="1" t="s">
        <v>8</v>
      </c>
      <c r="E259" s="46">
        <v>56.686008836524309</v>
      </c>
      <c r="F259" s="46">
        <v>74.027687776141391</v>
      </c>
      <c r="G259" s="46">
        <v>120.27216494845361</v>
      </c>
      <c r="H259" s="46">
        <v>183.85832106038291</v>
      </c>
      <c r="I259" s="46">
        <v>270.56671575846832</v>
      </c>
      <c r="J259" s="46">
        <v>443.98350515463915</v>
      </c>
      <c r="K259" s="46">
        <v>617.40029455081003</v>
      </c>
      <c r="L259" s="46">
        <v>617.40029455081003</v>
      </c>
      <c r="M259" s="46">
        <v>617.40029455081003</v>
      </c>
    </row>
    <row r="260" spans="1:13" x14ac:dyDescent="0.25">
      <c r="A260" s="325"/>
      <c r="B260" s="328"/>
      <c r="C260" s="21" t="s">
        <v>130</v>
      </c>
      <c r="D260" s="1" t="s">
        <v>9</v>
      </c>
      <c r="E260" s="44"/>
      <c r="F260" s="44"/>
      <c r="G260" s="44"/>
      <c r="H260" s="44"/>
      <c r="I260" s="44"/>
      <c r="J260" s="44"/>
      <c r="K260" s="44"/>
      <c r="L260" s="44"/>
      <c r="M260" s="44"/>
    </row>
    <row r="261" spans="1:13" x14ac:dyDescent="0.25">
      <c r="A261" s="325"/>
      <c r="B261" s="328"/>
      <c r="C261" s="21" t="s">
        <v>131</v>
      </c>
      <c r="D261" s="1" t="s">
        <v>10</v>
      </c>
      <c r="E261" s="44"/>
      <c r="F261" s="44"/>
      <c r="G261" s="44"/>
      <c r="H261" s="44"/>
      <c r="I261" s="44"/>
      <c r="J261" s="44"/>
      <c r="K261" s="44"/>
      <c r="L261" s="44"/>
      <c r="M261" s="44"/>
    </row>
    <row r="262" spans="1:13" ht="18.75" x14ac:dyDescent="0.25">
      <c r="A262" s="326"/>
      <c r="B262" s="329"/>
      <c r="C262" s="53" t="s">
        <v>132</v>
      </c>
      <c r="D262" s="23" t="s">
        <v>17</v>
      </c>
      <c r="E262" s="44"/>
      <c r="F262" s="44"/>
      <c r="G262" s="44"/>
      <c r="H262" s="44"/>
      <c r="I262" s="44"/>
      <c r="J262" s="44"/>
      <c r="K262" s="44"/>
      <c r="L262" s="44"/>
      <c r="M262" s="44"/>
    </row>
    <row r="263" spans="1:13" x14ac:dyDescent="0.25">
      <c r="A263" s="306">
        <v>16</v>
      </c>
      <c r="B263" s="323" t="s">
        <v>156</v>
      </c>
      <c r="C263" s="21" t="s">
        <v>101</v>
      </c>
      <c r="D263" s="1" t="s">
        <v>4</v>
      </c>
      <c r="E263" s="44">
        <v>40</v>
      </c>
      <c r="F263" s="44">
        <v>40</v>
      </c>
      <c r="G263" s="44">
        <v>40</v>
      </c>
      <c r="H263" s="44">
        <v>40</v>
      </c>
      <c r="I263" s="44">
        <v>40</v>
      </c>
      <c r="J263" s="44">
        <v>40</v>
      </c>
      <c r="K263" s="44">
        <v>40</v>
      </c>
      <c r="L263" s="44">
        <v>40</v>
      </c>
      <c r="M263" s="44">
        <v>40</v>
      </c>
    </row>
    <row r="264" spans="1:13" x14ac:dyDescent="0.25">
      <c r="A264" s="306"/>
      <c r="B264" s="323"/>
      <c r="C264" s="21" t="s">
        <v>5</v>
      </c>
      <c r="D264" s="1" t="s">
        <v>6</v>
      </c>
      <c r="E264" s="46">
        <v>300</v>
      </c>
      <c r="F264" s="46">
        <v>183.33333333333334</v>
      </c>
      <c r="G264" s="46">
        <v>100</v>
      </c>
      <c r="H264" s="46">
        <v>76</v>
      </c>
      <c r="I264" s="46">
        <v>60</v>
      </c>
      <c r="J264" s="46">
        <v>42.857142857142854</v>
      </c>
      <c r="K264" s="46">
        <v>27.058823529411764</v>
      </c>
      <c r="L264" s="46">
        <v>18.421052631578949</v>
      </c>
      <c r="M264" s="46">
        <v>13.75</v>
      </c>
    </row>
    <row r="265" spans="1:13" x14ac:dyDescent="0.25">
      <c r="A265" s="306"/>
      <c r="B265" s="323"/>
      <c r="C265" s="21" t="s">
        <v>172</v>
      </c>
      <c r="D265" s="1" t="s">
        <v>19</v>
      </c>
      <c r="E265" s="47">
        <v>0.35</v>
      </c>
      <c r="F265" s="47">
        <v>0.35</v>
      </c>
      <c r="G265" s="47">
        <v>0.35</v>
      </c>
      <c r="H265" s="47">
        <v>0.35</v>
      </c>
      <c r="I265" s="47">
        <v>0.35</v>
      </c>
      <c r="J265" s="47">
        <v>0.35</v>
      </c>
      <c r="K265" s="47">
        <v>0.35</v>
      </c>
      <c r="L265" s="47">
        <v>0.35</v>
      </c>
      <c r="M265" s="47">
        <v>0.35</v>
      </c>
    </row>
    <row r="266" spans="1:13" x14ac:dyDescent="0.25">
      <c r="A266" s="306"/>
      <c r="B266" s="323"/>
      <c r="C266" s="21" t="s">
        <v>102</v>
      </c>
      <c r="D266" s="1" t="s">
        <v>8</v>
      </c>
      <c r="E266" s="46">
        <v>0</v>
      </c>
      <c r="F266" s="46">
        <v>0</v>
      </c>
      <c r="G266" s="46">
        <v>0</v>
      </c>
      <c r="H266" s="46">
        <v>0</v>
      </c>
      <c r="I266" s="46">
        <v>0</v>
      </c>
      <c r="J266" s="46">
        <v>0</v>
      </c>
      <c r="K266" s="46">
        <v>0</v>
      </c>
      <c r="L266" s="46">
        <v>0</v>
      </c>
      <c r="M266" s="46">
        <v>0</v>
      </c>
    </row>
    <row r="267" spans="1:13" x14ac:dyDescent="0.25">
      <c r="A267" s="306"/>
      <c r="B267" s="323"/>
      <c r="C267" s="21" t="s">
        <v>103</v>
      </c>
      <c r="D267" s="1" t="s">
        <v>9</v>
      </c>
      <c r="E267" s="44"/>
      <c r="F267" s="44"/>
      <c r="G267" s="44"/>
      <c r="H267" s="44"/>
      <c r="I267" s="44"/>
      <c r="J267" s="44"/>
      <c r="K267" s="44"/>
      <c r="L267" s="44"/>
      <c r="M267" s="44"/>
    </row>
    <row r="268" spans="1:13" x14ac:dyDescent="0.25">
      <c r="A268" s="306"/>
      <c r="B268" s="323"/>
      <c r="C268" s="21" t="s">
        <v>104</v>
      </c>
      <c r="D268" s="1" t="s">
        <v>10</v>
      </c>
      <c r="E268" s="44"/>
      <c r="F268" s="44"/>
      <c r="G268" s="44"/>
      <c r="H268" s="44"/>
      <c r="I268" s="44"/>
      <c r="J268" s="44"/>
      <c r="K268" s="44"/>
      <c r="L268" s="44"/>
      <c r="M268" s="44"/>
    </row>
    <row r="269" spans="1:13" x14ac:dyDescent="0.25">
      <c r="A269" s="306"/>
      <c r="B269" s="323"/>
      <c r="C269" s="22" t="s">
        <v>11</v>
      </c>
      <c r="D269" s="23" t="s">
        <v>10</v>
      </c>
      <c r="E269" s="44"/>
      <c r="F269" s="44"/>
      <c r="G269" s="44"/>
      <c r="H269" s="44"/>
      <c r="I269" s="44"/>
      <c r="J269" s="44"/>
      <c r="K269" s="44"/>
      <c r="L269" s="44"/>
      <c r="M269" s="44"/>
    </row>
    <row r="270" spans="1:13" x14ac:dyDescent="0.25">
      <c r="A270" s="306"/>
      <c r="B270" s="323"/>
      <c r="C270" s="21" t="s">
        <v>12</v>
      </c>
      <c r="D270" s="1" t="s">
        <v>7</v>
      </c>
      <c r="E270" s="47">
        <v>1</v>
      </c>
      <c r="F270" s="47">
        <v>1</v>
      </c>
      <c r="G270" s="47">
        <v>1</v>
      </c>
      <c r="H270" s="47">
        <v>1</v>
      </c>
      <c r="I270" s="47">
        <v>1</v>
      </c>
      <c r="J270" s="47">
        <v>1</v>
      </c>
      <c r="K270" s="47">
        <v>1</v>
      </c>
      <c r="L270" s="47">
        <v>1</v>
      </c>
      <c r="M270" s="47">
        <v>1</v>
      </c>
    </row>
    <row r="271" spans="1:13" x14ac:dyDescent="0.25">
      <c r="A271" s="306"/>
      <c r="B271" s="323"/>
      <c r="C271" s="21" t="s">
        <v>13</v>
      </c>
      <c r="D271" s="1" t="s">
        <v>14</v>
      </c>
      <c r="E271" s="46">
        <v>20161.05</v>
      </c>
      <c r="F271" s="46">
        <v>20736.3</v>
      </c>
      <c r="G271" s="46">
        <v>22270.3</v>
      </c>
      <c r="H271" s="46">
        <v>24379.55</v>
      </c>
      <c r="I271" s="46">
        <v>27255.8</v>
      </c>
      <c r="J271" s="46">
        <v>33008.300000000003</v>
      </c>
      <c r="K271" s="46">
        <v>52183.3</v>
      </c>
      <c r="L271" s="46">
        <v>98768.8</v>
      </c>
      <c r="M271" s="46">
        <v>190105.68460000001</v>
      </c>
    </row>
    <row r="272" spans="1:13" x14ac:dyDescent="0.25">
      <c r="A272" s="306"/>
      <c r="B272" s="323"/>
      <c r="C272" s="21" t="s">
        <v>15</v>
      </c>
      <c r="D272" s="1" t="s">
        <v>4</v>
      </c>
      <c r="E272" s="44">
        <v>40</v>
      </c>
      <c r="F272" s="44">
        <v>40</v>
      </c>
      <c r="G272" s="44">
        <v>40</v>
      </c>
      <c r="H272" s="44">
        <v>40</v>
      </c>
      <c r="I272" s="44">
        <v>40</v>
      </c>
      <c r="J272" s="44">
        <v>40</v>
      </c>
      <c r="K272" s="44">
        <v>40</v>
      </c>
      <c r="L272" s="44">
        <v>40</v>
      </c>
      <c r="M272" s="44">
        <v>40</v>
      </c>
    </row>
    <row r="273" spans="1:13" x14ac:dyDescent="0.25">
      <c r="A273" s="306">
        <v>17</v>
      </c>
      <c r="B273" s="323" t="s">
        <v>157</v>
      </c>
      <c r="C273" s="21" t="s">
        <v>101</v>
      </c>
      <c r="D273" s="1" t="s">
        <v>4</v>
      </c>
      <c r="E273" s="44">
        <v>40</v>
      </c>
      <c r="F273" s="44">
        <v>40</v>
      </c>
      <c r="G273" s="44">
        <v>40</v>
      </c>
      <c r="H273" s="44">
        <v>40</v>
      </c>
      <c r="I273" s="44">
        <v>40</v>
      </c>
      <c r="J273" s="44">
        <v>40</v>
      </c>
      <c r="K273" s="44">
        <v>40</v>
      </c>
      <c r="L273" s="44">
        <v>40</v>
      </c>
      <c r="M273" s="44">
        <v>40</v>
      </c>
    </row>
    <row r="274" spans="1:13" x14ac:dyDescent="0.25">
      <c r="A274" s="306"/>
      <c r="B274" s="323"/>
      <c r="C274" s="21" t="s">
        <v>5</v>
      </c>
      <c r="D274" s="1" t="s">
        <v>6</v>
      </c>
      <c r="E274" s="44"/>
      <c r="F274" s="44"/>
      <c r="G274" s="44"/>
      <c r="H274" s="44"/>
      <c r="I274" s="44"/>
      <c r="J274" s="44"/>
      <c r="K274" s="44"/>
      <c r="L274" s="44"/>
      <c r="M274" s="44"/>
    </row>
    <row r="275" spans="1:13" x14ac:dyDescent="0.25">
      <c r="A275" s="306"/>
      <c r="B275" s="323"/>
      <c r="C275" s="21" t="s">
        <v>172</v>
      </c>
      <c r="D275" s="1" t="s">
        <v>19</v>
      </c>
      <c r="E275" s="47">
        <v>0.35</v>
      </c>
      <c r="F275" s="47">
        <v>0.35</v>
      </c>
      <c r="G275" s="47">
        <v>0.35</v>
      </c>
      <c r="H275" s="47">
        <v>0.35</v>
      </c>
      <c r="I275" s="47">
        <v>0.35</v>
      </c>
      <c r="J275" s="47">
        <v>0.35</v>
      </c>
      <c r="K275" s="47">
        <v>0.35</v>
      </c>
      <c r="L275" s="47">
        <v>0.35</v>
      </c>
      <c r="M275" s="47">
        <v>0.35</v>
      </c>
    </row>
    <row r="276" spans="1:13" x14ac:dyDescent="0.25">
      <c r="A276" s="306"/>
      <c r="B276" s="323"/>
      <c r="C276" s="21" t="s">
        <v>102</v>
      </c>
      <c r="D276" s="1" t="s">
        <v>8</v>
      </c>
      <c r="E276" s="46">
        <v>0</v>
      </c>
      <c r="F276" s="46">
        <v>0</v>
      </c>
      <c r="G276" s="46">
        <v>0</v>
      </c>
      <c r="H276" s="46">
        <v>0</v>
      </c>
      <c r="I276" s="46">
        <v>0</v>
      </c>
      <c r="J276" s="46">
        <v>0</v>
      </c>
      <c r="K276" s="46">
        <v>0</v>
      </c>
      <c r="L276" s="46">
        <v>0</v>
      </c>
      <c r="M276" s="46">
        <v>0</v>
      </c>
    </row>
    <row r="277" spans="1:13" x14ac:dyDescent="0.25">
      <c r="A277" s="306"/>
      <c r="B277" s="323"/>
      <c r="C277" s="21" t="s">
        <v>103</v>
      </c>
      <c r="D277" s="1" t="s">
        <v>9</v>
      </c>
      <c r="E277" s="44"/>
      <c r="F277" s="44"/>
      <c r="G277" s="44"/>
      <c r="H277" s="44"/>
      <c r="I277" s="44"/>
      <c r="J277" s="44"/>
      <c r="K277" s="44"/>
      <c r="L277" s="44"/>
      <c r="M277" s="44"/>
    </row>
    <row r="278" spans="1:13" x14ac:dyDescent="0.25">
      <c r="A278" s="306"/>
      <c r="B278" s="323"/>
      <c r="C278" s="21" t="s">
        <v>104</v>
      </c>
      <c r="D278" s="1" t="s">
        <v>10</v>
      </c>
      <c r="E278" s="44"/>
      <c r="F278" s="44"/>
      <c r="G278" s="44"/>
      <c r="H278" s="44"/>
      <c r="I278" s="44"/>
      <c r="J278" s="44"/>
      <c r="K278" s="44"/>
      <c r="L278" s="44"/>
      <c r="M278" s="44"/>
    </row>
    <row r="279" spans="1:13" x14ac:dyDescent="0.25">
      <c r="A279" s="306"/>
      <c r="B279" s="323"/>
      <c r="C279" s="22" t="s">
        <v>11</v>
      </c>
      <c r="D279" s="23" t="s">
        <v>10</v>
      </c>
      <c r="E279" s="44"/>
      <c r="F279" s="44"/>
      <c r="G279" s="44"/>
      <c r="H279" s="44"/>
      <c r="I279" s="44"/>
      <c r="J279" s="44"/>
      <c r="K279" s="44"/>
      <c r="L279" s="44"/>
      <c r="M279" s="44"/>
    </row>
    <row r="280" spans="1:13" x14ac:dyDescent="0.25">
      <c r="A280" s="306"/>
      <c r="B280" s="323"/>
      <c r="C280" s="21" t="s">
        <v>12</v>
      </c>
      <c r="D280" s="1" t="s">
        <v>7</v>
      </c>
      <c r="E280" s="47">
        <v>1</v>
      </c>
      <c r="F280" s="47">
        <v>1</v>
      </c>
      <c r="G280" s="47">
        <v>1</v>
      </c>
      <c r="H280" s="47">
        <v>1</v>
      </c>
      <c r="I280" s="47">
        <v>1</v>
      </c>
      <c r="J280" s="47">
        <v>1</v>
      </c>
      <c r="K280" s="47">
        <v>1</v>
      </c>
      <c r="L280" s="47">
        <v>1</v>
      </c>
      <c r="M280" s="47">
        <v>1</v>
      </c>
    </row>
    <row r="281" spans="1:13" x14ac:dyDescent="0.25">
      <c r="A281" s="306"/>
      <c r="B281" s="323"/>
      <c r="C281" s="21" t="s">
        <v>13</v>
      </c>
      <c r="D281" s="1" t="s">
        <v>14</v>
      </c>
      <c r="E281" s="46">
        <v>59966.789999999994</v>
      </c>
      <c r="F281" s="46">
        <v>60249.539999999994</v>
      </c>
      <c r="G281" s="46">
        <v>61003.539999999994</v>
      </c>
      <c r="H281" s="46">
        <v>62040.289999999994</v>
      </c>
      <c r="I281" s="46">
        <v>63454.039999999994</v>
      </c>
      <c r="J281" s="46">
        <v>66281.539999999994</v>
      </c>
      <c r="K281" s="46">
        <v>75706.539999999994</v>
      </c>
      <c r="L281" s="46">
        <v>95499.04</v>
      </c>
      <c r="M281" s="46">
        <v>135084.03999999998</v>
      </c>
    </row>
    <row r="282" spans="1:13" x14ac:dyDescent="0.25">
      <c r="A282" s="306"/>
      <c r="B282" s="323"/>
      <c r="C282" s="21" t="s">
        <v>15</v>
      </c>
      <c r="D282" s="1" t="s">
        <v>4</v>
      </c>
      <c r="E282" s="46">
        <v>40</v>
      </c>
      <c r="F282" s="46">
        <v>40</v>
      </c>
      <c r="G282" s="46">
        <v>40</v>
      </c>
      <c r="H282" s="46">
        <v>40</v>
      </c>
      <c r="I282" s="46">
        <v>40</v>
      </c>
      <c r="J282" s="46">
        <v>40</v>
      </c>
      <c r="K282" s="46">
        <v>40</v>
      </c>
      <c r="L282" s="46">
        <v>40</v>
      </c>
      <c r="M282" s="46">
        <v>40</v>
      </c>
    </row>
  </sheetData>
  <sheetProtection algorithmName="SHA-512" hashValue="pEnlPNlzHm8/HFZ1/iRRpBsLOPTXHsa+dbLI2NxOAh0zaRyf9G7m6pA7rvA3fXZ3+fpSVANHCGfeDsfHxKqmlA==" saltValue="Km1ms/NhGJ+4gzaaK4ShFg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2">
    <tabColor theme="9" tint="-0.249977111117893"/>
  </sheetPr>
  <dimension ref="A1:O282"/>
  <sheetViews>
    <sheetView zoomScale="85" zoomScaleNormal="85" workbookViewId="0">
      <pane ySplit="1" topLeftCell="A2" activePane="bottomLeft" state="frozen"/>
      <selection activeCell="F118" sqref="F118"/>
      <selection pane="bottomLeft" activeCell="E2" sqref="E2:M282"/>
    </sheetView>
  </sheetViews>
  <sheetFormatPr baseColWidth="10" defaultColWidth="10.85546875" defaultRowHeight="15" x14ac:dyDescent="0.25"/>
  <cols>
    <col min="1" max="1" width="4.7109375" style="30" customWidth="1"/>
    <col min="2" max="2" width="20.140625" style="30" bestFit="1" customWidth="1"/>
    <col min="3" max="3" width="45.42578125" style="26" customWidth="1"/>
    <col min="4" max="4" width="12.140625" style="27" customWidth="1"/>
    <col min="5" max="12" width="12.28515625" style="54" bestFit="1" customWidth="1"/>
    <col min="13" max="13" width="13.42578125" style="54" bestFit="1" customWidth="1"/>
    <col min="14" max="14" width="15" style="30" customWidth="1"/>
    <col min="15" max="16384" width="10.85546875" style="30"/>
  </cols>
  <sheetData>
    <row r="1" spans="1:14" ht="15.75" x14ac:dyDescent="0.25">
      <c r="A1" s="40"/>
      <c r="B1" s="41" t="s">
        <v>0</v>
      </c>
      <c r="C1" s="28" t="s">
        <v>1</v>
      </c>
      <c r="D1" s="29" t="s">
        <v>2</v>
      </c>
      <c r="E1" s="42">
        <v>15</v>
      </c>
      <c r="F1" s="43">
        <v>30</v>
      </c>
      <c r="G1" s="43">
        <v>70</v>
      </c>
      <c r="H1" s="43">
        <v>125</v>
      </c>
      <c r="I1" s="43">
        <v>200</v>
      </c>
      <c r="J1" s="43">
        <v>350</v>
      </c>
      <c r="K1" s="43">
        <v>850</v>
      </c>
      <c r="L1" s="43">
        <v>1900</v>
      </c>
      <c r="M1" s="43">
        <v>4000</v>
      </c>
    </row>
    <row r="2" spans="1:14" x14ac:dyDescent="0.25">
      <c r="A2" s="306">
        <v>1</v>
      </c>
      <c r="B2" s="322" t="s">
        <v>3</v>
      </c>
      <c r="C2" s="21" t="s">
        <v>101</v>
      </c>
      <c r="D2" s="1" t="s">
        <v>4</v>
      </c>
      <c r="E2" s="44">
        <v>20</v>
      </c>
      <c r="F2" s="44">
        <v>20</v>
      </c>
      <c r="G2" s="44">
        <v>20</v>
      </c>
      <c r="H2" s="44">
        <v>20</v>
      </c>
      <c r="I2" s="44">
        <v>20</v>
      </c>
      <c r="J2" s="44">
        <v>20</v>
      </c>
      <c r="K2" s="44">
        <v>20</v>
      </c>
      <c r="L2" s="44">
        <v>20</v>
      </c>
      <c r="M2" s="44">
        <v>20</v>
      </c>
      <c r="N2" s="45"/>
    </row>
    <row r="3" spans="1:14" x14ac:dyDescent="0.25">
      <c r="A3" s="306"/>
      <c r="B3" s="322"/>
      <c r="C3" s="21" t="s">
        <v>5</v>
      </c>
      <c r="D3" s="1" t="s">
        <v>6</v>
      </c>
      <c r="E3" s="46">
        <v>207.70052243006694</v>
      </c>
      <c r="F3" s="46">
        <v>175.92180364293515</v>
      </c>
      <c r="G3" s="46">
        <v>137.07573863776301</v>
      </c>
      <c r="H3" s="46">
        <v>110.49280008590137</v>
      </c>
      <c r="I3" s="46">
        <v>107.31263157894738</v>
      </c>
      <c r="J3" s="46">
        <v>107.00631578947369</v>
      </c>
      <c r="K3" s="46">
        <v>105.98526315789475</v>
      </c>
      <c r="L3" s="46">
        <v>103.84105263157896</v>
      </c>
      <c r="M3" s="46">
        <v>99.55263157894737</v>
      </c>
      <c r="N3" s="45"/>
    </row>
    <row r="4" spans="1:14" x14ac:dyDescent="0.25">
      <c r="A4" s="306"/>
      <c r="B4" s="322"/>
      <c r="C4" s="21" t="s">
        <v>172</v>
      </c>
      <c r="D4" s="1" t="s">
        <v>19</v>
      </c>
      <c r="E4" s="47">
        <v>0</v>
      </c>
      <c r="F4" s="47">
        <v>0</v>
      </c>
      <c r="G4" s="47">
        <v>0</v>
      </c>
      <c r="H4" s="47">
        <v>0</v>
      </c>
      <c r="I4" s="47">
        <v>0</v>
      </c>
      <c r="J4" s="47">
        <v>0</v>
      </c>
      <c r="K4" s="47">
        <v>0</v>
      </c>
      <c r="L4" s="47">
        <v>0</v>
      </c>
      <c r="M4" s="47">
        <v>0</v>
      </c>
      <c r="N4" s="45"/>
    </row>
    <row r="5" spans="1:14" x14ac:dyDescent="0.25">
      <c r="A5" s="306"/>
      <c r="B5" s="322"/>
      <c r="C5" s="21" t="s">
        <v>102</v>
      </c>
      <c r="D5" s="1" t="s">
        <v>8</v>
      </c>
      <c r="E5" s="44"/>
      <c r="F5" s="44"/>
      <c r="G5" s="44"/>
      <c r="H5" s="44"/>
      <c r="I5" s="44"/>
      <c r="J5" s="44"/>
      <c r="K5" s="44"/>
      <c r="L5" s="44"/>
      <c r="M5" s="44"/>
      <c r="N5" s="45"/>
    </row>
    <row r="6" spans="1:14" x14ac:dyDescent="0.25">
      <c r="A6" s="306"/>
      <c r="B6" s="322"/>
      <c r="C6" s="21" t="s">
        <v>103</v>
      </c>
      <c r="D6" s="1" t="s">
        <v>9</v>
      </c>
      <c r="E6" s="46">
        <v>6.2310156729020081</v>
      </c>
      <c r="F6" s="46">
        <v>5.2776541092880542</v>
      </c>
      <c r="G6" s="46">
        <v>4.1122721591328899</v>
      </c>
      <c r="H6" s="46">
        <v>3.3147840025770408</v>
      </c>
      <c r="I6" s="46">
        <v>2.0378947368421052</v>
      </c>
      <c r="J6" s="46">
        <v>2.0189473684210526</v>
      </c>
      <c r="K6" s="46">
        <v>1.9557894736842103</v>
      </c>
      <c r="L6" s="46">
        <v>1.8231578947368419</v>
      </c>
      <c r="M6" s="46">
        <v>1.557894736842105</v>
      </c>
      <c r="N6" s="45"/>
    </row>
    <row r="7" spans="1:14" x14ac:dyDescent="0.25">
      <c r="A7" s="306"/>
      <c r="B7" s="322"/>
      <c r="C7" s="21" t="s">
        <v>104</v>
      </c>
      <c r="D7" s="1" t="s">
        <v>10</v>
      </c>
      <c r="E7" s="46">
        <v>0</v>
      </c>
      <c r="F7" s="46">
        <v>0</v>
      </c>
      <c r="G7" s="46">
        <v>0</v>
      </c>
      <c r="H7" s="46">
        <v>0</v>
      </c>
      <c r="I7" s="46">
        <v>0</v>
      </c>
      <c r="J7" s="46">
        <v>0</v>
      </c>
      <c r="K7" s="46">
        <v>1.6473473684210525E-3</v>
      </c>
      <c r="L7" s="46">
        <v>1.5133894736842103E-3</v>
      </c>
      <c r="M7" s="46">
        <v>1.2454736842105263E-3</v>
      </c>
      <c r="N7" s="45"/>
    </row>
    <row r="8" spans="1:14" x14ac:dyDescent="0.25">
      <c r="A8" s="306"/>
      <c r="B8" s="322"/>
      <c r="C8" s="22" t="s">
        <v>11</v>
      </c>
      <c r="D8" s="23" t="s">
        <v>10</v>
      </c>
      <c r="E8" s="46">
        <v>0</v>
      </c>
      <c r="F8" s="44"/>
      <c r="G8" s="44"/>
      <c r="H8" s="44"/>
      <c r="I8" s="44"/>
      <c r="J8" s="44"/>
      <c r="K8" s="44"/>
      <c r="L8" s="44"/>
      <c r="M8" s="44"/>
      <c r="N8" s="45"/>
    </row>
    <row r="9" spans="1:14" x14ac:dyDescent="0.25">
      <c r="A9" s="306"/>
      <c r="B9" s="322"/>
      <c r="C9" s="21" t="s">
        <v>12</v>
      </c>
      <c r="D9" s="1" t="s">
        <v>7</v>
      </c>
      <c r="E9" s="47">
        <v>0.9787499999999999</v>
      </c>
      <c r="F9" s="47">
        <v>0.9787499999999999</v>
      </c>
      <c r="G9" s="47">
        <v>0.9787499999999999</v>
      </c>
      <c r="H9" s="47">
        <v>0.9787499999999999</v>
      </c>
      <c r="I9" s="47">
        <v>0.9787499999999999</v>
      </c>
      <c r="J9" s="47">
        <v>0.9787499999999999</v>
      </c>
      <c r="K9" s="47">
        <v>0.99150000000000005</v>
      </c>
      <c r="L9" s="47">
        <v>0.99150000000000005</v>
      </c>
      <c r="M9" s="47">
        <v>0.99150000000000005</v>
      </c>
      <c r="N9" s="45"/>
    </row>
    <row r="10" spans="1:14" x14ac:dyDescent="0.25">
      <c r="A10" s="306"/>
      <c r="B10" s="322"/>
      <c r="C10" s="21" t="s">
        <v>13</v>
      </c>
      <c r="D10" s="1" t="s">
        <v>14</v>
      </c>
      <c r="E10" s="46">
        <v>1524.6</v>
      </c>
      <c r="F10" s="46">
        <v>1749.6</v>
      </c>
      <c r="G10" s="46">
        <v>2349.6</v>
      </c>
      <c r="H10" s="46">
        <v>3174.6</v>
      </c>
      <c r="I10" s="46">
        <v>4299.6000000000004</v>
      </c>
      <c r="J10" s="46">
        <v>14213</v>
      </c>
      <c r="K10" s="46">
        <v>21713</v>
      </c>
      <c r="L10" s="46">
        <v>37463</v>
      </c>
      <c r="M10" s="46">
        <v>68963</v>
      </c>
      <c r="N10" s="45"/>
    </row>
    <row r="11" spans="1:14" x14ac:dyDescent="0.25">
      <c r="A11" s="306"/>
      <c r="B11" s="322"/>
      <c r="C11" s="21" t="s">
        <v>15</v>
      </c>
      <c r="D11" s="1" t="s">
        <v>4</v>
      </c>
      <c r="E11" s="44">
        <v>40</v>
      </c>
      <c r="F11" s="44">
        <v>40</v>
      </c>
      <c r="G11" s="44">
        <v>40</v>
      </c>
      <c r="H11" s="44">
        <v>40</v>
      </c>
      <c r="I11" s="44">
        <v>40</v>
      </c>
      <c r="J11" s="44">
        <v>40</v>
      </c>
      <c r="K11" s="44">
        <v>40</v>
      </c>
      <c r="L11" s="44">
        <v>40</v>
      </c>
      <c r="M11" s="44">
        <v>40</v>
      </c>
      <c r="N11" s="45"/>
    </row>
    <row r="12" spans="1:14" x14ac:dyDescent="0.25">
      <c r="A12" s="306">
        <v>2</v>
      </c>
      <c r="B12" s="322" t="s">
        <v>16</v>
      </c>
      <c r="C12" s="21" t="s">
        <v>101</v>
      </c>
      <c r="D12" s="1" t="s">
        <v>4</v>
      </c>
      <c r="E12" s="44">
        <v>20</v>
      </c>
      <c r="F12" s="44">
        <v>20</v>
      </c>
      <c r="G12" s="44">
        <v>20</v>
      </c>
      <c r="H12" s="44">
        <v>20</v>
      </c>
      <c r="I12" s="44">
        <v>20</v>
      </c>
      <c r="J12" s="44">
        <v>20</v>
      </c>
      <c r="K12" s="44">
        <v>20</v>
      </c>
      <c r="L12" s="44">
        <v>20</v>
      </c>
      <c r="M12" s="44">
        <v>20</v>
      </c>
      <c r="N12" s="45"/>
    </row>
    <row r="13" spans="1:14" x14ac:dyDescent="0.25">
      <c r="A13" s="306"/>
      <c r="B13" s="322"/>
      <c r="C13" s="21" t="s">
        <v>5</v>
      </c>
      <c r="D13" s="1" t="s">
        <v>6</v>
      </c>
      <c r="E13" s="46">
        <v>533.42832380521168</v>
      </c>
      <c r="F13" s="46">
        <v>336.80876334426267</v>
      </c>
      <c r="G13" s="46">
        <v>191.99085951104519</v>
      </c>
      <c r="H13" s="46">
        <v>130.68849756004869</v>
      </c>
      <c r="I13" s="46">
        <v>114.1</v>
      </c>
      <c r="J13" s="46">
        <v>114.1</v>
      </c>
      <c r="K13" s="46">
        <v>180.48166857059701</v>
      </c>
      <c r="L13" s="46">
        <v>263.63042786023721</v>
      </c>
      <c r="M13" s="46">
        <v>429.92794643951765</v>
      </c>
      <c r="N13" s="45"/>
    </row>
    <row r="14" spans="1:14" x14ac:dyDescent="0.25">
      <c r="A14" s="306"/>
      <c r="B14" s="322"/>
      <c r="C14" s="21" t="s">
        <v>172</v>
      </c>
      <c r="D14" s="1" t="s">
        <v>19</v>
      </c>
      <c r="E14" s="47">
        <v>0</v>
      </c>
      <c r="F14" s="47">
        <v>0</v>
      </c>
      <c r="G14" s="47">
        <v>0</v>
      </c>
      <c r="H14" s="47">
        <v>0</v>
      </c>
      <c r="I14" s="47">
        <v>0</v>
      </c>
      <c r="J14" s="47">
        <v>0</v>
      </c>
      <c r="K14" s="47">
        <v>0</v>
      </c>
      <c r="L14" s="47">
        <v>0</v>
      </c>
      <c r="M14" s="47">
        <v>0</v>
      </c>
      <c r="N14" s="45"/>
    </row>
    <row r="15" spans="1:14" x14ac:dyDescent="0.25">
      <c r="A15" s="306"/>
      <c r="B15" s="322"/>
      <c r="C15" s="21" t="s">
        <v>102</v>
      </c>
      <c r="D15" s="1" t="s">
        <v>8</v>
      </c>
      <c r="E15" s="44"/>
      <c r="F15" s="44"/>
      <c r="G15" s="44"/>
      <c r="H15" s="44"/>
      <c r="I15" s="44"/>
      <c r="J15" s="44"/>
      <c r="K15" s="44"/>
      <c r="L15" s="44"/>
      <c r="M15" s="44"/>
      <c r="N15" s="45"/>
    </row>
    <row r="16" spans="1:14" x14ac:dyDescent="0.25">
      <c r="A16" s="306"/>
      <c r="B16" s="322"/>
      <c r="C16" s="21" t="s">
        <v>103</v>
      </c>
      <c r="D16" s="1" t="s">
        <v>9</v>
      </c>
      <c r="E16" s="46">
        <v>32.00569942831266</v>
      </c>
      <c r="F16" s="46">
        <v>20.208525800655735</v>
      </c>
      <c r="G16" s="46">
        <v>11.519451570662699</v>
      </c>
      <c r="H16" s="46">
        <v>7.8413098536029162</v>
      </c>
      <c r="I16" s="46">
        <v>7.3972147894767417</v>
      </c>
      <c r="J16" s="46">
        <v>7.3972147894767417</v>
      </c>
      <c r="K16" s="46">
        <v>7.0259562857838622</v>
      </c>
      <c r="L16" s="46">
        <v>6.4262310105876717</v>
      </c>
      <c r="M16" s="46">
        <v>5.2267804601952914</v>
      </c>
      <c r="N16" s="45"/>
    </row>
    <row r="17" spans="1:14" x14ac:dyDescent="0.25">
      <c r="A17" s="306"/>
      <c r="B17" s="322"/>
      <c r="C17" s="21" t="s">
        <v>104</v>
      </c>
      <c r="D17" s="1" t="s">
        <v>10</v>
      </c>
      <c r="E17" s="46">
        <v>0</v>
      </c>
      <c r="F17" s="46">
        <v>0</v>
      </c>
      <c r="G17" s="46">
        <v>0</v>
      </c>
      <c r="H17" s="46">
        <v>0</v>
      </c>
      <c r="I17" s="46">
        <v>0</v>
      </c>
      <c r="J17" s="46">
        <v>0</v>
      </c>
      <c r="K17" s="46">
        <v>2.2616043154498459E-3</v>
      </c>
      <c r="L17" s="46">
        <v>2.2616043154498459E-3</v>
      </c>
      <c r="M17" s="46">
        <v>2.2616043154498459E-3</v>
      </c>
      <c r="N17" s="45"/>
    </row>
    <row r="18" spans="1:14" x14ac:dyDescent="0.25">
      <c r="A18" s="306"/>
      <c r="B18" s="322"/>
      <c r="C18" s="22" t="s">
        <v>11</v>
      </c>
      <c r="D18" s="23" t="s">
        <v>10</v>
      </c>
      <c r="E18" s="46">
        <v>0</v>
      </c>
      <c r="F18" s="46">
        <v>0</v>
      </c>
      <c r="G18" s="46">
        <v>0</v>
      </c>
      <c r="H18" s="46">
        <v>0</v>
      </c>
      <c r="I18" s="46">
        <v>0</v>
      </c>
      <c r="J18" s="46">
        <v>0</v>
      </c>
      <c r="K18" s="46">
        <v>0</v>
      </c>
      <c r="L18" s="46">
        <v>0</v>
      </c>
      <c r="M18" s="46">
        <v>0</v>
      </c>
      <c r="N18" s="45"/>
    </row>
    <row r="19" spans="1:14" x14ac:dyDescent="0.25">
      <c r="A19" s="306"/>
      <c r="B19" s="322"/>
      <c r="C19" s="21" t="s">
        <v>12</v>
      </c>
      <c r="D19" s="1" t="s">
        <v>7</v>
      </c>
      <c r="E19" s="47">
        <v>0.81200000000000028</v>
      </c>
      <c r="F19" s="47">
        <v>0.81200000000000028</v>
      </c>
      <c r="G19" s="47">
        <v>0.81200000000000028</v>
      </c>
      <c r="H19" s="47">
        <v>0.81200000000000028</v>
      </c>
      <c r="I19" s="47">
        <v>0.81200000000000028</v>
      </c>
      <c r="J19" s="47">
        <v>0.81200000000000028</v>
      </c>
      <c r="K19" s="47">
        <v>0.81200000000000028</v>
      </c>
      <c r="L19" s="47">
        <v>0.95641666666666658</v>
      </c>
      <c r="M19" s="47">
        <v>0.95641666666666658</v>
      </c>
      <c r="N19" s="45"/>
    </row>
    <row r="20" spans="1:14" x14ac:dyDescent="0.25">
      <c r="A20" s="306"/>
      <c r="B20" s="322"/>
      <c r="C20" s="21" t="s">
        <v>13</v>
      </c>
      <c r="D20" s="1" t="s">
        <v>14</v>
      </c>
      <c r="E20" s="44"/>
      <c r="F20" s="44"/>
      <c r="G20" s="44"/>
      <c r="H20" s="44"/>
      <c r="I20" s="44"/>
      <c r="J20" s="44"/>
      <c r="K20" s="44"/>
      <c r="L20" s="44"/>
      <c r="M20" s="44"/>
      <c r="N20" s="45"/>
    </row>
    <row r="21" spans="1:14" x14ac:dyDescent="0.25">
      <c r="A21" s="306"/>
      <c r="B21" s="322"/>
      <c r="C21" s="21" t="s">
        <v>15</v>
      </c>
      <c r="D21" s="1" t="s">
        <v>4</v>
      </c>
      <c r="E21" s="44"/>
      <c r="F21" s="44"/>
      <c r="G21" s="44"/>
      <c r="H21" s="44"/>
      <c r="I21" s="44"/>
      <c r="J21" s="44"/>
      <c r="K21" s="44"/>
      <c r="L21" s="44"/>
      <c r="M21" s="44"/>
      <c r="N21" s="45"/>
    </row>
    <row r="22" spans="1:14" ht="14.45" customHeight="1" x14ac:dyDescent="0.25">
      <c r="A22" s="306">
        <v>3</v>
      </c>
      <c r="B22" s="323" t="s">
        <v>144</v>
      </c>
      <c r="C22" s="21" t="s">
        <v>101</v>
      </c>
      <c r="D22" s="1" t="s">
        <v>4</v>
      </c>
      <c r="E22" s="44">
        <v>20</v>
      </c>
      <c r="F22" s="44">
        <v>20</v>
      </c>
      <c r="G22" s="44">
        <v>20</v>
      </c>
      <c r="H22" s="44">
        <v>20</v>
      </c>
      <c r="I22" s="44">
        <v>20</v>
      </c>
      <c r="J22" s="44">
        <v>20</v>
      </c>
      <c r="K22" s="44">
        <v>20</v>
      </c>
      <c r="L22" s="44">
        <v>20</v>
      </c>
      <c r="M22" s="44">
        <v>20</v>
      </c>
      <c r="N22" s="45"/>
    </row>
    <row r="23" spans="1:14" x14ac:dyDescent="0.25">
      <c r="A23" s="306"/>
      <c r="B23" s="323"/>
      <c r="C23" s="21" t="s">
        <v>5</v>
      </c>
      <c r="D23" s="1" t="s">
        <v>6</v>
      </c>
      <c r="E23" s="46">
        <v>822.90511868819738</v>
      </c>
      <c r="F23" s="46">
        <v>587.62399482196031</v>
      </c>
      <c r="G23" s="46">
        <v>458.47760255879234</v>
      </c>
      <c r="H23" s="46">
        <v>458.47760255879234</v>
      </c>
      <c r="I23" s="46">
        <v>458.47760255879234</v>
      </c>
      <c r="J23" s="46">
        <v>458.47760255879234</v>
      </c>
      <c r="K23" s="46">
        <v>1133.7480098003448</v>
      </c>
      <c r="L23" s="46">
        <v>986.22674801231153</v>
      </c>
      <c r="M23" s="46">
        <v>866.85752357634294</v>
      </c>
      <c r="N23" s="45"/>
    </row>
    <row r="24" spans="1:14" x14ac:dyDescent="0.25">
      <c r="A24" s="306"/>
      <c r="B24" s="323"/>
      <c r="C24" s="21" t="s">
        <v>172</v>
      </c>
      <c r="D24" s="1" t="s">
        <v>19</v>
      </c>
      <c r="E24" s="47">
        <v>0</v>
      </c>
      <c r="F24" s="47">
        <v>0</v>
      </c>
      <c r="G24" s="47">
        <v>0</v>
      </c>
      <c r="H24" s="47">
        <v>0</v>
      </c>
      <c r="I24" s="47">
        <v>0</v>
      </c>
      <c r="J24" s="47">
        <v>0</v>
      </c>
      <c r="K24" s="47">
        <v>0</v>
      </c>
      <c r="L24" s="47">
        <v>0</v>
      </c>
      <c r="M24" s="47">
        <v>0</v>
      </c>
      <c r="N24" s="45"/>
    </row>
    <row r="25" spans="1:14" x14ac:dyDescent="0.25">
      <c r="A25" s="306"/>
      <c r="B25" s="323"/>
      <c r="C25" s="21" t="s">
        <v>102</v>
      </c>
      <c r="D25" s="1" t="s">
        <v>8</v>
      </c>
      <c r="E25" s="44"/>
      <c r="F25" s="44"/>
      <c r="G25" s="44"/>
      <c r="H25" s="44"/>
      <c r="I25" s="44"/>
      <c r="J25" s="44"/>
      <c r="K25" s="44"/>
      <c r="L25" s="44"/>
      <c r="M25" s="44"/>
      <c r="N25" s="45"/>
    </row>
    <row r="26" spans="1:14" x14ac:dyDescent="0.25">
      <c r="A26" s="306"/>
      <c r="B26" s="323"/>
      <c r="C26" s="21" t="s">
        <v>103</v>
      </c>
      <c r="D26" s="1" t="s">
        <v>9</v>
      </c>
      <c r="E26" s="46">
        <v>12.343576780322961</v>
      </c>
      <c r="F26" s="46">
        <v>8.8143599223294036</v>
      </c>
      <c r="G26" s="46">
        <v>6.8771640383818848</v>
      </c>
      <c r="H26" s="46">
        <v>6.8771640383818848</v>
      </c>
      <c r="I26" s="46">
        <v>6.8771640383818848</v>
      </c>
      <c r="J26" s="46">
        <v>6.8771640383818848</v>
      </c>
      <c r="K26" s="46">
        <v>1.673</v>
      </c>
      <c r="L26" s="46">
        <v>1.673</v>
      </c>
      <c r="M26" s="46">
        <v>1.673</v>
      </c>
      <c r="N26" s="45"/>
    </row>
    <row r="27" spans="1:14" x14ac:dyDescent="0.25">
      <c r="A27" s="306"/>
      <c r="B27" s="323"/>
      <c r="C27" s="21" t="s">
        <v>104</v>
      </c>
      <c r="D27" s="1" t="s">
        <v>10</v>
      </c>
      <c r="E27" s="46">
        <v>0</v>
      </c>
      <c r="F27" s="46">
        <v>0</v>
      </c>
      <c r="G27" s="46">
        <v>0</v>
      </c>
      <c r="H27" s="46">
        <v>0</v>
      </c>
      <c r="I27" s="46">
        <v>0</v>
      </c>
      <c r="J27" s="46">
        <v>0</v>
      </c>
      <c r="K27" s="46">
        <v>2.085E-3</v>
      </c>
      <c r="L27" s="46">
        <v>2.085E-3</v>
      </c>
      <c r="M27" s="46">
        <v>2.085E-3</v>
      </c>
      <c r="N27" s="45"/>
    </row>
    <row r="28" spans="1:14" ht="18.75" x14ac:dyDescent="0.25">
      <c r="A28" s="306"/>
      <c r="B28" s="323"/>
      <c r="C28" s="22" t="s">
        <v>105</v>
      </c>
      <c r="D28" s="23" t="s">
        <v>17</v>
      </c>
      <c r="E28" s="46">
        <v>0</v>
      </c>
      <c r="F28" s="46">
        <v>0</v>
      </c>
      <c r="G28" s="46">
        <v>0</v>
      </c>
      <c r="H28" s="46">
        <v>0</v>
      </c>
      <c r="I28" s="46">
        <v>0</v>
      </c>
      <c r="J28" s="46">
        <v>0</v>
      </c>
      <c r="K28" s="46">
        <v>0</v>
      </c>
      <c r="L28" s="46">
        <v>0</v>
      </c>
      <c r="M28" s="46">
        <v>0</v>
      </c>
      <c r="N28" s="45"/>
    </row>
    <row r="29" spans="1:14" x14ac:dyDescent="0.25">
      <c r="A29" s="306"/>
      <c r="B29" s="323"/>
      <c r="C29" s="22" t="s">
        <v>11</v>
      </c>
      <c r="D29" s="23" t="s">
        <v>10</v>
      </c>
      <c r="E29" s="46">
        <v>0</v>
      </c>
      <c r="F29" s="46">
        <v>0</v>
      </c>
      <c r="G29" s="46">
        <v>0</v>
      </c>
      <c r="H29" s="46">
        <v>0</v>
      </c>
      <c r="I29" s="46">
        <v>0</v>
      </c>
      <c r="J29" s="46">
        <v>0</v>
      </c>
      <c r="K29" s="46">
        <v>0</v>
      </c>
      <c r="L29" s="46">
        <v>0</v>
      </c>
      <c r="M29" s="46">
        <v>0</v>
      </c>
      <c r="N29" s="45"/>
    </row>
    <row r="30" spans="1:14" x14ac:dyDescent="0.25">
      <c r="A30" s="306"/>
      <c r="B30" s="323"/>
      <c r="C30" s="21" t="s">
        <v>18</v>
      </c>
      <c r="D30" s="2" t="s">
        <v>19</v>
      </c>
      <c r="E30" s="44">
        <v>3.83</v>
      </c>
      <c r="F30" s="44">
        <v>3.83</v>
      </c>
      <c r="G30" s="44">
        <v>3.83</v>
      </c>
      <c r="H30" s="44">
        <v>3.83</v>
      </c>
      <c r="I30" s="44">
        <v>3.83</v>
      </c>
      <c r="J30" s="44">
        <v>3.83</v>
      </c>
      <c r="K30" s="44">
        <v>3.83</v>
      </c>
      <c r="L30" s="44">
        <v>3.83</v>
      </c>
      <c r="M30" s="44">
        <v>3.83</v>
      </c>
      <c r="N30" s="45"/>
    </row>
    <row r="31" spans="1:14" x14ac:dyDescent="0.25">
      <c r="A31" s="306"/>
      <c r="B31" s="323"/>
      <c r="C31" s="21" t="s">
        <v>13</v>
      </c>
      <c r="D31" s="1" t="s">
        <v>14</v>
      </c>
      <c r="E31" s="44"/>
      <c r="F31" s="44"/>
      <c r="G31" s="44"/>
      <c r="H31" s="44"/>
      <c r="I31" s="44"/>
      <c r="J31" s="44"/>
      <c r="K31" s="44"/>
      <c r="L31" s="44"/>
      <c r="M31" s="44"/>
      <c r="N31" s="45"/>
    </row>
    <row r="32" spans="1:14" x14ac:dyDescent="0.25">
      <c r="A32" s="306"/>
      <c r="B32" s="323"/>
      <c r="C32" s="21" t="s">
        <v>15</v>
      </c>
      <c r="D32" s="1" t="s">
        <v>4</v>
      </c>
      <c r="E32" s="44"/>
      <c r="F32" s="44"/>
      <c r="G32" s="44"/>
      <c r="H32" s="44"/>
      <c r="I32" s="44"/>
      <c r="J32" s="44"/>
      <c r="K32" s="44"/>
      <c r="L32" s="44"/>
      <c r="M32" s="44"/>
      <c r="N32" s="45"/>
    </row>
    <row r="33" spans="1:14" ht="14.45" customHeight="1" x14ac:dyDescent="0.25">
      <c r="A33" s="306">
        <v>4</v>
      </c>
      <c r="B33" s="323" t="s">
        <v>145</v>
      </c>
      <c r="C33" s="21" t="s">
        <v>101</v>
      </c>
      <c r="D33" s="1" t="s">
        <v>4</v>
      </c>
      <c r="E33" s="44">
        <v>20</v>
      </c>
      <c r="F33" s="44">
        <v>20</v>
      </c>
      <c r="G33" s="44">
        <v>20</v>
      </c>
      <c r="H33" s="44">
        <v>20</v>
      </c>
      <c r="I33" s="44">
        <v>20</v>
      </c>
      <c r="J33" s="44">
        <v>20</v>
      </c>
      <c r="K33" s="44">
        <v>20</v>
      </c>
      <c r="L33" s="44">
        <v>20</v>
      </c>
      <c r="M33" s="44">
        <v>20</v>
      </c>
      <c r="N33" s="45"/>
    </row>
    <row r="34" spans="1:14" x14ac:dyDescent="0.25">
      <c r="A34" s="306"/>
      <c r="B34" s="323"/>
      <c r="C34" s="21" t="s">
        <v>5</v>
      </c>
      <c r="D34" s="1" t="s">
        <v>6</v>
      </c>
      <c r="E34" s="46">
        <v>822.90511868819738</v>
      </c>
      <c r="F34" s="46">
        <v>587.62399482196031</v>
      </c>
      <c r="G34" s="46">
        <v>458.47760255879234</v>
      </c>
      <c r="H34" s="46">
        <v>458.47760255879234</v>
      </c>
      <c r="I34" s="46">
        <v>458.47760255879234</v>
      </c>
      <c r="J34" s="46">
        <v>458.47760255879234</v>
      </c>
      <c r="K34" s="46">
        <v>1133.7480098003448</v>
      </c>
      <c r="L34" s="46">
        <v>986.22674801231153</v>
      </c>
      <c r="M34" s="46">
        <v>866.85752357634294</v>
      </c>
      <c r="N34" s="45"/>
    </row>
    <row r="35" spans="1:14" x14ac:dyDescent="0.25">
      <c r="A35" s="306"/>
      <c r="B35" s="323"/>
      <c r="C35" s="21" t="s">
        <v>172</v>
      </c>
      <c r="D35" s="1" t="s">
        <v>19</v>
      </c>
      <c r="E35" s="47">
        <v>0</v>
      </c>
      <c r="F35" s="47">
        <v>0</v>
      </c>
      <c r="G35" s="47">
        <v>0</v>
      </c>
      <c r="H35" s="47">
        <v>0</v>
      </c>
      <c r="I35" s="47">
        <v>0</v>
      </c>
      <c r="J35" s="47">
        <v>0</v>
      </c>
      <c r="K35" s="47">
        <v>0</v>
      </c>
      <c r="L35" s="47">
        <v>0</v>
      </c>
      <c r="M35" s="47">
        <v>0</v>
      </c>
      <c r="N35" s="45"/>
    </row>
    <row r="36" spans="1:14" x14ac:dyDescent="0.25">
      <c r="A36" s="306"/>
      <c r="B36" s="323"/>
      <c r="C36" s="21" t="s">
        <v>102</v>
      </c>
      <c r="D36" s="1" t="s">
        <v>8</v>
      </c>
      <c r="E36" s="44"/>
      <c r="F36" s="44"/>
      <c r="G36" s="44"/>
      <c r="H36" s="44"/>
      <c r="I36" s="44"/>
      <c r="J36" s="44"/>
      <c r="K36" s="44"/>
      <c r="L36" s="44"/>
      <c r="M36" s="44"/>
      <c r="N36" s="45"/>
    </row>
    <row r="37" spans="1:14" x14ac:dyDescent="0.25">
      <c r="A37" s="306"/>
      <c r="B37" s="323"/>
      <c r="C37" s="21" t="s">
        <v>103</v>
      </c>
      <c r="D37" s="1" t="s">
        <v>9</v>
      </c>
      <c r="E37" s="46">
        <v>12.343576780322961</v>
      </c>
      <c r="F37" s="46">
        <v>8.8143599223294036</v>
      </c>
      <c r="G37" s="46">
        <v>6.8771640383818848</v>
      </c>
      <c r="H37" s="46">
        <v>6.8771640383818848</v>
      </c>
      <c r="I37" s="46">
        <v>6.8771640383818848</v>
      </c>
      <c r="J37" s="46">
        <v>6.8771640383818848</v>
      </c>
      <c r="K37" s="46">
        <v>1.673</v>
      </c>
      <c r="L37" s="46">
        <v>1.673</v>
      </c>
      <c r="M37" s="46">
        <v>1.673</v>
      </c>
      <c r="N37" s="45"/>
    </row>
    <row r="38" spans="1:14" x14ac:dyDescent="0.25">
      <c r="A38" s="306"/>
      <c r="B38" s="323"/>
      <c r="C38" s="21" t="s">
        <v>104</v>
      </c>
      <c r="D38" s="1" t="s">
        <v>10</v>
      </c>
      <c r="E38" s="46">
        <v>0</v>
      </c>
      <c r="F38" s="46">
        <v>0</v>
      </c>
      <c r="G38" s="46">
        <v>0</v>
      </c>
      <c r="H38" s="46">
        <v>0</v>
      </c>
      <c r="I38" s="46">
        <v>0</v>
      </c>
      <c r="J38" s="46">
        <v>0</v>
      </c>
      <c r="K38" s="46">
        <v>2.085E-3</v>
      </c>
      <c r="L38" s="46">
        <v>2.085E-3</v>
      </c>
      <c r="M38" s="46">
        <v>2.085E-3</v>
      </c>
      <c r="N38" s="45"/>
    </row>
    <row r="39" spans="1:14" ht="18.75" x14ac:dyDescent="0.25">
      <c r="A39" s="306"/>
      <c r="B39" s="323"/>
      <c r="C39" s="22" t="s">
        <v>105</v>
      </c>
      <c r="D39" s="23" t="s">
        <v>17</v>
      </c>
      <c r="E39" s="46">
        <v>0</v>
      </c>
      <c r="F39" s="46">
        <v>0</v>
      </c>
      <c r="G39" s="46">
        <v>0</v>
      </c>
      <c r="H39" s="46">
        <v>0</v>
      </c>
      <c r="I39" s="46">
        <v>0</v>
      </c>
      <c r="J39" s="46">
        <v>0</v>
      </c>
      <c r="K39" s="46">
        <v>0</v>
      </c>
      <c r="L39" s="46">
        <v>0</v>
      </c>
      <c r="M39" s="46">
        <v>0</v>
      </c>
      <c r="N39" s="45"/>
    </row>
    <row r="40" spans="1:14" x14ac:dyDescent="0.25">
      <c r="A40" s="306"/>
      <c r="B40" s="323"/>
      <c r="C40" s="22" t="s">
        <v>11</v>
      </c>
      <c r="D40" s="23" t="s">
        <v>10</v>
      </c>
      <c r="E40" s="46">
        <v>0</v>
      </c>
      <c r="F40" s="46">
        <v>0</v>
      </c>
      <c r="G40" s="46">
        <v>0</v>
      </c>
      <c r="H40" s="46">
        <v>0</v>
      </c>
      <c r="I40" s="46">
        <v>0</v>
      </c>
      <c r="J40" s="46">
        <v>0</v>
      </c>
      <c r="K40" s="46">
        <v>0</v>
      </c>
      <c r="L40" s="46">
        <v>0</v>
      </c>
      <c r="M40" s="46">
        <v>0</v>
      </c>
      <c r="N40" s="45"/>
    </row>
    <row r="41" spans="1:14" x14ac:dyDescent="0.25">
      <c r="A41" s="306"/>
      <c r="B41" s="323"/>
      <c r="C41" s="21" t="s">
        <v>18</v>
      </c>
      <c r="D41" s="2" t="s">
        <v>19</v>
      </c>
      <c r="E41" s="44">
        <v>3.58</v>
      </c>
      <c r="F41" s="44">
        <v>3.58</v>
      </c>
      <c r="G41" s="44">
        <v>3.58</v>
      </c>
      <c r="H41" s="44">
        <v>3.58</v>
      </c>
      <c r="I41" s="44">
        <v>3.58</v>
      </c>
      <c r="J41" s="44">
        <v>3.58</v>
      </c>
      <c r="K41" s="44">
        <v>3.58</v>
      </c>
      <c r="L41" s="44">
        <v>3.58</v>
      </c>
      <c r="M41" s="44">
        <v>3.58</v>
      </c>
      <c r="N41" s="45"/>
    </row>
    <row r="42" spans="1:14" x14ac:dyDescent="0.25">
      <c r="A42" s="306"/>
      <c r="B42" s="323"/>
      <c r="C42" s="21" t="s">
        <v>13</v>
      </c>
      <c r="D42" s="1" t="s">
        <v>14</v>
      </c>
      <c r="E42" s="44"/>
      <c r="F42" s="44"/>
      <c r="G42" s="44"/>
      <c r="H42" s="44"/>
      <c r="I42" s="44"/>
      <c r="J42" s="44"/>
      <c r="K42" s="44"/>
      <c r="L42" s="44"/>
      <c r="M42" s="44"/>
      <c r="N42" s="45"/>
    </row>
    <row r="43" spans="1:14" x14ac:dyDescent="0.25">
      <c r="A43" s="306"/>
      <c r="B43" s="323"/>
      <c r="C43" s="21" t="s">
        <v>15</v>
      </c>
      <c r="D43" s="1" t="s">
        <v>4</v>
      </c>
      <c r="E43" s="44"/>
      <c r="F43" s="44"/>
      <c r="G43" s="44"/>
      <c r="H43" s="44"/>
      <c r="I43" s="44"/>
      <c r="J43" s="44"/>
      <c r="K43" s="44"/>
      <c r="L43" s="44"/>
      <c r="M43" s="44"/>
      <c r="N43" s="45"/>
    </row>
    <row r="44" spans="1:14" ht="14.45" customHeight="1" x14ac:dyDescent="0.25">
      <c r="A44" s="306">
        <v>5</v>
      </c>
      <c r="B44" s="323" t="s">
        <v>146</v>
      </c>
      <c r="C44" s="21" t="s">
        <v>101</v>
      </c>
      <c r="D44" s="1" t="s">
        <v>4</v>
      </c>
      <c r="E44" s="44">
        <v>20</v>
      </c>
      <c r="F44" s="44">
        <v>20</v>
      </c>
      <c r="G44" s="44">
        <v>20</v>
      </c>
      <c r="H44" s="44">
        <v>20</v>
      </c>
      <c r="I44" s="44">
        <v>20</v>
      </c>
      <c r="J44" s="44">
        <v>20</v>
      </c>
      <c r="K44" s="44">
        <v>20</v>
      </c>
      <c r="L44" s="44">
        <v>20</v>
      </c>
      <c r="M44" s="44">
        <v>20</v>
      </c>
      <c r="N44" s="45"/>
    </row>
    <row r="45" spans="1:14" x14ac:dyDescent="0.25">
      <c r="A45" s="306"/>
      <c r="B45" s="323"/>
      <c r="C45" s="21" t="s">
        <v>20</v>
      </c>
      <c r="D45" s="1" t="s">
        <v>6</v>
      </c>
      <c r="E45" s="46">
        <v>822.90511868819738</v>
      </c>
      <c r="F45" s="46">
        <v>587.62399482196031</v>
      </c>
      <c r="G45" s="46">
        <v>458.47760255879234</v>
      </c>
      <c r="H45" s="46">
        <v>458.47760255879234</v>
      </c>
      <c r="I45" s="46">
        <v>458.47760255879234</v>
      </c>
      <c r="J45" s="46">
        <v>458.47760255879234</v>
      </c>
      <c r="K45" s="46">
        <v>1133.7480098003448</v>
      </c>
      <c r="L45" s="46">
        <v>986.22674801231153</v>
      </c>
      <c r="M45" s="46">
        <v>866.85752357634294</v>
      </c>
      <c r="N45" s="45"/>
    </row>
    <row r="46" spans="1:14" x14ac:dyDescent="0.25">
      <c r="A46" s="306"/>
      <c r="B46" s="323"/>
      <c r="C46" s="21" t="s">
        <v>172</v>
      </c>
      <c r="D46" s="1" t="s">
        <v>19</v>
      </c>
      <c r="E46" s="47">
        <v>0</v>
      </c>
      <c r="F46" s="47">
        <v>0</v>
      </c>
      <c r="G46" s="47">
        <v>0</v>
      </c>
      <c r="H46" s="47">
        <v>0</v>
      </c>
      <c r="I46" s="47">
        <v>0</v>
      </c>
      <c r="J46" s="47">
        <v>0</v>
      </c>
      <c r="K46" s="47">
        <v>0</v>
      </c>
      <c r="L46" s="47">
        <v>0</v>
      </c>
      <c r="M46" s="47">
        <v>0</v>
      </c>
      <c r="N46" s="45"/>
    </row>
    <row r="47" spans="1:14" x14ac:dyDescent="0.25">
      <c r="A47" s="306"/>
      <c r="B47" s="323"/>
      <c r="C47" s="21" t="s">
        <v>102</v>
      </c>
      <c r="D47" s="1" t="s">
        <v>8</v>
      </c>
      <c r="E47" s="44"/>
      <c r="F47" s="44"/>
      <c r="G47" s="44"/>
      <c r="H47" s="44"/>
      <c r="I47" s="44"/>
      <c r="J47" s="44"/>
      <c r="K47" s="44"/>
      <c r="L47" s="44"/>
      <c r="M47" s="44"/>
      <c r="N47" s="45"/>
    </row>
    <row r="48" spans="1:14" x14ac:dyDescent="0.25">
      <c r="A48" s="306"/>
      <c r="B48" s="323"/>
      <c r="C48" s="21" t="s">
        <v>103</v>
      </c>
      <c r="D48" s="1" t="s">
        <v>9</v>
      </c>
      <c r="E48" s="46">
        <v>12.343576780322961</v>
      </c>
      <c r="F48" s="46">
        <v>8.8143599223294036</v>
      </c>
      <c r="G48" s="46">
        <v>6.8771640383818848</v>
      </c>
      <c r="H48" s="46">
        <v>6.8771640383818848</v>
      </c>
      <c r="I48" s="46">
        <v>6.8771640383818848</v>
      </c>
      <c r="J48" s="46">
        <v>6.8771640383818848</v>
      </c>
      <c r="K48" s="46">
        <v>1.673</v>
      </c>
      <c r="L48" s="46">
        <v>1.673</v>
      </c>
      <c r="M48" s="46">
        <v>1.673</v>
      </c>
      <c r="N48" s="45"/>
    </row>
    <row r="49" spans="1:14" x14ac:dyDescent="0.25">
      <c r="A49" s="306"/>
      <c r="B49" s="323"/>
      <c r="C49" s="21" t="s">
        <v>104</v>
      </c>
      <c r="D49" s="1" t="s">
        <v>10</v>
      </c>
      <c r="E49" s="46">
        <v>0</v>
      </c>
      <c r="F49" s="46">
        <v>0</v>
      </c>
      <c r="G49" s="46">
        <v>0</v>
      </c>
      <c r="H49" s="46">
        <v>0</v>
      </c>
      <c r="I49" s="46">
        <v>0</v>
      </c>
      <c r="J49" s="46">
        <v>0</v>
      </c>
      <c r="K49" s="46">
        <v>2.085E-3</v>
      </c>
      <c r="L49" s="46">
        <v>2.085E-3</v>
      </c>
      <c r="M49" s="46">
        <v>2.085E-3</v>
      </c>
      <c r="N49" s="45"/>
    </row>
    <row r="50" spans="1:14" ht="18.75" x14ac:dyDescent="0.25">
      <c r="A50" s="306"/>
      <c r="B50" s="323"/>
      <c r="C50" s="22" t="s">
        <v>105</v>
      </c>
      <c r="D50" s="23" t="s">
        <v>17</v>
      </c>
      <c r="E50" s="46">
        <v>0</v>
      </c>
      <c r="F50" s="46">
        <v>0</v>
      </c>
      <c r="G50" s="46">
        <v>0</v>
      </c>
      <c r="H50" s="46">
        <v>0</v>
      </c>
      <c r="I50" s="46">
        <v>0</v>
      </c>
      <c r="J50" s="46">
        <v>0</v>
      </c>
      <c r="K50" s="46">
        <v>0</v>
      </c>
      <c r="L50" s="46">
        <v>0</v>
      </c>
      <c r="M50" s="46">
        <v>0</v>
      </c>
      <c r="N50" s="45"/>
    </row>
    <row r="51" spans="1:14" x14ac:dyDescent="0.25">
      <c r="A51" s="306"/>
      <c r="B51" s="323"/>
      <c r="C51" s="22" t="s">
        <v>11</v>
      </c>
      <c r="D51" s="23" t="s">
        <v>10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5"/>
    </row>
    <row r="52" spans="1:14" x14ac:dyDescent="0.25">
      <c r="A52" s="306"/>
      <c r="B52" s="323"/>
      <c r="C52" s="21" t="s">
        <v>18</v>
      </c>
      <c r="D52" s="2" t="s">
        <v>19</v>
      </c>
      <c r="E52" s="44">
        <v>3.33</v>
      </c>
      <c r="F52" s="44">
        <v>3.33</v>
      </c>
      <c r="G52" s="44">
        <v>3.33</v>
      </c>
      <c r="H52" s="44">
        <v>3.33</v>
      </c>
      <c r="I52" s="44">
        <v>3.33</v>
      </c>
      <c r="J52" s="44">
        <v>3.33</v>
      </c>
      <c r="K52" s="44">
        <v>3.33</v>
      </c>
      <c r="L52" s="44">
        <v>3.33</v>
      </c>
      <c r="M52" s="44">
        <v>3.33</v>
      </c>
      <c r="N52" s="45"/>
    </row>
    <row r="53" spans="1:14" x14ac:dyDescent="0.25">
      <c r="A53" s="306"/>
      <c r="B53" s="323"/>
      <c r="C53" s="21" t="s">
        <v>13</v>
      </c>
      <c r="D53" s="2" t="s">
        <v>14</v>
      </c>
      <c r="E53" s="44"/>
      <c r="F53" s="44"/>
      <c r="G53" s="44"/>
      <c r="H53" s="44"/>
      <c r="I53" s="44"/>
      <c r="J53" s="44"/>
      <c r="K53" s="44"/>
      <c r="L53" s="44"/>
      <c r="M53" s="44"/>
      <c r="N53" s="45"/>
    </row>
    <row r="54" spans="1:14" x14ac:dyDescent="0.25">
      <c r="A54" s="306"/>
      <c r="B54" s="323"/>
      <c r="C54" s="21" t="s">
        <v>15</v>
      </c>
      <c r="D54" s="2" t="s">
        <v>4</v>
      </c>
      <c r="E54" s="44"/>
      <c r="F54" s="44"/>
      <c r="G54" s="44"/>
      <c r="H54" s="44"/>
      <c r="I54" s="44"/>
      <c r="J54" s="44"/>
      <c r="K54" s="44"/>
      <c r="L54" s="44"/>
      <c r="M54" s="44"/>
      <c r="N54" s="45"/>
    </row>
    <row r="55" spans="1:14" ht="14.45" customHeight="1" x14ac:dyDescent="0.25">
      <c r="A55" s="306">
        <v>6</v>
      </c>
      <c r="B55" s="323" t="s">
        <v>147</v>
      </c>
      <c r="C55" s="21" t="s">
        <v>101</v>
      </c>
      <c r="D55" s="1" t="s">
        <v>4</v>
      </c>
      <c r="E55" s="44">
        <v>20</v>
      </c>
      <c r="F55" s="44">
        <v>20</v>
      </c>
      <c r="G55" s="44">
        <v>20</v>
      </c>
      <c r="H55" s="44">
        <v>20</v>
      </c>
      <c r="I55" s="44">
        <v>20</v>
      </c>
      <c r="J55" s="44">
        <v>20</v>
      </c>
      <c r="K55" s="44">
        <v>20</v>
      </c>
      <c r="L55" s="44">
        <v>20</v>
      </c>
      <c r="M55" s="44">
        <v>20</v>
      </c>
      <c r="N55" s="45"/>
    </row>
    <row r="56" spans="1:14" x14ac:dyDescent="0.25">
      <c r="A56" s="306"/>
      <c r="B56" s="323"/>
      <c r="C56" s="21" t="s">
        <v>20</v>
      </c>
      <c r="D56" s="1" t="s">
        <v>6</v>
      </c>
      <c r="E56" s="46">
        <v>834.20131814045635</v>
      </c>
      <c r="F56" s="46">
        <v>582.75336672185188</v>
      </c>
      <c r="G56" s="46">
        <v>447.37922190941873</v>
      </c>
      <c r="H56" s="46">
        <v>447.37922190941873</v>
      </c>
      <c r="I56" s="46">
        <v>447.37922190941873</v>
      </c>
      <c r="J56" s="46">
        <v>447.37922190941873</v>
      </c>
      <c r="K56" s="46">
        <v>613.58399999999995</v>
      </c>
      <c r="L56" s="46">
        <v>613.58399999999995</v>
      </c>
      <c r="M56" s="46">
        <v>613.58399999999995</v>
      </c>
      <c r="N56" s="45"/>
    </row>
    <row r="57" spans="1:14" x14ac:dyDescent="0.25">
      <c r="A57" s="306"/>
      <c r="B57" s="323"/>
      <c r="C57" s="21" t="s">
        <v>172</v>
      </c>
      <c r="D57" s="1" t="s">
        <v>19</v>
      </c>
      <c r="E57" s="47">
        <v>0</v>
      </c>
      <c r="F57" s="47">
        <v>0</v>
      </c>
      <c r="G57" s="47">
        <v>0</v>
      </c>
      <c r="H57" s="47">
        <v>0</v>
      </c>
      <c r="I57" s="47">
        <v>0</v>
      </c>
      <c r="J57" s="47">
        <v>0</v>
      </c>
      <c r="K57" s="47">
        <v>0</v>
      </c>
      <c r="L57" s="47">
        <v>0</v>
      </c>
      <c r="M57" s="47">
        <v>0</v>
      </c>
      <c r="N57" s="45"/>
    </row>
    <row r="58" spans="1:14" x14ac:dyDescent="0.25">
      <c r="A58" s="306"/>
      <c r="B58" s="323"/>
      <c r="C58" s="21" t="s">
        <v>102</v>
      </c>
      <c r="D58" s="1" t="s">
        <v>8</v>
      </c>
      <c r="E58" s="44"/>
      <c r="F58" s="44"/>
      <c r="G58" s="44"/>
      <c r="H58" s="44"/>
      <c r="I58" s="44"/>
      <c r="J58" s="44"/>
      <c r="K58" s="44"/>
      <c r="L58" s="44"/>
      <c r="M58" s="44"/>
      <c r="N58" s="45"/>
    </row>
    <row r="59" spans="1:14" x14ac:dyDescent="0.25">
      <c r="A59" s="306"/>
      <c r="B59" s="323"/>
      <c r="C59" s="21" t="s">
        <v>103</v>
      </c>
      <c r="D59" s="1" t="s">
        <v>9</v>
      </c>
      <c r="E59" s="46">
        <v>12.513019772106844</v>
      </c>
      <c r="F59" s="46">
        <v>8.7413005008277782</v>
      </c>
      <c r="G59" s="46">
        <v>6.7106883286412806</v>
      </c>
      <c r="H59" s="46">
        <v>6.7106883286412806</v>
      </c>
      <c r="I59" s="46">
        <v>6.7106883286412806</v>
      </c>
      <c r="J59" s="46">
        <v>6.7106883286412806</v>
      </c>
      <c r="K59" s="46">
        <v>1.673</v>
      </c>
      <c r="L59" s="46">
        <v>1.673</v>
      </c>
      <c r="M59" s="46">
        <v>1.673</v>
      </c>
      <c r="N59" s="45"/>
    </row>
    <row r="60" spans="1:14" x14ac:dyDescent="0.25">
      <c r="A60" s="306"/>
      <c r="B60" s="323"/>
      <c r="C60" s="21" t="s">
        <v>104</v>
      </c>
      <c r="D60" s="1" t="s">
        <v>10</v>
      </c>
      <c r="E60" s="46">
        <v>0</v>
      </c>
      <c r="F60" s="46">
        <v>0</v>
      </c>
      <c r="G60" s="46">
        <v>0</v>
      </c>
      <c r="H60" s="46">
        <v>0</v>
      </c>
      <c r="I60" s="46">
        <v>0</v>
      </c>
      <c r="J60" s="46">
        <v>0</v>
      </c>
      <c r="K60" s="46">
        <v>2.085E-3</v>
      </c>
      <c r="L60" s="46">
        <v>2.085E-3</v>
      </c>
      <c r="M60" s="46">
        <v>2.085E-3</v>
      </c>
      <c r="N60" s="45"/>
    </row>
    <row r="61" spans="1:14" ht="18.75" x14ac:dyDescent="0.25">
      <c r="A61" s="306"/>
      <c r="B61" s="323"/>
      <c r="C61" s="22" t="s">
        <v>105</v>
      </c>
      <c r="D61" s="23" t="s">
        <v>17</v>
      </c>
      <c r="E61" s="46">
        <v>0</v>
      </c>
      <c r="F61" s="46">
        <v>0</v>
      </c>
      <c r="G61" s="46">
        <v>0</v>
      </c>
      <c r="H61" s="46">
        <v>0</v>
      </c>
      <c r="I61" s="46">
        <v>0</v>
      </c>
      <c r="J61" s="46">
        <v>0</v>
      </c>
      <c r="K61" s="46">
        <v>0</v>
      </c>
      <c r="L61" s="46">
        <v>0</v>
      </c>
      <c r="M61" s="46">
        <v>0</v>
      </c>
      <c r="N61" s="45"/>
    </row>
    <row r="62" spans="1:14" x14ac:dyDescent="0.25">
      <c r="A62" s="306"/>
      <c r="B62" s="323"/>
      <c r="C62" s="22" t="s">
        <v>11</v>
      </c>
      <c r="D62" s="23" t="s">
        <v>10</v>
      </c>
      <c r="E62" s="46">
        <v>0</v>
      </c>
      <c r="F62" s="46">
        <v>0</v>
      </c>
      <c r="G62" s="46">
        <v>0</v>
      </c>
      <c r="H62" s="46">
        <v>0</v>
      </c>
      <c r="I62" s="46">
        <v>0</v>
      </c>
      <c r="J62" s="46">
        <v>0</v>
      </c>
      <c r="K62" s="46">
        <v>0</v>
      </c>
      <c r="L62" s="46">
        <v>0</v>
      </c>
      <c r="M62" s="46">
        <v>0</v>
      </c>
      <c r="N62" s="45"/>
    </row>
    <row r="63" spans="1:14" x14ac:dyDescent="0.25">
      <c r="A63" s="306"/>
      <c r="B63" s="323"/>
      <c r="C63" s="21" t="s">
        <v>18</v>
      </c>
      <c r="D63" s="2" t="s">
        <v>19</v>
      </c>
      <c r="E63" s="44">
        <v>4.62</v>
      </c>
      <c r="F63" s="44">
        <v>4.62</v>
      </c>
      <c r="G63" s="44">
        <v>4.62</v>
      </c>
      <c r="H63" s="44">
        <v>4.62</v>
      </c>
      <c r="I63" s="44">
        <v>4.62</v>
      </c>
      <c r="J63" s="44">
        <v>4.62</v>
      </c>
      <c r="K63" s="44">
        <v>4.62</v>
      </c>
      <c r="L63" s="44">
        <v>4.62</v>
      </c>
      <c r="M63" s="44">
        <v>4.62</v>
      </c>
      <c r="N63" s="45"/>
    </row>
    <row r="64" spans="1:14" x14ac:dyDescent="0.25">
      <c r="A64" s="306"/>
      <c r="B64" s="323"/>
      <c r="C64" s="21" t="s">
        <v>13</v>
      </c>
      <c r="D64" s="1" t="s">
        <v>14</v>
      </c>
      <c r="E64" s="44"/>
      <c r="F64" s="44"/>
      <c r="G64" s="44"/>
      <c r="H64" s="44"/>
      <c r="I64" s="44"/>
      <c r="J64" s="44"/>
      <c r="K64" s="44"/>
      <c r="L64" s="44"/>
      <c r="M64" s="44"/>
      <c r="N64" s="45"/>
    </row>
    <row r="65" spans="1:14" x14ac:dyDescent="0.25">
      <c r="A65" s="306"/>
      <c r="B65" s="323"/>
      <c r="C65" s="21" t="s">
        <v>15</v>
      </c>
      <c r="D65" s="1" t="s">
        <v>4</v>
      </c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4" x14ac:dyDescent="0.25">
      <c r="A66" s="306"/>
      <c r="B66" s="323"/>
      <c r="C66" s="21" t="s">
        <v>106</v>
      </c>
      <c r="D66" s="1" t="s">
        <v>6</v>
      </c>
      <c r="E66" s="46">
        <v>2677.2372697755504</v>
      </c>
      <c r="F66" s="46">
        <v>1831.9318169832663</v>
      </c>
      <c r="G66" s="46">
        <v>1152.0901647065316</v>
      </c>
      <c r="H66" s="46">
        <v>400.2171452567311</v>
      </c>
      <c r="I66" s="46">
        <v>272.89255701854074</v>
      </c>
      <c r="J66" s="46">
        <v>172.97355964296725</v>
      </c>
      <c r="K66" s="46">
        <v>83.949921947780794</v>
      </c>
      <c r="L66" s="46">
        <v>73.53859356117799</v>
      </c>
      <c r="M66" s="46">
        <v>73.53859356117799</v>
      </c>
      <c r="N66" s="45"/>
    </row>
    <row r="67" spans="1:14" x14ac:dyDescent="0.25">
      <c r="A67" s="306"/>
      <c r="B67" s="323"/>
      <c r="C67" s="21" t="s">
        <v>107</v>
      </c>
      <c r="D67" s="1" t="s">
        <v>4</v>
      </c>
      <c r="E67" s="44"/>
      <c r="F67" s="44"/>
      <c r="G67" s="44"/>
      <c r="H67" s="44"/>
      <c r="I67" s="44"/>
      <c r="J67" s="44"/>
      <c r="K67" s="44"/>
      <c r="L67" s="44"/>
      <c r="M67" s="44"/>
      <c r="N67" s="45"/>
    </row>
    <row r="68" spans="1:14" ht="14.45" customHeight="1" x14ac:dyDescent="0.25">
      <c r="A68" s="306">
        <v>7</v>
      </c>
      <c r="B68" s="323" t="s">
        <v>148</v>
      </c>
      <c r="C68" s="21" t="s">
        <v>101</v>
      </c>
      <c r="D68" s="1" t="s">
        <v>4</v>
      </c>
      <c r="E68" s="44">
        <v>20</v>
      </c>
      <c r="F68" s="44">
        <v>20</v>
      </c>
      <c r="G68" s="44">
        <v>20</v>
      </c>
      <c r="H68" s="44">
        <v>20</v>
      </c>
      <c r="I68" s="44">
        <v>20</v>
      </c>
      <c r="J68" s="44">
        <v>20</v>
      </c>
      <c r="K68" s="44">
        <v>20</v>
      </c>
      <c r="L68" s="44">
        <v>20</v>
      </c>
      <c r="M68" s="44">
        <v>20</v>
      </c>
      <c r="N68" s="45"/>
    </row>
    <row r="69" spans="1:14" x14ac:dyDescent="0.25">
      <c r="A69" s="306"/>
      <c r="B69" s="323"/>
      <c r="C69" s="21" t="s">
        <v>20</v>
      </c>
      <c r="D69" s="1" t="s">
        <v>6</v>
      </c>
      <c r="E69" s="46">
        <v>834.20131814045635</v>
      </c>
      <c r="F69" s="46">
        <v>582.75336672185188</v>
      </c>
      <c r="G69" s="46">
        <v>447.37922190941873</v>
      </c>
      <c r="H69" s="46">
        <v>447.37922190941873</v>
      </c>
      <c r="I69" s="46">
        <v>447.37922190941873</v>
      </c>
      <c r="J69" s="46">
        <v>447.37922190941873</v>
      </c>
      <c r="K69" s="46">
        <v>613.58399999999995</v>
      </c>
      <c r="L69" s="46">
        <v>613.58399999999995</v>
      </c>
      <c r="M69" s="46">
        <v>613.58399999999995</v>
      </c>
      <c r="N69" s="45"/>
    </row>
    <row r="70" spans="1:14" x14ac:dyDescent="0.25">
      <c r="A70" s="306"/>
      <c r="B70" s="323"/>
      <c r="C70" s="21" t="s">
        <v>172</v>
      </c>
      <c r="D70" s="1" t="s">
        <v>19</v>
      </c>
      <c r="E70" s="47">
        <v>0</v>
      </c>
      <c r="F70" s="47">
        <v>0</v>
      </c>
      <c r="G70" s="47">
        <v>0</v>
      </c>
      <c r="H70" s="47">
        <v>0</v>
      </c>
      <c r="I70" s="47">
        <v>0</v>
      </c>
      <c r="J70" s="47">
        <v>0</v>
      </c>
      <c r="K70" s="47">
        <v>0</v>
      </c>
      <c r="L70" s="47">
        <v>0</v>
      </c>
      <c r="M70" s="47">
        <v>0</v>
      </c>
      <c r="N70" s="45"/>
    </row>
    <row r="71" spans="1:14" x14ac:dyDescent="0.25">
      <c r="A71" s="306"/>
      <c r="B71" s="323"/>
      <c r="C71" s="21" t="s">
        <v>102</v>
      </c>
      <c r="D71" s="1" t="s">
        <v>8</v>
      </c>
      <c r="E71" s="44"/>
      <c r="F71" s="44"/>
      <c r="G71" s="44"/>
      <c r="H71" s="44"/>
      <c r="I71" s="44"/>
      <c r="J71" s="44"/>
      <c r="K71" s="44"/>
      <c r="L71" s="44"/>
      <c r="M71" s="44"/>
      <c r="N71" s="45"/>
    </row>
    <row r="72" spans="1:14" x14ac:dyDescent="0.25">
      <c r="A72" s="306"/>
      <c r="B72" s="323"/>
      <c r="C72" s="21" t="s">
        <v>103</v>
      </c>
      <c r="D72" s="1" t="s">
        <v>9</v>
      </c>
      <c r="E72" s="46">
        <v>12.513019772106844</v>
      </c>
      <c r="F72" s="46">
        <v>8.7413005008277782</v>
      </c>
      <c r="G72" s="46">
        <v>6.7106883286412806</v>
      </c>
      <c r="H72" s="46">
        <v>6.7106883286412806</v>
      </c>
      <c r="I72" s="46">
        <v>6.7106883286412806</v>
      </c>
      <c r="J72" s="46">
        <v>6.7106883286412806</v>
      </c>
      <c r="K72" s="46">
        <v>1.673</v>
      </c>
      <c r="L72" s="46">
        <v>1.673</v>
      </c>
      <c r="M72" s="46">
        <v>1.673</v>
      </c>
      <c r="N72" s="45"/>
    </row>
    <row r="73" spans="1:14" x14ac:dyDescent="0.25">
      <c r="A73" s="306"/>
      <c r="B73" s="323"/>
      <c r="C73" s="21" t="s">
        <v>104</v>
      </c>
      <c r="D73" s="1" t="s">
        <v>10</v>
      </c>
      <c r="E73" s="46">
        <v>0</v>
      </c>
      <c r="F73" s="46">
        <v>0</v>
      </c>
      <c r="G73" s="46">
        <v>0</v>
      </c>
      <c r="H73" s="46">
        <v>0</v>
      </c>
      <c r="I73" s="46">
        <v>0</v>
      </c>
      <c r="J73" s="46">
        <v>0</v>
      </c>
      <c r="K73" s="46">
        <v>2.085E-3</v>
      </c>
      <c r="L73" s="46">
        <v>2.085E-3</v>
      </c>
      <c r="M73" s="46">
        <v>2.085E-3</v>
      </c>
      <c r="N73" s="45"/>
    </row>
    <row r="74" spans="1:14" ht="18.75" x14ac:dyDescent="0.25">
      <c r="A74" s="306"/>
      <c r="B74" s="323"/>
      <c r="C74" s="22" t="s">
        <v>105</v>
      </c>
      <c r="D74" s="23" t="s">
        <v>17</v>
      </c>
      <c r="E74" s="46">
        <v>0</v>
      </c>
      <c r="F74" s="46">
        <v>0</v>
      </c>
      <c r="G74" s="46">
        <v>0</v>
      </c>
      <c r="H74" s="46">
        <v>0</v>
      </c>
      <c r="I74" s="46">
        <v>0</v>
      </c>
      <c r="J74" s="46">
        <v>0</v>
      </c>
      <c r="K74" s="46">
        <v>0</v>
      </c>
      <c r="L74" s="46">
        <v>0</v>
      </c>
      <c r="M74" s="46">
        <v>0</v>
      </c>
      <c r="N74" s="45"/>
    </row>
    <row r="75" spans="1:14" x14ac:dyDescent="0.25">
      <c r="A75" s="306"/>
      <c r="B75" s="323"/>
      <c r="C75" s="22" t="s">
        <v>11</v>
      </c>
      <c r="D75" s="23" t="s">
        <v>10</v>
      </c>
      <c r="E75" s="46">
        <v>0</v>
      </c>
      <c r="F75" s="46">
        <v>0</v>
      </c>
      <c r="G75" s="46">
        <v>0</v>
      </c>
      <c r="H75" s="46">
        <v>0</v>
      </c>
      <c r="I75" s="46">
        <v>0</v>
      </c>
      <c r="J75" s="46">
        <v>0</v>
      </c>
      <c r="K75" s="46">
        <v>0</v>
      </c>
      <c r="L75" s="46">
        <v>0</v>
      </c>
      <c r="M75" s="46">
        <v>0</v>
      </c>
      <c r="N75" s="45"/>
    </row>
    <row r="76" spans="1:14" x14ac:dyDescent="0.25">
      <c r="A76" s="306"/>
      <c r="B76" s="323"/>
      <c r="C76" s="21" t="s">
        <v>18</v>
      </c>
      <c r="D76" s="2" t="s">
        <v>19</v>
      </c>
      <c r="E76" s="44">
        <v>4.3125</v>
      </c>
      <c r="F76" s="44">
        <v>4.3125</v>
      </c>
      <c r="G76" s="44">
        <v>4.3125</v>
      </c>
      <c r="H76" s="44">
        <v>4.3125</v>
      </c>
      <c r="I76" s="44">
        <v>4.3125</v>
      </c>
      <c r="J76" s="44">
        <v>4.3125</v>
      </c>
      <c r="K76" s="44">
        <v>4.3125</v>
      </c>
      <c r="L76" s="44">
        <v>4.3125</v>
      </c>
      <c r="M76" s="44">
        <v>4.3125</v>
      </c>
      <c r="N76" s="45"/>
    </row>
    <row r="77" spans="1:14" x14ac:dyDescent="0.25">
      <c r="A77" s="306"/>
      <c r="B77" s="323"/>
      <c r="C77" s="21" t="s">
        <v>13</v>
      </c>
      <c r="D77" s="1" t="s">
        <v>14</v>
      </c>
      <c r="E77" s="44"/>
      <c r="F77" s="44"/>
      <c r="G77" s="44"/>
      <c r="H77" s="44"/>
      <c r="I77" s="44"/>
      <c r="J77" s="44"/>
      <c r="K77" s="44"/>
      <c r="L77" s="44"/>
      <c r="M77" s="44"/>
      <c r="N77" s="45"/>
    </row>
    <row r="78" spans="1:14" x14ac:dyDescent="0.25">
      <c r="A78" s="306"/>
      <c r="B78" s="323"/>
      <c r="C78" s="21" t="s">
        <v>15</v>
      </c>
      <c r="D78" s="1" t="s">
        <v>4</v>
      </c>
      <c r="E78" s="44"/>
      <c r="F78" s="44"/>
      <c r="G78" s="44"/>
      <c r="H78" s="44"/>
      <c r="I78" s="44"/>
      <c r="J78" s="44"/>
      <c r="K78" s="44"/>
      <c r="L78" s="44"/>
      <c r="M78" s="44"/>
      <c r="N78" s="45"/>
    </row>
    <row r="79" spans="1:14" x14ac:dyDescent="0.25">
      <c r="A79" s="306"/>
      <c r="B79" s="323"/>
      <c r="C79" s="21" t="s">
        <v>106</v>
      </c>
      <c r="D79" s="1" t="s">
        <v>6</v>
      </c>
      <c r="E79" s="46">
        <v>2677.2372697755504</v>
      </c>
      <c r="F79" s="46">
        <v>1831.9318169832663</v>
      </c>
      <c r="G79" s="46">
        <v>1152.0901647065316</v>
      </c>
      <c r="H79" s="46">
        <v>400.2171452567311</v>
      </c>
      <c r="I79" s="46">
        <v>272.89255701854074</v>
      </c>
      <c r="J79" s="46">
        <v>172.97355964296725</v>
      </c>
      <c r="K79" s="46">
        <v>83.949921947780794</v>
      </c>
      <c r="L79" s="46">
        <v>73.53859356117799</v>
      </c>
      <c r="M79" s="46">
        <v>73.53859356117799</v>
      </c>
      <c r="N79" s="45"/>
    </row>
    <row r="80" spans="1:14" x14ac:dyDescent="0.25">
      <c r="A80" s="306"/>
      <c r="B80" s="323"/>
      <c r="C80" s="21" t="s">
        <v>107</v>
      </c>
      <c r="D80" s="1" t="s">
        <v>4</v>
      </c>
      <c r="E80" s="44"/>
      <c r="F80" s="44"/>
      <c r="G80" s="44"/>
      <c r="H80" s="44"/>
      <c r="I80" s="44"/>
      <c r="J80" s="44"/>
      <c r="K80" s="44"/>
      <c r="L80" s="44"/>
      <c r="M80" s="44"/>
      <c r="N80" s="45"/>
    </row>
    <row r="81" spans="1:14" ht="14.45" customHeight="1" x14ac:dyDescent="0.25">
      <c r="A81" s="306">
        <v>8</v>
      </c>
      <c r="B81" s="323" t="s">
        <v>149</v>
      </c>
      <c r="C81" s="21" t="s">
        <v>101</v>
      </c>
      <c r="D81" s="1" t="s">
        <v>4</v>
      </c>
      <c r="E81" s="44">
        <v>20</v>
      </c>
      <c r="F81" s="44">
        <v>20</v>
      </c>
      <c r="G81" s="44">
        <v>20</v>
      </c>
      <c r="H81" s="44">
        <v>20</v>
      </c>
      <c r="I81" s="44">
        <v>20</v>
      </c>
      <c r="J81" s="44">
        <v>20</v>
      </c>
      <c r="K81" s="44">
        <v>20</v>
      </c>
      <c r="L81" s="44">
        <v>20</v>
      </c>
      <c r="M81" s="44">
        <v>20</v>
      </c>
      <c r="N81" s="45"/>
    </row>
    <row r="82" spans="1:14" x14ac:dyDescent="0.25">
      <c r="A82" s="306"/>
      <c r="B82" s="323"/>
      <c r="C82" s="21" t="s">
        <v>20</v>
      </c>
      <c r="D82" s="1" t="s">
        <v>6</v>
      </c>
      <c r="E82" s="46">
        <v>834.20131814045635</v>
      </c>
      <c r="F82" s="46">
        <v>582.75336672185188</v>
      </c>
      <c r="G82" s="46">
        <v>447.37922190941873</v>
      </c>
      <c r="H82" s="46">
        <v>447.37922190941873</v>
      </c>
      <c r="I82" s="46">
        <v>447.37922190941873</v>
      </c>
      <c r="J82" s="46">
        <v>447.37922190941873</v>
      </c>
      <c r="K82" s="46">
        <v>613.58399999999995</v>
      </c>
      <c r="L82" s="46">
        <v>613.58399999999995</v>
      </c>
      <c r="M82" s="46">
        <v>613.58399999999995</v>
      </c>
      <c r="N82" s="45"/>
    </row>
    <row r="83" spans="1:14" x14ac:dyDescent="0.25">
      <c r="A83" s="306"/>
      <c r="B83" s="323"/>
      <c r="C83" s="21" t="s">
        <v>172</v>
      </c>
      <c r="D83" s="1" t="s">
        <v>19</v>
      </c>
      <c r="E83" s="47">
        <v>0</v>
      </c>
      <c r="F83" s="47">
        <v>0</v>
      </c>
      <c r="G83" s="47">
        <v>0</v>
      </c>
      <c r="H83" s="47">
        <v>0</v>
      </c>
      <c r="I83" s="47">
        <v>0</v>
      </c>
      <c r="J83" s="47">
        <v>0</v>
      </c>
      <c r="K83" s="47">
        <v>0</v>
      </c>
      <c r="L83" s="47">
        <v>0</v>
      </c>
      <c r="M83" s="47">
        <v>0</v>
      </c>
      <c r="N83" s="45"/>
    </row>
    <row r="84" spans="1:14" x14ac:dyDescent="0.25">
      <c r="A84" s="306"/>
      <c r="B84" s="323"/>
      <c r="C84" s="21" t="s">
        <v>102</v>
      </c>
      <c r="D84" s="1" t="s">
        <v>8</v>
      </c>
      <c r="E84" s="44"/>
      <c r="F84" s="44"/>
      <c r="G84" s="44"/>
      <c r="H84" s="44"/>
      <c r="I84" s="44"/>
      <c r="J84" s="44"/>
      <c r="K84" s="44"/>
      <c r="L84" s="44"/>
      <c r="M84" s="44"/>
      <c r="N84" s="45"/>
    </row>
    <row r="85" spans="1:14" x14ac:dyDescent="0.25">
      <c r="A85" s="306"/>
      <c r="B85" s="323"/>
      <c r="C85" s="21" t="s">
        <v>103</v>
      </c>
      <c r="D85" s="1" t="s">
        <v>9</v>
      </c>
      <c r="E85" s="46">
        <v>12.513019772106844</v>
      </c>
      <c r="F85" s="46">
        <v>8.7413005008277782</v>
      </c>
      <c r="G85" s="46">
        <v>6.7106883286412806</v>
      </c>
      <c r="H85" s="46">
        <v>6.7106883286412806</v>
      </c>
      <c r="I85" s="46">
        <v>6.7106883286412806</v>
      </c>
      <c r="J85" s="46">
        <v>6.7106883286412806</v>
      </c>
      <c r="K85" s="46">
        <v>1.673</v>
      </c>
      <c r="L85" s="46">
        <v>1.673</v>
      </c>
      <c r="M85" s="46">
        <v>1.673</v>
      </c>
      <c r="N85" s="45"/>
    </row>
    <row r="86" spans="1:14" x14ac:dyDescent="0.25">
      <c r="A86" s="306"/>
      <c r="B86" s="323"/>
      <c r="C86" s="21" t="s">
        <v>104</v>
      </c>
      <c r="D86" s="1" t="s">
        <v>10</v>
      </c>
      <c r="E86" s="46">
        <v>0</v>
      </c>
      <c r="F86" s="46">
        <v>0</v>
      </c>
      <c r="G86" s="46">
        <v>0</v>
      </c>
      <c r="H86" s="46">
        <v>0</v>
      </c>
      <c r="I86" s="46">
        <v>0</v>
      </c>
      <c r="J86" s="46">
        <v>0</v>
      </c>
      <c r="K86" s="46">
        <v>2.085E-3</v>
      </c>
      <c r="L86" s="46">
        <v>2.085E-3</v>
      </c>
      <c r="M86" s="46">
        <v>2.085E-3</v>
      </c>
      <c r="N86" s="45"/>
    </row>
    <row r="87" spans="1:14" ht="18.75" x14ac:dyDescent="0.25">
      <c r="A87" s="306"/>
      <c r="B87" s="323"/>
      <c r="C87" s="22" t="s">
        <v>105</v>
      </c>
      <c r="D87" s="23" t="s">
        <v>17</v>
      </c>
      <c r="E87" s="46">
        <v>0</v>
      </c>
      <c r="F87" s="46">
        <v>0</v>
      </c>
      <c r="G87" s="46">
        <v>0</v>
      </c>
      <c r="H87" s="46">
        <v>0</v>
      </c>
      <c r="I87" s="46">
        <v>0</v>
      </c>
      <c r="J87" s="46">
        <v>0</v>
      </c>
      <c r="K87" s="46">
        <v>0</v>
      </c>
      <c r="L87" s="46">
        <v>0</v>
      </c>
      <c r="M87" s="46">
        <v>0</v>
      </c>
      <c r="N87" s="45"/>
    </row>
    <row r="88" spans="1:14" x14ac:dyDescent="0.25">
      <c r="A88" s="306"/>
      <c r="B88" s="323"/>
      <c r="C88" s="22" t="s">
        <v>11</v>
      </c>
      <c r="D88" s="23" t="s">
        <v>10</v>
      </c>
      <c r="E88" s="46">
        <v>0</v>
      </c>
      <c r="F88" s="46">
        <v>0</v>
      </c>
      <c r="G88" s="46">
        <v>0</v>
      </c>
      <c r="H88" s="46">
        <v>0</v>
      </c>
      <c r="I88" s="46">
        <v>0</v>
      </c>
      <c r="J88" s="46">
        <v>0</v>
      </c>
      <c r="K88" s="46">
        <v>0</v>
      </c>
      <c r="L88" s="46">
        <v>0</v>
      </c>
      <c r="M88" s="46">
        <v>0</v>
      </c>
      <c r="N88" s="45"/>
    </row>
    <row r="89" spans="1:14" x14ac:dyDescent="0.25">
      <c r="A89" s="306"/>
      <c r="B89" s="323"/>
      <c r="C89" s="21" t="s">
        <v>18</v>
      </c>
      <c r="D89" s="2" t="s">
        <v>19</v>
      </c>
      <c r="E89" s="44">
        <v>4.0049999999999999</v>
      </c>
      <c r="F89" s="44">
        <v>4.0049999999999999</v>
      </c>
      <c r="G89" s="44">
        <v>4.0049999999999999</v>
      </c>
      <c r="H89" s="44">
        <v>4.0049999999999999</v>
      </c>
      <c r="I89" s="44">
        <v>4.0049999999999999</v>
      </c>
      <c r="J89" s="44">
        <v>4.0049999999999999</v>
      </c>
      <c r="K89" s="44">
        <v>4.0049999999999999</v>
      </c>
      <c r="L89" s="44">
        <v>4.0049999999999999</v>
      </c>
      <c r="M89" s="44">
        <v>4.0049999999999999</v>
      </c>
      <c r="N89" s="45"/>
    </row>
    <row r="90" spans="1:14" x14ac:dyDescent="0.25">
      <c r="A90" s="306"/>
      <c r="B90" s="323"/>
      <c r="C90" s="21" t="s">
        <v>13</v>
      </c>
      <c r="D90" s="2" t="s">
        <v>14</v>
      </c>
      <c r="E90" s="44"/>
      <c r="F90" s="44"/>
      <c r="G90" s="44"/>
      <c r="H90" s="44"/>
      <c r="I90" s="44"/>
      <c r="J90" s="44"/>
      <c r="K90" s="44"/>
      <c r="L90" s="44"/>
      <c r="M90" s="44"/>
      <c r="N90" s="45"/>
    </row>
    <row r="91" spans="1:14" x14ac:dyDescent="0.25">
      <c r="A91" s="306"/>
      <c r="B91" s="323"/>
      <c r="C91" s="21" t="s">
        <v>15</v>
      </c>
      <c r="D91" s="1" t="s">
        <v>4</v>
      </c>
      <c r="E91" s="44"/>
      <c r="F91" s="44"/>
      <c r="G91" s="44"/>
      <c r="H91" s="44"/>
      <c r="I91" s="44"/>
      <c r="J91" s="44"/>
      <c r="K91" s="44"/>
      <c r="L91" s="44"/>
      <c r="M91" s="44"/>
      <c r="N91" s="45"/>
    </row>
    <row r="92" spans="1:14" x14ac:dyDescent="0.25">
      <c r="A92" s="306"/>
      <c r="B92" s="323"/>
      <c r="C92" s="21" t="s">
        <v>106</v>
      </c>
      <c r="D92" s="1" t="s">
        <v>6</v>
      </c>
      <c r="E92" s="46">
        <v>2677.2372697755504</v>
      </c>
      <c r="F92" s="46">
        <v>1831.9318169832663</v>
      </c>
      <c r="G92" s="46">
        <v>1152.0901647065316</v>
      </c>
      <c r="H92" s="46">
        <v>400.2171452567311</v>
      </c>
      <c r="I92" s="46">
        <v>272.89255701854074</v>
      </c>
      <c r="J92" s="46">
        <v>172.97355964296725</v>
      </c>
      <c r="K92" s="46">
        <v>83.949921947780794</v>
      </c>
      <c r="L92" s="46">
        <v>73.53859356117799</v>
      </c>
      <c r="M92" s="46">
        <v>73.53859356117799</v>
      </c>
      <c r="N92" s="45"/>
    </row>
    <row r="93" spans="1:14" x14ac:dyDescent="0.25">
      <c r="A93" s="306"/>
      <c r="B93" s="323"/>
      <c r="C93" s="21" t="s">
        <v>107</v>
      </c>
      <c r="D93" s="1" t="s">
        <v>4</v>
      </c>
      <c r="E93" s="44"/>
      <c r="F93" s="44"/>
      <c r="G93" s="44"/>
      <c r="H93" s="44"/>
      <c r="I93" s="44"/>
      <c r="J93" s="44"/>
      <c r="K93" s="44"/>
      <c r="L93" s="44"/>
      <c r="M93" s="44"/>
      <c r="N93" s="45"/>
    </row>
    <row r="94" spans="1:14" ht="15" customHeight="1" x14ac:dyDescent="0.25">
      <c r="A94" s="306">
        <v>9</v>
      </c>
      <c r="B94" s="323" t="s">
        <v>108</v>
      </c>
      <c r="C94" s="21" t="s">
        <v>109</v>
      </c>
      <c r="D94" s="1" t="s">
        <v>19</v>
      </c>
      <c r="E94" s="44">
        <v>1</v>
      </c>
      <c r="F94" s="44">
        <v>1</v>
      </c>
      <c r="G94" s="44">
        <v>1</v>
      </c>
      <c r="H94" s="44">
        <v>1</v>
      </c>
      <c r="I94" s="44">
        <v>1</v>
      </c>
      <c r="J94" s="44">
        <v>1</v>
      </c>
      <c r="K94" s="44">
        <v>1</v>
      </c>
      <c r="L94" s="44">
        <v>1</v>
      </c>
      <c r="M94" s="44">
        <v>1</v>
      </c>
      <c r="N94" s="45"/>
    </row>
    <row r="95" spans="1:14" x14ac:dyDescent="0.25">
      <c r="A95" s="306"/>
      <c r="B95" s="323"/>
      <c r="C95" s="21" t="s">
        <v>21</v>
      </c>
      <c r="D95" s="1" t="s">
        <v>19</v>
      </c>
      <c r="E95" s="44">
        <v>0.35</v>
      </c>
      <c r="F95" s="44">
        <v>0.35</v>
      </c>
      <c r="G95" s="44">
        <v>0.35</v>
      </c>
      <c r="H95" s="44">
        <v>0.35</v>
      </c>
      <c r="I95" s="44">
        <v>0.35</v>
      </c>
      <c r="J95" s="44">
        <v>0.35</v>
      </c>
      <c r="K95" s="44">
        <v>0.35</v>
      </c>
      <c r="L95" s="44">
        <v>0.35</v>
      </c>
      <c r="M95" s="44">
        <v>0.35</v>
      </c>
      <c r="N95" s="45"/>
    </row>
    <row r="96" spans="1:14" x14ac:dyDescent="0.25">
      <c r="A96" s="306"/>
      <c r="B96" s="323"/>
      <c r="C96" s="21" t="s">
        <v>22</v>
      </c>
      <c r="D96" s="1" t="s">
        <v>4</v>
      </c>
      <c r="E96" s="44">
        <v>20</v>
      </c>
      <c r="F96" s="44">
        <v>20</v>
      </c>
      <c r="G96" s="44">
        <v>20</v>
      </c>
      <c r="H96" s="44">
        <v>20</v>
      </c>
      <c r="I96" s="44">
        <v>20</v>
      </c>
      <c r="J96" s="44">
        <v>20</v>
      </c>
      <c r="K96" s="44">
        <v>20</v>
      </c>
      <c r="L96" s="44">
        <v>20</v>
      </c>
      <c r="M96" s="44">
        <v>20</v>
      </c>
      <c r="N96" s="45"/>
    </row>
    <row r="97" spans="1:15" x14ac:dyDescent="0.25">
      <c r="A97" s="306"/>
      <c r="B97" s="323"/>
      <c r="C97" s="21" t="s">
        <v>23</v>
      </c>
      <c r="D97" s="1" t="s">
        <v>6</v>
      </c>
      <c r="E97" s="46">
        <v>207.70052243006694</v>
      </c>
      <c r="F97" s="46">
        <v>175.92180364293515</v>
      </c>
      <c r="G97" s="46">
        <v>137.07573863776301</v>
      </c>
      <c r="H97" s="46">
        <v>110.49280008590137</v>
      </c>
      <c r="I97" s="46">
        <v>107.31263157894738</v>
      </c>
      <c r="J97" s="46">
        <v>107.00631578947369</v>
      </c>
      <c r="K97" s="46">
        <v>105.98526315789475</v>
      </c>
      <c r="L97" s="46">
        <v>103.84105263157896</v>
      </c>
      <c r="M97" s="46">
        <v>99.55263157894737</v>
      </c>
      <c r="N97" s="45"/>
    </row>
    <row r="98" spans="1:15" x14ac:dyDescent="0.25">
      <c r="A98" s="306"/>
      <c r="B98" s="323"/>
      <c r="C98" s="21" t="s">
        <v>173</v>
      </c>
      <c r="D98" s="1" t="s">
        <v>19</v>
      </c>
      <c r="E98" s="47">
        <v>0</v>
      </c>
      <c r="F98" s="47">
        <v>0</v>
      </c>
      <c r="G98" s="47">
        <v>0</v>
      </c>
      <c r="H98" s="47">
        <v>0</v>
      </c>
      <c r="I98" s="47">
        <v>0</v>
      </c>
      <c r="J98" s="47">
        <v>0</v>
      </c>
      <c r="K98" s="47">
        <v>0</v>
      </c>
      <c r="L98" s="47">
        <v>0</v>
      </c>
      <c r="M98" s="47">
        <v>0</v>
      </c>
      <c r="N98" s="45"/>
    </row>
    <row r="99" spans="1:15" x14ac:dyDescent="0.25">
      <c r="A99" s="306"/>
      <c r="B99" s="323"/>
      <c r="C99" s="21" t="s">
        <v>110</v>
      </c>
      <c r="D99" s="1" t="s">
        <v>8</v>
      </c>
      <c r="E99" s="44"/>
      <c r="F99" s="44"/>
      <c r="G99" s="44"/>
      <c r="H99" s="44"/>
      <c r="I99" s="44"/>
      <c r="J99" s="44"/>
      <c r="K99" s="44"/>
      <c r="L99" s="44"/>
      <c r="M99" s="44"/>
      <c r="N99" s="45"/>
    </row>
    <row r="100" spans="1:15" x14ac:dyDescent="0.25">
      <c r="A100" s="306"/>
      <c r="B100" s="323"/>
      <c r="C100" s="21" t="s">
        <v>111</v>
      </c>
      <c r="D100" s="1" t="s">
        <v>9</v>
      </c>
      <c r="E100" s="46">
        <v>6.2310156729020081</v>
      </c>
      <c r="F100" s="46">
        <v>5.2776541092880542</v>
      </c>
      <c r="G100" s="46">
        <v>4.1122721591328899</v>
      </c>
      <c r="H100" s="46">
        <v>3.3147840025770408</v>
      </c>
      <c r="I100" s="46">
        <v>2.0378947368421052</v>
      </c>
      <c r="J100" s="46">
        <v>2.0189473684210526</v>
      </c>
      <c r="K100" s="46">
        <v>1.9557894736842103</v>
      </c>
      <c r="L100" s="46">
        <v>1.8231578947368419</v>
      </c>
      <c r="M100" s="46">
        <v>1.557894736842105</v>
      </c>
      <c r="N100" s="45"/>
    </row>
    <row r="101" spans="1:15" x14ac:dyDescent="0.25">
      <c r="A101" s="306"/>
      <c r="B101" s="323"/>
      <c r="C101" s="21" t="s">
        <v>35</v>
      </c>
      <c r="D101" s="1" t="s">
        <v>10</v>
      </c>
      <c r="E101" s="46">
        <v>0</v>
      </c>
      <c r="F101" s="46">
        <v>0</v>
      </c>
      <c r="G101" s="46">
        <v>0</v>
      </c>
      <c r="H101" s="46">
        <v>0</v>
      </c>
      <c r="I101" s="46">
        <v>0</v>
      </c>
      <c r="J101" s="46">
        <v>0</v>
      </c>
      <c r="K101" s="46">
        <v>1.6473473684210525E-3</v>
      </c>
      <c r="L101" s="46">
        <v>1.5133894736842103E-3</v>
      </c>
      <c r="M101" s="46">
        <v>1.2454736842105263E-3</v>
      </c>
      <c r="N101" s="45"/>
    </row>
    <row r="102" spans="1:15" x14ac:dyDescent="0.25">
      <c r="A102" s="306"/>
      <c r="B102" s="323"/>
      <c r="C102" s="22" t="s">
        <v>24</v>
      </c>
      <c r="D102" s="23" t="s">
        <v>10</v>
      </c>
      <c r="E102" s="47">
        <v>0</v>
      </c>
      <c r="F102" s="47">
        <v>0</v>
      </c>
      <c r="G102" s="47">
        <v>0</v>
      </c>
      <c r="H102" s="47">
        <v>0</v>
      </c>
      <c r="I102" s="47">
        <v>0</v>
      </c>
      <c r="J102" s="47">
        <v>0</v>
      </c>
      <c r="K102" s="47">
        <v>0</v>
      </c>
      <c r="L102" s="47">
        <v>0</v>
      </c>
      <c r="M102" s="47">
        <v>0</v>
      </c>
      <c r="N102" s="45"/>
    </row>
    <row r="103" spans="1:15" x14ac:dyDescent="0.25">
      <c r="A103" s="306"/>
      <c r="B103" s="323"/>
      <c r="C103" s="21" t="s">
        <v>25</v>
      </c>
      <c r="D103" s="1" t="s">
        <v>7</v>
      </c>
      <c r="E103" s="47">
        <v>0.9787499999999999</v>
      </c>
      <c r="F103" s="47">
        <v>0.9787499999999999</v>
      </c>
      <c r="G103" s="47">
        <v>0.9787499999999999</v>
      </c>
      <c r="H103" s="47">
        <v>0.9787499999999999</v>
      </c>
      <c r="I103" s="47">
        <v>0.9787499999999999</v>
      </c>
      <c r="J103" s="47">
        <v>0.9787499999999999</v>
      </c>
      <c r="K103" s="47">
        <v>0.99150000000000005</v>
      </c>
      <c r="L103" s="47">
        <v>0.99150000000000005</v>
      </c>
      <c r="M103" s="47">
        <v>0.99150000000000005</v>
      </c>
      <c r="N103" s="45"/>
    </row>
    <row r="104" spans="1:15" x14ac:dyDescent="0.25">
      <c r="A104" s="306"/>
      <c r="B104" s="323"/>
      <c r="C104" s="21" t="s">
        <v>26</v>
      </c>
      <c r="D104" s="1" t="s">
        <v>14</v>
      </c>
      <c r="E104" s="46">
        <v>1524.6</v>
      </c>
      <c r="F104" s="46">
        <v>1749.6</v>
      </c>
      <c r="G104" s="46">
        <v>2349.6</v>
      </c>
      <c r="H104" s="46">
        <v>3174.6</v>
      </c>
      <c r="I104" s="46">
        <v>4299.6000000000004</v>
      </c>
      <c r="J104" s="46">
        <v>14213</v>
      </c>
      <c r="K104" s="46">
        <v>21713</v>
      </c>
      <c r="L104" s="46">
        <v>37463</v>
      </c>
      <c r="M104" s="46">
        <v>68963</v>
      </c>
      <c r="N104" s="45"/>
    </row>
    <row r="105" spans="1:15" x14ac:dyDescent="0.25">
      <c r="A105" s="306"/>
      <c r="B105" s="323"/>
      <c r="C105" s="21" t="s">
        <v>27</v>
      </c>
      <c r="D105" s="1" t="s">
        <v>4</v>
      </c>
      <c r="E105" s="44">
        <v>40</v>
      </c>
      <c r="F105" s="44">
        <v>40</v>
      </c>
      <c r="G105" s="44">
        <v>40</v>
      </c>
      <c r="H105" s="44">
        <v>40</v>
      </c>
      <c r="I105" s="44">
        <v>40</v>
      </c>
      <c r="J105" s="44">
        <v>40</v>
      </c>
      <c r="K105" s="44">
        <v>40</v>
      </c>
      <c r="L105" s="44">
        <v>40</v>
      </c>
      <c r="M105" s="44">
        <v>40</v>
      </c>
      <c r="N105" s="45"/>
    </row>
    <row r="106" spans="1:15" x14ac:dyDescent="0.25">
      <c r="A106" s="306"/>
      <c r="B106" s="323"/>
      <c r="C106" s="21" t="s">
        <v>112</v>
      </c>
      <c r="D106" s="1" t="s">
        <v>19</v>
      </c>
      <c r="E106" s="44">
        <v>0.5</v>
      </c>
      <c r="F106" s="44">
        <v>0.5</v>
      </c>
      <c r="G106" s="44">
        <v>0.5</v>
      </c>
      <c r="H106" s="44">
        <v>0.5</v>
      </c>
      <c r="I106" s="44">
        <v>0.5</v>
      </c>
      <c r="J106" s="44">
        <v>0.5</v>
      </c>
      <c r="K106" s="44">
        <v>0.5</v>
      </c>
      <c r="L106" s="44">
        <v>0.5</v>
      </c>
      <c r="M106" s="44">
        <v>0.5</v>
      </c>
      <c r="N106" s="45"/>
      <c r="O106" s="65"/>
    </row>
    <row r="107" spans="1:15" x14ac:dyDescent="0.25">
      <c r="A107" s="306"/>
      <c r="B107" s="323"/>
      <c r="C107" s="21" t="s">
        <v>28</v>
      </c>
      <c r="D107" s="1" t="s">
        <v>19</v>
      </c>
      <c r="E107" s="44">
        <v>1.3</v>
      </c>
      <c r="F107" s="44">
        <v>1.3</v>
      </c>
      <c r="G107" s="44">
        <v>1.3</v>
      </c>
      <c r="H107" s="44">
        <v>1.3</v>
      </c>
      <c r="I107" s="44">
        <v>1.3</v>
      </c>
      <c r="J107" s="44">
        <v>1.3</v>
      </c>
      <c r="K107" s="44">
        <v>1.3</v>
      </c>
      <c r="L107" s="44">
        <v>1.3</v>
      </c>
      <c r="M107" s="44">
        <v>1.3</v>
      </c>
      <c r="N107" s="45"/>
    </row>
    <row r="108" spans="1:15" x14ac:dyDescent="0.25">
      <c r="A108" s="306"/>
      <c r="B108" s="323"/>
      <c r="C108" s="21" t="s">
        <v>29</v>
      </c>
      <c r="D108" s="1" t="s">
        <v>4</v>
      </c>
      <c r="E108" s="44">
        <v>20</v>
      </c>
      <c r="F108" s="44">
        <v>20</v>
      </c>
      <c r="G108" s="44">
        <v>20</v>
      </c>
      <c r="H108" s="44">
        <v>20</v>
      </c>
      <c r="I108" s="44">
        <v>20</v>
      </c>
      <c r="J108" s="44">
        <v>20</v>
      </c>
      <c r="K108" s="44">
        <v>20</v>
      </c>
      <c r="L108" s="44">
        <v>20</v>
      </c>
      <c r="M108" s="44">
        <v>20</v>
      </c>
      <c r="N108" s="45"/>
    </row>
    <row r="109" spans="1:15" x14ac:dyDescent="0.25">
      <c r="A109" s="306"/>
      <c r="B109" s="323"/>
      <c r="C109" s="21" t="s">
        <v>30</v>
      </c>
      <c r="D109" s="1" t="s">
        <v>6</v>
      </c>
      <c r="E109" s="46">
        <v>1152.3913936979507</v>
      </c>
      <c r="F109" s="46">
        <v>822.90511868819738</v>
      </c>
      <c r="G109" s="46">
        <v>545.22351181490808</v>
      </c>
      <c r="H109" s="46">
        <v>458.47760255879234</v>
      </c>
      <c r="I109" s="46">
        <v>458.47760255879234</v>
      </c>
      <c r="J109" s="46">
        <v>458.47760255879234</v>
      </c>
      <c r="K109" s="46">
        <v>1278.4539485788428</v>
      </c>
      <c r="L109" s="46">
        <v>1112.1038090399368</v>
      </c>
      <c r="M109" s="46">
        <v>977.49889242726499</v>
      </c>
      <c r="N109" s="45"/>
    </row>
    <row r="110" spans="1:15" x14ac:dyDescent="0.25">
      <c r="A110" s="306"/>
      <c r="B110" s="323"/>
      <c r="C110" s="21" t="s">
        <v>174</v>
      </c>
      <c r="D110" s="1" t="s">
        <v>19</v>
      </c>
      <c r="E110" s="47">
        <v>0</v>
      </c>
      <c r="F110" s="47">
        <v>0</v>
      </c>
      <c r="G110" s="47">
        <v>0</v>
      </c>
      <c r="H110" s="47">
        <v>0</v>
      </c>
      <c r="I110" s="47">
        <v>0</v>
      </c>
      <c r="J110" s="47">
        <v>0</v>
      </c>
      <c r="K110" s="47">
        <v>0</v>
      </c>
      <c r="L110" s="47">
        <v>0</v>
      </c>
      <c r="M110" s="47">
        <v>0</v>
      </c>
      <c r="N110" s="45"/>
    </row>
    <row r="111" spans="1:15" x14ac:dyDescent="0.25">
      <c r="A111" s="306"/>
      <c r="B111" s="323"/>
      <c r="C111" s="21" t="s">
        <v>113</v>
      </c>
      <c r="D111" s="1" t="s">
        <v>8</v>
      </c>
      <c r="E111" s="44"/>
      <c r="F111" s="44"/>
      <c r="G111" s="44"/>
      <c r="H111" s="44"/>
      <c r="I111" s="44"/>
      <c r="J111" s="44"/>
      <c r="K111" s="44"/>
      <c r="L111" s="44"/>
      <c r="M111" s="44"/>
      <c r="N111" s="45"/>
    </row>
    <row r="112" spans="1:15" x14ac:dyDescent="0.25">
      <c r="A112" s="306"/>
      <c r="B112" s="323"/>
      <c r="C112" s="21" t="s">
        <v>114</v>
      </c>
      <c r="D112" s="1" t="s">
        <v>9</v>
      </c>
      <c r="E112" s="44"/>
      <c r="F112" s="44"/>
      <c r="G112" s="44"/>
      <c r="H112" s="44"/>
      <c r="I112" s="44"/>
      <c r="J112" s="44"/>
      <c r="K112" s="44"/>
      <c r="L112" s="44"/>
      <c r="M112" s="44"/>
      <c r="N112" s="45"/>
    </row>
    <row r="113" spans="1:15" x14ac:dyDescent="0.25">
      <c r="A113" s="306"/>
      <c r="B113" s="323"/>
      <c r="C113" s="21" t="s">
        <v>115</v>
      </c>
      <c r="D113" s="1" t="s">
        <v>10</v>
      </c>
      <c r="E113" s="46">
        <v>0</v>
      </c>
      <c r="F113" s="46">
        <v>0</v>
      </c>
      <c r="G113" s="46">
        <v>0</v>
      </c>
      <c r="H113" s="46">
        <v>0</v>
      </c>
      <c r="I113" s="46">
        <v>0</v>
      </c>
      <c r="J113" s="46">
        <v>0</v>
      </c>
      <c r="K113" s="46">
        <v>0</v>
      </c>
      <c r="L113" s="46">
        <v>2.085E-3</v>
      </c>
      <c r="M113" s="46">
        <v>2.085E-3</v>
      </c>
      <c r="N113" s="48"/>
      <c r="O113" s="49"/>
    </row>
    <row r="114" spans="1:15" ht="18.75" x14ac:dyDescent="0.25">
      <c r="A114" s="306"/>
      <c r="B114" s="323"/>
      <c r="C114" s="22" t="s">
        <v>116</v>
      </c>
      <c r="D114" s="23" t="s">
        <v>17</v>
      </c>
      <c r="E114" s="46">
        <v>0</v>
      </c>
      <c r="F114" s="46">
        <v>0</v>
      </c>
      <c r="G114" s="46">
        <v>0</v>
      </c>
      <c r="H114" s="46">
        <v>0</v>
      </c>
      <c r="I114" s="46">
        <v>0</v>
      </c>
      <c r="J114" s="46">
        <v>0</v>
      </c>
      <c r="K114" s="46">
        <v>0</v>
      </c>
      <c r="L114" s="46">
        <v>0</v>
      </c>
      <c r="M114" s="46">
        <v>0</v>
      </c>
      <c r="N114" s="45"/>
    </row>
    <row r="115" spans="1:15" x14ac:dyDescent="0.25">
      <c r="A115" s="306"/>
      <c r="B115" s="323"/>
      <c r="C115" s="22" t="s">
        <v>31</v>
      </c>
      <c r="D115" s="23" t="s">
        <v>10</v>
      </c>
      <c r="E115" s="46">
        <v>0</v>
      </c>
      <c r="F115" s="46">
        <v>0</v>
      </c>
      <c r="G115" s="46">
        <v>0</v>
      </c>
      <c r="H115" s="46">
        <v>0</v>
      </c>
      <c r="I115" s="46">
        <v>0</v>
      </c>
      <c r="J115" s="46">
        <v>0</v>
      </c>
      <c r="K115" s="46">
        <v>0</v>
      </c>
      <c r="L115" s="46">
        <v>0</v>
      </c>
      <c r="M115" s="46">
        <v>0</v>
      </c>
      <c r="N115" s="45"/>
    </row>
    <row r="116" spans="1:15" x14ac:dyDescent="0.25">
      <c r="A116" s="306"/>
      <c r="B116" s="323"/>
      <c r="C116" s="21" t="s">
        <v>32</v>
      </c>
      <c r="D116" s="2" t="s">
        <v>19</v>
      </c>
      <c r="E116" s="44">
        <v>3.33</v>
      </c>
      <c r="F116" s="44">
        <v>3.33</v>
      </c>
      <c r="G116" s="44">
        <v>3.33</v>
      </c>
      <c r="H116" s="44">
        <v>3.33</v>
      </c>
      <c r="I116" s="44">
        <v>3.33</v>
      </c>
      <c r="J116" s="44">
        <v>3.33</v>
      </c>
      <c r="K116" s="44">
        <v>3.33</v>
      </c>
      <c r="L116" s="44">
        <v>3.33</v>
      </c>
      <c r="M116" s="44">
        <v>3.33</v>
      </c>
      <c r="N116" s="45"/>
    </row>
    <row r="117" spans="1:15" x14ac:dyDescent="0.25">
      <c r="A117" s="306"/>
      <c r="B117" s="323"/>
      <c r="C117" s="21" t="s">
        <v>33</v>
      </c>
      <c r="D117" s="2" t="s">
        <v>14</v>
      </c>
      <c r="E117" s="44"/>
      <c r="F117" s="44"/>
      <c r="G117" s="44"/>
      <c r="H117" s="44"/>
      <c r="I117" s="44"/>
      <c r="J117" s="44"/>
      <c r="K117" s="44"/>
      <c r="L117" s="44"/>
      <c r="M117" s="44"/>
      <c r="N117" s="45"/>
    </row>
    <row r="118" spans="1:15" x14ac:dyDescent="0.25">
      <c r="A118" s="306"/>
      <c r="B118" s="323"/>
      <c r="C118" s="21" t="s">
        <v>34</v>
      </c>
      <c r="D118" s="2" t="s">
        <v>4</v>
      </c>
      <c r="E118" s="44"/>
      <c r="F118" s="44"/>
      <c r="G118" s="44"/>
      <c r="H118" s="44"/>
      <c r="I118" s="44"/>
      <c r="J118" s="44"/>
      <c r="K118" s="44"/>
      <c r="L118" s="44"/>
      <c r="M118" s="44"/>
      <c r="N118" s="45"/>
    </row>
    <row r="119" spans="1:15" ht="15" customHeight="1" x14ac:dyDescent="0.25">
      <c r="A119" s="306">
        <v>10</v>
      </c>
      <c r="B119" s="323" t="s">
        <v>175</v>
      </c>
      <c r="C119" s="21" t="s">
        <v>109</v>
      </c>
      <c r="D119" s="1" t="s">
        <v>19</v>
      </c>
      <c r="E119" s="44">
        <v>1</v>
      </c>
      <c r="F119" s="44">
        <v>1</v>
      </c>
      <c r="G119" s="44">
        <v>1</v>
      </c>
      <c r="H119" s="44">
        <v>1</v>
      </c>
      <c r="I119" s="44">
        <v>1</v>
      </c>
      <c r="J119" s="44">
        <v>1</v>
      </c>
      <c r="K119" s="44">
        <v>1</v>
      </c>
      <c r="L119" s="44">
        <v>1</v>
      </c>
      <c r="M119" s="44">
        <v>1</v>
      </c>
      <c r="N119" s="45"/>
    </row>
    <row r="120" spans="1:15" x14ac:dyDescent="0.25">
      <c r="A120" s="306"/>
      <c r="B120" s="323"/>
      <c r="C120" s="21" t="s">
        <v>21</v>
      </c>
      <c r="D120" s="1" t="s">
        <v>19</v>
      </c>
      <c r="E120" s="44">
        <v>0.35</v>
      </c>
      <c r="F120" s="44">
        <v>0.35</v>
      </c>
      <c r="G120" s="44">
        <v>0.35</v>
      </c>
      <c r="H120" s="44">
        <v>0.35</v>
      </c>
      <c r="I120" s="44">
        <v>0.35</v>
      </c>
      <c r="J120" s="44">
        <v>0.35</v>
      </c>
      <c r="K120" s="44">
        <v>0.35</v>
      </c>
      <c r="L120" s="44">
        <v>0.35</v>
      </c>
      <c r="M120" s="44">
        <v>0.35</v>
      </c>
      <c r="N120" s="45"/>
    </row>
    <row r="121" spans="1:15" x14ac:dyDescent="0.25">
      <c r="A121" s="306"/>
      <c r="B121" s="323"/>
      <c r="C121" s="21" t="s">
        <v>22</v>
      </c>
      <c r="D121" s="1" t="s">
        <v>4</v>
      </c>
      <c r="E121" s="44">
        <v>20</v>
      </c>
      <c r="F121" s="44">
        <v>20</v>
      </c>
      <c r="G121" s="44">
        <v>20</v>
      </c>
      <c r="H121" s="44">
        <v>20</v>
      </c>
      <c r="I121" s="44">
        <v>20</v>
      </c>
      <c r="J121" s="44">
        <v>20</v>
      </c>
      <c r="K121" s="44">
        <v>20</v>
      </c>
      <c r="L121" s="44">
        <v>20</v>
      </c>
      <c r="M121" s="44">
        <v>20</v>
      </c>
      <c r="N121" s="45"/>
    </row>
    <row r="122" spans="1:15" x14ac:dyDescent="0.25">
      <c r="A122" s="306"/>
      <c r="B122" s="323"/>
      <c r="C122" s="21" t="s">
        <v>23</v>
      </c>
      <c r="D122" s="1" t="s">
        <v>6</v>
      </c>
      <c r="E122" s="46">
        <v>207.70052243006694</v>
      </c>
      <c r="F122" s="46">
        <v>175.92180364293515</v>
      </c>
      <c r="G122" s="46">
        <v>137.07573863776301</v>
      </c>
      <c r="H122" s="46">
        <v>110.49280008590137</v>
      </c>
      <c r="I122" s="46">
        <v>107.31263157894738</v>
      </c>
      <c r="J122" s="46">
        <v>107.00631578947369</v>
      </c>
      <c r="K122" s="46">
        <v>105.98526315789475</v>
      </c>
      <c r="L122" s="46">
        <v>103.84105263157896</v>
      </c>
      <c r="M122" s="46">
        <v>99.55263157894737</v>
      </c>
      <c r="N122" s="45"/>
    </row>
    <row r="123" spans="1:15" x14ac:dyDescent="0.25">
      <c r="A123" s="306"/>
      <c r="B123" s="323"/>
      <c r="C123" s="21" t="s">
        <v>173</v>
      </c>
      <c r="D123" s="1" t="s">
        <v>19</v>
      </c>
      <c r="E123" s="47">
        <v>0</v>
      </c>
      <c r="F123" s="47">
        <v>0</v>
      </c>
      <c r="G123" s="47">
        <v>0</v>
      </c>
      <c r="H123" s="47">
        <v>0</v>
      </c>
      <c r="I123" s="47">
        <v>0</v>
      </c>
      <c r="J123" s="47">
        <v>0</v>
      </c>
      <c r="K123" s="47">
        <v>0</v>
      </c>
      <c r="L123" s="47">
        <v>0</v>
      </c>
      <c r="M123" s="47">
        <v>0</v>
      </c>
      <c r="N123" s="45"/>
    </row>
    <row r="124" spans="1:15" x14ac:dyDescent="0.25">
      <c r="A124" s="306"/>
      <c r="B124" s="323"/>
      <c r="C124" s="21" t="s">
        <v>110</v>
      </c>
      <c r="D124" s="1" t="s">
        <v>8</v>
      </c>
      <c r="E124" s="44"/>
      <c r="F124" s="44"/>
      <c r="G124" s="44"/>
      <c r="H124" s="44"/>
      <c r="I124" s="44"/>
      <c r="J124" s="44"/>
      <c r="K124" s="44"/>
      <c r="L124" s="44"/>
      <c r="M124" s="44"/>
      <c r="N124" s="45"/>
    </row>
    <row r="125" spans="1:15" x14ac:dyDescent="0.25">
      <c r="A125" s="306"/>
      <c r="B125" s="323"/>
      <c r="C125" s="21" t="s">
        <v>111</v>
      </c>
      <c r="D125" s="1" t="s">
        <v>9</v>
      </c>
      <c r="E125" s="46">
        <v>6.2310156729020081</v>
      </c>
      <c r="F125" s="46">
        <v>5.2776541092880542</v>
      </c>
      <c r="G125" s="46">
        <v>4.1122721591328899</v>
      </c>
      <c r="H125" s="46">
        <v>3.3147840025770408</v>
      </c>
      <c r="I125" s="46">
        <v>2.0378947368421052</v>
      </c>
      <c r="J125" s="46">
        <v>2.0189473684210526</v>
      </c>
      <c r="K125" s="46">
        <v>1.9557894736842103</v>
      </c>
      <c r="L125" s="46">
        <v>1.8231578947368419</v>
      </c>
      <c r="M125" s="46">
        <v>1.557894736842105</v>
      </c>
      <c r="N125" s="45"/>
    </row>
    <row r="126" spans="1:15" x14ac:dyDescent="0.25">
      <c r="A126" s="306"/>
      <c r="B126" s="323"/>
      <c r="C126" s="21" t="s">
        <v>35</v>
      </c>
      <c r="D126" s="1" t="s">
        <v>10</v>
      </c>
      <c r="E126" s="46">
        <v>0</v>
      </c>
      <c r="F126" s="46">
        <v>0</v>
      </c>
      <c r="G126" s="46">
        <v>0</v>
      </c>
      <c r="H126" s="46">
        <v>0</v>
      </c>
      <c r="I126" s="46">
        <v>0</v>
      </c>
      <c r="J126" s="46">
        <v>0</v>
      </c>
      <c r="K126" s="46">
        <v>1.6473473684210525E-3</v>
      </c>
      <c r="L126" s="46">
        <v>1.5133894736842103E-3</v>
      </c>
      <c r="M126" s="46">
        <v>1.2454736842105263E-3</v>
      </c>
      <c r="N126" s="45"/>
    </row>
    <row r="127" spans="1:15" x14ac:dyDescent="0.25">
      <c r="A127" s="306"/>
      <c r="B127" s="323"/>
      <c r="C127" s="22" t="s">
        <v>24</v>
      </c>
      <c r="D127" s="23" t="s">
        <v>10</v>
      </c>
      <c r="E127" s="46">
        <v>0</v>
      </c>
      <c r="F127" s="46">
        <v>0</v>
      </c>
      <c r="G127" s="46">
        <v>0</v>
      </c>
      <c r="H127" s="46">
        <v>0</v>
      </c>
      <c r="I127" s="46">
        <v>0</v>
      </c>
      <c r="J127" s="46">
        <v>0</v>
      </c>
      <c r="K127" s="46">
        <v>0</v>
      </c>
      <c r="L127" s="46">
        <v>0</v>
      </c>
      <c r="M127" s="46">
        <v>0</v>
      </c>
      <c r="N127" s="45"/>
    </row>
    <row r="128" spans="1:15" x14ac:dyDescent="0.25">
      <c r="A128" s="306"/>
      <c r="B128" s="323"/>
      <c r="C128" s="21" t="s">
        <v>25</v>
      </c>
      <c r="D128" s="1" t="s">
        <v>7</v>
      </c>
      <c r="E128" s="47">
        <v>0.9787499999999999</v>
      </c>
      <c r="F128" s="47">
        <v>0.9787499999999999</v>
      </c>
      <c r="G128" s="47">
        <v>0.9787499999999999</v>
      </c>
      <c r="H128" s="47">
        <v>0.9787499999999999</v>
      </c>
      <c r="I128" s="47">
        <v>0.9787499999999999</v>
      </c>
      <c r="J128" s="47">
        <v>0.9787499999999999</v>
      </c>
      <c r="K128" s="47">
        <v>0.99150000000000005</v>
      </c>
      <c r="L128" s="47">
        <v>0.99150000000000005</v>
      </c>
      <c r="M128" s="47">
        <v>0.99150000000000005</v>
      </c>
      <c r="N128" s="45"/>
    </row>
    <row r="129" spans="1:14" x14ac:dyDescent="0.25">
      <c r="A129" s="306"/>
      <c r="B129" s="323"/>
      <c r="C129" s="21" t="s">
        <v>26</v>
      </c>
      <c r="D129" s="1" t="s">
        <v>14</v>
      </c>
      <c r="E129" s="46">
        <v>1524.6</v>
      </c>
      <c r="F129" s="46">
        <v>1749.6</v>
      </c>
      <c r="G129" s="46">
        <v>2349.6</v>
      </c>
      <c r="H129" s="46">
        <v>3174.6</v>
      </c>
      <c r="I129" s="46">
        <v>4299.6000000000004</v>
      </c>
      <c r="J129" s="46">
        <v>14213</v>
      </c>
      <c r="K129" s="46">
        <v>21713</v>
      </c>
      <c r="L129" s="46">
        <v>37463</v>
      </c>
      <c r="M129" s="46">
        <v>68963</v>
      </c>
      <c r="N129" s="45"/>
    </row>
    <row r="130" spans="1:14" x14ac:dyDescent="0.25">
      <c r="A130" s="306"/>
      <c r="B130" s="323"/>
      <c r="C130" s="21" t="s">
        <v>27</v>
      </c>
      <c r="D130" s="1" t="s">
        <v>4</v>
      </c>
      <c r="E130" s="44">
        <v>40</v>
      </c>
      <c r="F130" s="44">
        <v>40</v>
      </c>
      <c r="G130" s="44">
        <v>40</v>
      </c>
      <c r="H130" s="44">
        <v>40</v>
      </c>
      <c r="I130" s="44">
        <v>40</v>
      </c>
      <c r="J130" s="44">
        <v>40</v>
      </c>
      <c r="K130" s="44">
        <v>40</v>
      </c>
      <c r="L130" s="44">
        <v>40</v>
      </c>
      <c r="M130" s="44">
        <v>40</v>
      </c>
      <c r="N130" s="45"/>
    </row>
    <row r="131" spans="1:14" x14ac:dyDescent="0.25">
      <c r="A131" s="306"/>
      <c r="B131" s="323"/>
      <c r="C131" s="21" t="s">
        <v>117</v>
      </c>
      <c r="D131" s="1" t="s">
        <v>19</v>
      </c>
      <c r="E131" s="44">
        <v>0.35</v>
      </c>
      <c r="F131" s="44">
        <v>0.35</v>
      </c>
      <c r="G131" s="44">
        <v>0.35</v>
      </c>
      <c r="H131" s="44">
        <v>0.35</v>
      </c>
      <c r="I131" s="44">
        <v>0.35</v>
      </c>
      <c r="J131" s="44">
        <v>0.35</v>
      </c>
      <c r="K131" s="44">
        <v>0.35</v>
      </c>
      <c r="L131" s="44">
        <v>0.35</v>
      </c>
      <c r="M131" s="44">
        <v>0.35</v>
      </c>
      <c r="N131" s="45"/>
    </row>
    <row r="132" spans="1:14" x14ac:dyDescent="0.25">
      <c r="A132" s="306"/>
      <c r="B132" s="323"/>
      <c r="C132" s="21" t="s">
        <v>36</v>
      </c>
      <c r="D132" s="1" t="s">
        <v>19</v>
      </c>
      <c r="E132" s="44">
        <v>1.8571428571428572</v>
      </c>
      <c r="F132" s="44">
        <v>1.8571428571428572</v>
      </c>
      <c r="G132" s="44">
        <v>1.8571428571428572</v>
      </c>
      <c r="H132" s="44">
        <v>1.8571428571428572</v>
      </c>
      <c r="I132" s="44">
        <v>1.8571428571428572</v>
      </c>
      <c r="J132" s="44">
        <v>1.8571428571428572</v>
      </c>
      <c r="K132" s="44">
        <v>1.8571428571428572</v>
      </c>
      <c r="L132" s="44">
        <v>1.8571428571428572</v>
      </c>
      <c r="M132" s="44">
        <v>1.8571428571428572</v>
      </c>
      <c r="N132" s="45"/>
    </row>
    <row r="133" spans="1:14" x14ac:dyDescent="0.25">
      <c r="A133" s="306"/>
      <c r="B133" s="323"/>
      <c r="C133" s="21" t="s">
        <v>37</v>
      </c>
      <c r="D133" s="1" t="s">
        <v>4</v>
      </c>
      <c r="E133" s="44">
        <v>20</v>
      </c>
      <c r="F133" s="44">
        <v>20</v>
      </c>
      <c r="G133" s="44">
        <v>20</v>
      </c>
      <c r="H133" s="44">
        <v>20</v>
      </c>
      <c r="I133" s="44">
        <v>20</v>
      </c>
      <c r="J133" s="44">
        <v>20</v>
      </c>
      <c r="K133" s="44">
        <v>20</v>
      </c>
      <c r="L133" s="44">
        <v>20</v>
      </c>
      <c r="M133" s="44">
        <v>20</v>
      </c>
      <c r="N133" s="45"/>
    </row>
    <row r="134" spans="1:14" x14ac:dyDescent="0.25">
      <c r="A134" s="306"/>
      <c r="B134" s="323"/>
      <c r="C134" s="21" t="s">
        <v>38</v>
      </c>
      <c r="D134" s="1" t="s">
        <v>6</v>
      </c>
      <c r="E134" s="46">
        <v>6446.1263682075942</v>
      </c>
      <c r="F134" s="46">
        <v>4363.6353162151654</v>
      </c>
      <c r="G134" s="46">
        <v>2708.404978638011</v>
      </c>
      <c r="H134" s="46">
        <v>2101.328882850632</v>
      </c>
      <c r="I134" s="46">
        <v>1742.9566020172474</v>
      </c>
      <c r="J134" s="46">
        <v>1429.4675711498674</v>
      </c>
      <c r="K134" s="46">
        <v>1119.0921583216257</v>
      </c>
      <c r="L134" s="46">
        <v>896.38245628520338</v>
      </c>
      <c r="M134" s="46">
        <v>729.96389830866713</v>
      </c>
      <c r="N134" s="45"/>
    </row>
    <row r="135" spans="1:14" x14ac:dyDescent="0.25">
      <c r="A135" s="306"/>
      <c r="B135" s="323"/>
      <c r="C135" s="21" t="s">
        <v>176</v>
      </c>
      <c r="D135" s="1" t="s">
        <v>19</v>
      </c>
      <c r="E135" s="47">
        <v>0</v>
      </c>
      <c r="F135" s="47">
        <v>0</v>
      </c>
      <c r="G135" s="47">
        <v>0</v>
      </c>
      <c r="H135" s="47">
        <v>0</v>
      </c>
      <c r="I135" s="47">
        <v>0</v>
      </c>
      <c r="J135" s="47">
        <v>0</v>
      </c>
      <c r="K135" s="47">
        <v>0</v>
      </c>
      <c r="L135" s="47">
        <v>0</v>
      </c>
      <c r="M135" s="47">
        <v>0</v>
      </c>
      <c r="N135" s="45"/>
    </row>
    <row r="136" spans="1:14" x14ac:dyDescent="0.25">
      <c r="A136" s="306"/>
      <c r="B136" s="323"/>
      <c r="C136" s="21" t="s">
        <v>118</v>
      </c>
      <c r="D136" s="1" t="s">
        <v>8</v>
      </c>
      <c r="E136" s="44"/>
      <c r="F136" s="44"/>
      <c r="G136" s="44"/>
      <c r="H136" s="44"/>
      <c r="I136" s="44"/>
      <c r="J136" s="44"/>
      <c r="K136" s="44"/>
      <c r="L136" s="44"/>
      <c r="M136" s="44"/>
      <c r="N136" s="45"/>
    </row>
    <row r="137" spans="1:14" x14ac:dyDescent="0.25">
      <c r="A137" s="306"/>
      <c r="B137" s="323"/>
      <c r="C137" s="21" t="s">
        <v>119</v>
      </c>
      <c r="D137" s="1" t="s">
        <v>9</v>
      </c>
      <c r="E137" s="44"/>
      <c r="F137" s="44"/>
      <c r="G137" s="44"/>
      <c r="H137" s="44"/>
      <c r="I137" s="44"/>
      <c r="J137" s="44"/>
      <c r="K137" s="44"/>
      <c r="L137" s="44"/>
      <c r="M137" s="44"/>
      <c r="N137" s="45"/>
    </row>
    <row r="138" spans="1:14" x14ac:dyDescent="0.25">
      <c r="A138" s="306"/>
      <c r="B138" s="323"/>
      <c r="C138" s="21" t="s">
        <v>39</v>
      </c>
      <c r="D138" s="1" t="s">
        <v>10</v>
      </c>
      <c r="E138" s="46">
        <v>5.4632155805897732E-2</v>
      </c>
      <c r="F138" s="46">
        <v>6.9225169277652349E-2</v>
      </c>
      <c r="G138" s="46">
        <v>5.5072970988733948E-2</v>
      </c>
      <c r="H138" s="46">
        <v>4.6604222305577481E-2</v>
      </c>
      <c r="I138" s="46">
        <v>4.0289223212275231E-2</v>
      </c>
      <c r="J138" s="46">
        <v>2.4583755873341454E-2</v>
      </c>
      <c r="K138" s="46">
        <v>1.9104989606490121E-2</v>
      </c>
      <c r="L138" s="46">
        <v>1.5182594783541725E-2</v>
      </c>
      <c r="M138" s="46">
        <v>1.3307545040231683E-2</v>
      </c>
      <c r="N138" s="45"/>
    </row>
    <row r="139" spans="1:14" x14ac:dyDescent="0.25">
      <c r="A139" s="306"/>
      <c r="B139" s="323"/>
      <c r="C139" s="22" t="s">
        <v>40</v>
      </c>
      <c r="D139" s="23" t="s">
        <v>10</v>
      </c>
      <c r="E139" s="46">
        <v>0</v>
      </c>
      <c r="F139" s="46">
        <v>0</v>
      </c>
      <c r="G139" s="46">
        <v>0</v>
      </c>
      <c r="H139" s="46">
        <v>0</v>
      </c>
      <c r="I139" s="46">
        <v>0</v>
      </c>
      <c r="J139" s="46">
        <v>0</v>
      </c>
      <c r="K139" s="46">
        <v>0</v>
      </c>
      <c r="L139" s="46">
        <v>0</v>
      </c>
      <c r="M139" s="46">
        <v>0</v>
      </c>
      <c r="N139" s="45"/>
    </row>
    <row r="140" spans="1:14" x14ac:dyDescent="0.25">
      <c r="A140" s="306"/>
      <c r="B140" s="323"/>
      <c r="C140" s="21" t="s">
        <v>41</v>
      </c>
      <c r="D140" s="1" t="s">
        <v>14</v>
      </c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1:14" x14ac:dyDescent="0.25">
      <c r="A141" s="306"/>
      <c r="B141" s="323"/>
      <c r="C141" s="21" t="s">
        <v>42</v>
      </c>
      <c r="D141" s="1" t="s">
        <v>4</v>
      </c>
      <c r="E141" s="44"/>
      <c r="F141" s="44"/>
      <c r="G141" s="44"/>
      <c r="H141" s="44"/>
      <c r="I141" s="44"/>
      <c r="J141" s="44"/>
      <c r="K141" s="44"/>
      <c r="L141" s="44"/>
      <c r="M141" s="44"/>
      <c r="N141" s="45"/>
    </row>
    <row r="142" spans="1:14" x14ac:dyDescent="0.25">
      <c r="A142" s="306"/>
      <c r="B142" s="323"/>
      <c r="C142" s="21" t="s">
        <v>43</v>
      </c>
      <c r="D142" s="1" t="s">
        <v>7</v>
      </c>
      <c r="E142" s="50">
        <v>0.25</v>
      </c>
      <c r="F142" s="50">
        <v>0.25</v>
      </c>
      <c r="G142" s="50">
        <v>0.25</v>
      </c>
      <c r="H142" s="50">
        <v>0.25</v>
      </c>
      <c r="I142" s="50">
        <v>0.25</v>
      </c>
      <c r="J142" s="50">
        <v>0.25</v>
      </c>
      <c r="K142" s="50">
        <v>0.25</v>
      </c>
      <c r="L142" s="50">
        <v>0.25</v>
      </c>
      <c r="M142" s="50">
        <v>0.25</v>
      </c>
      <c r="N142" s="45"/>
    </row>
    <row r="143" spans="1:14" x14ac:dyDescent="0.25">
      <c r="A143" s="306"/>
      <c r="B143" s="323"/>
      <c r="C143" s="24" t="s">
        <v>44</v>
      </c>
      <c r="D143" s="1" t="s">
        <v>7</v>
      </c>
      <c r="E143" s="47">
        <v>0.66625430833964439</v>
      </c>
      <c r="F143" s="47">
        <v>0.66367464936796561</v>
      </c>
      <c r="G143" s="47">
        <v>0.65679555877682227</v>
      </c>
      <c r="H143" s="47">
        <v>0.64733680921400016</v>
      </c>
      <c r="I143" s="47">
        <v>0.63443851435560639</v>
      </c>
      <c r="J143" s="47">
        <v>0.4680070358050421</v>
      </c>
      <c r="K143" s="47">
        <v>0.46713859851464173</v>
      </c>
      <c r="L143" s="47">
        <v>0.46531488020480088</v>
      </c>
      <c r="M143" s="47">
        <v>0.47</v>
      </c>
      <c r="N143" s="45"/>
    </row>
    <row r="144" spans="1:14" x14ac:dyDescent="0.25">
      <c r="A144" s="306"/>
      <c r="B144" s="323"/>
      <c r="C144" s="24" t="s">
        <v>45</v>
      </c>
      <c r="D144" s="1" t="s">
        <v>7</v>
      </c>
      <c r="E144" s="47">
        <v>0.25092243745356524</v>
      </c>
      <c r="F144" s="47">
        <v>0.25657675134016689</v>
      </c>
      <c r="G144" s="47">
        <v>0.27165492170443795</v>
      </c>
      <c r="H144" s="47">
        <v>0.29238740595531065</v>
      </c>
      <c r="I144" s="47">
        <v>0.32065897538831889</v>
      </c>
      <c r="J144" s="47">
        <v>0.41290384467151914</v>
      </c>
      <c r="K144" s="47">
        <v>0.41363974384019625</v>
      </c>
      <c r="L144" s="47">
        <v>0.41518513209441815</v>
      </c>
      <c r="M144" s="47">
        <v>0.41599999999999998</v>
      </c>
      <c r="N144" s="45"/>
    </row>
    <row r="145" spans="1:14" x14ac:dyDescent="0.25">
      <c r="A145" s="306"/>
      <c r="B145" s="323"/>
      <c r="C145" s="25" t="s">
        <v>120</v>
      </c>
      <c r="D145" s="23" t="s">
        <v>10</v>
      </c>
      <c r="E145" s="46">
        <v>0</v>
      </c>
      <c r="F145" s="46">
        <v>0</v>
      </c>
      <c r="G145" s="46">
        <v>0</v>
      </c>
      <c r="H145" s="46">
        <v>0</v>
      </c>
      <c r="I145" s="46">
        <v>0</v>
      </c>
      <c r="J145" s="46">
        <v>0</v>
      </c>
      <c r="K145" s="46">
        <v>0</v>
      </c>
      <c r="L145" s="46">
        <v>0</v>
      </c>
      <c r="M145" s="46">
        <v>0</v>
      </c>
      <c r="N145" s="45"/>
    </row>
    <row r="146" spans="1:14" x14ac:dyDescent="0.25">
      <c r="A146" s="306"/>
      <c r="B146" s="323"/>
      <c r="C146" s="25" t="s">
        <v>121</v>
      </c>
      <c r="D146" s="23" t="s">
        <v>122</v>
      </c>
      <c r="E146" s="46">
        <v>0</v>
      </c>
      <c r="F146" s="46">
        <v>0</v>
      </c>
      <c r="G146" s="46">
        <v>0</v>
      </c>
      <c r="H146" s="46">
        <v>0</v>
      </c>
      <c r="I146" s="46">
        <v>0</v>
      </c>
      <c r="J146" s="46">
        <v>0</v>
      </c>
      <c r="K146" s="46">
        <v>0</v>
      </c>
      <c r="L146" s="46">
        <v>0</v>
      </c>
      <c r="M146" s="46">
        <v>0</v>
      </c>
      <c r="N146" s="45"/>
    </row>
    <row r="147" spans="1:14" x14ac:dyDescent="0.25">
      <c r="A147" s="306"/>
      <c r="B147" s="323"/>
      <c r="C147" s="25" t="s">
        <v>123</v>
      </c>
      <c r="D147" s="23" t="s">
        <v>124</v>
      </c>
      <c r="E147" s="44">
        <v>0</v>
      </c>
      <c r="F147" s="44">
        <v>0</v>
      </c>
      <c r="G147" s="44">
        <v>0</v>
      </c>
      <c r="H147" s="44">
        <v>0</v>
      </c>
      <c r="I147" s="44">
        <v>0</v>
      </c>
      <c r="J147" s="44">
        <v>0</v>
      </c>
      <c r="K147" s="44">
        <v>0</v>
      </c>
      <c r="L147" s="44">
        <v>0</v>
      </c>
      <c r="M147" s="44">
        <v>0</v>
      </c>
      <c r="N147" s="45"/>
    </row>
    <row r="148" spans="1:14" ht="15" customHeight="1" x14ac:dyDescent="0.25">
      <c r="A148" s="306">
        <v>11</v>
      </c>
      <c r="B148" s="323" t="s">
        <v>177</v>
      </c>
      <c r="C148" s="21" t="s">
        <v>109</v>
      </c>
      <c r="D148" s="1" t="s">
        <v>19</v>
      </c>
      <c r="E148" s="44">
        <v>1</v>
      </c>
      <c r="F148" s="44">
        <v>1</v>
      </c>
      <c r="G148" s="44">
        <v>1</v>
      </c>
      <c r="H148" s="44">
        <v>1</v>
      </c>
      <c r="I148" s="44">
        <v>1</v>
      </c>
      <c r="J148" s="44">
        <v>1</v>
      </c>
      <c r="K148" s="44">
        <v>1</v>
      </c>
      <c r="L148" s="44">
        <v>1</v>
      </c>
      <c r="M148" s="44">
        <v>1</v>
      </c>
      <c r="N148" s="45"/>
    </row>
    <row r="149" spans="1:14" x14ac:dyDescent="0.25">
      <c r="A149" s="306"/>
      <c r="B149" s="323"/>
      <c r="C149" s="21" t="s">
        <v>21</v>
      </c>
      <c r="D149" s="1" t="s">
        <v>19</v>
      </c>
      <c r="E149" s="44">
        <v>0.35</v>
      </c>
      <c r="F149" s="44">
        <v>0.35</v>
      </c>
      <c r="G149" s="44">
        <v>0.35</v>
      </c>
      <c r="H149" s="44">
        <v>0.35</v>
      </c>
      <c r="I149" s="44">
        <v>0.35</v>
      </c>
      <c r="J149" s="44">
        <v>0.35</v>
      </c>
      <c r="K149" s="44">
        <v>0.35</v>
      </c>
      <c r="L149" s="44">
        <v>0.35</v>
      </c>
      <c r="M149" s="44">
        <v>0.35</v>
      </c>
      <c r="N149" s="45"/>
    </row>
    <row r="150" spans="1:14" x14ac:dyDescent="0.25">
      <c r="A150" s="306"/>
      <c r="B150" s="323"/>
      <c r="C150" s="21" t="s">
        <v>22</v>
      </c>
      <c r="D150" s="1" t="s">
        <v>4</v>
      </c>
      <c r="E150" s="44">
        <v>20</v>
      </c>
      <c r="F150" s="44">
        <v>20</v>
      </c>
      <c r="G150" s="44">
        <v>20</v>
      </c>
      <c r="H150" s="44">
        <v>20</v>
      </c>
      <c r="I150" s="44">
        <v>20</v>
      </c>
      <c r="J150" s="44">
        <v>20</v>
      </c>
      <c r="K150" s="44">
        <v>20</v>
      </c>
      <c r="L150" s="44">
        <v>20</v>
      </c>
      <c r="M150" s="44">
        <v>20</v>
      </c>
      <c r="N150" s="45"/>
    </row>
    <row r="151" spans="1:14" x14ac:dyDescent="0.25">
      <c r="A151" s="306"/>
      <c r="B151" s="323"/>
      <c r="C151" s="21" t="s">
        <v>23</v>
      </c>
      <c r="D151" s="1" t="s">
        <v>6</v>
      </c>
      <c r="E151" s="46">
        <v>207.70052243006694</v>
      </c>
      <c r="F151" s="46">
        <v>175.92180364293515</v>
      </c>
      <c r="G151" s="46">
        <v>137.07573863776301</v>
      </c>
      <c r="H151" s="46">
        <v>110.49280008590137</v>
      </c>
      <c r="I151" s="46">
        <v>107.31263157894738</v>
      </c>
      <c r="J151" s="46">
        <v>107.00631578947369</v>
      </c>
      <c r="K151" s="46">
        <v>105.98526315789475</v>
      </c>
      <c r="L151" s="46">
        <v>103.84105263157896</v>
      </c>
      <c r="M151" s="46">
        <v>99.55263157894737</v>
      </c>
      <c r="N151" s="45"/>
    </row>
    <row r="152" spans="1:14" x14ac:dyDescent="0.25">
      <c r="A152" s="306"/>
      <c r="B152" s="323"/>
      <c r="C152" s="21" t="s">
        <v>173</v>
      </c>
      <c r="D152" s="1" t="s">
        <v>19</v>
      </c>
      <c r="E152" s="47">
        <v>0</v>
      </c>
      <c r="F152" s="47">
        <v>0</v>
      </c>
      <c r="G152" s="47">
        <v>0</v>
      </c>
      <c r="H152" s="47">
        <v>0</v>
      </c>
      <c r="I152" s="47">
        <v>0</v>
      </c>
      <c r="J152" s="47">
        <v>0</v>
      </c>
      <c r="K152" s="47">
        <v>0</v>
      </c>
      <c r="L152" s="47">
        <v>0</v>
      </c>
      <c r="M152" s="47">
        <v>0</v>
      </c>
      <c r="N152" s="45"/>
    </row>
    <row r="153" spans="1:14" x14ac:dyDescent="0.25">
      <c r="A153" s="306"/>
      <c r="B153" s="323"/>
      <c r="C153" s="21" t="s">
        <v>110</v>
      </c>
      <c r="D153" s="1" t="s">
        <v>8</v>
      </c>
      <c r="E153" s="44"/>
      <c r="F153" s="44"/>
      <c r="G153" s="44"/>
      <c r="H153" s="44"/>
      <c r="I153" s="44"/>
      <c r="J153" s="44"/>
      <c r="K153" s="44"/>
      <c r="L153" s="44"/>
      <c r="M153" s="44"/>
      <c r="N153" s="45"/>
    </row>
    <row r="154" spans="1:14" x14ac:dyDescent="0.25">
      <c r="A154" s="306"/>
      <c r="B154" s="323"/>
      <c r="C154" s="21" t="s">
        <v>111</v>
      </c>
      <c r="D154" s="1" t="s">
        <v>9</v>
      </c>
      <c r="E154" s="46">
        <v>6.2310156729020081</v>
      </c>
      <c r="F154" s="46">
        <v>5.2776541092880542</v>
      </c>
      <c r="G154" s="46">
        <v>4.1122721591328899</v>
      </c>
      <c r="H154" s="46">
        <v>3.3147840025770408</v>
      </c>
      <c r="I154" s="46">
        <v>2.0378947368421052</v>
      </c>
      <c r="J154" s="46">
        <v>2.0189473684210526</v>
      </c>
      <c r="K154" s="46">
        <v>1.9557894736842103</v>
      </c>
      <c r="L154" s="46">
        <v>1.8231578947368419</v>
      </c>
      <c r="M154" s="46">
        <v>1.557894736842105</v>
      </c>
      <c r="N154" s="45"/>
    </row>
    <row r="155" spans="1:14" x14ac:dyDescent="0.25">
      <c r="A155" s="306"/>
      <c r="B155" s="323"/>
      <c r="C155" s="21" t="s">
        <v>35</v>
      </c>
      <c r="D155" s="1" t="s">
        <v>10</v>
      </c>
      <c r="E155" s="46">
        <v>0</v>
      </c>
      <c r="F155" s="46">
        <v>0</v>
      </c>
      <c r="G155" s="46">
        <v>0</v>
      </c>
      <c r="H155" s="46">
        <v>0</v>
      </c>
      <c r="I155" s="46">
        <v>0</v>
      </c>
      <c r="J155" s="46">
        <v>0</v>
      </c>
      <c r="K155" s="46">
        <v>1.6473473684210525E-3</v>
      </c>
      <c r="L155" s="46">
        <v>1.5133894736842103E-3</v>
      </c>
      <c r="M155" s="46">
        <v>1.2454736842105263E-3</v>
      </c>
      <c r="N155" s="45"/>
    </row>
    <row r="156" spans="1:14" x14ac:dyDescent="0.25">
      <c r="A156" s="306"/>
      <c r="B156" s="323"/>
      <c r="C156" s="22" t="s">
        <v>24</v>
      </c>
      <c r="D156" s="23" t="s">
        <v>10</v>
      </c>
      <c r="E156" s="46">
        <v>0</v>
      </c>
      <c r="F156" s="46">
        <v>0</v>
      </c>
      <c r="G156" s="46">
        <v>0</v>
      </c>
      <c r="H156" s="46">
        <v>0</v>
      </c>
      <c r="I156" s="46">
        <v>0</v>
      </c>
      <c r="J156" s="46">
        <v>0</v>
      </c>
      <c r="K156" s="46">
        <v>0</v>
      </c>
      <c r="L156" s="46">
        <v>0</v>
      </c>
      <c r="M156" s="46">
        <v>0</v>
      </c>
      <c r="N156" s="45"/>
    </row>
    <row r="157" spans="1:14" x14ac:dyDescent="0.25">
      <c r="A157" s="306"/>
      <c r="B157" s="323"/>
      <c r="C157" s="21" t="s">
        <v>25</v>
      </c>
      <c r="D157" s="1" t="s">
        <v>7</v>
      </c>
      <c r="E157" s="47">
        <v>0.9787499999999999</v>
      </c>
      <c r="F157" s="47">
        <v>0.9787499999999999</v>
      </c>
      <c r="G157" s="47">
        <v>0.9787499999999999</v>
      </c>
      <c r="H157" s="47">
        <v>0.9787499999999999</v>
      </c>
      <c r="I157" s="47">
        <v>0.9787499999999999</v>
      </c>
      <c r="J157" s="47">
        <v>0.9787499999999999</v>
      </c>
      <c r="K157" s="47">
        <v>0.99150000000000005</v>
      </c>
      <c r="L157" s="47">
        <v>0.99150000000000005</v>
      </c>
      <c r="M157" s="47">
        <v>0.99150000000000005</v>
      </c>
      <c r="N157" s="45"/>
    </row>
    <row r="158" spans="1:14" x14ac:dyDescent="0.25">
      <c r="A158" s="306"/>
      <c r="B158" s="323"/>
      <c r="C158" s="21" t="s">
        <v>26</v>
      </c>
      <c r="D158" s="1" t="s">
        <v>14</v>
      </c>
      <c r="E158" s="46">
        <v>1524.6</v>
      </c>
      <c r="F158" s="46">
        <v>1749.6</v>
      </c>
      <c r="G158" s="46">
        <v>2349.6</v>
      </c>
      <c r="H158" s="46">
        <v>3174.6</v>
      </c>
      <c r="I158" s="46">
        <v>4299.6000000000004</v>
      </c>
      <c r="J158" s="46">
        <v>14213</v>
      </c>
      <c r="K158" s="46">
        <v>21713</v>
      </c>
      <c r="L158" s="46">
        <v>37463</v>
      </c>
      <c r="M158" s="46">
        <v>68963</v>
      </c>
      <c r="N158" s="45"/>
    </row>
    <row r="159" spans="1:14" x14ac:dyDescent="0.25">
      <c r="A159" s="306"/>
      <c r="B159" s="323"/>
      <c r="C159" s="21" t="s">
        <v>27</v>
      </c>
      <c r="D159" s="1" t="s">
        <v>4</v>
      </c>
      <c r="E159" s="44">
        <v>40</v>
      </c>
      <c r="F159" s="44">
        <v>40</v>
      </c>
      <c r="G159" s="44">
        <v>40</v>
      </c>
      <c r="H159" s="44">
        <v>40</v>
      </c>
      <c r="I159" s="44">
        <v>40</v>
      </c>
      <c r="J159" s="44">
        <v>40</v>
      </c>
      <c r="K159" s="44">
        <v>40</v>
      </c>
      <c r="L159" s="44">
        <v>40</v>
      </c>
      <c r="M159" s="44">
        <v>40</v>
      </c>
      <c r="N159" s="45"/>
    </row>
    <row r="160" spans="1:14" x14ac:dyDescent="0.25">
      <c r="A160" s="306"/>
      <c r="B160" s="323"/>
      <c r="C160" s="21" t="s">
        <v>117</v>
      </c>
      <c r="D160" s="1" t="s">
        <v>19</v>
      </c>
      <c r="E160" s="44">
        <v>0.35</v>
      </c>
      <c r="F160" s="44">
        <v>0.35</v>
      </c>
      <c r="G160" s="44">
        <v>0.35</v>
      </c>
      <c r="H160" s="44">
        <v>0.35</v>
      </c>
      <c r="I160" s="44">
        <v>0.35</v>
      </c>
      <c r="J160" s="44">
        <v>0.35</v>
      </c>
      <c r="K160" s="44">
        <v>0.35</v>
      </c>
      <c r="L160" s="44">
        <v>0.35</v>
      </c>
      <c r="M160" s="44">
        <v>0.35</v>
      </c>
      <c r="N160" s="45"/>
    </row>
    <row r="161" spans="1:14" x14ac:dyDescent="0.25">
      <c r="A161" s="306"/>
      <c r="B161" s="323"/>
      <c r="C161" s="21" t="s">
        <v>36</v>
      </c>
      <c r="D161" s="1" t="s">
        <v>19</v>
      </c>
      <c r="E161" s="44">
        <v>1.8571428571428572</v>
      </c>
      <c r="F161" s="44">
        <v>1.8571428571428572</v>
      </c>
      <c r="G161" s="44">
        <v>1.8571428571428572</v>
      </c>
      <c r="H161" s="44">
        <v>1.8571428571428572</v>
      </c>
      <c r="I161" s="44">
        <v>1.8571428571428572</v>
      </c>
      <c r="J161" s="44">
        <v>1.8571428571428572</v>
      </c>
      <c r="K161" s="44">
        <v>1.8571428571428572</v>
      </c>
      <c r="L161" s="44">
        <v>1.8571428571428572</v>
      </c>
      <c r="M161" s="44">
        <v>1.8571428571428572</v>
      </c>
      <c r="N161" s="45"/>
    </row>
    <row r="162" spans="1:14" x14ac:dyDescent="0.25">
      <c r="A162" s="306"/>
      <c r="B162" s="323"/>
      <c r="C162" s="21" t="s">
        <v>37</v>
      </c>
      <c r="D162" s="1" t="s">
        <v>4</v>
      </c>
      <c r="E162" s="44">
        <v>20</v>
      </c>
      <c r="F162" s="44">
        <v>20</v>
      </c>
      <c r="G162" s="44">
        <v>20</v>
      </c>
      <c r="H162" s="44">
        <v>20</v>
      </c>
      <c r="I162" s="44">
        <v>20</v>
      </c>
      <c r="J162" s="44">
        <v>20</v>
      </c>
      <c r="K162" s="44">
        <v>20</v>
      </c>
      <c r="L162" s="44">
        <v>20</v>
      </c>
      <c r="M162" s="44">
        <v>20</v>
      </c>
      <c r="N162" s="45"/>
    </row>
    <row r="163" spans="1:14" x14ac:dyDescent="0.25">
      <c r="A163" s="306"/>
      <c r="B163" s="323"/>
      <c r="C163" s="21" t="s">
        <v>38</v>
      </c>
      <c r="D163" s="1" t="s">
        <v>6</v>
      </c>
      <c r="E163" s="46">
        <v>6446.1263682075942</v>
      </c>
      <c r="F163" s="46">
        <v>4363.6353162151654</v>
      </c>
      <c r="G163" s="46">
        <v>2708.404978638011</v>
      </c>
      <c r="H163" s="46">
        <v>2101.328882850632</v>
      </c>
      <c r="I163" s="46">
        <v>1742.9566020172474</v>
      </c>
      <c r="J163" s="46">
        <v>1429.4675711498674</v>
      </c>
      <c r="K163" s="46">
        <v>1119.0921583216257</v>
      </c>
      <c r="L163" s="46">
        <v>896.38245628520338</v>
      </c>
      <c r="M163" s="46">
        <v>729.96389830866713</v>
      </c>
      <c r="N163" s="45"/>
    </row>
    <row r="164" spans="1:14" x14ac:dyDescent="0.25">
      <c r="A164" s="306"/>
      <c r="B164" s="323"/>
      <c r="C164" s="21" t="s">
        <v>176</v>
      </c>
      <c r="D164" s="1" t="s">
        <v>19</v>
      </c>
      <c r="E164" s="47">
        <v>0</v>
      </c>
      <c r="F164" s="47">
        <v>0</v>
      </c>
      <c r="G164" s="47">
        <v>0</v>
      </c>
      <c r="H164" s="47">
        <v>0</v>
      </c>
      <c r="I164" s="47">
        <v>0</v>
      </c>
      <c r="J164" s="47">
        <v>0</v>
      </c>
      <c r="K164" s="47">
        <v>0</v>
      </c>
      <c r="L164" s="47">
        <v>0</v>
      </c>
      <c r="M164" s="47">
        <v>0</v>
      </c>
      <c r="N164" s="45"/>
    </row>
    <row r="165" spans="1:14" x14ac:dyDescent="0.25">
      <c r="A165" s="306"/>
      <c r="B165" s="323"/>
      <c r="C165" s="21" t="s">
        <v>118</v>
      </c>
      <c r="D165" s="1" t="s">
        <v>8</v>
      </c>
      <c r="E165" s="44"/>
      <c r="F165" s="44"/>
      <c r="G165" s="44"/>
      <c r="H165" s="44"/>
      <c r="I165" s="44"/>
      <c r="J165" s="44"/>
      <c r="K165" s="44"/>
      <c r="L165" s="44"/>
      <c r="M165" s="44"/>
      <c r="N165" s="45"/>
    </row>
    <row r="166" spans="1:14" x14ac:dyDescent="0.25">
      <c r="A166" s="306"/>
      <c r="B166" s="323"/>
      <c r="C166" s="21" t="s">
        <v>119</v>
      </c>
      <c r="D166" s="1" t="s">
        <v>9</v>
      </c>
      <c r="E166" s="44"/>
      <c r="F166" s="44"/>
      <c r="G166" s="44"/>
      <c r="H166" s="44"/>
      <c r="I166" s="44"/>
      <c r="J166" s="44"/>
      <c r="K166" s="44"/>
      <c r="L166" s="44"/>
      <c r="M166" s="44"/>
      <c r="N166" s="45"/>
    </row>
    <row r="167" spans="1:14" x14ac:dyDescent="0.25">
      <c r="A167" s="306"/>
      <c r="B167" s="323"/>
      <c r="C167" s="21" t="s">
        <v>39</v>
      </c>
      <c r="D167" s="1" t="s">
        <v>10</v>
      </c>
      <c r="E167" s="46">
        <v>5.4632155805897732E-2</v>
      </c>
      <c r="F167" s="46">
        <v>6.9225169277652349E-2</v>
      </c>
      <c r="G167" s="46">
        <v>5.5072970988733948E-2</v>
      </c>
      <c r="H167" s="46">
        <v>4.6604222305577481E-2</v>
      </c>
      <c r="I167" s="46">
        <v>4.0289223212275231E-2</v>
      </c>
      <c r="J167" s="46">
        <v>2.4583755873341454E-2</v>
      </c>
      <c r="K167" s="46">
        <v>1.9104989606490121E-2</v>
      </c>
      <c r="L167" s="46">
        <v>1.5182594783541725E-2</v>
      </c>
      <c r="M167" s="46">
        <v>1.3307545040231683E-2</v>
      </c>
      <c r="N167" s="45"/>
    </row>
    <row r="168" spans="1:14" x14ac:dyDescent="0.25">
      <c r="A168" s="306"/>
      <c r="B168" s="323"/>
      <c r="C168" s="22" t="s">
        <v>40</v>
      </c>
      <c r="D168" s="23" t="s">
        <v>10</v>
      </c>
      <c r="E168" s="46">
        <v>0</v>
      </c>
      <c r="F168" s="46">
        <v>0</v>
      </c>
      <c r="G168" s="46">
        <v>0</v>
      </c>
      <c r="H168" s="46">
        <v>0</v>
      </c>
      <c r="I168" s="46">
        <v>0</v>
      </c>
      <c r="J168" s="46">
        <v>0</v>
      </c>
      <c r="K168" s="46">
        <v>0</v>
      </c>
      <c r="L168" s="46">
        <v>0</v>
      </c>
      <c r="M168" s="46">
        <v>0</v>
      </c>
      <c r="N168" s="45"/>
    </row>
    <row r="169" spans="1:14" x14ac:dyDescent="0.25">
      <c r="A169" s="306"/>
      <c r="B169" s="323"/>
      <c r="C169" s="21" t="s">
        <v>41</v>
      </c>
      <c r="D169" s="1" t="s">
        <v>14</v>
      </c>
      <c r="E169" s="44"/>
      <c r="F169" s="44"/>
      <c r="G169" s="44"/>
      <c r="H169" s="44"/>
      <c r="I169" s="44"/>
      <c r="J169" s="44"/>
      <c r="K169" s="44"/>
      <c r="L169" s="44"/>
      <c r="M169" s="44"/>
      <c r="N169" s="45"/>
    </row>
    <row r="170" spans="1:14" x14ac:dyDescent="0.25">
      <c r="A170" s="306"/>
      <c r="B170" s="323"/>
      <c r="C170" s="21" t="s">
        <v>42</v>
      </c>
      <c r="D170" s="1" t="s">
        <v>4</v>
      </c>
      <c r="E170" s="44"/>
      <c r="F170" s="44"/>
      <c r="G170" s="44"/>
      <c r="H170" s="44"/>
      <c r="I170" s="44"/>
      <c r="J170" s="44"/>
      <c r="K170" s="44"/>
      <c r="L170" s="44"/>
      <c r="M170" s="44"/>
      <c r="N170" s="45"/>
    </row>
    <row r="171" spans="1:14" x14ac:dyDescent="0.25">
      <c r="A171" s="306"/>
      <c r="B171" s="323"/>
      <c r="C171" s="21" t="s">
        <v>43</v>
      </c>
      <c r="D171" s="1" t="s">
        <v>7</v>
      </c>
      <c r="E171" s="50">
        <v>0.5</v>
      </c>
      <c r="F171" s="50">
        <v>0.5</v>
      </c>
      <c r="G171" s="50">
        <v>0.5</v>
      </c>
      <c r="H171" s="50">
        <v>0.5</v>
      </c>
      <c r="I171" s="50">
        <v>0.5</v>
      </c>
      <c r="J171" s="50">
        <v>0.5</v>
      </c>
      <c r="K171" s="50">
        <v>0.5</v>
      </c>
      <c r="L171" s="50">
        <v>0.5</v>
      </c>
      <c r="M171" s="50">
        <v>0.5</v>
      </c>
      <c r="N171" s="45"/>
    </row>
    <row r="172" spans="1:14" ht="14.45" customHeight="1" x14ac:dyDescent="0.25">
      <c r="A172" s="306"/>
      <c r="B172" s="323"/>
      <c r="C172" s="24" t="s">
        <v>44</v>
      </c>
      <c r="D172" s="1" t="s">
        <v>7</v>
      </c>
      <c r="E172" s="47">
        <v>0.66625430833964439</v>
      </c>
      <c r="F172" s="47">
        <v>0.66367464936796561</v>
      </c>
      <c r="G172" s="47">
        <v>0.65679555877682227</v>
      </c>
      <c r="H172" s="47">
        <v>0.64733680921400016</v>
      </c>
      <c r="I172" s="47">
        <v>0.63443851435560639</v>
      </c>
      <c r="J172" s="47">
        <v>0.4680070358050421</v>
      </c>
      <c r="K172" s="47">
        <v>0.46713859851464173</v>
      </c>
      <c r="L172" s="47">
        <v>0.46531488020480088</v>
      </c>
      <c r="M172" s="47">
        <v>0.47</v>
      </c>
      <c r="N172" s="45"/>
    </row>
    <row r="173" spans="1:14" ht="14.45" customHeight="1" x14ac:dyDescent="0.25">
      <c r="A173" s="306"/>
      <c r="B173" s="323"/>
      <c r="C173" s="24" t="s">
        <v>45</v>
      </c>
      <c r="D173" s="1" t="s">
        <v>7</v>
      </c>
      <c r="E173" s="47">
        <v>0.25092243745356524</v>
      </c>
      <c r="F173" s="47">
        <v>0.25657675134016689</v>
      </c>
      <c r="G173" s="47">
        <v>0.27165492170443795</v>
      </c>
      <c r="H173" s="47">
        <v>0.29238740595531065</v>
      </c>
      <c r="I173" s="47">
        <v>0.32065897538831889</v>
      </c>
      <c r="J173" s="47">
        <v>0.41290384467151914</v>
      </c>
      <c r="K173" s="47">
        <v>0.41363974384019625</v>
      </c>
      <c r="L173" s="47">
        <v>0.41518513209441815</v>
      </c>
      <c r="M173" s="47">
        <v>0.41599999999999998</v>
      </c>
      <c r="N173" s="45"/>
    </row>
    <row r="174" spans="1:14" ht="14.45" customHeight="1" x14ac:dyDescent="0.25">
      <c r="A174" s="306"/>
      <c r="B174" s="323"/>
      <c r="C174" s="25" t="s">
        <v>120</v>
      </c>
      <c r="D174" s="23" t="s">
        <v>10</v>
      </c>
      <c r="E174" s="46">
        <v>0</v>
      </c>
      <c r="F174" s="46">
        <v>0</v>
      </c>
      <c r="G174" s="46">
        <v>0</v>
      </c>
      <c r="H174" s="46">
        <v>0</v>
      </c>
      <c r="I174" s="46">
        <v>0</v>
      </c>
      <c r="J174" s="46">
        <v>0</v>
      </c>
      <c r="K174" s="46">
        <v>0</v>
      </c>
      <c r="L174" s="46">
        <v>0</v>
      </c>
      <c r="M174" s="46">
        <v>0</v>
      </c>
      <c r="N174" s="45"/>
    </row>
    <row r="175" spans="1:14" ht="14.45" customHeight="1" x14ac:dyDescent="0.25">
      <c r="A175" s="306"/>
      <c r="B175" s="323"/>
      <c r="C175" s="25" t="s">
        <v>121</v>
      </c>
      <c r="D175" s="23" t="s">
        <v>122</v>
      </c>
      <c r="E175" s="46">
        <v>0</v>
      </c>
      <c r="F175" s="46">
        <v>0</v>
      </c>
      <c r="G175" s="46">
        <v>0</v>
      </c>
      <c r="H175" s="46">
        <v>0</v>
      </c>
      <c r="I175" s="46">
        <v>0</v>
      </c>
      <c r="J175" s="46">
        <v>0</v>
      </c>
      <c r="K175" s="46">
        <v>0</v>
      </c>
      <c r="L175" s="46">
        <v>0</v>
      </c>
      <c r="M175" s="46">
        <v>0</v>
      </c>
      <c r="N175" s="45"/>
    </row>
    <row r="176" spans="1:14" ht="14.45" customHeight="1" x14ac:dyDescent="0.25">
      <c r="A176" s="306"/>
      <c r="B176" s="323"/>
      <c r="C176" s="25" t="s">
        <v>123</v>
      </c>
      <c r="D176" s="23" t="s">
        <v>124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v>0</v>
      </c>
      <c r="L176" s="44">
        <v>0</v>
      </c>
      <c r="M176" s="44">
        <v>0</v>
      </c>
      <c r="N176" s="45"/>
    </row>
    <row r="177" spans="1:14" ht="14.45" customHeight="1" x14ac:dyDescent="0.25">
      <c r="A177" s="306">
        <v>12</v>
      </c>
      <c r="B177" s="323" t="s">
        <v>178</v>
      </c>
      <c r="C177" s="21" t="s">
        <v>109</v>
      </c>
      <c r="D177" s="1" t="s">
        <v>19</v>
      </c>
      <c r="E177" s="51">
        <v>1</v>
      </c>
      <c r="F177" s="51">
        <v>1</v>
      </c>
      <c r="G177" s="51">
        <v>1</v>
      </c>
      <c r="H177" s="51">
        <v>1</v>
      </c>
      <c r="I177" s="51">
        <v>1</v>
      </c>
      <c r="J177" s="51">
        <v>1</v>
      </c>
      <c r="K177" s="51">
        <v>1</v>
      </c>
      <c r="L177" s="51">
        <v>1</v>
      </c>
      <c r="M177" s="51">
        <v>1</v>
      </c>
      <c r="N177" s="45"/>
    </row>
    <row r="178" spans="1:14" x14ac:dyDescent="0.25">
      <c r="A178" s="306"/>
      <c r="B178" s="323"/>
      <c r="C178" s="21" t="s">
        <v>21</v>
      </c>
      <c r="D178" s="1" t="s">
        <v>19</v>
      </c>
      <c r="E178" s="44">
        <v>0.8</v>
      </c>
      <c r="F178" s="44">
        <v>0.8</v>
      </c>
      <c r="G178" s="44">
        <v>0.8</v>
      </c>
      <c r="H178" s="44">
        <v>0.8</v>
      </c>
      <c r="I178" s="44">
        <v>0.8</v>
      </c>
      <c r="J178" s="44">
        <v>0.8</v>
      </c>
      <c r="K178" s="44">
        <v>0.8</v>
      </c>
      <c r="L178" s="44">
        <v>0.8</v>
      </c>
      <c r="M178" s="44">
        <v>0.8</v>
      </c>
      <c r="N178" s="45"/>
    </row>
    <row r="179" spans="1:14" x14ac:dyDescent="0.25">
      <c r="A179" s="306"/>
      <c r="B179" s="323"/>
      <c r="C179" s="21" t="s">
        <v>22</v>
      </c>
      <c r="D179" s="1" t="s">
        <v>4</v>
      </c>
      <c r="E179" s="44">
        <v>20</v>
      </c>
      <c r="F179" s="44">
        <v>20</v>
      </c>
      <c r="G179" s="44">
        <v>20</v>
      </c>
      <c r="H179" s="44">
        <v>20</v>
      </c>
      <c r="I179" s="44">
        <v>20</v>
      </c>
      <c r="J179" s="44">
        <v>20</v>
      </c>
      <c r="K179" s="44">
        <v>20</v>
      </c>
      <c r="L179" s="44">
        <v>20</v>
      </c>
      <c r="M179" s="44">
        <v>20</v>
      </c>
      <c r="N179" s="45"/>
    </row>
    <row r="180" spans="1:14" x14ac:dyDescent="0.25">
      <c r="A180" s="306"/>
      <c r="B180" s="323"/>
      <c r="C180" s="21" t="s">
        <v>23</v>
      </c>
      <c r="D180" s="1" t="s">
        <v>6</v>
      </c>
      <c r="E180" s="46">
        <v>207.70052243006694</v>
      </c>
      <c r="F180" s="46">
        <v>175.92180364293515</v>
      </c>
      <c r="G180" s="46">
        <v>137.07573863776301</v>
      </c>
      <c r="H180" s="46">
        <v>110.49280008590137</v>
      </c>
      <c r="I180" s="46">
        <v>107.31263157894738</v>
      </c>
      <c r="J180" s="46">
        <v>107.00631578947369</v>
      </c>
      <c r="K180" s="46">
        <v>105.98526315789475</v>
      </c>
      <c r="L180" s="46">
        <v>103.84105263157896</v>
      </c>
      <c r="M180" s="46">
        <v>99.55263157894737</v>
      </c>
      <c r="N180" s="45"/>
    </row>
    <row r="181" spans="1:14" ht="14.45" customHeight="1" x14ac:dyDescent="0.25">
      <c r="A181" s="306"/>
      <c r="B181" s="323"/>
      <c r="C181" s="21" t="s">
        <v>173</v>
      </c>
      <c r="D181" s="1" t="s">
        <v>19</v>
      </c>
      <c r="E181" s="47">
        <v>0</v>
      </c>
      <c r="F181" s="47">
        <v>0</v>
      </c>
      <c r="G181" s="47">
        <v>0</v>
      </c>
      <c r="H181" s="47">
        <v>0</v>
      </c>
      <c r="I181" s="47">
        <v>0</v>
      </c>
      <c r="J181" s="47">
        <v>0</v>
      </c>
      <c r="K181" s="47">
        <v>0</v>
      </c>
      <c r="L181" s="47">
        <v>0</v>
      </c>
      <c r="M181" s="47">
        <v>0</v>
      </c>
      <c r="N181" s="45"/>
    </row>
    <row r="182" spans="1:14" x14ac:dyDescent="0.25">
      <c r="A182" s="306"/>
      <c r="B182" s="323"/>
      <c r="C182" s="21" t="s">
        <v>110</v>
      </c>
      <c r="D182" s="1" t="s">
        <v>8</v>
      </c>
      <c r="E182" s="44"/>
      <c r="F182" s="44"/>
      <c r="G182" s="44"/>
      <c r="H182" s="44"/>
      <c r="I182" s="44"/>
      <c r="J182" s="44"/>
      <c r="K182" s="44"/>
      <c r="L182" s="44"/>
      <c r="M182" s="44"/>
      <c r="N182" s="45"/>
    </row>
    <row r="183" spans="1:14" x14ac:dyDescent="0.25">
      <c r="A183" s="306"/>
      <c r="B183" s="323"/>
      <c r="C183" s="21" t="s">
        <v>111</v>
      </c>
      <c r="D183" s="1" t="s">
        <v>9</v>
      </c>
      <c r="E183" s="46">
        <v>6.2310156729020081</v>
      </c>
      <c r="F183" s="46">
        <v>5.2776541092880542</v>
      </c>
      <c r="G183" s="46">
        <v>4.1122721591328899</v>
      </c>
      <c r="H183" s="46">
        <v>3.3147840025770408</v>
      </c>
      <c r="I183" s="46">
        <v>2.0378947368421052</v>
      </c>
      <c r="J183" s="46">
        <v>2.0189473684210526</v>
      </c>
      <c r="K183" s="46">
        <v>1.9557894736842103</v>
      </c>
      <c r="L183" s="46">
        <v>1.8231578947368419</v>
      </c>
      <c r="M183" s="46">
        <v>1.557894736842105</v>
      </c>
      <c r="N183" s="45"/>
    </row>
    <row r="184" spans="1:14" x14ac:dyDescent="0.25">
      <c r="A184" s="306"/>
      <c r="B184" s="323"/>
      <c r="C184" s="21" t="s">
        <v>35</v>
      </c>
      <c r="D184" s="1" t="s">
        <v>10</v>
      </c>
      <c r="E184" s="46">
        <v>0</v>
      </c>
      <c r="F184" s="46">
        <v>0</v>
      </c>
      <c r="G184" s="46">
        <v>0</v>
      </c>
      <c r="H184" s="46">
        <v>0</v>
      </c>
      <c r="I184" s="46">
        <v>0</v>
      </c>
      <c r="J184" s="46">
        <v>0</v>
      </c>
      <c r="K184" s="46">
        <v>1.6473473684210525E-3</v>
      </c>
      <c r="L184" s="46">
        <v>1.5133894736842103E-3</v>
      </c>
      <c r="M184" s="46">
        <v>1.2454736842105263E-3</v>
      </c>
      <c r="N184" s="45"/>
    </row>
    <row r="185" spans="1:14" x14ac:dyDescent="0.25">
      <c r="A185" s="306"/>
      <c r="B185" s="323"/>
      <c r="C185" s="22" t="s">
        <v>24</v>
      </c>
      <c r="D185" s="23" t="s">
        <v>10</v>
      </c>
      <c r="E185" s="46">
        <v>0</v>
      </c>
      <c r="F185" s="46">
        <v>0</v>
      </c>
      <c r="G185" s="46">
        <v>0</v>
      </c>
      <c r="H185" s="46">
        <v>0</v>
      </c>
      <c r="I185" s="46">
        <v>0</v>
      </c>
      <c r="J185" s="46">
        <v>0</v>
      </c>
      <c r="K185" s="46">
        <v>0</v>
      </c>
      <c r="L185" s="46">
        <v>0</v>
      </c>
      <c r="M185" s="46">
        <v>0</v>
      </c>
      <c r="N185" s="45"/>
    </row>
    <row r="186" spans="1:14" x14ac:dyDescent="0.25">
      <c r="A186" s="306"/>
      <c r="B186" s="323"/>
      <c r="C186" s="21" t="s">
        <v>25</v>
      </c>
      <c r="D186" s="1" t="s">
        <v>7</v>
      </c>
      <c r="E186" s="47">
        <v>0.9787499999999999</v>
      </c>
      <c r="F186" s="47">
        <v>0.9787499999999999</v>
      </c>
      <c r="G186" s="47">
        <v>0.9787499999999999</v>
      </c>
      <c r="H186" s="47">
        <v>0.9787499999999999</v>
      </c>
      <c r="I186" s="47">
        <v>0.9787499999999999</v>
      </c>
      <c r="J186" s="47">
        <v>0.9787499999999999</v>
      </c>
      <c r="K186" s="47">
        <v>0.99150000000000005</v>
      </c>
      <c r="L186" s="47">
        <v>0.99150000000000005</v>
      </c>
      <c r="M186" s="47">
        <v>0.99150000000000005</v>
      </c>
      <c r="N186" s="45"/>
    </row>
    <row r="187" spans="1:14" x14ac:dyDescent="0.25">
      <c r="A187" s="306"/>
      <c r="B187" s="323"/>
      <c r="C187" s="21" t="s">
        <v>26</v>
      </c>
      <c r="D187" s="1" t="s">
        <v>14</v>
      </c>
      <c r="E187" s="46">
        <v>1524.6</v>
      </c>
      <c r="F187" s="46">
        <v>1749.6</v>
      </c>
      <c r="G187" s="46">
        <v>2349.6</v>
      </c>
      <c r="H187" s="46">
        <v>3174.6</v>
      </c>
      <c r="I187" s="46">
        <v>4299.6000000000004</v>
      </c>
      <c r="J187" s="46">
        <v>14213</v>
      </c>
      <c r="K187" s="46">
        <v>21713</v>
      </c>
      <c r="L187" s="46">
        <v>37463</v>
      </c>
      <c r="M187" s="46">
        <v>68963</v>
      </c>
      <c r="N187" s="45"/>
    </row>
    <row r="188" spans="1:14" x14ac:dyDescent="0.25">
      <c r="A188" s="306"/>
      <c r="B188" s="323"/>
      <c r="C188" s="21" t="s">
        <v>27</v>
      </c>
      <c r="D188" s="1" t="s">
        <v>4</v>
      </c>
      <c r="E188" s="44">
        <v>40</v>
      </c>
      <c r="F188" s="44">
        <v>40</v>
      </c>
      <c r="G188" s="44">
        <v>40</v>
      </c>
      <c r="H188" s="44">
        <v>40</v>
      </c>
      <c r="I188" s="44">
        <v>40</v>
      </c>
      <c r="J188" s="44">
        <v>40</v>
      </c>
      <c r="K188" s="44">
        <v>40</v>
      </c>
      <c r="L188" s="44">
        <v>40</v>
      </c>
      <c r="M188" s="44">
        <v>40</v>
      </c>
      <c r="N188" s="45"/>
    </row>
    <row r="189" spans="1:14" x14ac:dyDescent="0.25">
      <c r="A189" s="306"/>
      <c r="B189" s="323"/>
      <c r="C189" s="21" t="s">
        <v>125</v>
      </c>
      <c r="D189" s="1" t="s">
        <v>19</v>
      </c>
      <c r="E189" s="51">
        <v>0.3125</v>
      </c>
      <c r="F189" s="51">
        <v>0.3125</v>
      </c>
      <c r="G189" s="51">
        <v>0.3125</v>
      </c>
      <c r="H189" s="51">
        <v>0.3125</v>
      </c>
      <c r="I189" s="51">
        <v>0.3125</v>
      </c>
      <c r="J189" s="51">
        <v>0.3125</v>
      </c>
      <c r="K189" s="51">
        <v>0.3125</v>
      </c>
      <c r="L189" s="51">
        <v>0.3125</v>
      </c>
      <c r="M189" s="51">
        <v>0.3125</v>
      </c>
      <c r="N189" s="45"/>
    </row>
    <row r="190" spans="1:14" x14ac:dyDescent="0.25">
      <c r="A190" s="306"/>
      <c r="B190" s="323"/>
      <c r="C190" s="21" t="s">
        <v>126</v>
      </c>
      <c r="D190" s="1" t="s">
        <v>19</v>
      </c>
      <c r="E190" s="44">
        <v>0.64</v>
      </c>
      <c r="F190" s="44">
        <v>0.64</v>
      </c>
      <c r="G190" s="44">
        <v>0.64</v>
      </c>
      <c r="H190" s="44">
        <v>0.64</v>
      </c>
      <c r="I190" s="44">
        <v>0.64</v>
      </c>
      <c r="J190" s="44">
        <v>0.64</v>
      </c>
      <c r="K190" s="44">
        <v>0.64</v>
      </c>
      <c r="L190" s="44">
        <v>0.64</v>
      </c>
      <c r="M190" s="44">
        <v>0.64</v>
      </c>
      <c r="N190" s="45"/>
    </row>
    <row r="191" spans="1:14" ht="14.45" customHeight="1" x14ac:dyDescent="0.25">
      <c r="A191" s="306"/>
      <c r="B191" s="323"/>
      <c r="C191" s="24" t="s">
        <v>127</v>
      </c>
      <c r="D191" s="1" t="s">
        <v>4</v>
      </c>
      <c r="E191" s="44">
        <v>20</v>
      </c>
      <c r="F191" s="44">
        <v>20</v>
      </c>
      <c r="G191" s="44">
        <v>20</v>
      </c>
      <c r="H191" s="44">
        <v>20</v>
      </c>
      <c r="I191" s="44">
        <v>20</v>
      </c>
      <c r="J191" s="44">
        <v>20</v>
      </c>
      <c r="K191" s="44">
        <v>20</v>
      </c>
      <c r="L191" s="44">
        <v>20</v>
      </c>
      <c r="M191" s="44">
        <v>20</v>
      </c>
      <c r="N191" s="45"/>
    </row>
    <row r="192" spans="1:14" ht="14.45" customHeight="1" x14ac:dyDescent="0.25">
      <c r="A192" s="306"/>
      <c r="B192" s="323"/>
      <c r="C192" s="24" t="s">
        <v>128</v>
      </c>
      <c r="D192" s="1" t="s">
        <v>6</v>
      </c>
      <c r="E192" s="52">
        <v>923.0754808366645</v>
      </c>
      <c r="F192" s="46">
        <v>909.14924346027067</v>
      </c>
      <c r="G192" s="46">
        <v>872.01261045655372</v>
      </c>
      <c r="H192" s="46">
        <v>820.94974007644282</v>
      </c>
      <c r="I192" s="46">
        <v>751.31855319447357</v>
      </c>
      <c r="J192" s="46">
        <v>612.05617943053505</v>
      </c>
      <c r="K192" s="46">
        <v>521.07142857142856</v>
      </c>
      <c r="L192" s="46">
        <v>521.07142857142856</v>
      </c>
      <c r="M192" s="46">
        <v>521.07142857142856</v>
      </c>
      <c r="N192" s="45"/>
    </row>
    <row r="193" spans="1:14" ht="14.45" customHeight="1" x14ac:dyDescent="0.25">
      <c r="A193" s="306"/>
      <c r="B193" s="323"/>
      <c r="C193" s="21" t="s">
        <v>179</v>
      </c>
      <c r="D193" s="1" t="s">
        <v>19</v>
      </c>
      <c r="E193" s="47">
        <v>0</v>
      </c>
      <c r="F193" s="47">
        <v>0</v>
      </c>
      <c r="G193" s="47">
        <v>0</v>
      </c>
      <c r="H193" s="47">
        <v>0</v>
      </c>
      <c r="I193" s="47">
        <v>0</v>
      </c>
      <c r="J193" s="47">
        <v>0</v>
      </c>
      <c r="K193" s="47">
        <v>0</v>
      </c>
      <c r="L193" s="47">
        <v>0</v>
      </c>
      <c r="M193" s="47">
        <v>0</v>
      </c>
      <c r="N193" s="45"/>
    </row>
    <row r="194" spans="1:14" x14ac:dyDescent="0.25">
      <c r="A194" s="306"/>
      <c r="B194" s="323"/>
      <c r="C194" s="21" t="s">
        <v>129</v>
      </c>
      <c r="D194" s="1" t="s">
        <v>8</v>
      </c>
      <c r="E194" s="46">
        <v>54.38718703976437</v>
      </c>
      <c r="F194" s="46">
        <v>71.452724594992645</v>
      </c>
      <c r="G194" s="46">
        <v>116.96082474226804</v>
      </c>
      <c r="H194" s="46">
        <v>179.53446244477172</v>
      </c>
      <c r="I194" s="46">
        <v>264.86215022091312</v>
      </c>
      <c r="J194" s="46">
        <v>435.51752577319587</v>
      </c>
      <c r="K194" s="46">
        <v>606.17290132547862</v>
      </c>
      <c r="L194" s="46">
        <v>606.17290132547862</v>
      </c>
      <c r="M194" s="46">
        <v>606.17290132547862</v>
      </c>
      <c r="N194" s="45"/>
    </row>
    <row r="195" spans="1:14" x14ac:dyDescent="0.25">
      <c r="A195" s="306"/>
      <c r="B195" s="323"/>
      <c r="C195" s="21" t="s">
        <v>130</v>
      </c>
      <c r="D195" s="1" t="s">
        <v>9</v>
      </c>
      <c r="E195" s="44"/>
      <c r="F195" s="44"/>
      <c r="G195" s="44"/>
      <c r="H195" s="44"/>
      <c r="I195" s="44"/>
      <c r="J195" s="44"/>
      <c r="K195" s="44"/>
      <c r="L195" s="44"/>
      <c r="M195" s="44"/>
    </row>
    <row r="196" spans="1:14" x14ac:dyDescent="0.25">
      <c r="A196" s="306"/>
      <c r="B196" s="323"/>
      <c r="C196" s="21" t="s">
        <v>131</v>
      </c>
      <c r="D196" s="1" t="s">
        <v>10</v>
      </c>
      <c r="E196" s="44"/>
      <c r="F196" s="44"/>
      <c r="G196" s="44"/>
      <c r="H196" s="44"/>
      <c r="I196" s="44"/>
      <c r="J196" s="44"/>
      <c r="K196" s="44"/>
      <c r="L196" s="44"/>
      <c r="M196" s="44"/>
    </row>
    <row r="197" spans="1:14" ht="18.75" x14ac:dyDescent="0.25">
      <c r="A197" s="306"/>
      <c r="B197" s="323"/>
      <c r="C197" s="53" t="s">
        <v>132</v>
      </c>
      <c r="D197" s="23" t="s">
        <v>17</v>
      </c>
      <c r="E197" s="44"/>
      <c r="F197" s="44"/>
      <c r="G197" s="44"/>
      <c r="H197" s="44"/>
      <c r="I197" s="44"/>
      <c r="J197" s="44"/>
      <c r="K197" s="44"/>
      <c r="L197" s="44"/>
      <c r="M197" s="44"/>
    </row>
    <row r="198" spans="1:14" ht="14.45" customHeight="1" x14ac:dyDescent="0.25">
      <c r="A198" s="306">
        <v>13</v>
      </c>
      <c r="B198" s="323" t="s">
        <v>180</v>
      </c>
      <c r="C198" s="21" t="s">
        <v>109</v>
      </c>
      <c r="D198" s="1" t="s">
        <v>19</v>
      </c>
      <c r="E198" s="44">
        <v>1</v>
      </c>
      <c r="F198" s="44">
        <v>1</v>
      </c>
      <c r="G198" s="44">
        <v>1</v>
      </c>
      <c r="H198" s="44">
        <v>1</v>
      </c>
      <c r="I198" s="44">
        <v>1</v>
      </c>
      <c r="J198" s="44">
        <v>1</v>
      </c>
      <c r="K198" s="44">
        <v>1</v>
      </c>
      <c r="L198" s="44">
        <v>1</v>
      </c>
      <c r="M198" s="44">
        <v>1</v>
      </c>
    </row>
    <row r="199" spans="1:14" x14ac:dyDescent="0.25">
      <c r="A199" s="306"/>
      <c r="B199" s="323"/>
      <c r="C199" s="21" t="s">
        <v>21</v>
      </c>
      <c r="D199" s="1" t="s">
        <v>19</v>
      </c>
      <c r="E199" s="44">
        <v>0.65</v>
      </c>
      <c r="F199" s="44">
        <v>0.65</v>
      </c>
      <c r="G199" s="44">
        <v>0.65</v>
      </c>
      <c r="H199" s="44">
        <v>0.65</v>
      </c>
      <c r="I199" s="44">
        <v>0.65</v>
      </c>
      <c r="J199" s="44">
        <v>0.65</v>
      </c>
      <c r="K199" s="44">
        <v>0.65</v>
      </c>
      <c r="L199" s="44">
        <v>0.65</v>
      </c>
      <c r="M199" s="44">
        <v>0.65</v>
      </c>
    </row>
    <row r="200" spans="1:14" x14ac:dyDescent="0.25">
      <c r="A200" s="306"/>
      <c r="B200" s="323"/>
      <c r="C200" s="21" t="s">
        <v>22</v>
      </c>
      <c r="D200" s="1" t="s">
        <v>4</v>
      </c>
      <c r="E200" s="44">
        <v>20</v>
      </c>
      <c r="F200" s="44">
        <v>20</v>
      </c>
      <c r="G200" s="44">
        <v>20</v>
      </c>
      <c r="H200" s="44">
        <v>20</v>
      </c>
      <c r="I200" s="44">
        <v>20</v>
      </c>
      <c r="J200" s="44">
        <v>20</v>
      </c>
      <c r="K200" s="44">
        <v>20</v>
      </c>
      <c r="L200" s="44">
        <v>20</v>
      </c>
      <c r="M200" s="44">
        <v>20</v>
      </c>
    </row>
    <row r="201" spans="1:14" x14ac:dyDescent="0.25">
      <c r="A201" s="306"/>
      <c r="B201" s="323"/>
      <c r="C201" s="21" t="s">
        <v>23</v>
      </c>
      <c r="D201" s="1" t="s">
        <v>6</v>
      </c>
      <c r="E201" s="46">
        <v>207.70052243006694</v>
      </c>
      <c r="F201" s="46">
        <v>175.92180364293515</v>
      </c>
      <c r="G201" s="46">
        <v>137.07573863776301</v>
      </c>
      <c r="H201" s="46">
        <v>110.49280008590137</v>
      </c>
      <c r="I201" s="46">
        <v>107.31263157894738</v>
      </c>
      <c r="J201" s="46">
        <v>107.00631578947369</v>
      </c>
      <c r="K201" s="46">
        <v>105.98526315789475</v>
      </c>
      <c r="L201" s="46">
        <v>103.84105263157896</v>
      </c>
      <c r="M201" s="46">
        <v>99.55263157894737</v>
      </c>
    </row>
    <row r="202" spans="1:14" x14ac:dyDescent="0.25">
      <c r="A202" s="306"/>
      <c r="B202" s="323"/>
      <c r="C202" s="21" t="s">
        <v>173</v>
      </c>
      <c r="D202" s="1" t="s">
        <v>19</v>
      </c>
      <c r="E202" s="47">
        <v>0</v>
      </c>
      <c r="F202" s="47">
        <v>0</v>
      </c>
      <c r="G202" s="47">
        <v>0</v>
      </c>
      <c r="H202" s="47">
        <v>0</v>
      </c>
      <c r="I202" s="47">
        <v>0</v>
      </c>
      <c r="J202" s="47">
        <v>0</v>
      </c>
      <c r="K202" s="47">
        <v>0</v>
      </c>
      <c r="L202" s="47">
        <v>0</v>
      </c>
      <c r="M202" s="47">
        <v>0</v>
      </c>
    </row>
    <row r="203" spans="1:14" x14ac:dyDescent="0.25">
      <c r="A203" s="306"/>
      <c r="B203" s="323"/>
      <c r="C203" s="21" t="s">
        <v>110</v>
      </c>
      <c r="D203" s="1" t="s">
        <v>8</v>
      </c>
      <c r="E203" s="44"/>
      <c r="F203" s="44"/>
      <c r="G203" s="44"/>
      <c r="H203" s="44"/>
      <c r="I203" s="44"/>
      <c r="J203" s="44"/>
      <c r="K203" s="44"/>
      <c r="L203" s="44"/>
      <c r="M203" s="44"/>
    </row>
    <row r="204" spans="1:14" x14ac:dyDescent="0.25">
      <c r="A204" s="306"/>
      <c r="B204" s="323"/>
      <c r="C204" s="21" t="s">
        <v>111</v>
      </c>
      <c r="D204" s="1" t="s">
        <v>9</v>
      </c>
      <c r="E204" s="46">
        <v>6.2310156729020081</v>
      </c>
      <c r="F204" s="46">
        <v>5.2776541092880542</v>
      </c>
      <c r="G204" s="46">
        <v>4.1122721591328899</v>
      </c>
      <c r="H204" s="46">
        <v>3.3147840025770408</v>
      </c>
      <c r="I204" s="46">
        <v>2.0378947368421052</v>
      </c>
      <c r="J204" s="46">
        <v>2.0189473684210526</v>
      </c>
      <c r="K204" s="46">
        <v>1.9557894736842103</v>
      </c>
      <c r="L204" s="46">
        <v>1.8231578947368419</v>
      </c>
      <c r="M204" s="46">
        <v>1.557894736842105</v>
      </c>
    </row>
    <row r="205" spans="1:14" x14ac:dyDescent="0.25">
      <c r="A205" s="306"/>
      <c r="B205" s="323"/>
      <c r="C205" s="21" t="s">
        <v>35</v>
      </c>
      <c r="D205" s="1" t="s">
        <v>10</v>
      </c>
      <c r="E205" s="46">
        <v>0</v>
      </c>
      <c r="F205" s="46">
        <v>0</v>
      </c>
      <c r="G205" s="46">
        <v>0</v>
      </c>
      <c r="H205" s="46">
        <v>0</v>
      </c>
      <c r="I205" s="46">
        <v>0</v>
      </c>
      <c r="J205" s="46">
        <v>0</v>
      </c>
      <c r="K205" s="46">
        <v>1.6473473684210525E-3</v>
      </c>
      <c r="L205" s="46">
        <v>1.5133894736842103E-3</v>
      </c>
      <c r="M205" s="46">
        <v>1.2454736842105263E-3</v>
      </c>
    </row>
    <row r="206" spans="1:14" x14ac:dyDescent="0.25">
      <c r="A206" s="306"/>
      <c r="B206" s="323"/>
      <c r="C206" s="22" t="s">
        <v>24</v>
      </c>
      <c r="D206" s="23" t="s">
        <v>10</v>
      </c>
      <c r="E206" s="46">
        <v>0</v>
      </c>
      <c r="F206" s="46">
        <v>0</v>
      </c>
      <c r="G206" s="46">
        <v>0</v>
      </c>
      <c r="H206" s="46">
        <v>0</v>
      </c>
      <c r="I206" s="46">
        <v>0</v>
      </c>
      <c r="J206" s="46">
        <v>0</v>
      </c>
      <c r="K206" s="46">
        <v>0</v>
      </c>
      <c r="L206" s="46">
        <v>0</v>
      </c>
      <c r="M206" s="46">
        <v>0</v>
      </c>
    </row>
    <row r="207" spans="1:14" x14ac:dyDescent="0.25">
      <c r="A207" s="306"/>
      <c r="B207" s="323"/>
      <c r="C207" s="21" t="s">
        <v>25</v>
      </c>
      <c r="D207" s="1" t="s">
        <v>7</v>
      </c>
      <c r="E207" s="47">
        <v>0.9787499999999999</v>
      </c>
      <c r="F207" s="47">
        <v>0.9787499999999999</v>
      </c>
      <c r="G207" s="47">
        <v>0.9787499999999999</v>
      </c>
      <c r="H207" s="47">
        <v>0.9787499999999999</v>
      </c>
      <c r="I207" s="47">
        <v>0.9787499999999999</v>
      </c>
      <c r="J207" s="47">
        <v>0.9787499999999999</v>
      </c>
      <c r="K207" s="47">
        <v>0.99150000000000005</v>
      </c>
      <c r="L207" s="47">
        <v>0.99150000000000005</v>
      </c>
      <c r="M207" s="47">
        <v>0.99150000000000005</v>
      </c>
    </row>
    <row r="208" spans="1:14" x14ac:dyDescent="0.25">
      <c r="A208" s="306"/>
      <c r="B208" s="323"/>
      <c r="C208" s="21" t="s">
        <v>26</v>
      </c>
      <c r="D208" s="1" t="s">
        <v>14</v>
      </c>
      <c r="E208" s="46">
        <v>1524.6</v>
      </c>
      <c r="F208" s="46">
        <v>1749.6</v>
      </c>
      <c r="G208" s="46">
        <v>2349.6</v>
      </c>
      <c r="H208" s="46">
        <v>3174.6</v>
      </c>
      <c r="I208" s="46">
        <v>4299.6000000000004</v>
      </c>
      <c r="J208" s="46">
        <v>14213</v>
      </c>
      <c r="K208" s="46">
        <v>21713</v>
      </c>
      <c r="L208" s="46">
        <v>37463</v>
      </c>
      <c r="M208" s="46">
        <v>68963</v>
      </c>
    </row>
    <row r="209" spans="1:13" x14ac:dyDescent="0.25">
      <c r="A209" s="306"/>
      <c r="B209" s="323"/>
      <c r="C209" s="21" t="s">
        <v>27</v>
      </c>
      <c r="D209" s="1" t="s">
        <v>4</v>
      </c>
      <c r="E209" s="44">
        <v>40</v>
      </c>
      <c r="F209" s="44">
        <v>40</v>
      </c>
      <c r="G209" s="44">
        <v>40</v>
      </c>
      <c r="H209" s="44">
        <v>40</v>
      </c>
      <c r="I209" s="44">
        <v>40</v>
      </c>
      <c r="J209" s="44">
        <v>40</v>
      </c>
      <c r="K209" s="44">
        <v>40</v>
      </c>
      <c r="L209" s="44">
        <v>40</v>
      </c>
      <c r="M209" s="44">
        <v>40</v>
      </c>
    </row>
    <row r="210" spans="1:13" x14ac:dyDescent="0.25">
      <c r="A210" s="306"/>
      <c r="B210" s="323"/>
      <c r="C210" s="21" t="s">
        <v>125</v>
      </c>
      <c r="D210" s="1" t="s">
        <v>19</v>
      </c>
      <c r="E210" s="51">
        <v>0.546875</v>
      </c>
      <c r="F210" s="51">
        <v>0.546875</v>
      </c>
      <c r="G210" s="51">
        <v>0.54687499999999989</v>
      </c>
      <c r="H210" s="51">
        <v>0.546875</v>
      </c>
      <c r="I210" s="51">
        <v>0.546875</v>
      </c>
      <c r="J210" s="51">
        <v>0.546875</v>
      </c>
      <c r="K210" s="51">
        <v>0.546875</v>
      </c>
      <c r="L210" s="51">
        <v>0.546875</v>
      </c>
      <c r="M210" s="51">
        <v>0.546875</v>
      </c>
    </row>
    <row r="211" spans="1:13" x14ac:dyDescent="0.25">
      <c r="A211" s="306"/>
      <c r="B211" s="323"/>
      <c r="C211" s="21" t="s">
        <v>126</v>
      </c>
      <c r="D211" s="1" t="s">
        <v>19</v>
      </c>
      <c r="E211" s="44">
        <v>0.64</v>
      </c>
      <c r="F211" s="44">
        <v>0.64</v>
      </c>
      <c r="G211" s="44">
        <v>0.64</v>
      </c>
      <c r="H211" s="44">
        <v>0.64</v>
      </c>
      <c r="I211" s="44">
        <v>0.64</v>
      </c>
      <c r="J211" s="44">
        <v>0.64</v>
      </c>
      <c r="K211" s="44">
        <v>0.64</v>
      </c>
      <c r="L211" s="44">
        <v>0.64</v>
      </c>
      <c r="M211" s="44">
        <v>0.64</v>
      </c>
    </row>
    <row r="212" spans="1:13" x14ac:dyDescent="0.25">
      <c r="A212" s="306"/>
      <c r="B212" s="323"/>
      <c r="C212" s="24" t="s">
        <v>127</v>
      </c>
      <c r="D212" s="1" t="s">
        <v>4</v>
      </c>
      <c r="E212" s="44">
        <v>20</v>
      </c>
      <c r="F212" s="44">
        <v>20</v>
      </c>
      <c r="G212" s="44">
        <v>20</v>
      </c>
      <c r="H212" s="44">
        <v>20</v>
      </c>
      <c r="I212" s="44">
        <v>20</v>
      </c>
      <c r="J212" s="44">
        <v>20</v>
      </c>
      <c r="K212" s="44">
        <v>20</v>
      </c>
      <c r="L212" s="44">
        <v>20</v>
      </c>
      <c r="M212" s="44">
        <v>20</v>
      </c>
    </row>
    <row r="213" spans="1:13" x14ac:dyDescent="0.25">
      <c r="A213" s="306"/>
      <c r="B213" s="323"/>
      <c r="C213" s="24" t="s">
        <v>128</v>
      </c>
      <c r="D213" s="1" t="s">
        <v>6</v>
      </c>
      <c r="E213" s="52">
        <v>912.63080280436907</v>
      </c>
      <c r="F213" s="46">
        <v>888.25988739567981</v>
      </c>
      <c r="G213" s="46">
        <v>823.2707796391752</v>
      </c>
      <c r="H213" s="46">
        <v>733.91075647398134</v>
      </c>
      <c r="I213" s="46">
        <v>612.05617943053505</v>
      </c>
      <c r="J213" s="46">
        <v>521.07142857142856</v>
      </c>
      <c r="K213" s="46">
        <v>521.07142857142856</v>
      </c>
      <c r="L213" s="46">
        <v>521.07142857142856</v>
      </c>
      <c r="M213" s="46">
        <v>521.07142857142856</v>
      </c>
    </row>
    <row r="214" spans="1:13" x14ac:dyDescent="0.25">
      <c r="A214" s="306"/>
      <c r="B214" s="323"/>
      <c r="C214" s="21" t="s">
        <v>179</v>
      </c>
      <c r="D214" s="1" t="s">
        <v>19</v>
      </c>
      <c r="E214" s="47">
        <v>0</v>
      </c>
      <c r="F214" s="47">
        <v>0</v>
      </c>
      <c r="G214" s="47">
        <v>0</v>
      </c>
      <c r="H214" s="47">
        <v>0</v>
      </c>
      <c r="I214" s="47">
        <v>0</v>
      </c>
      <c r="J214" s="47">
        <v>0</v>
      </c>
      <c r="K214" s="47">
        <v>0</v>
      </c>
      <c r="L214" s="47">
        <v>0</v>
      </c>
      <c r="M214" s="47">
        <v>0</v>
      </c>
    </row>
    <row r="215" spans="1:13" x14ac:dyDescent="0.25">
      <c r="A215" s="306"/>
      <c r="B215" s="323"/>
      <c r="C215" s="21" t="s">
        <v>129</v>
      </c>
      <c r="D215" s="1" t="s">
        <v>8</v>
      </c>
      <c r="E215" s="46">
        <v>54.38718703976437</v>
      </c>
      <c r="F215" s="46">
        <v>71.452724594992645</v>
      </c>
      <c r="G215" s="46">
        <v>116.96082474226804</v>
      </c>
      <c r="H215" s="46">
        <v>179.53446244477172</v>
      </c>
      <c r="I215" s="46">
        <v>264.86215022091312</v>
      </c>
      <c r="J215" s="46">
        <v>435.51752577319587</v>
      </c>
      <c r="K215" s="46">
        <v>606.17290132547862</v>
      </c>
      <c r="L215" s="46">
        <v>606.17290132547862</v>
      </c>
      <c r="M215" s="46">
        <v>606.17290132547862</v>
      </c>
    </row>
    <row r="216" spans="1:13" x14ac:dyDescent="0.25">
      <c r="A216" s="306"/>
      <c r="B216" s="323"/>
      <c r="C216" s="21" t="s">
        <v>130</v>
      </c>
      <c r="D216" s="1" t="s">
        <v>9</v>
      </c>
      <c r="E216" s="44"/>
      <c r="F216" s="44"/>
      <c r="G216" s="44"/>
      <c r="H216" s="44"/>
      <c r="I216" s="44"/>
      <c r="J216" s="44"/>
      <c r="K216" s="44"/>
      <c r="L216" s="44"/>
      <c r="M216" s="44"/>
    </row>
    <row r="217" spans="1:13" x14ac:dyDescent="0.25">
      <c r="A217" s="306"/>
      <c r="B217" s="323"/>
      <c r="C217" s="21" t="s">
        <v>131</v>
      </c>
      <c r="D217" s="1" t="s">
        <v>10</v>
      </c>
      <c r="E217" s="44"/>
      <c r="F217" s="44"/>
      <c r="G217" s="44"/>
      <c r="H217" s="44"/>
      <c r="I217" s="44"/>
      <c r="J217" s="44"/>
      <c r="K217" s="44"/>
      <c r="L217" s="44"/>
      <c r="M217" s="44"/>
    </row>
    <row r="218" spans="1:13" ht="18.75" x14ac:dyDescent="0.25">
      <c r="A218" s="306"/>
      <c r="B218" s="323"/>
      <c r="C218" s="53" t="s">
        <v>132</v>
      </c>
      <c r="D218" s="23" t="s">
        <v>17</v>
      </c>
      <c r="E218" s="44"/>
      <c r="F218" s="44"/>
      <c r="G218" s="44"/>
      <c r="H218" s="44"/>
      <c r="I218" s="44"/>
      <c r="J218" s="44"/>
      <c r="K218" s="44"/>
      <c r="L218" s="44"/>
      <c r="M218" s="44"/>
    </row>
    <row r="219" spans="1:13" x14ac:dyDescent="0.25">
      <c r="A219" s="324">
        <v>14</v>
      </c>
      <c r="B219" s="327" t="s">
        <v>181</v>
      </c>
      <c r="C219" s="21" t="s">
        <v>112</v>
      </c>
      <c r="D219" s="1" t="s">
        <v>19</v>
      </c>
      <c r="E219" s="51">
        <v>1</v>
      </c>
      <c r="F219" s="51">
        <v>1</v>
      </c>
      <c r="G219" s="51">
        <v>1</v>
      </c>
      <c r="H219" s="51">
        <v>1</v>
      </c>
      <c r="I219" s="51">
        <v>1</v>
      </c>
      <c r="J219" s="51">
        <v>1</v>
      </c>
      <c r="K219" s="51">
        <v>1</v>
      </c>
      <c r="L219" s="51">
        <v>1</v>
      </c>
      <c r="M219" s="51">
        <v>1</v>
      </c>
    </row>
    <row r="220" spans="1:13" x14ac:dyDescent="0.25">
      <c r="A220" s="325"/>
      <c r="B220" s="328"/>
      <c r="C220" s="21" t="s">
        <v>28</v>
      </c>
      <c r="D220" s="1" t="s">
        <v>19</v>
      </c>
      <c r="E220" s="44">
        <v>0.8</v>
      </c>
      <c r="F220" s="44">
        <v>0.8</v>
      </c>
      <c r="G220" s="44">
        <v>0.8</v>
      </c>
      <c r="H220" s="44">
        <v>0.8</v>
      </c>
      <c r="I220" s="44">
        <v>0.8</v>
      </c>
      <c r="J220" s="44">
        <v>0.8</v>
      </c>
      <c r="K220" s="44">
        <v>0.8</v>
      </c>
      <c r="L220" s="44">
        <v>0.8</v>
      </c>
      <c r="M220" s="44">
        <v>0.8</v>
      </c>
    </row>
    <row r="221" spans="1:13" x14ac:dyDescent="0.25">
      <c r="A221" s="325"/>
      <c r="B221" s="328"/>
      <c r="C221" s="21" t="s">
        <v>29</v>
      </c>
      <c r="D221" s="1" t="s">
        <v>4</v>
      </c>
      <c r="E221" s="44">
        <v>20</v>
      </c>
      <c r="F221" s="44">
        <v>20</v>
      </c>
      <c r="G221" s="44">
        <v>20</v>
      </c>
      <c r="H221" s="44">
        <v>20</v>
      </c>
      <c r="I221" s="44">
        <v>20</v>
      </c>
      <c r="J221" s="44">
        <v>20</v>
      </c>
      <c r="K221" s="44">
        <v>20</v>
      </c>
      <c r="L221" s="44">
        <v>20</v>
      </c>
      <c r="M221" s="44">
        <v>20</v>
      </c>
    </row>
    <row r="222" spans="1:13" x14ac:dyDescent="0.25">
      <c r="A222" s="325"/>
      <c r="B222" s="328"/>
      <c r="C222" s="21" t="s">
        <v>30</v>
      </c>
      <c r="D222" s="1" t="s">
        <v>6</v>
      </c>
      <c r="E222" s="46">
        <v>822.90511868819738</v>
      </c>
      <c r="F222" s="46">
        <v>587.62399482196031</v>
      </c>
      <c r="G222" s="46">
        <v>458.47760255879234</v>
      </c>
      <c r="H222" s="46">
        <v>458.47760255879234</v>
      </c>
      <c r="I222" s="46">
        <v>458.47760255879234</v>
      </c>
      <c r="J222" s="46">
        <v>458.47760255879234</v>
      </c>
      <c r="K222" s="46">
        <v>1133.7480098003448</v>
      </c>
      <c r="L222" s="46">
        <v>986.22674801231153</v>
      </c>
      <c r="M222" s="46">
        <v>866.85752357634294</v>
      </c>
    </row>
    <row r="223" spans="1:13" x14ac:dyDescent="0.25">
      <c r="A223" s="325"/>
      <c r="B223" s="328"/>
      <c r="C223" s="21" t="s">
        <v>174</v>
      </c>
      <c r="D223" s="1" t="s">
        <v>19</v>
      </c>
      <c r="E223" s="47">
        <v>0</v>
      </c>
      <c r="F223" s="47">
        <v>0</v>
      </c>
      <c r="G223" s="47">
        <v>0</v>
      </c>
      <c r="H223" s="47">
        <v>0</v>
      </c>
      <c r="I223" s="47">
        <v>0</v>
      </c>
      <c r="J223" s="47">
        <v>0</v>
      </c>
      <c r="K223" s="47">
        <v>0</v>
      </c>
      <c r="L223" s="47">
        <v>0</v>
      </c>
      <c r="M223" s="47">
        <v>0</v>
      </c>
    </row>
    <row r="224" spans="1:13" x14ac:dyDescent="0.25">
      <c r="A224" s="325"/>
      <c r="B224" s="328"/>
      <c r="C224" s="21" t="s">
        <v>113</v>
      </c>
      <c r="D224" s="1" t="s">
        <v>8</v>
      </c>
      <c r="E224" s="44"/>
      <c r="F224" s="44"/>
      <c r="G224" s="44"/>
      <c r="H224" s="44"/>
      <c r="I224" s="44"/>
      <c r="J224" s="44"/>
      <c r="K224" s="44"/>
      <c r="L224" s="44"/>
      <c r="M224" s="44"/>
    </row>
    <row r="225" spans="1:13" x14ac:dyDescent="0.25">
      <c r="A225" s="325"/>
      <c r="B225" s="328"/>
      <c r="C225" s="21" t="s">
        <v>114</v>
      </c>
      <c r="D225" s="1" t="s">
        <v>9</v>
      </c>
      <c r="E225" s="44"/>
      <c r="F225" s="44"/>
      <c r="G225" s="44"/>
      <c r="H225" s="44"/>
      <c r="I225" s="44"/>
      <c r="J225" s="44"/>
      <c r="K225" s="44"/>
      <c r="L225" s="44"/>
      <c r="M225" s="44"/>
    </row>
    <row r="226" spans="1:13" x14ac:dyDescent="0.25">
      <c r="A226" s="325"/>
      <c r="B226" s="328"/>
      <c r="C226" s="21" t="s">
        <v>115</v>
      </c>
      <c r="D226" s="1" t="s">
        <v>10</v>
      </c>
      <c r="E226" s="46">
        <v>0</v>
      </c>
      <c r="F226" s="46">
        <v>0</v>
      </c>
      <c r="G226" s="46">
        <v>0</v>
      </c>
      <c r="H226" s="46">
        <v>0</v>
      </c>
      <c r="I226" s="46">
        <v>0</v>
      </c>
      <c r="J226" s="46">
        <v>0</v>
      </c>
      <c r="K226" s="46">
        <v>2.085E-3</v>
      </c>
      <c r="L226" s="46">
        <v>2.085E-3</v>
      </c>
      <c r="M226" s="46">
        <v>2.085E-3</v>
      </c>
    </row>
    <row r="227" spans="1:13" ht="18.75" x14ac:dyDescent="0.25">
      <c r="A227" s="325"/>
      <c r="B227" s="328"/>
      <c r="C227" s="22" t="s">
        <v>116</v>
      </c>
      <c r="D227" s="23" t="s">
        <v>17</v>
      </c>
      <c r="E227" s="46">
        <v>0</v>
      </c>
      <c r="F227" s="46">
        <v>0</v>
      </c>
      <c r="G227" s="46">
        <v>0</v>
      </c>
      <c r="H227" s="46">
        <v>0</v>
      </c>
      <c r="I227" s="46">
        <v>0</v>
      </c>
      <c r="J227" s="46">
        <v>0</v>
      </c>
      <c r="K227" s="46">
        <v>0</v>
      </c>
      <c r="L227" s="46">
        <v>0</v>
      </c>
      <c r="M227" s="46">
        <v>0</v>
      </c>
    </row>
    <row r="228" spans="1:13" x14ac:dyDescent="0.25">
      <c r="A228" s="325"/>
      <c r="B228" s="328"/>
      <c r="C228" s="22" t="s">
        <v>31</v>
      </c>
      <c r="D228" s="23" t="s">
        <v>10</v>
      </c>
      <c r="E228" s="46">
        <v>0</v>
      </c>
      <c r="F228" s="46">
        <v>0</v>
      </c>
      <c r="G228" s="46">
        <v>0</v>
      </c>
      <c r="H228" s="46">
        <v>0</v>
      </c>
      <c r="I228" s="46">
        <v>0</v>
      </c>
      <c r="J228" s="46">
        <v>0</v>
      </c>
      <c r="K228" s="46">
        <v>0</v>
      </c>
      <c r="L228" s="46">
        <v>0</v>
      </c>
      <c r="M228" s="46">
        <v>0</v>
      </c>
    </row>
    <row r="229" spans="1:13" x14ac:dyDescent="0.25">
      <c r="A229" s="325"/>
      <c r="B229" s="328"/>
      <c r="C229" s="21" t="s">
        <v>32</v>
      </c>
      <c r="D229" s="2" t="s">
        <v>19</v>
      </c>
      <c r="E229" s="44">
        <v>3.33</v>
      </c>
      <c r="F229" s="44">
        <v>3.33</v>
      </c>
      <c r="G229" s="44">
        <v>3.33</v>
      </c>
      <c r="H229" s="44">
        <v>3.33</v>
      </c>
      <c r="I229" s="44">
        <v>3.33</v>
      </c>
      <c r="J229" s="44">
        <v>3.33</v>
      </c>
      <c r="K229" s="44">
        <v>3.33</v>
      </c>
      <c r="L229" s="44">
        <v>3.33</v>
      </c>
      <c r="M229" s="44">
        <v>3.33</v>
      </c>
    </row>
    <row r="230" spans="1:13" x14ac:dyDescent="0.25">
      <c r="A230" s="325"/>
      <c r="B230" s="328"/>
      <c r="C230" s="21" t="s">
        <v>33</v>
      </c>
      <c r="D230" s="2" t="s">
        <v>14</v>
      </c>
      <c r="E230" s="44"/>
      <c r="F230" s="44"/>
      <c r="G230" s="44"/>
      <c r="H230" s="44"/>
      <c r="I230" s="44"/>
      <c r="J230" s="44"/>
      <c r="K230" s="44"/>
      <c r="L230" s="44"/>
      <c r="M230" s="44"/>
    </row>
    <row r="231" spans="1:13" x14ac:dyDescent="0.25">
      <c r="A231" s="325"/>
      <c r="B231" s="328"/>
      <c r="C231" s="21" t="s">
        <v>34</v>
      </c>
      <c r="D231" s="2" t="s">
        <v>4</v>
      </c>
      <c r="E231" s="44"/>
      <c r="F231" s="44"/>
      <c r="G231" s="44"/>
      <c r="H231" s="44"/>
      <c r="I231" s="44"/>
      <c r="J231" s="44"/>
      <c r="K231" s="44"/>
      <c r="L231" s="44"/>
      <c r="M231" s="44"/>
    </row>
    <row r="232" spans="1:13" x14ac:dyDescent="0.25">
      <c r="A232" s="325"/>
      <c r="B232" s="328"/>
      <c r="C232" s="21" t="s">
        <v>125</v>
      </c>
      <c r="D232" s="1" t="s">
        <v>19</v>
      </c>
      <c r="E232" s="51">
        <v>0.3125</v>
      </c>
      <c r="F232" s="51">
        <v>0.3125</v>
      </c>
      <c r="G232" s="51">
        <v>0.3125</v>
      </c>
      <c r="H232" s="51">
        <v>0.3125</v>
      </c>
      <c r="I232" s="51">
        <v>0.3125</v>
      </c>
      <c r="J232" s="51">
        <v>0.3125</v>
      </c>
      <c r="K232" s="51">
        <v>0.3125</v>
      </c>
      <c r="L232" s="51">
        <v>0.3125</v>
      </c>
      <c r="M232" s="51">
        <v>0.3125</v>
      </c>
    </row>
    <row r="233" spans="1:13" x14ac:dyDescent="0.25">
      <c r="A233" s="325"/>
      <c r="B233" s="328"/>
      <c r="C233" s="21" t="s">
        <v>126</v>
      </c>
      <c r="D233" s="1" t="s">
        <v>19</v>
      </c>
      <c r="E233" s="44">
        <v>0.64</v>
      </c>
      <c r="F233" s="44">
        <v>0.64</v>
      </c>
      <c r="G233" s="44">
        <v>0.64</v>
      </c>
      <c r="H233" s="44">
        <v>0.64</v>
      </c>
      <c r="I233" s="44">
        <v>0.64</v>
      </c>
      <c r="J233" s="44">
        <v>0.64</v>
      </c>
      <c r="K233" s="44">
        <v>0.64</v>
      </c>
      <c r="L233" s="44">
        <v>0.64</v>
      </c>
      <c r="M233" s="44">
        <v>0.64</v>
      </c>
    </row>
    <row r="234" spans="1:13" x14ac:dyDescent="0.25">
      <c r="A234" s="325"/>
      <c r="B234" s="328"/>
      <c r="C234" s="24" t="s">
        <v>127</v>
      </c>
      <c r="D234" s="1" t="s">
        <v>4</v>
      </c>
      <c r="E234" s="44">
        <v>20</v>
      </c>
      <c r="F234" s="44">
        <v>20</v>
      </c>
      <c r="G234" s="44">
        <v>20</v>
      </c>
      <c r="H234" s="44">
        <v>20</v>
      </c>
      <c r="I234" s="44">
        <v>20</v>
      </c>
      <c r="J234" s="44">
        <v>20</v>
      </c>
      <c r="K234" s="44">
        <v>20</v>
      </c>
      <c r="L234" s="44">
        <v>20</v>
      </c>
      <c r="M234" s="44">
        <v>20</v>
      </c>
    </row>
    <row r="235" spans="1:13" x14ac:dyDescent="0.25">
      <c r="A235" s="325"/>
      <c r="B235" s="328"/>
      <c r="C235" s="24" t="s">
        <v>128</v>
      </c>
      <c r="D235" s="1" t="s">
        <v>6</v>
      </c>
      <c r="E235" s="52">
        <v>923.0754808366645</v>
      </c>
      <c r="F235" s="52">
        <v>909.14924346027067</v>
      </c>
      <c r="G235" s="52">
        <v>872.01261045655372</v>
      </c>
      <c r="H235" s="52">
        <v>820.94974007644282</v>
      </c>
      <c r="I235" s="52">
        <v>751.31855319447357</v>
      </c>
      <c r="J235" s="52">
        <v>612.05617943053505</v>
      </c>
      <c r="K235" s="52">
        <v>521.07142857142856</v>
      </c>
      <c r="L235" s="52">
        <v>521.07142857142856</v>
      </c>
      <c r="M235" s="52">
        <v>521.07142857142856</v>
      </c>
    </row>
    <row r="236" spans="1:13" x14ac:dyDescent="0.25">
      <c r="A236" s="325"/>
      <c r="B236" s="328"/>
      <c r="C236" s="24" t="s">
        <v>179</v>
      </c>
      <c r="D236" s="1" t="s">
        <v>19</v>
      </c>
      <c r="E236" s="47">
        <v>0</v>
      </c>
      <c r="F236" s="47">
        <v>0</v>
      </c>
      <c r="G236" s="47">
        <v>0</v>
      </c>
      <c r="H236" s="47">
        <v>0</v>
      </c>
      <c r="I236" s="47">
        <v>0</v>
      </c>
      <c r="J236" s="47">
        <v>0</v>
      </c>
      <c r="K236" s="47">
        <v>0</v>
      </c>
      <c r="L236" s="47">
        <v>0</v>
      </c>
      <c r="M236" s="47">
        <v>0</v>
      </c>
    </row>
    <row r="237" spans="1:13" x14ac:dyDescent="0.25">
      <c r="A237" s="325"/>
      <c r="B237" s="328"/>
      <c r="C237" s="21" t="s">
        <v>129</v>
      </c>
      <c r="D237" s="1" t="s">
        <v>8</v>
      </c>
      <c r="E237" s="46">
        <v>54.38718703976437</v>
      </c>
      <c r="F237" s="46">
        <v>71.452724594992645</v>
      </c>
      <c r="G237" s="46">
        <v>116.96082474226804</v>
      </c>
      <c r="H237" s="46">
        <v>179.53446244477172</v>
      </c>
      <c r="I237" s="46">
        <v>264.86215022091312</v>
      </c>
      <c r="J237" s="46">
        <v>435.51752577319587</v>
      </c>
      <c r="K237" s="46">
        <v>606.17290132547862</v>
      </c>
      <c r="L237" s="46">
        <v>606.17290132547862</v>
      </c>
      <c r="M237" s="46">
        <v>606.17290132547862</v>
      </c>
    </row>
    <row r="238" spans="1:13" x14ac:dyDescent="0.25">
      <c r="A238" s="325"/>
      <c r="B238" s="328"/>
      <c r="C238" s="21" t="s">
        <v>130</v>
      </c>
      <c r="D238" s="1" t="s">
        <v>9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1:13" x14ac:dyDescent="0.25">
      <c r="A239" s="325"/>
      <c r="B239" s="328"/>
      <c r="C239" s="21" t="s">
        <v>131</v>
      </c>
      <c r="D239" s="1" t="s">
        <v>10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1:13" ht="18.75" x14ac:dyDescent="0.25">
      <c r="A240" s="326"/>
      <c r="B240" s="329"/>
      <c r="C240" s="53" t="s">
        <v>132</v>
      </c>
      <c r="D240" s="23" t="s">
        <v>17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1:13" x14ac:dyDescent="0.25">
      <c r="A241" s="324">
        <v>15</v>
      </c>
      <c r="B241" s="327" t="s">
        <v>182</v>
      </c>
      <c r="C241" s="21" t="s">
        <v>112</v>
      </c>
      <c r="D241" s="1" t="s">
        <v>19</v>
      </c>
      <c r="E241" s="51">
        <v>1</v>
      </c>
      <c r="F241" s="51">
        <v>1</v>
      </c>
      <c r="G241" s="51">
        <v>1</v>
      </c>
      <c r="H241" s="51">
        <v>1</v>
      </c>
      <c r="I241" s="51">
        <v>1</v>
      </c>
      <c r="J241" s="51">
        <v>1</v>
      </c>
      <c r="K241" s="51">
        <v>1</v>
      </c>
      <c r="L241" s="51">
        <v>1</v>
      </c>
      <c r="M241" s="51">
        <v>1</v>
      </c>
    </row>
    <row r="242" spans="1:13" x14ac:dyDescent="0.25">
      <c r="A242" s="325"/>
      <c r="B242" s="328"/>
      <c r="C242" s="21" t="s">
        <v>28</v>
      </c>
      <c r="D242" s="1" t="s">
        <v>19</v>
      </c>
      <c r="E242" s="44">
        <v>0.65</v>
      </c>
      <c r="F242" s="44">
        <v>0.65</v>
      </c>
      <c r="G242" s="44">
        <v>0.65</v>
      </c>
      <c r="H242" s="44">
        <v>0.65</v>
      </c>
      <c r="I242" s="44">
        <v>0.65</v>
      </c>
      <c r="J242" s="44">
        <v>0.65</v>
      </c>
      <c r="K242" s="44">
        <v>0.65</v>
      </c>
      <c r="L242" s="44">
        <v>0.65</v>
      </c>
      <c r="M242" s="44">
        <v>0.65</v>
      </c>
    </row>
    <row r="243" spans="1:13" x14ac:dyDescent="0.25">
      <c r="A243" s="325"/>
      <c r="B243" s="328"/>
      <c r="C243" s="21" t="s">
        <v>29</v>
      </c>
      <c r="D243" s="1" t="s">
        <v>4</v>
      </c>
      <c r="E243" s="44">
        <v>20</v>
      </c>
      <c r="F243" s="44">
        <v>20</v>
      </c>
      <c r="G243" s="44">
        <v>20</v>
      </c>
      <c r="H243" s="44">
        <v>20</v>
      </c>
      <c r="I243" s="44">
        <v>20</v>
      </c>
      <c r="J243" s="44">
        <v>20</v>
      </c>
      <c r="K243" s="44">
        <v>20</v>
      </c>
      <c r="L243" s="44">
        <v>20</v>
      </c>
      <c r="M243" s="44">
        <v>20</v>
      </c>
    </row>
    <row r="244" spans="1:13" x14ac:dyDescent="0.25">
      <c r="A244" s="325"/>
      <c r="B244" s="328"/>
      <c r="C244" s="21" t="s">
        <v>30</v>
      </c>
      <c r="D244" s="1" t="s">
        <v>6</v>
      </c>
      <c r="E244" s="46">
        <v>822.90511868819738</v>
      </c>
      <c r="F244" s="46">
        <v>587.62399482196031</v>
      </c>
      <c r="G244" s="46">
        <v>458.47760255879234</v>
      </c>
      <c r="H244" s="46">
        <v>458.47760255879234</v>
      </c>
      <c r="I244" s="46">
        <v>458.47760255879234</v>
      </c>
      <c r="J244" s="46">
        <v>458.47760255879234</v>
      </c>
      <c r="K244" s="46">
        <v>1133.7480098003448</v>
      </c>
      <c r="L244" s="46">
        <v>986.22674801231153</v>
      </c>
      <c r="M244" s="46">
        <v>866.85752357634294</v>
      </c>
    </row>
    <row r="245" spans="1:13" x14ac:dyDescent="0.25">
      <c r="A245" s="325"/>
      <c r="B245" s="328"/>
      <c r="C245" s="21" t="s">
        <v>174</v>
      </c>
      <c r="D245" s="1" t="s">
        <v>19</v>
      </c>
      <c r="E245" s="47">
        <v>0</v>
      </c>
      <c r="F245" s="47">
        <v>0</v>
      </c>
      <c r="G245" s="47">
        <v>0</v>
      </c>
      <c r="H245" s="47">
        <v>0</v>
      </c>
      <c r="I245" s="47">
        <v>0</v>
      </c>
      <c r="J245" s="47">
        <v>0</v>
      </c>
      <c r="K245" s="47">
        <v>0</v>
      </c>
      <c r="L245" s="47">
        <v>0</v>
      </c>
      <c r="M245" s="47">
        <v>0</v>
      </c>
    </row>
    <row r="246" spans="1:13" x14ac:dyDescent="0.25">
      <c r="A246" s="325"/>
      <c r="B246" s="328"/>
      <c r="C246" s="21" t="s">
        <v>113</v>
      </c>
      <c r="D246" s="1" t="s">
        <v>8</v>
      </c>
      <c r="E246" s="44"/>
      <c r="F246" s="44"/>
      <c r="G246" s="44"/>
      <c r="H246" s="44"/>
      <c r="I246" s="44"/>
      <c r="J246" s="44"/>
      <c r="K246" s="44"/>
      <c r="L246" s="44"/>
      <c r="M246" s="44"/>
    </row>
    <row r="247" spans="1:13" x14ac:dyDescent="0.25">
      <c r="A247" s="325"/>
      <c r="B247" s="328"/>
      <c r="C247" s="21" t="s">
        <v>114</v>
      </c>
      <c r="D247" s="1" t="s">
        <v>9</v>
      </c>
      <c r="E247" s="44"/>
      <c r="F247" s="44"/>
      <c r="G247" s="44"/>
      <c r="H247" s="44"/>
      <c r="I247" s="44"/>
      <c r="J247" s="44"/>
      <c r="K247" s="44"/>
      <c r="L247" s="44"/>
      <c r="M247" s="44"/>
    </row>
    <row r="248" spans="1:13" x14ac:dyDescent="0.25">
      <c r="A248" s="325"/>
      <c r="B248" s="328"/>
      <c r="C248" s="21" t="s">
        <v>115</v>
      </c>
      <c r="D248" s="1" t="s">
        <v>10</v>
      </c>
      <c r="E248" s="46">
        <v>0</v>
      </c>
      <c r="F248" s="46">
        <v>0</v>
      </c>
      <c r="G248" s="46">
        <v>0</v>
      </c>
      <c r="H248" s="46">
        <v>0</v>
      </c>
      <c r="I248" s="46">
        <v>0</v>
      </c>
      <c r="J248" s="46">
        <v>0</v>
      </c>
      <c r="K248" s="46">
        <v>2.085E-3</v>
      </c>
      <c r="L248" s="46">
        <v>2.085E-3</v>
      </c>
      <c r="M248" s="46">
        <v>2.085E-3</v>
      </c>
    </row>
    <row r="249" spans="1:13" ht="18.75" x14ac:dyDescent="0.25">
      <c r="A249" s="325"/>
      <c r="B249" s="328"/>
      <c r="C249" s="22" t="s">
        <v>116</v>
      </c>
      <c r="D249" s="23" t="s">
        <v>17</v>
      </c>
      <c r="E249" s="46">
        <v>0</v>
      </c>
      <c r="F249" s="46">
        <v>0</v>
      </c>
      <c r="G249" s="46">
        <v>0</v>
      </c>
      <c r="H249" s="46">
        <v>0</v>
      </c>
      <c r="I249" s="46">
        <v>0</v>
      </c>
      <c r="J249" s="46">
        <v>0</v>
      </c>
      <c r="K249" s="46">
        <v>0</v>
      </c>
      <c r="L249" s="46">
        <v>0</v>
      </c>
      <c r="M249" s="46">
        <v>0</v>
      </c>
    </row>
    <row r="250" spans="1:13" x14ac:dyDescent="0.25">
      <c r="A250" s="325"/>
      <c r="B250" s="328"/>
      <c r="C250" s="22" t="s">
        <v>31</v>
      </c>
      <c r="D250" s="23" t="s">
        <v>10</v>
      </c>
      <c r="E250" s="46">
        <v>0</v>
      </c>
      <c r="F250" s="46">
        <v>0</v>
      </c>
      <c r="G250" s="46">
        <v>0</v>
      </c>
      <c r="H250" s="46">
        <v>0</v>
      </c>
      <c r="I250" s="46">
        <v>0</v>
      </c>
      <c r="J250" s="46">
        <v>0</v>
      </c>
      <c r="K250" s="46">
        <v>0</v>
      </c>
      <c r="L250" s="46">
        <v>0</v>
      </c>
      <c r="M250" s="46">
        <v>0</v>
      </c>
    </row>
    <row r="251" spans="1:13" x14ac:dyDescent="0.25">
      <c r="A251" s="325"/>
      <c r="B251" s="328"/>
      <c r="C251" s="21" t="s">
        <v>32</v>
      </c>
      <c r="D251" s="2" t="s">
        <v>19</v>
      </c>
      <c r="E251" s="44">
        <v>3.33</v>
      </c>
      <c r="F251" s="44">
        <v>3.33</v>
      </c>
      <c r="G251" s="44">
        <v>3.33</v>
      </c>
      <c r="H251" s="44">
        <v>3.33</v>
      </c>
      <c r="I251" s="44">
        <v>3.33</v>
      </c>
      <c r="J251" s="44">
        <v>3.33</v>
      </c>
      <c r="K251" s="44">
        <v>3.33</v>
      </c>
      <c r="L251" s="44">
        <v>3.33</v>
      </c>
      <c r="M251" s="44">
        <v>3.33</v>
      </c>
    </row>
    <row r="252" spans="1:13" x14ac:dyDescent="0.25">
      <c r="A252" s="325"/>
      <c r="B252" s="328"/>
      <c r="C252" s="21" t="s">
        <v>33</v>
      </c>
      <c r="D252" s="2" t="s">
        <v>14</v>
      </c>
      <c r="E252" s="44"/>
      <c r="F252" s="44"/>
      <c r="G252" s="44"/>
      <c r="H252" s="44"/>
      <c r="I252" s="44"/>
      <c r="J252" s="44"/>
      <c r="K252" s="44"/>
      <c r="L252" s="44"/>
      <c r="M252" s="44"/>
    </row>
    <row r="253" spans="1:13" x14ac:dyDescent="0.25">
      <c r="A253" s="325"/>
      <c r="B253" s="328"/>
      <c r="C253" s="21" t="s">
        <v>34</v>
      </c>
      <c r="D253" s="2" t="s">
        <v>4</v>
      </c>
      <c r="E253" s="44"/>
      <c r="F253" s="44"/>
      <c r="G253" s="44"/>
      <c r="H253" s="44"/>
      <c r="I253" s="44"/>
      <c r="J253" s="44"/>
      <c r="K253" s="44"/>
      <c r="L253" s="44"/>
      <c r="M253" s="44"/>
    </row>
    <row r="254" spans="1:13" x14ac:dyDescent="0.25">
      <c r="A254" s="325"/>
      <c r="B254" s="328"/>
      <c r="C254" s="21" t="s">
        <v>125</v>
      </c>
      <c r="D254" s="1" t="s">
        <v>19</v>
      </c>
      <c r="E254" s="51">
        <v>0.546875</v>
      </c>
      <c r="F254" s="51">
        <v>0.546875</v>
      </c>
      <c r="G254" s="51">
        <v>0.54687499999999989</v>
      </c>
      <c r="H254" s="51">
        <v>0.546875</v>
      </c>
      <c r="I254" s="51">
        <v>0.546875</v>
      </c>
      <c r="J254" s="51">
        <v>0.546875</v>
      </c>
      <c r="K254" s="51">
        <v>0.546875</v>
      </c>
      <c r="L254" s="51">
        <v>0.546875</v>
      </c>
      <c r="M254" s="51">
        <v>0.546875</v>
      </c>
    </row>
    <row r="255" spans="1:13" x14ac:dyDescent="0.25">
      <c r="A255" s="325"/>
      <c r="B255" s="328"/>
      <c r="C255" s="21" t="s">
        <v>126</v>
      </c>
      <c r="D255" s="1" t="s">
        <v>19</v>
      </c>
      <c r="E255" s="44">
        <v>0.64</v>
      </c>
      <c r="F255" s="44">
        <v>0.64</v>
      </c>
      <c r="G255" s="44">
        <v>0.64</v>
      </c>
      <c r="H255" s="44">
        <v>0.64</v>
      </c>
      <c r="I255" s="44">
        <v>0.64</v>
      </c>
      <c r="J255" s="44">
        <v>0.64</v>
      </c>
      <c r="K255" s="44">
        <v>0.64</v>
      </c>
      <c r="L255" s="44">
        <v>0.64</v>
      </c>
      <c r="M255" s="44">
        <v>0.64</v>
      </c>
    </row>
    <row r="256" spans="1:13" x14ac:dyDescent="0.25">
      <c r="A256" s="325"/>
      <c r="B256" s="328"/>
      <c r="C256" s="24" t="s">
        <v>127</v>
      </c>
      <c r="D256" s="1" t="s">
        <v>4</v>
      </c>
      <c r="E256" s="44">
        <v>20</v>
      </c>
      <c r="F256" s="44">
        <v>20</v>
      </c>
      <c r="G256" s="44">
        <v>20</v>
      </c>
      <c r="H256" s="44">
        <v>20</v>
      </c>
      <c r="I256" s="44">
        <v>20</v>
      </c>
      <c r="J256" s="44">
        <v>20</v>
      </c>
      <c r="K256" s="44">
        <v>20</v>
      </c>
      <c r="L256" s="44">
        <v>20</v>
      </c>
      <c r="M256" s="44">
        <v>20</v>
      </c>
    </row>
    <row r="257" spans="1:13" x14ac:dyDescent="0.25">
      <c r="A257" s="325"/>
      <c r="B257" s="328"/>
      <c r="C257" s="24" t="s">
        <v>128</v>
      </c>
      <c r="D257" s="1" t="s">
        <v>6</v>
      </c>
      <c r="E257" s="52">
        <v>912.63080280436907</v>
      </c>
      <c r="F257" s="52">
        <v>888.25988739567981</v>
      </c>
      <c r="G257" s="52">
        <v>823.2707796391752</v>
      </c>
      <c r="H257" s="52">
        <v>733.91075647398134</v>
      </c>
      <c r="I257" s="52">
        <v>612.05617943053505</v>
      </c>
      <c r="J257" s="52">
        <v>521.07142857142856</v>
      </c>
      <c r="K257" s="52">
        <v>521.07142857142856</v>
      </c>
      <c r="L257" s="52">
        <v>521.07142857142856</v>
      </c>
      <c r="M257" s="52">
        <v>521.07142857142856</v>
      </c>
    </row>
    <row r="258" spans="1:13" x14ac:dyDescent="0.25">
      <c r="A258" s="325"/>
      <c r="B258" s="328"/>
      <c r="C258" s="24" t="s">
        <v>179</v>
      </c>
      <c r="D258" s="1" t="s">
        <v>19</v>
      </c>
      <c r="E258" s="47">
        <v>0</v>
      </c>
      <c r="F258" s="47">
        <v>0</v>
      </c>
      <c r="G258" s="47">
        <v>0</v>
      </c>
      <c r="H258" s="47">
        <v>0</v>
      </c>
      <c r="I258" s="47">
        <v>0</v>
      </c>
      <c r="J258" s="47">
        <v>0</v>
      </c>
      <c r="K258" s="47">
        <v>0</v>
      </c>
      <c r="L258" s="47">
        <v>0</v>
      </c>
      <c r="M258" s="47">
        <v>0</v>
      </c>
    </row>
    <row r="259" spans="1:13" x14ac:dyDescent="0.25">
      <c r="A259" s="325"/>
      <c r="B259" s="328"/>
      <c r="C259" s="21" t="s">
        <v>129</v>
      </c>
      <c r="D259" s="1" t="s">
        <v>8</v>
      </c>
      <c r="E259" s="46">
        <v>54.38718703976437</v>
      </c>
      <c r="F259" s="46">
        <v>71.452724594992645</v>
      </c>
      <c r="G259" s="46">
        <v>116.96082474226804</v>
      </c>
      <c r="H259" s="46">
        <v>179.53446244477172</v>
      </c>
      <c r="I259" s="46">
        <v>264.86215022091312</v>
      </c>
      <c r="J259" s="46">
        <v>435.51752577319587</v>
      </c>
      <c r="K259" s="46">
        <v>606.17290132547862</v>
      </c>
      <c r="L259" s="46">
        <v>606.17290132547862</v>
      </c>
      <c r="M259" s="46">
        <v>606.17290132547862</v>
      </c>
    </row>
    <row r="260" spans="1:13" x14ac:dyDescent="0.25">
      <c r="A260" s="325"/>
      <c r="B260" s="328"/>
      <c r="C260" s="21" t="s">
        <v>130</v>
      </c>
      <c r="D260" s="1" t="s">
        <v>9</v>
      </c>
      <c r="E260" s="44"/>
      <c r="F260" s="44"/>
      <c r="G260" s="44"/>
      <c r="H260" s="44"/>
      <c r="I260" s="44"/>
      <c r="J260" s="44"/>
      <c r="K260" s="44"/>
      <c r="L260" s="44"/>
      <c r="M260" s="44"/>
    </row>
    <row r="261" spans="1:13" x14ac:dyDescent="0.25">
      <c r="A261" s="325"/>
      <c r="B261" s="328"/>
      <c r="C261" s="21" t="s">
        <v>131</v>
      </c>
      <c r="D261" s="1" t="s">
        <v>10</v>
      </c>
      <c r="E261" s="44"/>
      <c r="F261" s="44"/>
      <c r="G261" s="44"/>
      <c r="H261" s="44"/>
      <c r="I261" s="44"/>
      <c r="J261" s="44"/>
      <c r="K261" s="44"/>
      <c r="L261" s="44"/>
      <c r="M261" s="44"/>
    </row>
    <row r="262" spans="1:13" ht="18.75" x14ac:dyDescent="0.25">
      <c r="A262" s="326"/>
      <c r="B262" s="329"/>
      <c r="C262" s="53" t="s">
        <v>132</v>
      </c>
      <c r="D262" s="23" t="s">
        <v>17</v>
      </c>
      <c r="E262" s="44"/>
      <c r="F262" s="44"/>
      <c r="G262" s="44"/>
      <c r="H262" s="44"/>
      <c r="I262" s="44"/>
      <c r="J262" s="44"/>
      <c r="K262" s="44"/>
      <c r="L262" s="44"/>
      <c r="M262" s="44"/>
    </row>
    <row r="263" spans="1:13" x14ac:dyDescent="0.25">
      <c r="A263" s="306">
        <v>16</v>
      </c>
      <c r="B263" s="323" t="s">
        <v>156</v>
      </c>
      <c r="C263" s="21" t="s">
        <v>101</v>
      </c>
      <c r="D263" s="1" t="s">
        <v>4</v>
      </c>
      <c r="E263" s="44">
        <v>40</v>
      </c>
      <c r="F263" s="44">
        <v>40</v>
      </c>
      <c r="G263" s="44">
        <v>40</v>
      </c>
      <c r="H263" s="44">
        <v>40</v>
      </c>
      <c r="I263" s="44">
        <v>40</v>
      </c>
      <c r="J263" s="44">
        <v>40</v>
      </c>
      <c r="K263" s="44">
        <v>40</v>
      </c>
      <c r="L263" s="44">
        <v>40</v>
      </c>
      <c r="M263" s="44">
        <v>40</v>
      </c>
    </row>
    <row r="264" spans="1:13" x14ac:dyDescent="0.25">
      <c r="A264" s="306"/>
      <c r="B264" s="323"/>
      <c r="C264" s="21" t="s">
        <v>5</v>
      </c>
      <c r="D264" s="1" t="s">
        <v>6</v>
      </c>
      <c r="E264" s="46">
        <v>300</v>
      </c>
      <c r="F264" s="46">
        <v>183.33333333333334</v>
      </c>
      <c r="G264" s="46">
        <v>100</v>
      </c>
      <c r="H264" s="46">
        <v>76</v>
      </c>
      <c r="I264" s="46">
        <v>60</v>
      </c>
      <c r="J264" s="46">
        <v>42.857142857142854</v>
      </c>
      <c r="K264" s="46">
        <v>27.058823529411764</v>
      </c>
      <c r="L264" s="46">
        <v>18.421052631578949</v>
      </c>
      <c r="M264" s="46">
        <v>13.75</v>
      </c>
    </row>
    <row r="265" spans="1:13" x14ac:dyDescent="0.25">
      <c r="A265" s="306"/>
      <c r="B265" s="323"/>
      <c r="C265" s="21" t="s">
        <v>172</v>
      </c>
      <c r="D265" s="1" t="s">
        <v>19</v>
      </c>
      <c r="E265" s="47">
        <v>0</v>
      </c>
      <c r="F265" s="47">
        <v>0</v>
      </c>
      <c r="G265" s="47">
        <v>0</v>
      </c>
      <c r="H265" s="47">
        <v>0</v>
      </c>
      <c r="I265" s="47">
        <v>0</v>
      </c>
      <c r="J265" s="47">
        <v>0</v>
      </c>
      <c r="K265" s="47">
        <v>0</v>
      </c>
      <c r="L265" s="47">
        <v>0</v>
      </c>
      <c r="M265" s="47">
        <v>0</v>
      </c>
    </row>
    <row r="266" spans="1:13" x14ac:dyDescent="0.25">
      <c r="A266" s="306"/>
      <c r="B266" s="323"/>
      <c r="C266" s="21" t="s">
        <v>102</v>
      </c>
      <c r="D266" s="1" t="s">
        <v>8</v>
      </c>
      <c r="E266" s="46">
        <v>0</v>
      </c>
      <c r="F266" s="46">
        <v>0</v>
      </c>
      <c r="G266" s="46">
        <v>0</v>
      </c>
      <c r="H266" s="46">
        <v>0</v>
      </c>
      <c r="I266" s="46">
        <v>0</v>
      </c>
      <c r="J266" s="46">
        <v>0</v>
      </c>
      <c r="K266" s="46">
        <v>0</v>
      </c>
      <c r="L266" s="46">
        <v>0</v>
      </c>
      <c r="M266" s="46">
        <v>0</v>
      </c>
    </row>
    <row r="267" spans="1:13" x14ac:dyDescent="0.25">
      <c r="A267" s="306"/>
      <c r="B267" s="323"/>
      <c r="C267" s="21" t="s">
        <v>103</v>
      </c>
      <c r="D267" s="1" t="s">
        <v>9</v>
      </c>
      <c r="E267" s="44"/>
      <c r="F267" s="44"/>
      <c r="G267" s="44"/>
      <c r="H267" s="44"/>
      <c r="I267" s="44"/>
      <c r="J267" s="44"/>
      <c r="K267" s="44"/>
      <c r="L267" s="44"/>
      <c r="M267" s="44"/>
    </row>
    <row r="268" spans="1:13" x14ac:dyDescent="0.25">
      <c r="A268" s="306"/>
      <c r="B268" s="323"/>
      <c r="C268" s="21" t="s">
        <v>104</v>
      </c>
      <c r="D268" s="1" t="s">
        <v>10</v>
      </c>
      <c r="E268" s="44"/>
      <c r="F268" s="44"/>
      <c r="G268" s="44"/>
      <c r="H268" s="44"/>
      <c r="I268" s="44"/>
      <c r="J268" s="44"/>
      <c r="K268" s="44"/>
      <c r="L268" s="44"/>
      <c r="M268" s="44"/>
    </row>
    <row r="269" spans="1:13" x14ac:dyDescent="0.25">
      <c r="A269" s="306"/>
      <c r="B269" s="323"/>
      <c r="C269" s="22" t="s">
        <v>11</v>
      </c>
      <c r="D269" s="23" t="s">
        <v>10</v>
      </c>
      <c r="E269" s="44"/>
      <c r="F269" s="44"/>
      <c r="G269" s="44"/>
      <c r="H269" s="44"/>
      <c r="I269" s="44"/>
      <c r="J269" s="44"/>
      <c r="K269" s="44"/>
      <c r="L269" s="44"/>
      <c r="M269" s="44"/>
    </row>
    <row r="270" spans="1:13" x14ac:dyDescent="0.25">
      <c r="A270" s="306"/>
      <c r="B270" s="323"/>
      <c r="C270" s="21" t="s">
        <v>12</v>
      </c>
      <c r="D270" s="1" t="s">
        <v>7</v>
      </c>
      <c r="E270" s="47">
        <v>1</v>
      </c>
      <c r="F270" s="47">
        <v>1</v>
      </c>
      <c r="G270" s="47">
        <v>1</v>
      </c>
      <c r="H270" s="47">
        <v>1</v>
      </c>
      <c r="I270" s="47">
        <v>1</v>
      </c>
      <c r="J270" s="47">
        <v>1</v>
      </c>
      <c r="K270" s="47">
        <v>1</v>
      </c>
      <c r="L270" s="47">
        <v>1</v>
      </c>
      <c r="M270" s="47">
        <v>1</v>
      </c>
    </row>
    <row r="271" spans="1:13" x14ac:dyDescent="0.25">
      <c r="A271" s="306"/>
      <c r="B271" s="323"/>
      <c r="C271" s="21" t="s">
        <v>13</v>
      </c>
      <c r="D271" s="1" t="s">
        <v>14</v>
      </c>
      <c r="E271" s="46">
        <v>31017</v>
      </c>
      <c r="F271" s="46">
        <v>31902</v>
      </c>
      <c r="G271" s="46">
        <v>34262</v>
      </c>
      <c r="H271" s="46">
        <v>37507</v>
      </c>
      <c r="I271" s="46">
        <v>41932</v>
      </c>
      <c r="J271" s="46">
        <v>50782</v>
      </c>
      <c r="K271" s="46">
        <v>80282</v>
      </c>
      <c r="L271" s="46">
        <v>151952</v>
      </c>
      <c r="M271" s="46">
        <v>292470.28399999999</v>
      </c>
    </row>
    <row r="272" spans="1:13" x14ac:dyDescent="0.25">
      <c r="A272" s="306"/>
      <c r="B272" s="323"/>
      <c r="C272" s="21" t="s">
        <v>15</v>
      </c>
      <c r="D272" s="1" t="s">
        <v>4</v>
      </c>
      <c r="E272" s="44">
        <v>40</v>
      </c>
      <c r="F272" s="44">
        <v>40</v>
      </c>
      <c r="G272" s="44">
        <v>40</v>
      </c>
      <c r="H272" s="44">
        <v>40</v>
      </c>
      <c r="I272" s="44">
        <v>40</v>
      </c>
      <c r="J272" s="44">
        <v>40</v>
      </c>
      <c r="K272" s="44">
        <v>40</v>
      </c>
      <c r="L272" s="44">
        <v>40</v>
      </c>
      <c r="M272" s="44">
        <v>40</v>
      </c>
    </row>
    <row r="273" spans="1:13" x14ac:dyDescent="0.25">
      <c r="A273" s="306">
        <v>17</v>
      </c>
      <c r="B273" s="323" t="s">
        <v>157</v>
      </c>
      <c r="C273" s="21" t="s">
        <v>101</v>
      </c>
      <c r="D273" s="1" t="s">
        <v>4</v>
      </c>
      <c r="E273" s="44">
        <v>40</v>
      </c>
      <c r="F273" s="44">
        <v>40</v>
      </c>
      <c r="G273" s="44">
        <v>40</v>
      </c>
      <c r="H273" s="44">
        <v>40</v>
      </c>
      <c r="I273" s="44">
        <v>40</v>
      </c>
      <c r="J273" s="44">
        <v>40</v>
      </c>
      <c r="K273" s="44">
        <v>40</v>
      </c>
      <c r="L273" s="44">
        <v>40</v>
      </c>
      <c r="M273" s="44">
        <v>40</v>
      </c>
    </row>
    <row r="274" spans="1:13" x14ac:dyDescent="0.25">
      <c r="A274" s="306"/>
      <c r="B274" s="323"/>
      <c r="C274" s="21" t="s">
        <v>5</v>
      </c>
      <c r="D274" s="1" t="s">
        <v>6</v>
      </c>
      <c r="E274" s="44"/>
      <c r="F274" s="44"/>
      <c r="G274" s="44"/>
      <c r="H274" s="44"/>
      <c r="I274" s="44"/>
      <c r="J274" s="44"/>
      <c r="K274" s="44"/>
      <c r="L274" s="44"/>
      <c r="M274" s="44"/>
    </row>
    <row r="275" spans="1:13" x14ac:dyDescent="0.25">
      <c r="A275" s="306"/>
      <c r="B275" s="323"/>
      <c r="C275" s="21" t="s">
        <v>172</v>
      </c>
      <c r="D275" s="1" t="s">
        <v>19</v>
      </c>
      <c r="E275" s="47">
        <v>0</v>
      </c>
      <c r="F275" s="47">
        <v>0</v>
      </c>
      <c r="G275" s="47">
        <v>0</v>
      </c>
      <c r="H275" s="47">
        <v>0</v>
      </c>
      <c r="I275" s="47">
        <v>0</v>
      </c>
      <c r="J275" s="47">
        <v>0</v>
      </c>
      <c r="K275" s="47">
        <v>0</v>
      </c>
      <c r="L275" s="47">
        <v>0</v>
      </c>
      <c r="M275" s="47">
        <v>0</v>
      </c>
    </row>
    <row r="276" spans="1:13" x14ac:dyDescent="0.25">
      <c r="A276" s="306"/>
      <c r="B276" s="323"/>
      <c r="C276" s="21" t="s">
        <v>102</v>
      </c>
      <c r="D276" s="1" t="s">
        <v>8</v>
      </c>
      <c r="E276" s="46">
        <v>0</v>
      </c>
      <c r="F276" s="46">
        <v>0</v>
      </c>
      <c r="G276" s="46">
        <v>0</v>
      </c>
      <c r="H276" s="46">
        <v>0</v>
      </c>
      <c r="I276" s="46">
        <v>0</v>
      </c>
      <c r="J276" s="46">
        <v>0</v>
      </c>
      <c r="K276" s="46">
        <v>0</v>
      </c>
      <c r="L276" s="46">
        <v>0</v>
      </c>
      <c r="M276" s="46">
        <v>0</v>
      </c>
    </row>
    <row r="277" spans="1:13" x14ac:dyDescent="0.25">
      <c r="A277" s="306"/>
      <c r="B277" s="323"/>
      <c r="C277" s="21" t="s">
        <v>103</v>
      </c>
      <c r="D277" s="1" t="s">
        <v>9</v>
      </c>
      <c r="E277" s="44"/>
      <c r="F277" s="44"/>
      <c r="G277" s="44"/>
      <c r="H277" s="44"/>
      <c r="I277" s="44"/>
      <c r="J277" s="44"/>
      <c r="K277" s="44"/>
      <c r="L277" s="44"/>
      <c r="M277" s="44"/>
    </row>
    <row r="278" spans="1:13" x14ac:dyDescent="0.25">
      <c r="A278" s="306"/>
      <c r="B278" s="323"/>
      <c r="C278" s="21" t="s">
        <v>104</v>
      </c>
      <c r="D278" s="1" t="s">
        <v>10</v>
      </c>
      <c r="E278" s="44"/>
      <c r="F278" s="44"/>
      <c r="G278" s="44"/>
      <c r="H278" s="44"/>
      <c r="I278" s="44"/>
      <c r="J278" s="44"/>
      <c r="K278" s="44"/>
      <c r="L278" s="44"/>
      <c r="M278" s="44"/>
    </row>
    <row r="279" spans="1:13" x14ac:dyDescent="0.25">
      <c r="A279" s="306"/>
      <c r="B279" s="323"/>
      <c r="C279" s="22" t="s">
        <v>11</v>
      </c>
      <c r="D279" s="23" t="s">
        <v>10</v>
      </c>
      <c r="E279" s="44"/>
      <c r="F279" s="44"/>
      <c r="G279" s="44"/>
      <c r="H279" s="44"/>
      <c r="I279" s="44"/>
      <c r="J279" s="44"/>
      <c r="K279" s="44"/>
      <c r="L279" s="44"/>
      <c r="M279" s="44"/>
    </row>
    <row r="280" spans="1:13" x14ac:dyDescent="0.25">
      <c r="A280" s="306"/>
      <c r="B280" s="323"/>
      <c r="C280" s="21" t="s">
        <v>12</v>
      </c>
      <c r="D280" s="1" t="s">
        <v>7</v>
      </c>
      <c r="E280" s="47">
        <v>1</v>
      </c>
      <c r="F280" s="47">
        <v>1</v>
      </c>
      <c r="G280" s="47">
        <v>1</v>
      </c>
      <c r="H280" s="47">
        <v>1</v>
      </c>
      <c r="I280" s="47">
        <v>1</v>
      </c>
      <c r="J280" s="47">
        <v>1</v>
      </c>
      <c r="K280" s="47">
        <v>1</v>
      </c>
      <c r="L280" s="47">
        <v>1</v>
      </c>
      <c r="M280" s="47">
        <v>1</v>
      </c>
    </row>
    <row r="281" spans="1:13" x14ac:dyDescent="0.25">
      <c r="A281" s="306"/>
      <c r="B281" s="323"/>
      <c r="C281" s="21" t="s">
        <v>13</v>
      </c>
      <c r="D281" s="1" t="s">
        <v>14</v>
      </c>
      <c r="E281" s="46">
        <v>92256.599999999991</v>
      </c>
      <c r="F281" s="46">
        <v>92691.599999999991</v>
      </c>
      <c r="G281" s="46">
        <v>93851.599999999991</v>
      </c>
      <c r="H281" s="46">
        <v>95446.599999999991</v>
      </c>
      <c r="I281" s="46">
        <v>97621.599999999991</v>
      </c>
      <c r="J281" s="46">
        <v>101971.59999999999</v>
      </c>
      <c r="K281" s="46">
        <v>116471.59999999999</v>
      </c>
      <c r="L281" s="46">
        <v>146921.59999999998</v>
      </c>
      <c r="M281" s="46">
        <v>207821.59999999998</v>
      </c>
    </row>
    <row r="282" spans="1:13" x14ac:dyDescent="0.25">
      <c r="A282" s="306"/>
      <c r="B282" s="323"/>
      <c r="C282" s="21" t="s">
        <v>15</v>
      </c>
      <c r="D282" s="1" t="s">
        <v>4</v>
      </c>
      <c r="E282" s="46">
        <v>40</v>
      </c>
      <c r="F282" s="46">
        <v>40</v>
      </c>
      <c r="G282" s="46">
        <v>40</v>
      </c>
      <c r="H282" s="46">
        <v>40</v>
      </c>
      <c r="I282" s="46">
        <v>40</v>
      </c>
      <c r="J282" s="46">
        <v>40</v>
      </c>
      <c r="K282" s="46">
        <v>40</v>
      </c>
      <c r="L282" s="46">
        <v>40</v>
      </c>
      <c r="M282" s="46">
        <v>40</v>
      </c>
    </row>
  </sheetData>
  <sheetProtection algorithmName="SHA-512" hashValue="Fgk0iYj4/I9IINqmiB8xyiDM3xUu8DIXu4SUS7fM8bv6DvqwieNcKzYUXPu9UMqHuND7hs3b3emLsWIr/1KmWQ==" saltValue="jrJ9TOJNKo8OCwnorjieZQ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5">
    <tabColor theme="9" tint="-0.249977111117893"/>
  </sheetPr>
  <dimension ref="A1:O282"/>
  <sheetViews>
    <sheetView zoomScale="85" zoomScaleNormal="85" workbookViewId="0">
      <pane ySplit="1" topLeftCell="A2" activePane="bottomLeft" state="frozen"/>
      <selection activeCell="F118" sqref="F118"/>
      <selection pane="bottomLeft" activeCell="E2" sqref="E2:M282"/>
    </sheetView>
  </sheetViews>
  <sheetFormatPr baseColWidth="10" defaultColWidth="10.85546875" defaultRowHeight="15" x14ac:dyDescent="0.25"/>
  <cols>
    <col min="1" max="1" width="4.7109375" style="30" customWidth="1"/>
    <col min="2" max="2" width="20.140625" style="30" bestFit="1" customWidth="1"/>
    <col min="3" max="3" width="45.42578125" style="26" customWidth="1"/>
    <col min="4" max="4" width="12.140625" style="27" customWidth="1"/>
    <col min="5" max="12" width="12.28515625" style="54" bestFit="1" customWidth="1"/>
    <col min="13" max="13" width="13.42578125" style="54" bestFit="1" customWidth="1"/>
    <col min="14" max="14" width="15" style="30" customWidth="1"/>
    <col min="15" max="16384" width="10.85546875" style="30"/>
  </cols>
  <sheetData>
    <row r="1" spans="1:14" ht="15.75" x14ac:dyDescent="0.25">
      <c r="A1" s="40"/>
      <c r="B1" s="41" t="s">
        <v>0</v>
      </c>
      <c r="C1" s="28" t="s">
        <v>1</v>
      </c>
      <c r="D1" s="29" t="s">
        <v>2</v>
      </c>
      <c r="E1" s="42">
        <v>15</v>
      </c>
      <c r="F1" s="43">
        <v>30</v>
      </c>
      <c r="G1" s="43">
        <v>70</v>
      </c>
      <c r="H1" s="43">
        <v>125</v>
      </c>
      <c r="I1" s="43">
        <v>200</v>
      </c>
      <c r="J1" s="43">
        <v>350</v>
      </c>
      <c r="K1" s="43">
        <v>850</v>
      </c>
      <c r="L1" s="43">
        <v>1900</v>
      </c>
      <c r="M1" s="43">
        <v>4000</v>
      </c>
    </row>
    <row r="2" spans="1:14" x14ac:dyDescent="0.25">
      <c r="A2" s="306">
        <v>1</v>
      </c>
      <c r="B2" s="322" t="s">
        <v>3</v>
      </c>
      <c r="C2" s="21" t="s">
        <v>101</v>
      </c>
      <c r="D2" s="1" t="s">
        <v>4</v>
      </c>
      <c r="E2" s="44">
        <v>20</v>
      </c>
      <c r="F2" s="44">
        <v>20</v>
      </c>
      <c r="G2" s="44">
        <v>20</v>
      </c>
      <c r="H2" s="44">
        <v>20</v>
      </c>
      <c r="I2" s="44">
        <v>20</v>
      </c>
      <c r="J2" s="44">
        <v>20</v>
      </c>
      <c r="K2" s="44">
        <v>20</v>
      </c>
      <c r="L2" s="44">
        <v>20</v>
      </c>
      <c r="M2" s="44">
        <v>20</v>
      </c>
      <c r="N2" s="45"/>
    </row>
    <row r="3" spans="1:14" x14ac:dyDescent="0.25">
      <c r="A3" s="306"/>
      <c r="B3" s="322"/>
      <c r="C3" s="21" t="s">
        <v>5</v>
      </c>
      <c r="D3" s="1" t="s">
        <v>6</v>
      </c>
      <c r="E3" s="46">
        <v>202.65582041234001</v>
      </c>
      <c r="F3" s="46">
        <v>171.6776866187549</v>
      </c>
      <c r="G3" s="46">
        <v>133.81025064233</v>
      </c>
      <c r="H3" s="46">
        <v>107.89700245248551</v>
      </c>
      <c r="I3" s="46">
        <v>107.31263157894738</v>
      </c>
      <c r="J3" s="46">
        <v>107.00631578947369</v>
      </c>
      <c r="K3" s="46">
        <v>105.98526315789475</v>
      </c>
      <c r="L3" s="46">
        <v>103.84105263157896</v>
      </c>
      <c r="M3" s="46">
        <v>99.55263157894737</v>
      </c>
      <c r="N3" s="45"/>
    </row>
    <row r="4" spans="1:14" x14ac:dyDescent="0.25">
      <c r="A4" s="306"/>
      <c r="B4" s="322"/>
      <c r="C4" s="21" t="s">
        <v>172</v>
      </c>
      <c r="D4" s="1" t="s">
        <v>19</v>
      </c>
      <c r="E4" s="47">
        <v>0</v>
      </c>
      <c r="F4" s="47">
        <v>0</v>
      </c>
      <c r="G4" s="47">
        <v>0</v>
      </c>
      <c r="H4" s="47">
        <v>0</v>
      </c>
      <c r="I4" s="47">
        <v>0</v>
      </c>
      <c r="J4" s="47">
        <v>0</v>
      </c>
      <c r="K4" s="47">
        <v>0</v>
      </c>
      <c r="L4" s="47">
        <v>0</v>
      </c>
      <c r="M4" s="47">
        <v>0</v>
      </c>
      <c r="N4" s="45"/>
    </row>
    <row r="5" spans="1:14" x14ac:dyDescent="0.25">
      <c r="A5" s="306"/>
      <c r="B5" s="322"/>
      <c r="C5" s="21" t="s">
        <v>102</v>
      </c>
      <c r="D5" s="1" t="s">
        <v>8</v>
      </c>
      <c r="E5" s="44"/>
      <c r="F5" s="44"/>
      <c r="G5" s="44"/>
      <c r="H5" s="44"/>
      <c r="I5" s="44"/>
      <c r="J5" s="44"/>
      <c r="K5" s="44"/>
      <c r="L5" s="44"/>
      <c r="M5" s="44"/>
      <c r="N5" s="45"/>
    </row>
    <row r="6" spans="1:14" x14ac:dyDescent="0.25">
      <c r="A6" s="306"/>
      <c r="B6" s="322"/>
      <c r="C6" s="21" t="s">
        <v>103</v>
      </c>
      <c r="D6" s="1" t="s">
        <v>9</v>
      </c>
      <c r="E6" s="46">
        <v>6.0796746123701997</v>
      </c>
      <c r="F6" s="46">
        <v>5.1503305985626469</v>
      </c>
      <c r="G6" s="46">
        <v>4.0143075192698996</v>
      </c>
      <c r="H6" s="46">
        <v>3.2369100735745651</v>
      </c>
      <c r="I6" s="46">
        <v>2.0378947368421052</v>
      </c>
      <c r="J6" s="46">
        <v>2.0189473684210526</v>
      </c>
      <c r="K6" s="46">
        <v>1.9557894736842103</v>
      </c>
      <c r="L6" s="46">
        <v>1.8231578947368419</v>
      </c>
      <c r="M6" s="46">
        <v>1.557894736842105</v>
      </c>
      <c r="N6" s="45"/>
    </row>
    <row r="7" spans="1:14" x14ac:dyDescent="0.25">
      <c r="A7" s="306"/>
      <c r="B7" s="322"/>
      <c r="C7" s="21" t="s">
        <v>104</v>
      </c>
      <c r="D7" s="1" t="s">
        <v>10</v>
      </c>
      <c r="E7" s="46">
        <v>0</v>
      </c>
      <c r="F7" s="46">
        <v>0</v>
      </c>
      <c r="G7" s="46">
        <v>0</v>
      </c>
      <c r="H7" s="46">
        <v>0</v>
      </c>
      <c r="I7" s="46">
        <v>0</v>
      </c>
      <c r="J7" s="46">
        <v>0</v>
      </c>
      <c r="K7" s="46">
        <v>1.6666105263157894E-3</v>
      </c>
      <c r="L7" s="46">
        <v>1.5304421052631579E-3</v>
      </c>
      <c r="M7" s="46">
        <v>1.2581052631578946E-3</v>
      </c>
      <c r="N7" s="45"/>
    </row>
    <row r="8" spans="1:14" x14ac:dyDescent="0.25">
      <c r="A8" s="306"/>
      <c r="B8" s="322"/>
      <c r="C8" s="22" t="s">
        <v>11</v>
      </c>
      <c r="D8" s="23" t="s">
        <v>10</v>
      </c>
      <c r="E8" s="46">
        <v>0</v>
      </c>
      <c r="F8" s="44"/>
      <c r="G8" s="44"/>
      <c r="H8" s="44"/>
      <c r="I8" s="44"/>
      <c r="J8" s="44"/>
      <c r="K8" s="44"/>
      <c r="L8" s="44"/>
      <c r="M8" s="44"/>
      <c r="N8" s="45"/>
    </row>
    <row r="9" spans="1:14" x14ac:dyDescent="0.25">
      <c r="A9" s="306"/>
      <c r="B9" s="322"/>
      <c r="C9" s="21" t="s">
        <v>12</v>
      </c>
      <c r="D9" s="1" t="s">
        <v>7</v>
      </c>
      <c r="E9" s="47">
        <v>0.98499999999999988</v>
      </c>
      <c r="F9" s="47">
        <v>0.98499999999999988</v>
      </c>
      <c r="G9" s="47">
        <v>0.98499999999999988</v>
      </c>
      <c r="H9" s="47">
        <v>0.98499999999999988</v>
      </c>
      <c r="I9" s="47">
        <v>0.98499999999999988</v>
      </c>
      <c r="J9" s="47">
        <v>0.98499999999999988</v>
      </c>
      <c r="K9" s="47">
        <v>0.99399999999999999</v>
      </c>
      <c r="L9" s="47">
        <v>0.99399999999999999</v>
      </c>
      <c r="M9" s="47">
        <v>0.99399999999999999</v>
      </c>
      <c r="N9" s="45"/>
    </row>
    <row r="10" spans="1:14" x14ac:dyDescent="0.25">
      <c r="A10" s="306"/>
      <c r="B10" s="322"/>
      <c r="C10" s="21" t="s">
        <v>13</v>
      </c>
      <c r="D10" s="1" t="s">
        <v>14</v>
      </c>
      <c r="E10" s="46">
        <v>1524.6</v>
      </c>
      <c r="F10" s="46">
        <v>1749.6</v>
      </c>
      <c r="G10" s="46">
        <v>2349.6</v>
      </c>
      <c r="H10" s="46">
        <v>3174.6</v>
      </c>
      <c r="I10" s="46">
        <v>4299.6000000000004</v>
      </c>
      <c r="J10" s="46">
        <v>14213</v>
      </c>
      <c r="K10" s="46">
        <v>21713</v>
      </c>
      <c r="L10" s="46">
        <v>37463</v>
      </c>
      <c r="M10" s="46">
        <v>68963</v>
      </c>
      <c r="N10" s="45"/>
    </row>
    <row r="11" spans="1:14" x14ac:dyDescent="0.25">
      <c r="A11" s="306"/>
      <c r="B11" s="322"/>
      <c r="C11" s="21" t="s">
        <v>15</v>
      </c>
      <c r="D11" s="1" t="s">
        <v>4</v>
      </c>
      <c r="E11" s="44">
        <v>40</v>
      </c>
      <c r="F11" s="44">
        <v>40</v>
      </c>
      <c r="G11" s="44">
        <v>40</v>
      </c>
      <c r="H11" s="44">
        <v>40</v>
      </c>
      <c r="I11" s="44">
        <v>40</v>
      </c>
      <c r="J11" s="44">
        <v>40</v>
      </c>
      <c r="K11" s="44">
        <v>40</v>
      </c>
      <c r="L11" s="44">
        <v>40</v>
      </c>
      <c r="M11" s="44">
        <v>40</v>
      </c>
      <c r="N11" s="45"/>
    </row>
    <row r="12" spans="1:14" x14ac:dyDescent="0.25">
      <c r="A12" s="306">
        <v>2</v>
      </c>
      <c r="B12" s="322" t="s">
        <v>16</v>
      </c>
      <c r="C12" s="21" t="s">
        <v>101</v>
      </c>
      <c r="D12" s="1" t="s">
        <v>4</v>
      </c>
      <c r="E12" s="44">
        <v>20</v>
      </c>
      <c r="F12" s="44">
        <v>20</v>
      </c>
      <c r="G12" s="44">
        <v>20</v>
      </c>
      <c r="H12" s="44">
        <v>20</v>
      </c>
      <c r="I12" s="44">
        <v>20</v>
      </c>
      <c r="J12" s="44">
        <v>20</v>
      </c>
      <c r="K12" s="44">
        <v>20</v>
      </c>
      <c r="L12" s="44">
        <v>20</v>
      </c>
      <c r="M12" s="44">
        <v>20</v>
      </c>
      <c r="N12" s="45"/>
    </row>
    <row r="13" spans="1:14" x14ac:dyDescent="0.25">
      <c r="A13" s="306"/>
      <c r="B13" s="322"/>
      <c r="C13" s="21" t="s">
        <v>5</v>
      </c>
      <c r="D13" s="1" t="s">
        <v>6</v>
      </c>
      <c r="E13" s="46">
        <v>520.52279811670326</v>
      </c>
      <c r="F13" s="46">
        <v>328.66016314162061</v>
      </c>
      <c r="G13" s="46">
        <v>187.34591874055215</v>
      </c>
      <c r="H13" s="46">
        <v>127.52667864795502</v>
      </c>
      <c r="I13" s="46">
        <v>112.6</v>
      </c>
      <c r="J13" s="46">
        <v>112.6</v>
      </c>
      <c r="K13" s="46">
        <v>177.62593672991372</v>
      </c>
      <c r="L13" s="46">
        <v>260.98318443898637</v>
      </c>
      <c r="M13" s="46">
        <v>427.69767985713173</v>
      </c>
      <c r="N13" s="45"/>
    </row>
    <row r="14" spans="1:14" x14ac:dyDescent="0.25">
      <c r="A14" s="306"/>
      <c r="B14" s="322"/>
      <c r="C14" s="21" t="s">
        <v>172</v>
      </c>
      <c r="D14" s="1" t="s">
        <v>19</v>
      </c>
      <c r="E14" s="47">
        <v>0</v>
      </c>
      <c r="F14" s="47">
        <v>0</v>
      </c>
      <c r="G14" s="47">
        <v>0</v>
      </c>
      <c r="H14" s="47">
        <v>0</v>
      </c>
      <c r="I14" s="47">
        <v>0</v>
      </c>
      <c r="J14" s="47">
        <v>0</v>
      </c>
      <c r="K14" s="47">
        <v>0</v>
      </c>
      <c r="L14" s="47">
        <v>0</v>
      </c>
      <c r="M14" s="47">
        <v>0</v>
      </c>
      <c r="N14" s="45"/>
    </row>
    <row r="15" spans="1:14" x14ac:dyDescent="0.25">
      <c r="A15" s="306"/>
      <c r="B15" s="322"/>
      <c r="C15" s="21" t="s">
        <v>102</v>
      </c>
      <c r="D15" s="1" t="s">
        <v>8</v>
      </c>
      <c r="E15" s="44"/>
      <c r="F15" s="44"/>
      <c r="G15" s="44"/>
      <c r="H15" s="44"/>
      <c r="I15" s="44"/>
      <c r="J15" s="44"/>
      <c r="K15" s="44"/>
      <c r="L15" s="44"/>
      <c r="M15" s="44"/>
      <c r="N15" s="45"/>
    </row>
    <row r="16" spans="1:14" x14ac:dyDescent="0.25">
      <c r="A16" s="306"/>
      <c r="B16" s="322"/>
      <c r="C16" s="21" t="s">
        <v>103</v>
      </c>
      <c r="D16" s="1" t="s">
        <v>9</v>
      </c>
      <c r="E16" s="46">
        <v>31.231367887002168</v>
      </c>
      <c r="F16" s="46">
        <v>19.71960978849722</v>
      </c>
      <c r="G16" s="46">
        <v>11.240755124433118</v>
      </c>
      <c r="H16" s="46">
        <v>7.6516007188772948</v>
      </c>
      <c r="I16" s="46">
        <v>7.218948063824203</v>
      </c>
      <c r="J16" s="46">
        <v>7.218948063824203</v>
      </c>
      <c r="K16" s="46">
        <v>6.8637074659241435</v>
      </c>
      <c r="L16" s="46">
        <v>6.2898572693163546</v>
      </c>
      <c r="M16" s="46">
        <v>5.1421568761007768</v>
      </c>
      <c r="N16" s="45"/>
    </row>
    <row r="17" spans="1:14" x14ac:dyDescent="0.25">
      <c r="A17" s="306"/>
      <c r="B17" s="322"/>
      <c r="C17" s="21" t="s">
        <v>104</v>
      </c>
      <c r="D17" s="1" t="s">
        <v>10</v>
      </c>
      <c r="E17" s="46">
        <v>0</v>
      </c>
      <c r="F17" s="46">
        <v>0</v>
      </c>
      <c r="G17" s="46">
        <v>0</v>
      </c>
      <c r="H17" s="46">
        <v>0</v>
      </c>
      <c r="I17" s="46">
        <v>0</v>
      </c>
      <c r="J17" s="46">
        <v>0</v>
      </c>
      <c r="K17" s="46">
        <v>2.3331952085431959E-3</v>
      </c>
      <c r="L17" s="46">
        <v>2.3331952085431959E-3</v>
      </c>
      <c r="M17" s="46">
        <v>2.3331952085431959E-3</v>
      </c>
      <c r="N17" s="45"/>
    </row>
    <row r="18" spans="1:14" x14ac:dyDescent="0.25">
      <c r="A18" s="306"/>
      <c r="B18" s="322"/>
      <c r="C18" s="22" t="s">
        <v>11</v>
      </c>
      <c r="D18" s="23" t="s">
        <v>10</v>
      </c>
      <c r="E18" s="46">
        <v>0</v>
      </c>
      <c r="F18" s="46">
        <v>0</v>
      </c>
      <c r="G18" s="46">
        <v>0</v>
      </c>
      <c r="H18" s="46">
        <v>0</v>
      </c>
      <c r="I18" s="46">
        <v>0</v>
      </c>
      <c r="J18" s="46">
        <v>0</v>
      </c>
      <c r="K18" s="46">
        <v>0</v>
      </c>
      <c r="L18" s="46">
        <v>0</v>
      </c>
      <c r="M18" s="46">
        <v>0</v>
      </c>
      <c r="N18" s="45"/>
    </row>
    <row r="19" spans="1:14" x14ac:dyDescent="0.25">
      <c r="A19" s="306"/>
      <c r="B19" s="322"/>
      <c r="C19" s="21" t="s">
        <v>12</v>
      </c>
      <c r="D19" s="1" t="s">
        <v>7</v>
      </c>
      <c r="E19" s="47">
        <v>0.83200000000000029</v>
      </c>
      <c r="F19" s="47">
        <v>0.83200000000000029</v>
      </c>
      <c r="G19" s="47">
        <v>0.83200000000000029</v>
      </c>
      <c r="H19" s="47">
        <v>0.83200000000000029</v>
      </c>
      <c r="I19" s="47">
        <v>0.83200000000000029</v>
      </c>
      <c r="J19" s="47">
        <v>0.83200000000000029</v>
      </c>
      <c r="K19" s="47">
        <v>0.83200000000000029</v>
      </c>
      <c r="L19" s="47">
        <v>0.95599999999999996</v>
      </c>
      <c r="M19" s="47">
        <v>0.95599999999999996</v>
      </c>
      <c r="N19" s="45"/>
    </row>
    <row r="20" spans="1:14" x14ac:dyDescent="0.25">
      <c r="A20" s="306"/>
      <c r="B20" s="322"/>
      <c r="C20" s="21" t="s">
        <v>13</v>
      </c>
      <c r="D20" s="1" t="s">
        <v>14</v>
      </c>
      <c r="E20" s="44"/>
      <c r="F20" s="44"/>
      <c r="G20" s="44"/>
      <c r="H20" s="44"/>
      <c r="I20" s="44"/>
      <c r="J20" s="44"/>
      <c r="K20" s="44"/>
      <c r="L20" s="44"/>
      <c r="M20" s="44"/>
      <c r="N20" s="45"/>
    </row>
    <row r="21" spans="1:14" x14ac:dyDescent="0.25">
      <c r="A21" s="306"/>
      <c r="B21" s="322"/>
      <c r="C21" s="21" t="s">
        <v>15</v>
      </c>
      <c r="D21" s="1" t="s">
        <v>4</v>
      </c>
      <c r="E21" s="44"/>
      <c r="F21" s="44"/>
      <c r="G21" s="44"/>
      <c r="H21" s="44"/>
      <c r="I21" s="44"/>
      <c r="J21" s="44"/>
      <c r="K21" s="44"/>
      <c r="L21" s="44"/>
      <c r="M21" s="44"/>
      <c r="N21" s="45"/>
    </row>
    <row r="22" spans="1:14" ht="14.45" customHeight="1" x14ac:dyDescent="0.25">
      <c r="A22" s="306">
        <v>3</v>
      </c>
      <c r="B22" s="323" t="s">
        <v>144</v>
      </c>
      <c r="C22" s="21" t="s">
        <v>101</v>
      </c>
      <c r="D22" s="1" t="s">
        <v>4</v>
      </c>
      <c r="E22" s="44">
        <v>20</v>
      </c>
      <c r="F22" s="44">
        <v>20</v>
      </c>
      <c r="G22" s="44">
        <v>20</v>
      </c>
      <c r="H22" s="44">
        <v>20</v>
      </c>
      <c r="I22" s="44">
        <v>20</v>
      </c>
      <c r="J22" s="44">
        <v>20</v>
      </c>
      <c r="K22" s="44">
        <v>20</v>
      </c>
      <c r="L22" s="44">
        <v>20</v>
      </c>
      <c r="M22" s="44">
        <v>20</v>
      </c>
      <c r="N22" s="45"/>
    </row>
    <row r="23" spans="1:14" x14ac:dyDescent="0.25">
      <c r="A23" s="306"/>
      <c r="B23" s="323"/>
      <c r="C23" s="21" t="s">
        <v>5</v>
      </c>
      <c r="D23" s="1" t="s">
        <v>6</v>
      </c>
      <c r="E23" s="46">
        <v>800.77079092910083</v>
      </c>
      <c r="F23" s="46">
        <v>571.81820894808823</v>
      </c>
      <c r="G23" s="46">
        <v>446.14556901716315</v>
      </c>
      <c r="H23" s="46">
        <v>446.14556901716315</v>
      </c>
      <c r="I23" s="46">
        <v>446.14556901716315</v>
      </c>
      <c r="J23" s="46">
        <v>446.14556901716315</v>
      </c>
      <c r="K23" s="46">
        <v>1129.4706178785063</v>
      </c>
      <c r="L23" s="46">
        <v>982.55924743473179</v>
      </c>
      <c r="M23" s="46">
        <v>863.67730421521264</v>
      </c>
      <c r="N23" s="45"/>
    </row>
    <row r="24" spans="1:14" x14ac:dyDescent="0.25">
      <c r="A24" s="306"/>
      <c r="B24" s="323"/>
      <c r="C24" s="21" t="s">
        <v>172</v>
      </c>
      <c r="D24" s="1" t="s">
        <v>19</v>
      </c>
      <c r="E24" s="47">
        <v>0</v>
      </c>
      <c r="F24" s="47">
        <v>0</v>
      </c>
      <c r="G24" s="47">
        <v>0</v>
      </c>
      <c r="H24" s="47">
        <v>0</v>
      </c>
      <c r="I24" s="47">
        <v>0</v>
      </c>
      <c r="J24" s="47">
        <v>0</v>
      </c>
      <c r="K24" s="47">
        <v>0</v>
      </c>
      <c r="L24" s="47">
        <v>0</v>
      </c>
      <c r="M24" s="47">
        <v>0</v>
      </c>
      <c r="N24" s="45"/>
    </row>
    <row r="25" spans="1:14" x14ac:dyDescent="0.25">
      <c r="A25" s="306"/>
      <c r="B25" s="323"/>
      <c r="C25" s="21" t="s">
        <v>102</v>
      </c>
      <c r="D25" s="1" t="s">
        <v>8</v>
      </c>
      <c r="E25" s="44"/>
      <c r="F25" s="44"/>
      <c r="G25" s="44"/>
      <c r="H25" s="44"/>
      <c r="I25" s="44"/>
      <c r="J25" s="44"/>
      <c r="K25" s="44"/>
      <c r="L25" s="44"/>
      <c r="M25" s="44"/>
      <c r="N25" s="45"/>
    </row>
    <row r="26" spans="1:14" x14ac:dyDescent="0.25">
      <c r="A26" s="306"/>
      <c r="B26" s="323"/>
      <c r="C26" s="21" t="s">
        <v>103</v>
      </c>
      <c r="D26" s="1" t="s">
        <v>9</v>
      </c>
      <c r="E26" s="46">
        <v>12.011561863936512</v>
      </c>
      <c r="F26" s="46">
        <v>8.5772731342213238</v>
      </c>
      <c r="G26" s="46">
        <v>6.6921835352574464</v>
      </c>
      <c r="H26" s="46">
        <v>6.6921835352574464</v>
      </c>
      <c r="I26" s="46">
        <v>6.6921835352574464</v>
      </c>
      <c r="J26" s="46">
        <v>6.6921835352574464</v>
      </c>
      <c r="K26" s="46">
        <v>1.6279999999999999</v>
      </c>
      <c r="L26" s="46">
        <v>1.6279999999999999</v>
      </c>
      <c r="M26" s="46">
        <v>1.6279999999999999</v>
      </c>
      <c r="N26" s="45"/>
    </row>
    <row r="27" spans="1:14" x14ac:dyDescent="0.25">
      <c r="A27" s="306"/>
      <c r="B27" s="323"/>
      <c r="C27" s="21" t="s">
        <v>104</v>
      </c>
      <c r="D27" s="1" t="s">
        <v>10</v>
      </c>
      <c r="E27" s="46">
        <v>0</v>
      </c>
      <c r="F27" s="46">
        <v>0</v>
      </c>
      <c r="G27" s="46">
        <v>0</v>
      </c>
      <c r="H27" s="46">
        <v>0</v>
      </c>
      <c r="I27" s="46">
        <v>0</v>
      </c>
      <c r="J27" s="46">
        <v>0</v>
      </c>
      <c r="K27" s="46">
        <v>2.0599999999999998E-3</v>
      </c>
      <c r="L27" s="46">
        <v>2.0599999999999998E-3</v>
      </c>
      <c r="M27" s="46">
        <v>2.0599999999999998E-3</v>
      </c>
      <c r="N27" s="45"/>
    </row>
    <row r="28" spans="1:14" ht="18.75" x14ac:dyDescent="0.25">
      <c r="A28" s="306"/>
      <c r="B28" s="323"/>
      <c r="C28" s="22" t="s">
        <v>105</v>
      </c>
      <c r="D28" s="23" t="s">
        <v>17</v>
      </c>
      <c r="E28" s="46">
        <v>0</v>
      </c>
      <c r="F28" s="46">
        <v>0</v>
      </c>
      <c r="G28" s="46">
        <v>0</v>
      </c>
      <c r="H28" s="46">
        <v>0</v>
      </c>
      <c r="I28" s="46">
        <v>0</v>
      </c>
      <c r="J28" s="46">
        <v>0</v>
      </c>
      <c r="K28" s="46">
        <v>0</v>
      </c>
      <c r="L28" s="46">
        <v>0</v>
      </c>
      <c r="M28" s="46">
        <v>0</v>
      </c>
      <c r="N28" s="45"/>
    </row>
    <row r="29" spans="1:14" x14ac:dyDescent="0.25">
      <c r="A29" s="306"/>
      <c r="B29" s="323"/>
      <c r="C29" s="22" t="s">
        <v>11</v>
      </c>
      <c r="D29" s="23" t="s">
        <v>10</v>
      </c>
      <c r="E29" s="46">
        <v>0</v>
      </c>
      <c r="F29" s="46">
        <v>0</v>
      </c>
      <c r="G29" s="46">
        <v>0</v>
      </c>
      <c r="H29" s="46">
        <v>0</v>
      </c>
      <c r="I29" s="46">
        <v>0</v>
      </c>
      <c r="J29" s="46">
        <v>0</v>
      </c>
      <c r="K29" s="46">
        <v>0</v>
      </c>
      <c r="L29" s="46">
        <v>0</v>
      </c>
      <c r="M29" s="46">
        <v>0</v>
      </c>
      <c r="N29" s="45"/>
    </row>
    <row r="30" spans="1:14" x14ac:dyDescent="0.25">
      <c r="A30" s="306"/>
      <c r="B30" s="323"/>
      <c r="C30" s="21" t="s">
        <v>18</v>
      </c>
      <c r="D30" s="2" t="s">
        <v>19</v>
      </c>
      <c r="E30" s="44">
        <v>3.88</v>
      </c>
      <c r="F30" s="44">
        <v>3.88</v>
      </c>
      <c r="G30" s="44">
        <v>3.88</v>
      </c>
      <c r="H30" s="44">
        <v>3.88</v>
      </c>
      <c r="I30" s="44">
        <v>3.88</v>
      </c>
      <c r="J30" s="44">
        <v>3.88</v>
      </c>
      <c r="K30" s="44">
        <v>3.88</v>
      </c>
      <c r="L30" s="44">
        <v>3.88</v>
      </c>
      <c r="M30" s="44">
        <v>3.88</v>
      </c>
      <c r="N30" s="45"/>
    </row>
    <row r="31" spans="1:14" x14ac:dyDescent="0.25">
      <c r="A31" s="306"/>
      <c r="B31" s="323"/>
      <c r="C31" s="21" t="s">
        <v>13</v>
      </c>
      <c r="D31" s="1" t="s">
        <v>14</v>
      </c>
      <c r="E31" s="44"/>
      <c r="F31" s="44"/>
      <c r="G31" s="44"/>
      <c r="H31" s="44"/>
      <c r="I31" s="44"/>
      <c r="J31" s="44"/>
      <c r="K31" s="44"/>
      <c r="L31" s="44"/>
      <c r="M31" s="44"/>
      <c r="N31" s="45"/>
    </row>
    <row r="32" spans="1:14" x14ac:dyDescent="0.25">
      <c r="A32" s="306"/>
      <c r="B32" s="323"/>
      <c r="C32" s="21" t="s">
        <v>15</v>
      </c>
      <c r="D32" s="1" t="s">
        <v>4</v>
      </c>
      <c r="E32" s="44"/>
      <c r="F32" s="44"/>
      <c r="G32" s="44"/>
      <c r="H32" s="44"/>
      <c r="I32" s="44"/>
      <c r="J32" s="44"/>
      <c r="K32" s="44"/>
      <c r="L32" s="44"/>
      <c r="M32" s="44"/>
      <c r="N32" s="45"/>
    </row>
    <row r="33" spans="1:14" ht="14.45" customHeight="1" x14ac:dyDescent="0.25">
      <c r="A33" s="306">
        <v>4</v>
      </c>
      <c r="B33" s="323" t="s">
        <v>145</v>
      </c>
      <c r="C33" s="21" t="s">
        <v>101</v>
      </c>
      <c r="D33" s="1" t="s">
        <v>4</v>
      </c>
      <c r="E33" s="44">
        <v>20</v>
      </c>
      <c r="F33" s="44">
        <v>20</v>
      </c>
      <c r="G33" s="44">
        <v>20</v>
      </c>
      <c r="H33" s="44">
        <v>20</v>
      </c>
      <c r="I33" s="44">
        <v>20</v>
      </c>
      <c r="J33" s="44">
        <v>20</v>
      </c>
      <c r="K33" s="44">
        <v>20</v>
      </c>
      <c r="L33" s="44">
        <v>20</v>
      </c>
      <c r="M33" s="44">
        <v>20</v>
      </c>
      <c r="N33" s="45"/>
    </row>
    <row r="34" spans="1:14" x14ac:dyDescent="0.25">
      <c r="A34" s="306"/>
      <c r="B34" s="323"/>
      <c r="C34" s="21" t="s">
        <v>5</v>
      </c>
      <c r="D34" s="1" t="s">
        <v>6</v>
      </c>
      <c r="E34" s="46">
        <v>800.77079092910083</v>
      </c>
      <c r="F34" s="46">
        <v>571.81820894808823</v>
      </c>
      <c r="G34" s="46">
        <v>446.14556901716315</v>
      </c>
      <c r="H34" s="46">
        <v>446.14556901716315</v>
      </c>
      <c r="I34" s="46">
        <v>446.14556901716315</v>
      </c>
      <c r="J34" s="46">
        <v>446.14556901716315</v>
      </c>
      <c r="K34" s="46">
        <v>1129.4706178785063</v>
      </c>
      <c r="L34" s="46">
        <v>982.55924743473179</v>
      </c>
      <c r="M34" s="46">
        <v>863.67730421521264</v>
      </c>
      <c r="N34" s="45"/>
    </row>
    <row r="35" spans="1:14" x14ac:dyDescent="0.25">
      <c r="A35" s="306"/>
      <c r="B35" s="323"/>
      <c r="C35" s="21" t="s">
        <v>172</v>
      </c>
      <c r="D35" s="1" t="s">
        <v>19</v>
      </c>
      <c r="E35" s="47">
        <v>0</v>
      </c>
      <c r="F35" s="47">
        <v>0</v>
      </c>
      <c r="G35" s="47">
        <v>0</v>
      </c>
      <c r="H35" s="47">
        <v>0</v>
      </c>
      <c r="I35" s="47">
        <v>0</v>
      </c>
      <c r="J35" s="47">
        <v>0</v>
      </c>
      <c r="K35" s="47">
        <v>0</v>
      </c>
      <c r="L35" s="47">
        <v>0</v>
      </c>
      <c r="M35" s="47">
        <v>0</v>
      </c>
      <c r="N35" s="45"/>
    </row>
    <row r="36" spans="1:14" x14ac:dyDescent="0.25">
      <c r="A36" s="306"/>
      <c r="B36" s="323"/>
      <c r="C36" s="21" t="s">
        <v>102</v>
      </c>
      <c r="D36" s="1" t="s">
        <v>8</v>
      </c>
      <c r="E36" s="44"/>
      <c r="F36" s="44"/>
      <c r="G36" s="44"/>
      <c r="H36" s="44"/>
      <c r="I36" s="44"/>
      <c r="J36" s="44"/>
      <c r="K36" s="44"/>
      <c r="L36" s="44"/>
      <c r="M36" s="44"/>
      <c r="N36" s="45"/>
    </row>
    <row r="37" spans="1:14" x14ac:dyDescent="0.25">
      <c r="A37" s="306"/>
      <c r="B37" s="323"/>
      <c r="C37" s="21" t="s">
        <v>103</v>
      </c>
      <c r="D37" s="1" t="s">
        <v>9</v>
      </c>
      <c r="E37" s="46">
        <v>12.011561863936512</v>
      </c>
      <c r="F37" s="46">
        <v>8.5772731342213238</v>
      </c>
      <c r="G37" s="46">
        <v>6.6921835352574464</v>
      </c>
      <c r="H37" s="46">
        <v>6.6921835352574464</v>
      </c>
      <c r="I37" s="46">
        <v>6.6921835352574464</v>
      </c>
      <c r="J37" s="46">
        <v>6.6921835352574464</v>
      </c>
      <c r="K37" s="46">
        <v>1.6279999999999999</v>
      </c>
      <c r="L37" s="46">
        <v>1.6279999999999999</v>
      </c>
      <c r="M37" s="46">
        <v>1.6279999999999999</v>
      </c>
      <c r="N37" s="45"/>
    </row>
    <row r="38" spans="1:14" x14ac:dyDescent="0.25">
      <c r="A38" s="306"/>
      <c r="B38" s="323"/>
      <c r="C38" s="21" t="s">
        <v>104</v>
      </c>
      <c r="D38" s="1" t="s">
        <v>10</v>
      </c>
      <c r="E38" s="46">
        <v>0</v>
      </c>
      <c r="F38" s="46">
        <v>0</v>
      </c>
      <c r="G38" s="46">
        <v>0</v>
      </c>
      <c r="H38" s="46">
        <v>0</v>
      </c>
      <c r="I38" s="46">
        <v>0</v>
      </c>
      <c r="J38" s="46">
        <v>0</v>
      </c>
      <c r="K38" s="46">
        <v>2.0599999999999998E-3</v>
      </c>
      <c r="L38" s="46">
        <v>2.0599999999999998E-3</v>
      </c>
      <c r="M38" s="46">
        <v>2.0599999999999998E-3</v>
      </c>
      <c r="N38" s="45"/>
    </row>
    <row r="39" spans="1:14" ht="18.75" x14ac:dyDescent="0.25">
      <c r="A39" s="306"/>
      <c r="B39" s="323"/>
      <c r="C39" s="22" t="s">
        <v>105</v>
      </c>
      <c r="D39" s="23" t="s">
        <v>17</v>
      </c>
      <c r="E39" s="46">
        <v>0</v>
      </c>
      <c r="F39" s="46">
        <v>0</v>
      </c>
      <c r="G39" s="46">
        <v>0</v>
      </c>
      <c r="H39" s="46">
        <v>0</v>
      </c>
      <c r="I39" s="46">
        <v>0</v>
      </c>
      <c r="J39" s="46">
        <v>0</v>
      </c>
      <c r="K39" s="46">
        <v>0</v>
      </c>
      <c r="L39" s="46">
        <v>0</v>
      </c>
      <c r="M39" s="46">
        <v>0</v>
      </c>
      <c r="N39" s="45"/>
    </row>
    <row r="40" spans="1:14" x14ac:dyDescent="0.25">
      <c r="A40" s="306"/>
      <c r="B40" s="323"/>
      <c r="C40" s="22" t="s">
        <v>11</v>
      </c>
      <c r="D40" s="23" t="s">
        <v>10</v>
      </c>
      <c r="E40" s="46">
        <v>0</v>
      </c>
      <c r="F40" s="46">
        <v>0</v>
      </c>
      <c r="G40" s="46">
        <v>0</v>
      </c>
      <c r="H40" s="46">
        <v>0</v>
      </c>
      <c r="I40" s="46">
        <v>0</v>
      </c>
      <c r="J40" s="46">
        <v>0</v>
      </c>
      <c r="K40" s="46">
        <v>0</v>
      </c>
      <c r="L40" s="46">
        <v>0</v>
      </c>
      <c r="M40" s="46">
        <v>0</v>
      </c>
      <c r="N40" s="45"/>
    </row>
    <row r="41" spans="1:14" x14ac:dyDescent="0.25">
      <c r="A41" s="306"/>
      <c r="B41" s="323"/>
      <c r="C41" s="21" t="s">
        <v>18</v>
      </c>
      <c r="D41" s="2" t="s">
        <v>19</v>
      </c>
      <c r="E41" s="44">
        <v>3.63</v>
      </c>
      <c r="F41" s="44">
        <v>3.63</v>
      </c>
      <c r="G41" s="44">
        <v>3.63</v>
      </c>
      <c r="H41" s="44">
        <v>3.63</v>
      </c>
      <c r="I41" s="44">
        <v>3.63</v>
      </c>
      <c r="J41" s="44">
        <v>3.63</v>
      </c>
      <c r="K41" s="44">
        <v>3.63</v>
      </c>
      <c r="L41" s="44">
        <v>3.63</v>
      </c>
      <c r="M41" s="44">
        <v>3.63</v>
      </c>
      <c r="N41" s="45"/>
    </row>
    <row r="42" spans="1:14" x14ac:dyDescent="0.25">
      <c r="A42" s="306"/>
      <c r="B42" s="323"/>
      <c r="C42" s="21" t="s">
        <v>13</v>
      </c>
      <c r="D42" s="1" t="s">
        <v>14</v>
      </c>
      <c r="E42" s="44"/>
      <c r="F42" s="44"/>
      <c r="G42" s="44"/>
      <c r="H42" s="44"/>
      <c r="I42" s="44"/>
      <c r="J42" s="44"/>
      <c r="K42" s="44"/>
      <c r="L42" s="44"/>
      <c r="M42" s="44"/>
      <c r="N42" s="45"/>
    </row>
    <row r="43" spans="1:14" x14ac:dyDescent="0.25">
      <c r="A43" s="306"/>
      <c r="B43" s="323"/>
      <c r="C43" s="21" t="s">
        <v>15</v>
      </c>
      <c r="D43" s="1" t="s">
        <v>4</v>
      </c>
      <c r="E43" s="44"/>
      <c r="F43" s="44"/>
      <c r="G43" s="44"/>
      <c r="H43" s="44"/>
      <c r="I43" s="44"/>
      <c r="J43" s="44"/>
      <c r="K43" s="44"/>
      <c r="L43" s="44"/>
      <c r="M43" s="44"/>
      <c r="N43" s="45"/>
    </row>
    <row r="44" spans="1:14" ht="14.45" customHeight="1" x14ac:dyDescent="0.25">
      <c r="A44" s="306">
        <v>5</v>
      </c>
      <c r="B44" s="323" t="s">
        <v>146</v>
      </c>
      <c r="C44" s="21" t="s">
        <v>101</v>
      </c>
      <c r="D44" s="1" t="s">
        <v>4</v>
      </c>
      <c r="E44" s="44">
        <v>20</v>
      </c>
      <c r="F44" s="44">
        <v>20</v>
      </c>
      <c r="G44" s="44">
        <v>20</v>
      </c>
      <c r="H44" s="44">
        <v>20</v>
      </c>
      <c r="I44" s="44">
        <v>20</v>
      </c>
      <c r="J44" s="44">
        <v>20</v>
      </c>
      <c r="K44" s="44">
        <v>20</v>
      </c>
      <c r="L44" s="44">
        <v>20</v>
      </c>
      <c r="M44" s="44">
        <v>20</v>
      </c>
      <c r="N44" s="45"/>
    </row>
    <row r="45" spans="1:14" x14ac:dyDescent="0.25">
      <c r="A45" s="306"/>
      <c r="B45" s="323"/>
      <c r="C45" s="21" t="s">
        <v>20</v>
      </c>
      <c r="D45" s="1" t="s">
        <v>6</v>
      </c>
      <c r="E45" s="46">
        <v>800.77079092910083</v>
      </c>
      <c r="F45" s="46">
        <v>571.81820894808823</v>
      </c>
      <c r="G45" s="46">
        <v>446.14556901716315</v>
      </c>
      <c r="H45" s="46">
        <v>446.14556901716315</v>
      </c>
      <c r="I45" s="46">
        <v>446.14556901716315</v>
      </c>
      <c r="J45" s="46">
        <v>446.14556901716315</v>
      </c>
      <c r="K45" s="46">
        <v>1129.4706178785063</v>
      </c>
      <c r="L45" s="46">
        <v>982.55924743473179</v>
      </c>
      <c r="M45" s="46">
        <v>863.67730421521264</v>
      </c>
      <c r="N45" s="45"/>
    </row>
    <row r="46" spans="1:14" x14ac:dyDescent="0.25">
      <c r="A46" s="306"/>
      <c r="B46" s="323"/>
      <c r="C46" s="21" t="s">
        <v>172</v>
      </c>
      <c r="D46" s="1" t="s">
        <v>19</v>
      </c>
      <c r="E46" s="47">
        <v>0</v>
      </c>
      <c r="F46" s="47">
        <v>0</v>
      </c>
      <c r="G46" s="47">
        <v>0</v>
      </c>
      <c r="H46" s="47">
        <v>0</v>
      </c>
      <c r="I46" s="47">
        <v>0</v>
      </c>
      <c r="J46" s="47">
        <v>0</v>
      </c>
      <c r="K46" s="47">
        <v>0</v>
      </c>
      <c r="L46" s="47">
        <v>0</v>
      </c>
      <c r="M46" s="47">
        <v>0</v>
      </c>
      <c r="N46" s="45"/>
    </row>
    <row r="47" spans="1:14" x14ac:dyDescent="0.25">
      <c r="A47" s="306"/>
      <c r="B47" s="323"/>
      <c r="C47" s="21" t="s">
        <v>102</v>
      </c>
      <c r="D47" s="1" t="s">
        <v>8</v>
      </c>
      <c r="E47" s="44"/>
      <c r="F47" s="44"/>
      <c r="G47" s="44"/>
      <c r="H47" s="44"/>
      <c r="I47" s="44"/>
      <c r="J47" s="44"/>
      <c r="K47" s="44"/>
      <c r="L47" s="44"/>
      <c r="M47" s="44"/>
      <c r="N47" s="45"/>
    </row>
    <row r="48" spans="1:14" x14ac:dyDescent="0.25">
      <c r="A48" s="306"/>
      <c r="B48" s="323"/>
      <c r="C48" s="21" t="s">
        <v>103</v>
      </c>
      <c r="D48" s="1" t="s">
        <v>9</v>
      </c>
      <c r="E48" s="46">
        <v>12.011561863936512</v>
      </c>
      <c r="F48" s="46">
        <v>8.5772731342213238</v>
      </c>
      <c r="G48" s="46">
        <v>6.6921835352574464</v>
      </c>
      <c r="H48" s="46">
        <v>6.6921835352574464</v>
      </c>
      <c r="I48" s="46">
        <v>6.6921835352574464</v>
      </c>
      <c r="J48" s="46">
        <v>6.6921835352574464</v>
      </c>
      <c r="K48" s="46">
        <v>1.6279999999999999</v>
      </c>
      <c r="L48" s="46">
        <v>1.6279999999999999</v>
      </c>
      <c r="M48" s="46">
        <v>1.6279999999999999</v>
      </c>
      <c r="N48" s="45"/>
    </row>
    <row r="49" spans="1:14" x14ac:dyDescent="0.25">
      <c r="A49" s="306"/>
      <c r="B49" s="323"/>
      <c r="C49" s="21" t="s">
        <v>104</v>
      </c>
      <c r="D49" s="1" t="s">
        <v>10</v>
      </c>
      <c r="E49" s="46">
        <v>0</v>
      </c>
      <c r="F49" s="46">
        <v>0</v>
      </c>
      <c r="G49" s="46">
        <v>0</v>
      </c>
      <c r="H49" s="46">
        <v>0</v>
      </c>
      <c r="I49" s="46">
        <v>0</v>
      </c>
      <c r="J49" s="46">
        <v>0</v>
      </c>
      <c r="K49" s="46">
        <v>2.0599999999999998E-3</v>
      </c>
      <c r="L49" s="46">
        <v>2.0599999999999998E-3</v>
      </c>
      <c r="M49" s="46">
        <v>2.0599999999999998E-3</v>
      </c>
      <c r="N49" s="45"/>
    </row>
    <row r="50" spans="1:14" ht="18.75" x14ac:dyDescent="0.25">
      <c r="A50" s="306"/>
      <c r="B50" s="323"/>
      <c r="C50" s="22" t="s">
        <v>105</v>
      </c>
      <c r="D50" s="23" t="s">
        <v>17</v>
      </c>
      <c r="E50" s="46">
        <v>0</v>
      </c>
      <c r="F50" s="46">
        <v>0</v>
      </c>
      <c r="G50" s="46">
        <v>0</v>
      </c>
      <c r="H50" s="46">
        <v>0</v>
      </c>
      <c r="I50" s="46">
        <v>0</v>
      </c>
      <c r="J50" s="46">
        <v>0</v>
      </c>
      <c r="K50" s="46">
        <v>0</v>
      </c>
      <c r="L50" s="46">
        <v>0</v>
      </c>
      <c r="M50" s="46">
        <v>0</v>
      </c>
      <c r="N50" s="45"/>
    </row>
    <row r="51" spans="1:14" x14ac:dyDescent="0.25">
      <c r="A51" s="306"/>
      <c r="B51" s="323"/>
      <c r="C51" s="22" t="s">
        <v>11</v>
      </c>
      <c r="D51" s="23" t="s">
        <v>10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5"/>
    </row>
    <row r="52" spans="1:14" x14ac:dyDescent="0.25">
      <c r="A52" s="306"/>
      <c r="B52" s="323"/>
      <c r="C52" s="21" t="s">
        <v>18</v>
      </c>
      <c r="D52" s="2" t="s">
        <v>19</v>
      </c>
      <c r="E52" s="44">
        <v>3.38</v>
      </c>
      <c r="F52" s="44">
        <v>3.38</v>
      </c>
      <c r="G52" s="44">
        <v>3.38</v>
      </c>
      <c r="H52" s="44">
        <v>3.38</v>
      </c>
      <c r="I52" s="44">
        <v>3.38</v>
      </c>
      <c r="J52" s="44">
        <v>3.38</v>
      </c>
      <c r="K52" s="44">
        <v>3.38</v>
      </c>
      <c r="L52" s="44">
        <v>3.38</v>
      </c>
      <c r="M52" s="44">
        <v>3.38</v>
      </c>
      <c r="N52" s="45"/>
    </row>
    <row r="53" spans="1:14" x14ac:dyDescent="0.25">
      <c r="A53" s="306"/>
      <c r="B53" s="323"/>
      <c r="C53" s="21" t="s">
        <v>13</v>
      </c>
      <c r="D53" s="2" t="s">
        <v>14</v>
      </c>
      <c r="E53" s="44"/>
      <c r="F53" s="44"/>
      <c r="G53" s="44"/>
      <c r="H53" s="44"/>
      <c r="I53" s="44"/>
      <c r="J53" s="44"/>
      <c r="K53" s="44"/>
      <c r="L53" s="44"/>
      <c r="M53" s="44"/>
      <c r="N53" s="45"/>
    </row>
    <row r="54" spans="1:14" x14ac:dyDescent="0.25">
      <c r="A54" s="306"/>
      <c r="B54" s="323"/>
      <c r="C54" s="21" t="s">
        <v>15</v>
      </c>
      <c r="D54" s="2" t="s">
        <v>4</v>
      </c>
      <c r="E54" s="44"/>
      <c r="F54" s="44"/>
      <c r="G54" s="44"/>
      <c r="H54" s="44"/>
      <c r="I54" s="44"/>
      <c r="J54" s="44"/>
      <c r="K54" s="44"/>
      <c r="L54" s="44"/>
      <c r="M54" s="44"/>
      <c r="N54" s="45"/>
    </row>
    <row r="55" spans="1:14" ht="14.45" customHeight="1" x14ac:dyDescent="0.25">
      <c r="A55" s="306">
        <v>6</v>
      </c>
      <c r="B55" s="323" t="s">
        <v>147</v>
      </c>
      <c r="C55" s="21" t="s">
        <v>101</v>
      </c>
      <c r="D55" s="1" t="s">
        <v>4</v>
      </c>
      <c r="E55" s="44">
        <v>20</v>
      </c>
      <c r="F55" s="44">
        <v>20</v>
      </c>
      <c r="G55" s="44">
        <v>20</v>
      </c>
      <c r="H55" s="44">
        <v>20</v>
      </c>
      <c r="I55" s="44">
        <v>20</v>
      </c>
      <c r="J55" s="44">
        <v>20</v>
      </c>
      <c r="K55" s="44">
        <v>20</v>
      </c>
      <c r="L55" s="44">
        <v>20</v>
      </c>
      <c r="M55" s="44">
        <v>20</v>
      </c>
      <c r="N55" s="45"/>
    </row>
    <row r="56" spans="1:14" x14ac:dyDescent="0.25">
      <c r="A56" s="306"/>
      <c r="B56" s="323"/>
      <c r="C56" s="21" t="s">
        <v>20</v>
      </c>
      <c r="D56" s="1" t="s">
        <v>6</v>
      </c>
      <c r="E56" s="46">
        <v>786.25871364962575</v>
      </c>
      <c r="F56" s="46">
        <v>549.26179392174538</v>
      </c>
      <c r="G56" s="46">
        <v>421.66777237439481</v>
      </c>
      <c r="H56" s="46">
        <v>421.66777237439481</v>
      </c>
      <c r="I56" s="46">
        <v>421.66777237439481</v>
      </c>
      <c r="J56" s="46">
        <v>421.66777237439481</v>
      </c>
      <c r="K56" s="46">
        <v>597.82399999999996</v>
      </c>
      <c r="L56" s="46">
        <v>597.82399999999996</v>
      </c>
      <c r="M56" s="46">
        <v>597.82399999999996</v>
      </c>
      <c r="N56" s="45"/>
    </row>
    <row r="57" spans="1:14" x14ac:dyDescent="0.25">
      <c r="A57" s="306"/>
      <c r="B57" s="323"/>
      <c r="C57" s="21" t="s">
        <v>172</v>
      </c>
      <c r="D57" s="1" t="s">
        <v>19</v>
      </c>
      <c r="E57" s="47">
        <v>0</v>
      </c>
      <c r="F57" s="47">
        <v>0</v>
      </c>
      <c r="G57" s="47">
        <v>0</v>
      </c>
      <c r="H57" s="47">
        <v>0</v>
      </c>
      <c r="I57" s="47">
        <v>0</v>
      </c>
      <c r="J57" s="47">
        <v>0</v>
      </c>
      <c r="K57" s="47">
        <v>0</v>
      </c>
      <c r="L57" s="47">
        <v>0</v>
      </c>
      <c r="M57" s="47">
        <v>0</v>
      </c>
      <c r="N57" s="45"/>
    </row>
    <row r="58" spans="1:14" x14ac:dyDescent="0.25">
      <c r="A58" s="306"/>
      <c r="B58" s="323"/>
      <c r="C58" s="21" t="s">
        <v>102</v>
      </c>
      <c r="D58" s="1" t="s">
        <v>8</v>
      </c>
      <c r="E58" s="44"/>
      <c r="F58" s="44"/>
      <c r="G58" s="44"/>
      <c r="H58" s="44"/>
      <c r="I58" s="44"/>
      <c r="J58" s="44"/>
      <c r="K58" s="44"/>
      <c r="L58" s="44"/>
      <c r="M58" s="44"/>
      <c r="N58" s="45"/>
    </row>
    <row r="59" spans="1:14" x14ac:dyDescent="0.25">
      <c r="A59" s="306"/>
      <c r="B59" s="323"/>
      <c r="C59" s="21" t="s">
        <v>103</v>
      </c>
      <c r="D59" s="1" t="s">
        <v>9</v>
      </c>
      <c r="E59" s="46">
        <v>11.793880704744385</v>
      </c>
      <c r="F59" s="46">
        <v>8.2389269088261798</v>
      </c>
      <c r="G59" s="46">
        <v>6.3250165856159217</v>
      </c>
      <c r="H59" s="46">
        <v>6.3250165856159217</v>
      </c>
      <c r="I59" s="46">
        <v>6.3250165856159217</v>
      </c>
      <c r="J59" s="46">
        <v>6.3250165856159217</v>
      </c>
      <c r="K59" s="46">
        <v>1.6279999999999999</v>
      </c>
      <c r="L59" s="46">
        <v>1.6279999999999999</v>
      </c>
      <c r="M59" s="46">
        <v>1.6279999999999999</v>
      </c>
      <c r="N59" s="45"/>
    </row>
    <row r="60" spans="1:14" x14ac:dyDescent="0.25">
      <c r="A60" s="306"/>
      <c r="B60" s="323"/>
      <c r="C60" s="21" t="s">
        <v>104</v>
      </c>
      <c r="D60" s="1" t="s">
        <v>10</v>
      </c>
      <c r="E60" s="46">
        <v>0</v>
      </c>
      <c r="F60" s="46">
        <v>0</v>
      </c>
      <c r="G60" s="46">
        <v>0</v>
      </c>
      <c r="H60" s="46">
        <v>0</v>
      </c>
      <c r="I60" s="46">
        <v>0</v>
      </c>
      <c r="J60" s="46">
        <v>0</v>
      </c>
      <c r="K60" s="46">
        <v>2.0599999999999998E-3</v>
      </c>
      <c r="L60" s="46">
        <v>2.0599999999999998E-3</v>
      </c>
      <c r="M60" s="46">
        <v>2.0599999999999998E-3</v>
      </c>
      <c r="N60" s="45"/>
    </row>
    <row r="61" spans="1:14" ht="18.75" x14ac:dyDescent="0.25">
      <c r="A61" s="306"/>
      <c r="B61" s="323"/>
      <c r="C61" s="22" t="s">
        <v>105</v>
      </c>
      <c r="D61" s="23" t="s">
        <v>17</v>
      </c>
      <c r="E61" s="46">
        <v>0</v>
      </c>
      <c r="F61" s="46">
        <v>0</v>
      </c>
      <c r="G61" s="46">
        <v>0</v>
      </c>
      <c r="H61" s="46">
        <v>0</v>
      </c>
      <c r="I61" s="46">
        <v>0</v>
      </c>
      <c r="J61" s="46">
        <v>0</v>
      </c>
      <c r="K61" s="46">
        <v>0</v>
      </c>
      <c r="L61" s="46">
        <v>0</v>
      </c>
      <c r="M61" s="46">
        <v>0</v>
      </c>
      <c r="N61" s="45"/>
    </row>
    <row r="62" spans="1:14" x14ac:dyDescent="0.25">
      <c r="A62" s="306"/>
      <c r="B62" s="323"/>
      <c r="C62" s="22" t="s">
        <v>11</v>
      </c>
      <c r="D62" s="23" t="s">
        <v>10</v>
      </c>
      <c r="E62" s="46">
        <v>0</v>
      </c>
      <c r="F62" s="46">
        <v>0</v>
      </c>
      <c r="G62" s="46">
        <v>0</v>
      </c>
      <c r="H62" s="46">
        <v>0</v>
      </c>
      <c r="I62" s="46">
        <v>0</v>
      </c>
      <c r="J62" s="46">
        <v>0</v>
      </c>
      <c r="K62" s="46">
        <v>0</v>
      </c>
      <c r="L62" s="46">
        <v>0</v>
      </c>
      <c r="M62" s="46">
        <v>0</v>
      </c>
      <c r="N62" s="45"/>
    </row>
    <row r="63" spans="1:14" x14ac:dyDescent="0.25">
      <c r="A63" s="306"/>
      <c r="B63" s="323"/>
      <c r="C63" s="21" t="s">
        <v>18</v>
      </c>
      <c r="D63" s="2" t="s">
        <v>19</v>
      </c>
      <c r="E63" s="44">
        <v>4.82</v>
      </c>
      <c r="F63" s="44">
        <v>4.82</v>
      </c>
      <c r="G63" s="44">
        <v>4.82</v>
      </c>
      <c r="H63" s="44">
        <v>4.82</v>
      </c>
      <c r="I63" s="44">
        <v>4.82</v>
      </c>
      <c r="J63" s="44">
        <v>4.82</v>
      </c>
      <c r="K63" s="44">
        <v>4.82</v>
      </c>
      <c r="L63" s="44">
        <v>4.82</v>
      </c>
      <c r="M63" s="44">
        <v>4.82</v>
      </c>
      <c r="N63" s="45"/>
    </row>
    <row r="64" spans="1:14" x14ac:dyDescent="0.25">
      <c r="A64" s="306"/>
      <c r="B64" s="323"/>
      <c r="C64" s="21" t="s">
        <v>13</v>
      </c>
      <c r="D64" s="1" t="s">
        <v>14</v>
      </c>
      <c r="E64" s="44"/>
      <c r="F64" s="44"/>
      <c r="G64" s="44"/>
      <c r="H64" s="44"/>
      <c r="I64" s="44"/>
      <c r="J64" s="44"/>
      <c r="K64" s="44"/>
      <c r="L64" s="44"/>
      <c r="M64" s="44"/>
      <c r="N64" s="45"/>
    </row>
    <row r="65" spans="1:14" x14ac:dyDescent="0.25">
      <c r="A65" s="306"/>
      <c r="B65" s="323"/>
      <c r="C65" s="21" t="s">
        <v>15</v>
      </c>
      <c r="D65" s="1" t="s">
        <v>4</v>
      </c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4" x14ac:dyDescent="0.25">
      <c r="A66" s="306"/>
      <c r="B66" s="323"/>
      <c r="C66" s="21" t="s">
        <v>106</v>
      </c>
      <c r="D66" s="1" t="s">
        <v>6</v>
      </c>
      <c r="E66" s="46">
        <v>2819.9005597918967</v>
      </c>
      <c r="F66" s="46">
        <v>1929.550889841297</v>
      </c>
      <c r="G66" s="46">
        <v>1213.482173232652</v>
      </c>
      <c r="H66" s="46">
        <v>421.5437177304745</v>
      </c>
      <c r="I66" s="46">
        <v>287.43432006836628</v>
      </c>
      <c r="J66" s="46">
        <v>182.19088878412825</v>
      </c>
      <c r="K66" s="46">
        <v>88.423403695885241</v>
      </c>
      <c r="L66" s="46">
        <v>77.457281612869494</v>
      </c>
      <c r="M66" s="46">
        <v>77.457281612869494</v>
      </c>
      <c r="N66" s="45"/>
    </row>
    <row r="67" spans="1:14" x14ac:dyDescent="0.25">
      <c r="A67" s="306"/>
      <c r="B67" s="323"/>
      <c r="C67" s="21" t="s">
        <v>107</v>
      </c>
      <c r="D67" s="1" t="s">
        <v>4</v>
      </c>
      <c r="E67" s="44"/>
      <c r="F67" s="44"/>
      <c r="G67" s="44"/>
      <c r="H67" s="44"/>
      <c r="I67" s="44"/>
      <c r="J67" s="44"/>
      <c r="K67" s="44"/>
      <c r="L67" s="44"/>
      <c r="M67" s="44"/>
      <c r="N67" s="45"/>
    </row>
    <row r="68" spans="1:14" ht="14.45" customHeight="1" x14ac:dyDescent="0.25">
      <c r="A68" s="306">
        <v>7</v>
      </c>
      <c r="B68" s="323" t="s">
        <v>148</v>
      </c>
      <c r="C68" s="21" t="s">
        <v>101</v>
      </c>
      <c r="D68" s="1" t="s">
        <v>4</v>
      </c>
      <c r="E68" s="44">
        <v>20</v>
      </c>
      <c r="F68" s="44">
        <v>20</v>
      </c>
      <c r="G68" s="44">
        <v>20</v>
      </c>
      <c r="H68" s="44">
        <v>20</v>
      </c>
      <c r="I68" s="44">
        <v>20</v>
      </c>
      <c r="J68" s="44">
        <v>20</v>
      </c>
      <c r="K68" s="44">
        <v>20</v>
      </c>
      <c r="L68" s="44">
        <v>20</v>
      </c>
      <c r="M68" s="44">
        <v>20</v>
      </c>
      <c r="N68" s="45"/>
    </row>
    <row r="69" spans="1:14" x14ac:dyDescent="0.25">
      <c r="A69" s="306"/>
      <c r="B69" s="323"/>
      <c r="C69" s="21" t="s">
        <v>20</v>
      </c>
      <c r="D69" s="1" t="s">
        <v>6</v>
      </c>
      <c r="E69" s="46">
        <v>786.25871364962575</v>
      </c>
      <c r="F69" s="46">
        <v>549.26179392174538</v>
      </c>
      <c r="G69" s="46">
        <v>421.66777237439481</v>
      </c>
      <c r="H69" s="46">
        <v>421.66777237439481</v>
      </c>
      <c r="I69" s="46">
        <v>421.66777237439481</v>
      </c>
      <c r="J69" s="46">
        <v>421.66777237439481</v>
      </c>
      <c r="K69" s="46">
        <v>597.82399999999996</v>
      </c>
      <c r="L69" s="46">
        <v>597.82399999999996</v>
      </c>
      <c r="M69" s="46">
        <v>597.82399999999996</v>
      </c>
      <c r="N69" s="45"/>
    </row>
    <row r="70" spans="1:14" x14ac:dyDescent="0.25">
      <c r="A70" s="306"/>
      <c r="B70" s="323"/>
      <c r="C70" s="21" t="s">
        <v>172</v>
      </c>
      <c r="D70" s="1" t="s">
        <v>19</v>
      </c>
      <c r="E70" s="47">
        <v>0</v>
      </c>
      <c r="F70" s="47">
        <v>0</v>
      </c>
      <c r="G70" s="47">
        <v>0</v>
      </c>
      <c r="H70" s="47">
        <v>0</v>
      </c>
      <c r="I70" s="47">
        <v>0</v>
      </c>
      <c r="J70" s="47">
        <v>0</v>
      </c>
      <c r="K70" s="47">
        <v>0</v>
      </c>
      <c r="L70" s="47">
        <v>0</v>
      </c>
      <c r="M70" s="47">
        <v>0</v>
      </c>
      <c r="N70" s="45"/>
    </row>
    <row r="71" spans="1:14" x14ac:dyDescent="0.25">
      <c r="A71" s="306"/>
      <c r="B71" s="323"/>
      <c r="C71" s="21" t="s">
        <v>102</v>
      </c>
      <c r="D71" s="1" t="s">
        <v>8</v>
      </c>
      <c r="E71" s="44"/>
      <c r="F71" s="44"/>
      <c r="G71" s="44"/>
      <c r="H71" s="44"/>
      <c r="I71" s="44"/>
      <c r="J71" s="44"/>
      <c r="K71" s="44"/>
      <c r="L71" s="44"/>
      <c r="M71" s="44"/>
      <c r="N71" s="45"/>
    </row>
    <row r="72" spans="1:14" x14ac:dyDescent="0.25">
      <c r="A72" s="306"/>
      <c r="B72" s="323"/>
      <c r="C72" s="21" t="s">
        <v>103</v>
      </c>
      <c r="D72" s="1" t="s">
        <v>9</v>
      </c>
      <c r="E72" s="46">
        <v>11.793880704744385</v>
      </c>
      <c r="F72" s="46">
        <v>8.2389269088261798</v>
      </c>
      <c r="G72" s="46">
        <v>6.3250165856159217</v>
      </c>
      <c r="H72" s="46">
        <v>6.3250165856159217</v>
      </c>
      <c r="I72" s="46">
        <v>6.3250165856159217</v>
      </c>
      <c r="J72" s="46">
        <v>6.3250165856159217</v>
      </c>
      <c r="K72" s="46">
        <v>1.6279999999999999</v>
      </c>
      <c r="L72" s="46">
        <v>1.6279999999999999</v>
      </c>
      <c r="M72" s="46">
        <v>1.6279999999999999</v>
      </c>
      <c r="N72" s="45"/>
    </row>
    <row r="73" spans="1:14" x14ac:dyDescent="0.25">
      <c r="A73" s="306"/>
      <c r="B73" s="323"/>
      <c r="C73" s="21" t="s">
        <v>104</v>
      </c>
      <c r="D73" s="1" t="s">
        <v>10</v>
      </c>
      <c r="E73" s="46">
        <v>0</v>
      </c>
      <c r="F73" s="46">
        <v>0</v>
      </c>
      <c r="G73" s="46">
        <v>0</v>
      </c>
      <c r="H73" s="46">
        <v>0</v>
      </c>
      <c r="I73" s="46">
        <v>0</v>
      </c>
      <c r="J73" s="46">
        <v>0</v>
      </c>
      <c r="K73" s="46">
        <v>2.0599999999999998E-3</v>
      </c>
      <c r="L73" s="46">
        <v>2.0599999999999998E-3</v>
      </c>
      <c r="M73" s="46">
        <v>2.0599999999999998E-3</v>
      </c>
      <c r="N73" s="45"/>
    </row>
    <row r="74" spans="1:14" ht="18.75" x14ac:dyDescent="0.25">
      <c r="A74" s="306"/>
      <c r="B74" s="323"/>
      <c r="C74" s="22" t="s">
        <v>105</v>
      </c>
      <c r="D74" s="23" t="s">
        <v>17</v>
      </c>
      <c r="E74" s="46">
        <v>0</v>
      </c>
      <c r="F74" s="46">
        <v>0</v>
      </c>
      <c r="G74" s="46">
        <v>0</v>
      </c>
      <c r="H74" s="46">
        <v>0</v>
      </c>
      <c r="I74" s="46">
        <v>0</v>
      </c>
      <c r="J74" s="46">
        <v>0</v>
      </c>
      <c r="K74" s="46">
        <v>0</v>
      </c>
      <c r="L74" s="46">
        <v>0</v>
      </c>
      <c r="M74" s="46">
        <v>0</v>
      </c>
      <c r="N74" s="45"/>
    </row>
    <row r="75" spans="1:14" x14ac:dyDescent="0.25">
      <c r="A75" s="306"/>
      <c r="B75" s="323"/>
      <c r="C75" s="22" t="s">
        <v>11</v>
      </c>
      <c r="D75" s="23" t="s">
        <v>10</v>
      </c>
      <c r="E75" s="46">
        <v>0</v>
      </c>
      <c r="F75" s="46">
        <v>0</v>
      </c>
      <c r="G75" s="46">
        <v>0</v>
      </c>
      <c r="H75" s="46">
        <v>0</v>
      </c>
      <c r="I75" s="46">
        <v>0</v>
      </c>
      <c r="J75" s="46">
        <v>0</v>
      </c>
      <c r="K75" s="46">
        <v>0</v>
      </c>
      <c r="L75" s="46">
        <v>0</v>
      </c>
      <c r="M75" s="46">
        <v>0</v>
      </c>
      <c r="N75" s="45"/>
    </row>
    <row r="76" spans="1:14" x14ac:dyDescent="0.25">
      <c r="A76" s="306"/>
      <c r="B76" s="323"/>
      <c r="C76" s="21" t="s">
        <v>18</v>
      </c>
      <c r="D76" s="2" t="s">
        <v>19</v>
      </c>
      <c r="E76" s="44">
        <v>4.5</v>
      </c>
      <c r="F76" s="44">
        <v>4.5</v>
      </c>
      <c r="G76" s="44">
        <v>4.5</v>
      </c>
      <c r="H76" s="44">
        <v>4.5</v>
      </c>
      <c r="I76" s="44">
        <v>4.5</v>
      </c>
      <c r="J76" s="44">
        <v>4.5</v>
      </c>
      <c r="K76" s="44">
        <v>4.5</v>
      </c>
      <c r="L76" s="44">
        <v>4.5</v>
      </c>
      <c r="M76" s="44">
        <v>4.5</v>
      </c>
      <c r="N76" s="45"/>
    </row>
    <row r="77" spans="1:14" x14ac:dyDescent="0.25">
      <c r="A77" s="306"/>
      <c r="B77" s="323"/>
      <c r="C77" s="21" t="s">
        <v>13</v>
      </c>
      <c r="D77" s="1" t="s">
        <v>14</v>
      </c>
      <c r="E77" s="44"/>
      <c r="F77" s="44"/>
      <c r="G77" s="44"/>
      <c r="H77" s="44"/>
      <c r="I77" s="44"/>
      <c r="J77" s="44"/>
      <c r="K77" s="44"/>
      <c r="L77" s="44"/>
      <c r="M77" s="44"/>
      <c r="N77" s="45"/>
    </row>
    <row r="78" spans="1:14" x14ac:dyDescent="0.25">
      <c r="A78" s="306"/>
      <c r="B78" s="323"/>
      <c r="C78" s="21" t="s">
        <v>15</v>
      </c>
      <c r="D78" s="1" t="s">
        <v>4</v>
      </c>
      <c r="E78" s="44"/>
      <c r="F78" s="44"/>
      <c r="G78" s="44"/>
      <c r="H78" s="44"/>
      <c r="I78" s="44"/>
      <c r="J78" s="44"/>
      <c r="K78" s="44"/>
      <c r="L78" s="44"/>
      <c r="M78" s="44"/>
      <c r="N78" s="45"/>
    </row>
    <row r="79" spans="1:14" x14ac:dyDescent="0.25">
      <c r="A79" s="306"/>
      <c r="B79" s="323"/>
      <c r="C79" s="21" t="s">
        <v>106</v>
      </c>
      <c r="D79" s="1" t="s">
        <v>6</v>
      </c>
      <c r="E79" s="46">
        <v>2819.9005597918967</v>
      </c>
      <c r="F79" s="46">
        <v>1929.550889841297</v>
      </c>
      <c r="G79" s="46">
        <v>1213.482173232652</v>
      </c>
      <c r="H79" s="46">
        <v>421.5437177304745</v>
      </c>
      <c r="I79" s="46">
        <v>287.43432006836628</v>
      </c>
      <c r="J79" s="46">
        <v>182.19088878412825</v>
      </c>
      <c r="K79" s="46">
        <v>88.423403695885241</v>
      </c>
      <c r="L79" s="46">
        <v>77.457281612869494</v>
      </c>
      <c r="M79" s="46">
        <v>77.457281612869494</v>
      </c>
      <c r="N79" s="45"/>
    </row>
    <row r="80" spans="1:14" x14ac:dyDescent="0.25">
      <c r="A80" s="306"/>
      <c r="B80" s="323"/>
      <c r="C80" s="21" t="s">
        <v>107</v>
      </c>
      <c r="D80" s="1" t="s">
        <v>4</v>
      </c>
      <c r="E80" s="44"/>
      <c r="F80" s="44"/>
      <c r="G80" s="44"/>
      <c r="H80" s="44"/>
      <c r="I80" s="44"/>
      <c r="J80" s="44"/>
      <c r="K80" s="44"/>
      <c r="L80" s="44"/>
      <c r="M80" s="44"/>
      <c r="N80" s="45"/>
    </row>
    <row r="81" spans="1:14" ht="14.45" customHeight="1" x14ac:dyDescent="0.25">
      <c r="A81" s="306">
        <v>8</v>
      </c>
      <c r="B81" s="323" t="s">
        <v>149</v>
      </c>
      <c r="C81" s="21" t="s">
        <v>101</v>
      </c>
      <c r="D81" s="1" t="s">
        <v>4</v>
      </c>
      <c r="E81" s="44">
        <v>20</v>
      </c>
      <c r="F81" s="44">
        <v>20</v>
      </c>
      <c r="G81" s="44">
        <v>20</v>
      </c>
      <c r="H81" s="44">
        <v>20</v>
      </c>
      <c r="I81" s="44">
        <v>20</v>
      </c>
      <c r="J81" s="44">
        <v>20</v>
      </c>
      <c r="K81" s="44">
        <v>20</v>
      </c>
      <c r="L81" s="44">
        <v>20</v>
      </c>
      <c r="M81" s="44">
        <v>20</v>
      </c>
      <c r="N81" s="45"/>
    </row>
    <row r="82" spans="1:14" x14ac:dyDescent="0.25">
      <c r="A82" s="306"/>
      <c r="B82" s="323"/>
      <c r="C82" s="21" t="s">
        <v>20</v>
      </c>
      <c r="D82" s="1" t="s">
        <v>6</v>
      </c>
      <c r="E82" s="46">
        <v>786.25871364962575</v>
      </c>
      <c r="F82" s="46">
        <v>549.26179392174538</v>
      </c>
      <c r="G82" s="46">
        <v>421.66777237439481</v>
      </c>
      <c r="H82" s="46">
        <v>421.66777237439481</v>
      </c>
      <c r="I82" s="46">
        <v>421.66777237439481</v>
      </c>
      <c r="J82" s="46">
        <v>421.66777237439481</v>
      </c>
      <c r="K82" s="46">
        <v>597.82399999999996</v>
      </c>
      <c r="L82" s="46">
        <v>597.82399999999996</v>
      </c>
      <c r="M82" s="46">
        <v>597.82399999999996</v>
      </c>
      <c r="N82" s="45"/>
    </row>
    <row r="83" spans="1:14" x14ac:dyDescent="0.25">
      <c r="A83" s="306"/>
      <c r="B83" s="323"/>
      <c r="C83" s="21" t="s">
        <v>172</v>
      </c>
      <c r="D83" s="1" t="s">
        <v>19</v>
      </c>
      <c r="E83" s="47">
        <v>0</v>
      </c>
      <c r="F83" s="47">
        <v>0</v>
      </c>
      <c r="G83" s="47">
        <v>0</v>
      </c>
      <c r="H83" s="47">
        <v>0</v>
      </c>
      <c r="I83" s="47">
        <v>0</v>
      </c>
      <c r="J83" s="47">
        <v>0</v>
      </c>
      <c r="K83" s="47">
        <v>0</v>
      </c>
      <c r="L83" s="47">
        <v>0</v>
      </c>
      <c r="M83" s="47">
        <v>0</v>
      </c>
      <c r="N83" s="45"/>
    </row>
    <row r="84" spans="1:14" x14ac:dyDescent="0.25">
      <c r="A84" s="306"/>
      <c r="B84" s="323"/>
      <c r="C84" s="21" t="s">
        <v>102</v>
      </c>
      <c r="D84" s="1" t="s">
        <v>8</v>
      </c>
      <c r="E84" s="44"/>
      <c r="F84" s="44"/>
      <c r="G84" s="44"/>
      <c r="H84" s="44"/>
      <c r="I84" s="44"/>
      <c r="J84" s="44"/>
      <c r="K84" s="44"/>
      <c r="L84" s="44"/>
      <c r="M84" s="44"/>
      <c r="N84" s="45"/>
    </row>
    <row r="85" spans="1:14" x14ac:dyDescent="0.25">
      <c r="A85" s="306"/>
      <c r="B85" s="323"/>
      <c r="C85" s="21" t="s">
        <v>103</v>
      </c>
      <c r="D85" s="1" t="s">
        <v>9</v>
      </c>
      <c r="E85" s="46">
        <v>11.793880704744385</v>
      </c>
      <c r="F85" s="46">
        <v>8.2389269088261798</v>
      </c>
      <c r="G85" s="46">
        <v>6.3250165856159217</v>
      </c>
      <c r="H85" s="46">
        <v>6.3250165856159217</v>
      </c>
      <c r="I85" s="46">
        <v>6.3250165856159217</v>
      </c>
      <c r="J85" s="46">
        <v>6.3250165856159217</v>
      </c>
      <c r="K85" s="46">
        <v>1.6279999999999999</v>
      </c>
      <c r="L85" s="46">
        <v>1.6279999999999999</v>
      </c>
      <c r="M85" s="46">
        <v>1.6279999999999999</v>
      </c>
      <c r="N85" s="45"/>
    </row>
    <row r="86" spans="1:14" x14ac:dyDescent="0.25">
      <c r="A86" s="306"/>
      <c r="B86" s="323"/>
      <c r="C86" s="21" t="s">
        <v>104</v>
      </c>
      <c r="D86" s="1" t="s">
        <v>10</v>
      </c>
      <c r="E86" s="46">
        <v>0</v>
      </c>
      <c r="F86" s="46">
        <v>0</v>
      </c>
      <c r="G86" s="46">
        <v>0</v>
      </c>
      <c r="H86" s="46">
        <v>0</v>
      </c>
      <c r="I86" s="46">
        <v>0</v>
      </c>
      <c r="J86" s="46">
        <v>0</v>
      </c>
      <c r="K86" s="46">
        <v>2.0599999999999998E-3</v>
      </c>
      <c r="L86" s="46">
        <v>2.0599999999999998E-3</v>
      </c>
      <c r="M86" s="46">
        <v>2.0599999999999998E-3</v>
      </c>
      <c r="N86" s="45"/>
    </row>
    <row r="87" spans="1:14" ht="18.75" x14ac:dyDescent="0.25">
      <c r="A87" s="306"/>
      <c r="B87" s="323"/>
      <c r="C87" s="22" t="s">
        <v>105</v>
      </c>
      <c r="D87" s="23" t="s">
        <v>17</v>
      </c>
      <c r="E87" s="46">
        <v>0</v>
      </c>
      <c r="F87" s="46">
        <v>0</v>
      </c>
      <c r="G87" s="46">
        <v>0</v>
      </c>
      <c r="H87" s="46">
        <v>0</v>
      </c>
      <c r="I87" s="46">
        <v>0</v>
      </c>
      <c r="J87" s="46">
        <v>0</v>
      </c>
      <c r="K87" s="46">
        <v>0</v>
      </c>
      <c r="L87" s="46">
        <v>0</v>
      </c>
      <c r="M87" s="46">
        <v>0</v>
      </c>
      <c r="N87" s="45"/>
    </row>
    <row r="88" spans="1:14" x14ac:dyDescent="0.25">
      <c r="A88" s="306"/>
      <c r="B88" s="323"/>
      <c r="C88" s="22" t="s">
        <v>11</v>
      </c>
      <c r="D88" s="23" t="s">
        <v>10</v>
      </c>
      <c r="E88" s="46">
        <v>0</v>
      </c>
      <c r="F88" s="46">
        <v>0</v>
      </c>
      <c r="G88" s="46">
        <v>0</v>
      </c>
      <c r="H88" s="46">
        <v>0</v>
      </c>
      <c r="I88" s="46">
        <v>0</v>
      </c>
      <c r="J88" s="46">
        <v>0</v>
      </c>
      <c r="K88" s="46">
        <v>0</v>
      </c>
      <c r="L88" s="46">
        <v>0</v>
      </c>
      <c r="M88" s="46">
        <v>0</v>
      </c>
      <c r="N88" s="45"/>
    </row>
    <row r="89" spans="1:14" x14ac:dyDescent="0.25">
      <c r="A89" s="306"/>
      <c r="B89" s="323"/>
      <c r="C89" s="21" t="s">
        <v>18</v>
      </c>
      <c r="D89" s="2" t="s">
        <v>19</v>
      </c>
      <c r="E89" s="44">
        <v>4.18</v>
      </c>
      <c r="F89" s="44">
        <v>4.18</v>
      </c>
      <c r="G89" s="44">
        <v>4.18</v>
      </c>
      <c r="H89" s="44">
        <v>4.18</v>
      </c>
      <c r="I89" s="44">
        <v>4.18</v>
      </c>
      <c r="J89" s="44">
        <v>4.18</v>
      </c>
      <c r="K89" s="44">
        <v>4.18</v>
      </c>
      <c r="L89" s="44">
        <v>4.18</v>
      </c>
      <c r="M89" s="44">
        <v>4.18</v>
      </c>
      <c r="N89" s="45"/>
    </row>
    <row r="90" spans="1:14" x14ac:dyDescent="0.25">
      <c r="A90" s="306"/>
      <c r="B90" s="323"/>
      <c r="C90" s="21" t="s">
        <v>13</v>
      </c>
      <c r="D90" s="2" t="s">
        <v>14</v>
      </c>
      <c r="E90" s="44"/>
      <c r="F90" s="44"/>
      <c r="G90" s="44"/>
      <c r="H90" s="44"/>
      <c r="I90" s="44"/>
      <c r="J90" s="44"/>
      <c r="K90" s="44"/>
      <c r="L90" s="44"/>
      <c r="M90" s="44"/>
      <c r="N90" s="45"/>
    </row>
    <row r="91" spans="1:14" x14ac:dyDescent="0.25">
      <c r="A91" s="306"/>
      <c r="B91" s="323"/>
      <c r="C91" s="21" t="s">
        <v>15</v>
      </c>
      <c r="D91" s="1" t="s">
        <v>4</v>
      </c>
      <c r="E91" s="44"/>
      <c r="F91" s="44"/>
      <c r="G91" s="44"/>
      <c r="H91" s="44"/>
      <c r="I91" s="44"/>
      <c r="J91" s="44"/>
      <c r="K91" s="44"/>
      <c r="L91" s="44"/>
      <c r="M91" s="44"/>
      <c r="N91" s="45"/>
    </row>
    <row r="92" spans="1:14" x14ac:dyDescent="0.25">
      <c r="A92" s="306"/>
      <c r="B92" s="323"/>
      <c r="C92" s="21" t="s">
        <v>106</v>
      </c>
      <c r="D92" s="1" t="s">
        <v>6</v>
      </c>
      <c r="E92" s="46">
        <v>2819.9005597918967</v>
      </c>
      <c r="F92" s="46">
        <v>1929.550889841297</v>
      </c>
      <c r="G92" s="46">
        <v>1213.482173232652</v>
      </c>
      <c r="H92" s="46">
        <v>421.5437177304745</v>
      </c>
      <c r="I92" s="46">
        <v>287.43432006836628</v>
      </c>
      <c r="J92" s="46">
        <v>182.19088878412825</v>
      </c>
      <c r="K92" s="46">
        <v>88.423403695885241</v>
      </c>
      <c r="L92" s="46">
        <v>77.457281612869494</v>
      </c>
      <c r="M92" s="46">
        <v>77.457281612869494</v>
      </c>
      <c r="N92" s="45"/>
    </row>
    <row r="93" spans="1:14" x14ac:dyDescent="0.25">
      <c r="A93" s="306"/>
      <c r="B93" s="323"/>
      <c r="C93" s="21" t="s">
        <v>107</v>
      </c>
      <c r="D93" s="1" t="s">
        <v>4</v>
      </c>
      <c r="E93" s="44"/>
      <c r="F93" s="44"/>
      <c r="G93" s="44"/>
      <c r="H93" s="44"/>
      <c r="I93" s="44"/>
      <c r="J93" s="44"/>
      <c r="K93" s="44"/>
      <c r="L93" s="44"/>
      <c r="M93" s="44"/>
      <c r="N93" s="45"/>
    </row>
    <row r="94" spans="1:14" ht="15" customHeight="1" x14ac:dyDescent="0.25">
      <c r="A94" s="306">
        <v>9</v>
      </c>
      <c r="B94" s="323" t="s">
        <v>108</v>
      </c>
      <c r="C94" s="21" t="s">
        <v>109</v>
      </c>
      <c r="D94" s="1" t="s">
        <v>19</v>
      </c>
      <c r="E94" s="44">
        <v>1</v>
      </c>
      <c r="F94" s="44">
        <v>1</v>
      </c>
      <c r="G94" s="44">
        <v>1</v>
      </c>
      <c r="H94" s="44">
        <v>1</v>
      </c>
      <c r="I94" s="44">
        <v>1</v>
      </c>
      <c r="J94" s="44">
        <v>1</v>
      </c>
      <c r="K94" s="44">
        <v>1</v>
      </c>
      <c r="L94" s="44">
        <v>1</v>
      </c>
      <c r="M94" s="44">
        <v>1</v>
      </c>
      <c r="N94" s="45"/>
    </row>
    <row r="95" spans="1:14" x14ac:dyDescent="0.25">
      <c r="A95" s="306"/>
      <c r="B95" s="323"/>
      <c r="C95" s="21" t="s">
        <v>21</v>
      </c>
      <c r="D95" s="1" t="s">
        <v>19</v>
      </c>
      <c r="E95" s="44">
        <v>0.35</v>
      </c>
      <c r="F95" s="44">
        <v>0.35</v>
      </c>
      <c r="G95" s="44">
        <v>0.35</v>
      </c>
      <c r="H95" s="44">
        <v>0.35</v>
      </c>
      <c r="I95" s="44">
        <v>0.35</v>
      </c>
      <c r="J95" s="44">
        <v>0.35</v>
      </c>
      <c r="K95" s="44">
        <v>0.35</v>
      </c>
      <c r="L95" s="44">
        <v>0.35</v>
      </c>
      <c r="M95" s="44">
        <v>0.35</v>
      </c>
      <c r="N95" s="45"/>
    </row>
    <row r="96" spans="1:14" x14ac:dyDescent="0.25">
      <c r="A96" s="306"/>
      <c r="B96" s="323"/>
      <c r="C96" s="21" t="s">
        <v>22</v>
      </c>
      <c r="D96" s="1" t="s">
        <v>4</v>
      </c>
      <c r="E96" s="44">
        <v>20</v>
      </c>
      <c r="F96" s="44">
        <v>20</v>
      </c>
      <c r="G96" s="44">
        <v>20</v>
      </c>
      <c r="H96" s="44">
        <v>20</v>
      </c>
      <c r="I96" s="44">
        <v>20</v>
      </c>
      <c r="J96" s="44">
        <v>20</v>
      </c>
      <c r="K96" s="44">
        <v>20</v>
      </c>
      <c r="L96" s="44">
        <v>20</v>
      </c>
      <c r="M96" s="44">
        <v>20</v>
      </c>
      <c r="N96" s="45"/>
    </row>
    <row r="97" spans="1:15" x14ac:dyDescent="0.25">
      <c r="A97" s="306"/>
      <c r="B97" s="323"/>
      <c r="C97" s="21" t="s">
        <v>23</v>
      </c>
      <c r="D97" s="1" t="s">
        <v>6</v>
      </c>
      <c r="E97" s="46">
        <v>202.65582041234001</v>
      </c>
      <c r="F97" s="46">
        <v>171.6776866187549</v>
      </c>
      <c r="G97" s="46">
        <v>133.81025064233</v>
      </c>
      <c r="H97" s="46">
        <v>107.89700245248551</v>
      </c>
      <c r="I97" s="46">
        <v>107.31263157894738</v>
      </c>
      <c r="J97" s="46">
        <v>107.00631578947369</v>
      </c>
      <c r="K97" s="46">
        <v>105.98526315789475</v>
      </c>
      <c r="L97" s="46">
        <v>103.84105263157896</v>
      </c>
      <c r="M97" s="46">
        <v>99.55263157894737</v>
      </c>
      <c r="N97" s="45"/>
    </row>
    <row r="98" spans="1:15" x14ac:dyDescent="0.25">
      <c r="A98" s="306"/>
      <c r="B98" s="323"/>
      <c r="C98" s="21" t="s">
        <v>173</v>
      </c>
      <c r="D98" s="1" t="s">
        <v>19</v>
      </c>
      <c r="E98" s="47">
        <v>0</v>
      </c>
      <c r="F98" s="47">
        <v>0</v>
      </c>
      <c r="G98" s="47">
        <v>0</v>
      </c>
      <c r="H98" s="47">
        <v>0</v>
      </c>
      <c r="I98" s="47">
        <v>0</v>
      </c>
      <c r="J98" s="47">
        <v>0</v>
      </c>
      <c r="K98" s="47">
        <v>0</v>
      </c>
      <c r="L98" s="47">
        <v>0</v>
      </c>
      <c r="M98" s="47">
        <v>0</v>
      </c>
      <c r="N98" s="45"/>
    </row>
    <row r="99" spans="1:15" x14ac:dyDescent="0.25">
      <c r="A99" s="306"/>
      <c r="B99" s="323"/>
      <c r="C99" s="21" t="s">
        <v>110</v>
      </c>
      <c r="D99" s="1" t="s">
        <v>8</v>
      </c>
      <c r="E99" s="44"/>
      <c r="F99" s="44"/>
      <c r="G99" s="44"/>
      <c r="H99" s="44"/>
      <c r="I99" s="44"/>
      <c r="J99" s="44"/>
      <c r="K99" s="44"/>
      <c r="L99" s="44"/>
      <c r="M99" s="44"/>
      <c r="N99" s="45"/>
    </row>
    <row r="100" spans="1:15" x14ac:dyDescent="0.25">
      <c r="A100" s="306"/>
      <c r="B100" s="323"/>
      <c r="C100" s="21" t="s">
        <v>111</v>
      </c>
      <c r="D100" s="1" t="s">
        <v>9</v>
      </c>
      <c r="E100" s="46">
        <v>6.0796746123701997</v>
      </c>
      <c r="F100" s="46">
        <v>5.1503305985626469</v>
      </c>
      <c r="G100" s="46">
        <v>4.0143075192698996</v>
      </c>
      <c r="H100" s="46">
        <v>3.2369100735745651</v>
      </c>
      <c r="I100" s="46">
        <v>2.0378947368421052</v>
      </c>
      <c r="J100" s="46">
        <v>2.0189473684210526</v>
      </c>
      <c r="K100" s="46">
        <v>1.9557894736842103</v>
      </c>
      <c r="L100" s="46">
        <v>1.8231578947368419</v>
      </c>
      <c r="M100" s="46">
        <v>1.557894736842105</v>
      </c>
      <c r="N100" s="45"/>
    </row>
    <row r="101" spans="1:15" x14ac:dyDescent="0.25">
      <c r="A101" s="306"/>
      <c r="B101" s="323"/>
      <c r="C101" s="21" t="s">
        <v>35</v>
      </c>
      <c r="D101" s="1" t="s">
        <v>10</v>
      </c>
      <c r="E101" s="46">
        <v>0</v>
      </c>
      <c r="F101" s="46">
        <v>0</v>
      </c>
      <c r="G101" s="46">
        <v>0</v>
      </c>
      <c r="H101" s="46">
        <v>0</v>
      </c>
      <c r="I101" s="46">
        <v>0</v>
      </c>
      <c r="J101" s="46">
        <v>0</v>
      </c>
      <c r="K101" s="46">
        <v>1.6666105263157894E-3</v>
      </c>
      <c r="L101" s="46">
        <v>1.5304421052631579E-3</v>
      </c>
      <c r="M101" s="46">
        <v>1.2581052631578946E-3</v>
      </c>
      <c r="N101" s="45"/>
    </row>
    <row r="102" spans="1:15" x14ac:dyDescent="0.25">
      <c r="A102" s="306"/>
      <c r="B102" s="323"/>
      <c r="C102" s="22" t="s">
        <v>24</v>
      </c>
      <c r="D102" s="23" t="s">
        <v>10</v>
      </c>
      <c r="E102" s="47">
        <v>0</v>
      </c>
      <c r="F102" s="47">
        <v>0</v>
      </c>
      <c r="G102" s="47">
        <v>0</v>
      </c>
      <c r="H102" s="47">
        <v>0</v>
      </c>
      <c r="I102" s="47">
        <v>0</v>
      </c>
      <c r="J102" s="47">
        <v>0</v>
      </c>
      <c r="K102" s="47">
        <v>0</v>
      </c>
      <c r="L102" s="47">
        <v>0</v>
      </c>
      <c r="M102" s="47">
        <v>0</v>
      </c>
      <c r="N102" s="45"/>
    </row>
    <row r="103" spans="1:15" x14ac:dyDescent="0.25">
      <c r="A103" s="306"/>
      <c r="B103" s="323"/>
      <c r="C103" s="21" t="s">
        <v>25</v>
      </c>
      <c r="D103" s="1" t="s">
        <v>7</v>
      </c>
      <c r="E103" s="47">
        <v>0.98499999999999988</v>
      </c>
      <c r="F103" s="47">
        <v>0.98499999999999988</v>
      </c>
      <c r="G103" s="47">
        <v>0.98499999999999988</v>
      </c>
      <c r="H103" s="47">
        <v>0.98499999999999988</v>
      </c>
      <c r="I103" s="47">
        <v>0.98499999999999988</v>
      </c>
      <c r="J103" s="47">
        <v>0.98499999999999988</v>
      </c>
      <c r="K103" s="47">
        <v>0.99399999999999999</v>
      </c>
      <c r="L103" s="47">
        <v>0.99399999999999999</v>
      </c>
      <c r="M103" s="47">
        <v>0.99399999999999999</v>
      </c>
      <c r="N103" s="45"/>
    </row>
    <row r="104" spans="1:15" x14ac:dyDescent="0.25">
      <c r="A104" s="306"/>
      <c r="B104" s="323"/>
      <c r="C104" s="21" t="s">
        <v>26</v>
      </c>
      <c r="D104" s="1" t="s">
        <v>14</v>
      </c>
      <c r="E104" s="46">
        <v>1524.6</v>
      </c>
      <c r="F104" s="46">
        <v>1749.6</v>
      </c>
      <c r="G104" s="46">
        <v>2349.6</v>
      </c>
      <c r="H104" s="46">
        <v>3174.6</v>
      </c>
      <c r="I104" s="46">
        <v>4299.6000000000004</v>
      </c>
      <c r="J104" s="46">
        <v>14213</v>
      </c>
      <c r="K104" s="46">
        <v>21713</v>
      </c>
      <c r="L104" s="46">
        <v>37463</v>
      </c>
      <c r="M104" s="46">
        <v>68963</v>
      </c>
      <c r="N104" s="45"/>
    </row>
    <row r="105" spans="1:15" x14ac:dyDescent="0.25">
      <c r="A105" s="306"/>
      <c r="B105" s="323"/>
      <c r="C105" s="21" t="s">
        <v>27</v>
      </c>
      <c r="D105" s="1" t="s">
        <v>4</v>
      </c>
      <c r="E105" s="44">
        <v>40</v>
      </c>
      <c r="F105" s="44">
        <v>40</v>
      </c>
      <c r="G105" s="44">
        <v>40</v>
      </c>
      <c r="H105" s="44">
        <v>40</v>
      </c>
      <c r="I105" s="44">
        <v>40</v>
      </c>
      <c r="J105" s="44">
        <v>40</v>
      </c>
      <c r="K105" s="44">
        <v>40</v>
      </c>
      <c r="L105" s="44">
        <v>40</v>
      </c>
      <c r="M105" s="44">
        <v>40</v>
      </c>
      <c r="N105" s="45"/>
    </row>
    <row r="106" spans="1:15" x14ac:dyDescent="0.25">
      <c r="A106" s="306"/>
      <c r="B106" s="323"/>
      <c r="C106" s="21" t="s">
        <v>112</v>
      </c>
      <c r="D106" s="1" t="s">
        <v>19</v>
      </c>
      <c r="E106" s="44">
        <v>0.5</v>
      </c>
      <c r="F106" s="44">
        <v>0.5</v>
      </c>
      <c r="G106" s="44">
        <v>0.5</v>
      </c>
      <c r="H106" s="44">
        <v>0.5</v>
      </c>
      <c r="I106" s="44">
        <v>0.5</v>
      </c>
      <c r="J106" s="44">
        <v>0.5</v>
      </c>
      <c r="K106" s="44">
        <v>0.5</v>
      </c>
      <c r="L106" s="44">
        <v>0.5</v>
      </c>
      <c r="M106" s="44">
        <v>0.5</v>
      </c>
      <c r="N106" s="45"/>
      <c r="O106" s="65"/>
    </row>
    <row r="107" spans="1:15" x14ac:dyDescent="0.25">
      <c r="A107" s="306"/>
      <c r="B107" s="323"/>
      <c r="C107" s="21" t="s">
        <v>28</v>
      </c>
      <c r="D107" s="1" t="s">
        <v>19</v>
      </c>
      <c r="E107" s="44">
        <v>1.3</v>
      </c>
      <c r="F107" s="44">
        <v>1.3</v>
      </c>
      <c r="G107" s="44">
        <v>1.3</v>
      </c>
      <c r="H107" s="44">
        <v>1.3</v>
      </c>
      <c r="I107" s="44">
        <v>1.3</v>
      </c>
      <c r="J107" s="44">
        <v>1.3</v>
      </c>
      <c r="K107" s="44">
        <v>1.3</v>
      </c>
      <c r="L107" s="44">
        <v>1.3</v>
      </c>
      <c r="M107" s="44">
        <v>1.3</v>
      </c>
      <c r="N107" s="45"/>
    </row>
    <row r="108" spans="1:15" x14ac:dyDescent="0.25">
      <c r="A108" s="306"/>
      <c r="B108" s="323"/>
      <c r="C108" s="21" t="s">
        <v>29</v>
      </c>
      <c r="D108" s="1" t="s">
        <v>4</v>
      </c>
      <c r="E108" s="44">
        <v>20</v>
      </c>
      <c r="F108" s="44">
        <v>20</v>
      </c>
      <c r="G108" s="44">
        <v>20</v>
      </c>
      <c r="H108" s="44">
        <v>20</v>
      </c>
      <c r="I108" s="44">
        <v>20</v>
      </c>
      <c r="J108" s="44">
        <v>20</v>
      </c>
      <c r="K108" s="44">
        <v>20</v>
      </c>
      <c r="L108" s="44">
        <v>20</v>
      </c>
      <c r="M108" s="44">
        <v>20</v>
      </c>
      <c r="N108" s="45"/>
    </row>
    <row r="109" spans="1:15" x14ac:dyDescent="0.25">
      <c r="A109" s="306"/>
      <c r="B109" s="323"/>
      <c r="C109" s="21" t="s">
        <v>30</v>
      </c>
      <c r="D109" s="1" t="s">
        <v>6</v>
      </c>
      <c r="E109" s="46">
        <v>1121.3946138315985</v>
      </c>
      <c r="F109" s="46">
        <v>800.77079092910083</v>
      </c>
      <c r="G109" s="46">
        <v>530.55820516118979</v>
      </c>
      <c r="H109" s="46">
        <v>446.14556901716315</v>
      </c>
      <c r="I109" s="46">
        <v>446.14556901716315</v>
      </c>
      <c r="J109" s="46">
        <v>446.14556901716315</v>
      </c>
      <c r="K109" s="46">
        <v>1273.5710477601447</v>
      </c>
      <c r="L109" s="46">
        <v>1107.916390593947</v>
      </c>
      <c r="M109" s="46">
        <v>973.86721871709995</v>
      </c>
      <c r="N109" s="45"/>
    </row>
    <row r="110" spans="1:15" x14ac:dyDescent="0.25">
      <c r="A110" s="306"/>
      <c r="B110" s="323"/>
      <c r="C110" s="21" t="s">
        <v>174</v>
      </c>
      <c r="D110" s="1" t="s">
        <v>19</v>
      </c>
      <c r="E110" s="47">
        <v>0</v>
      </c>
      <c r="F110" s="47">
        <v>0</v>
      </c>
      <c r="G110" s="47">
        <v>0</v>
      </c>
      <c r="H110" s="47">
        <v>0</v>
      </c>
      <c r="I110" s="47">
        <v>0</v>
      </c>
      <c r="J110" s="47">
        <v>0</v>
      </c>
      <c r="K110" s="47">
        <v>0</v>
      </c>
      <c r="L110" s="47">
        <v>0</v>
      </c>
      <c r="M110" s="47">
        <v>0</v>
      </c>
      <c r="N110" s="45"/>
    </row>
    <row r="111" spans="1:15" x14ac:dyDescent="0.25">
      <c r="A111" s="306"/>
      <c r="B111" s="323"/>
      <c r="C111" s="21" t="s">
        <v>113</v>
      </c>
      <c r="D111" s="1" t="s">
        <v>8</v>
      </c>
      <c r="E111" s="44"/>
      <c r="F111" s="44"/>
      <c r="G111" s="44"/>
      <c r="H111" s="44"/>
      <c r="I111" s="44"/>
      <c r="J111" s="44"/>
      <c r="K111" s="44"/>
      <c r="L111" s="44"/>
      <c r="M111" s="44"/>
      <c r="N111" s="45"/>
    </row>
    <row r="112" spans="1:15" x14ac:dyDescent="0.25">
      <c r="A112" s="306"/>
      <c r="B112" s="323"/>
      <c r="C112" s="21" t="s">
        <v>114</v>
      </c>
      <c r="D112" s="1" t="s">
        <v>9</v>
      </c>
      <c r="E112" s="44"/>
      <c r="F112" s="44"/>
      <c r="G112" s="44"/>
      <c r="H112" s="44"/>
      <c r="I112" s="44"/>
      <c r="J112" s="44"/>
      <c r="K112" s="44"/>
      <c r="L112" s="44"/>
      <c r="M112" s="44"/>
      <c r="N112" s="45"/>
    </row>
    <row r="113" spans="1:15" x14ac:dyDescent="0.25">
      <c r="A113" s="306"/>
      <c r="B113" s="323"/>
      <c r="C113" s="21" t="s">
        <v>115</v>
      </c>
      <c r="D113" s="1" t="s">
        <v>10</v>
      </c>
      <c r="E113" s="46">
        <v>0</v>
      </c>
      <c r="F113" s="46">
        <v>0</v>
      </c>
      <c r="G113" s="46">
        <v>0</v>
      </c>
      <c r="H113" s="46">
        <v>0</v>
      </c>
      <c r="I113" s="46">
        <v>0</v>
      </c>
      <c r="J113" s="46">
        <v>0</v>
      </c>
      <c r="K113" s="46">
        <v>0</v>
      </c>
      <c r="L113" s="46">
        <v>2.0599999999999998E-3</v>
      </c>
      <c r="M113" s="46">
        <v>2.0599999999999998E-3</v>
      </c>
      <c r="N113" s="48"/>
      <c r="O113" s="49"/>
    </row>
    <row r="114" spans="1:15" ht="18.75" x14ac:dyDescent="0.25">
      <c r="A114" s="306"/>
      <c r="B114" s="323"/>
      <c r="C114" s="22" t="s">
        <v>116</v>
      </c>
      <c r="D114" s="23" t="s">
        <v>17</v>
      </c>
      <c r="E114" s="46">
        <v>0</v>
      </c>
      <c r="F114" s="46">
        <v>0</v>
      </c>
      <c r="G114" s="46">
        <v>0</v>
      </c>
      <c r="H114" s="46">
        <v>0</v>
      </c>
      <c r="I114" s="46">
        <v>0</v>
      </c>
      <c r="J114" s="46">
        <v>0</v>
      </c>
      <c r="K114" s="46">
        <v>0</v>
      </c>
      <c r="L114" s="46">
        <v>0</v>
      </c>
      <c r="M114" s="46">
        <v>0</v>
      </c>
      <c r="N114" s="45"/>
    </row>
    <row r="115" spans="1:15" x14ac:dyDescent="0.25">
      <c r="A115" s="306"/>
      <c r="B115" s="323"/>
      <c r="C115" s="22" t="s">
        <v>31</v>
      </c>
      <c r="D115" s="23" t="s">
        <v>10</v>
      </c>
      <c r="E115" s="46">
        <v>0</v>
      </c>
      <c r="F115" s="46">
        <v>0</v>
      </c>
      <c r="G115" s="46">
        <v>0</v>
      </c>
      <c r="H115" s="46">
        <v>0</v>
      </c>
      <c r="I115" s="46">
        <v>0</v>
      </c>
      <c r="J115" s="46">
        <v>0</v>
      </c>
      <c r="K115" s="46">
        <v>0</v>
      </c>
      <c r="L115" s="46">
        <v>0</v>
      </c>
      <c r="M115" s="46">
        <v>0</v>
      </c>
      <c r="N115" s="45"/>
    </row>
    <row r="116" spans="1:15" x14ac:dyDescent="0.25">
      <c r="A116" s="306"/>
      <c r="B116" s="323"/>
      <c r="C116" s="21" t="s">
        <v>32</v>
      </c>
      <c r="D116" s="2" t="s">
        <v>19</v>
      </c>
      <c r="E116" s="44">
        <v>3.38</v>
      </c>
      <c r="F116" s="44">
        <v>3.38</v>
      </c>
      <c r="G116" s="44">
        <v>3.38</v>
      </c>
      <c r="H116" s="44">
        <v>3.38</v>
      </c>
      <c r="I116" s="44">
        <v>3.38</v>
      </c>
      <c r="J116" s="44">
        <v>3.38</v>
      </c>
      <c r="K116" s="44">
        <v>3.38</v>
      </c>
      <c r="L116" s="44">
        <v>3.38</v>
      </c>
      <c r="M116" s="44">
        <v>3.38</v>
      </c>
      <c r="N116" s="45"/>
    </row>
    <row r="117" spans="1:15" x14ac:dyDescent="0.25">
      <c r="A117" s="306"/>
      <c r="B117" s="323"/>
      <c r="C117" s="21" t="s">
        <v>33</v>
      </c>
      <c r="D117" s="2" t="s">
        <v>14</v>
      </c>
      <c r="E117" s="44"/>
      <c r="F117" s="44"/>
      <c r="G117" s="44"/>
      <c r="H117" s="44"/>
      <c r="I117" s="44"/>
      <c r="J117" s="44"/>
      <c r="K117" s="44"/>
      <c r="L117" s="44"/>
      <c r="M117" s="44"/>
      <c r="N117" s="45"/>
    </row>
    <row r="118" spans="1:15" x14ac:dyDescent="0.25">
      <c r="A118" s="306"/>
      <c r="B118" s="323"/>
      <c r="C118" s="21" t="s">
        <v>34</v>
      </c>
      <c r="D118" s="2" t="s">
        <v>4</v>
      </c>
      <c r="E118" s="44"/>
      <c r="F118" s="44"/>
      <c r="G118" s="44"/>
      <c r="H118" s="44"/>
      <c r="I118" s="44"/>
      <c r="J118" s="44"/>
      <c r="K118" s="44"/>
      <c r="L118" s="44"/>
      <c r="M118" s="44"/>
      <c r="N118" s="45"/>
    </row>
    <row r="119" spans="1:15" ht="15" customHeight="1" x14ac:dyDescent="0.25">
      <c r="A119" s="306">
        <v>10</v>
      </c>
      <c r="B119" s="323" t="s">
        <v>175</v>
      </c>
      <c r="C119" s="21" t="s">
        <v>109</v>
      </c>
      <c r="D119" s="1" t="s">
        <v>19</v>
      </c>
      <c r="E119" s="44">
        <v>1</v>
      </c>
      <c r="F119" s="44">
        <v>1</v>
      </c>
      <c r="G119" s="44">
        <v>1</v>
      </c>
      <c r="H119" s="44">
        <v>1</v>
      </c>
      <c r="I119" s="44">
        <v>1</v>
      </c>
      <c r="J119" s="44">
        <v>1</v>
      </c>
      <c r="K119" s="44">
        <v>1</v>
      </c>
      <c r="L119" s="44">
        <v>1</v>
      </c>
      <c r="M119" s="44">
        <v>1</v>
      </c>
      <c r="N119" s="45"/>
    </row>
    <row r="120" spans="1:15" x14ac:dyDescent="0.25">
      <c r="A120" s="306"/>
      <c r="B120" s="323"/>
      <c r="C120" s="21" t="s">
        <v>21</v>
      </c>
      <c r="D120" s="1" t="s">
        <v>19</v>
      </c>
      <c r="E120" s="44">
        <v>0.35</v>
      </c>
      <c r="F120" s="44">
        <v>0.35</v>
      </c>
      <c r="G120" s="44">
        <v>0.35</v>
      </c>
      <c r="H120" s="44">
        <v>0.35</v>
      </c>
      <c r="I120" s="44">
        <v>0.35</v>
      </c>
      <c r="J120" s="44">
        <v>0.35</v>
      </c>
      <c r="K120" s="44">
        <v>0.35</v>
      </c>
      <c r="L120" s="44">
        <v>0.35</v>
      </c>
      <c r="M120" s="44">
        <v>0.35</v>
      </c>
      <c r="N120" s="45"/>
    </row>
    <row r="121" spans="1:15" x14ac:dyDescent="0.25">
      <c r="A121" s="306"/>
      <c r="B121" s="323"/>
      <c r="C121" s="21" t="s">
        <v>22</v>
      </c>
      <c r="D121" s="1" t="s">
        <v>4</v>
      </c>
      <c r="E121" s="44">
        <v>20</v>
      </c>
      <c r="F121" s="44">
        <v>20</v>
      </c>
      <c r="G121" s="44">
        <v>20</v>
      </c>
      <c r="H121" s="44">
        <v>20</v>
      </c>
      <c r="I121" s="44">
        <v>20</v>
      </c>
      <c r="J121" s="44">
        <v>20</v>
      </c>
      <c r="K121" s="44">
        <v>20</v>
      </c>
      <c r="L121" s="44">
        <v>20</v>
      </c>
      <c r="M121" s="44">
        <v>20</v>
      </c>
      <c r="N121" s="45"/>
    </row>
    <row r="122" spans="1:15" x14ac:dyDescent="0.25">
      <c r="A122" s="306"/>
      <c r="B122" s="323"/>
      <c r="C122" s="21" t="s">
        <v>23</v>
      </c>
      <c r="D122" s="1" t="s">
        <v>6</v>
      </c>
      <c r="E122" s="46">
        <v>202.65582041234001</v>
      </c>
      <c r="F122" s="46">
        <v>171.6776866187549</v>
      </c>
      <c r="G122" s="46">
        <v>133.81025064233</v>
      </c>
      <c r="H122" s="46">
        <v>107.89700245248551</v>
      </c>
      <c r="I122" s="46">
        <v>107.31263157894738</v>
      </c>
      <c r="J122" s="46">
        <v>107.00631578947369</v>
      </c>
      <c r="K122" s="46">
        <v>105.98526315789475</v>
      </c>
      <c r="L122" s="46">
        <v>103.84105263157896</v>
      </c>
      <c r="M122" s="46">
        <v>99.55263157894737</v>
      </c>
      <c r="N122" s="45"/>
    </row>
    <row r="123" spans="1:15" x14ac:dyDescent="0.25">
      <c r="A123" s="306"/>
      <c r="B123" s="323"/>
      <c r="C123" s="21" t="s">
        <v>173</v>
      </c>
      <c r="D123" s="1" t="s">
        <v>19</v>
      </c>
      <c r="E123" s="47">
        <v>0</v>
      </c>
      <c r="F123" s="47">
        <v>0</v>
      </c>
      <c r="G123" s="47">
        <v>0</v>
      </c>
      <c r="H123" s="47">
        <v>0</v>
      </c>
      <c r="I123" s="47">
        <v>0</v>
      </c>
      <c r="J123" s="47">
        <v>0</v>
      </c>
      <c r="K123" s="47">
        <v>0</v>
      </c>
      <c r="L123" s="47">
        <v>0</v>
      </c>
      <c r="M123" s="47">
        <v>0</v>
      </c>
      <c r="N123" s="45"/>
    </row>
    <row r="124" spans="1:15" x14ac:dyDescent="0.25">
      <c r="A124" s="306"/>
      <c r="B124" s="323"/>
      <c r="C124" s="21" t="s">
        <v>110</v>
      </c>
      <c r="D124" s="1" t="s">
        <v>8</v>
      </c>
      <c r="E124" s="44"/>
      <c r="F124" s="44"/>
      <c r="G124" s="44"/>
      <c r="H124" s="44"/>
      <c r="I124" s="44"/>
      <c r="J124" s="44"/>
      <c r="K124" s="44"/>
      <c r="L124" s="44"/>
      <c r="M124" s="44"/>
      <c r="N124" s="45"/>
    </row>
    <row r="125" spans="1:15" x14ac:dyDescent="0.25">
      <c r="A125" s="306"/>
      <c r="B125" s="323"/>
      <c r="C125" s="21" t="s">
        <v>111</v>
      </c>
      <c r="D125" s="1" t="s">
        <v>9</v>
      </c>
      <c r="E125" s="46">
        <v>6.0796746123701997</v>
      </c>
      <c r="F125" s="46">
        <v>5.1503305985626469</v>
      </c>
      <c r="G125" s="46">
        <v>4.0143075192698996</v>
      </c>
      <c r="H125" s="46">
        <v>3.2369100735745651</v>
      </c>
      <c r="I125" s="46">
        <v>2.0378947368421052</v>
      </c>
      <c r="J125" s="46">
        <v>2.0189473684210526</v>
      </c>
      <c r="K125" s="46">
        <v>1.9557894736842103</v>
      </c>
      <c r="L125" s="46">
        <v>1.8231578947368419</v>
      </c>
      <c r="M125" s="46">
        <v>1.557894736842105</v>
      </c>
      <c r="N125" s="45"/>
    </row>
    <row r="126" spans="1:15" x14ac:dyDescent="0.25">
      <c r="A126" s="306"/>
      <c r="B126" s="323"/>
      <c r="C126" s="21" t="s">
        <v>35</v>
      </c>
      <c r="D126" s="1" t="s">
        <v>10</v>
      </c>
      <c r="E126" s="46">
        <v>0</v>
      </c>
      <c r="F126" s="46">
        <v>0</v>
      </c>
      <c r="G126" s="46">
        <v>0</v>
      </c>
      <c r="H126" s="46">
        <v>0</v>
      </c>
      <c r="I126" s="46">
        <v>0</v>
      </c>
      <c r="J126" s="46">
        <v>0</v>
      </c>
      <c r="K126" s="46">
        <v>1.6666105263157894E-3</v>
      </c>
      <c r="L126" s="46">
        <v>1.5304421052631579E-3</v>
      </c>
      <c r="M126" s="46">
        <v>1.2581052631578946E-3</v>
      </c>
      <c r="N126" s="45"/>
    </row>
    <row r="127" spans="1:15" x14ac:dyDescent="0.25">
      <c r="A127" s="306"/>
      <c r="B127" s="323"/>
      <c r="C127" s="22" t="s">
        <v>24</v>
      </c>
      <c r="D127" s="23" t="s">
        <v>10</v>
      </c>
      <c r="E127" s="46">
        <v>0</v>
      </c>
      <c r="F127" s="46">
        <v>0</v>
      </c>
      <c r="G127" s="46">
        <v>0</v>
      </c>
      <c r="H127" s="46">
        <v>0</v>
      </c>
      <c r="I127" s="46">
        <v>0</v>
      </c>
      <c r="J127" s="46">
        <v>0</v>
      </c>
      <c r="K127" s="46">
        <v>0</v>
      </c>
      <c r="L127" s="46">
        <v>0</v>
      </c>
      <c r="M127" s="46">
        <v>0</v>
      </c>
      <c r="N127" s="45"/>
    </row>
    <row r="128" spans="1:15" x14ac:dyDescent="0.25">
      <c r="A128" s="306"/>
      <c r="B128" s="323"/>
      <c r="C128" s="21" t="s">
        <v>25</v>
      </c>
      <c r="D128" s="1" t="s">
        <v>7</v>
      </c>
      <c r="E128" s="47">
        <v>0.98499999999999988</v>
      </c>
      <c r="F128" s="47">
        <v>0.98499999999999988</v>
      </c>
      <c r="G128" s="47">
        <v>0.98499999999999988</v>
      </c>
      <c r="H128" s="47">
        <v>0.98499999999999988</v>
      </c>
      <c r="I128" s="47">
        <v>0.98499999999999988</v>
      </c>
      <c r="J128" s="47">
        <v>0.98499999999999988</v>
      </c>
      <c r="K128" s="47">
        <v>0.99399999999999999</v>
      </c>
      <c r="L128" s="47">
        <v>0.99399999999999999</v>
      </c>
      <c r="M128" s="47">
        <v>0.99399999999999999</v>
      </c>
      <c r="N128" s="45"/>
    </row>
    <row r="129" spans="1:14" x14ac:dyDescent="0.25">
      <c r="A129" s="306"/>
      <c r="B129" s="323"/>
      <c r="C129" s="21" t="s">
        <v>26</v>
      </c>
      <c r="D129" s="1" t="s">
        <v>14</v>
      </c>
      <c r="E129" s="46">
        <v>1524.6</v>
      </c>
      <c r="F129" s="46">
        <v>1749.6</v>
      </c>
      <c r="G129" s="46">
        <v>2349.6</v>
      </c>
      <c r="H129" s="46">
        <v>3174.6</v>
      </c>
      <c r="I129" s="46">
        <v>4299.6000000000004</v>
      </c>
      <c r="J129" s="46">
        <v>14213</v>
      </c>
      <c r="K129" s="46">
        <v>21713</v>
      </c>
      <c r="L129" s="46">
        <v>37463</v>
      </c>
      <c r="M129" s="46">
        <v>68963</v>
      </c>
      <c r="N129" s="45"/>
    </row>
    <row r="130" spans="1:14" x14ac:dyDescent="0.25">
      <c r="A130" s="306"/>
      <c r="B130" s="323"/>
      <c r="C130" s="21" t="s">
        <v>27</v>
      </c>
      <c r="D130" s="1" t="s">
        <v>4</v>
      </c>
      <c r="E130" s="44">
        <v>40</v>
      </c>
      <c r="F130" s="44">
        <v>40</v>
      </c>
      <c r="G130" s="44">
        <v>40</v>
      </c>
      <c r="H130" s="44">
        <v>40</v>
      </c>
      <c r="I130" s="44">
        <v>40</v>
      </c>
      <c r="J130" s="44">
        <v>40</v>
      </c>
      <c r="K130" s="44">
        <v>40</v>
      </c>
      <c r="L130" s="44">
        <v>40</v>
      </c>
      <c r="M130" s="44">
        <v>40</v>
      </c>
      <c r="N130" s="45"/>
    </row>
    <row r="131" spans="1:14" x14ac:dyDescent="0.25">
      <c r="A131" s="306"/>
      <c r="B131" s="323"/>
      <c r="C131" s="21" t="s">
        <v>117</v>
      </c>
      <c r="D131" s="1" t="s">
        <v>19</v>
      </c>
      <c r="E131" s="44">
        <v>0.35</v>
      </c>
      <c r="F131" s="44">
        <v>0.35</v>
      </c>
      <c r="G131" s="44">
        <v>0.35</v>
      </c>
      <c r="H131" s="44">
        <v>0.35</v>
      </c>
      <c r="I131" s="44">
        <v>0.35</v>
      </c>
      <c r="J131" s="44">
        <v>0.35</v>
      </c>
      <c r="K131" s="44">
        <v>0.35</v>
      </c>
      <c r="L131" s="44">
        <v>0.35</v>
      </c>
      <c r="M131" s="44">
        <v>0.35</v>
      </c>
      <c r="N131" s="45"/>
    </row>
    <row r="132" spans="1:14" x14ac:dyDescent="0.25">
      <c r="A132" s="306"/>
      <c r="B132" s="323"/>
      <c r="C132" s="21" t="s">
        <v>36</v>
      </c>
      <c r="D132" s="1" t="s">
        <v>19</v>
      </c>
      <c r="E132" s="44">
        <v>1.8571428571428572</v>
      </c>
      <c r="F132" s="44">
        <v>1.8571428571428572</v>
      </c>
      <c r="G132" s="44">
        <v>1.8571428571428572</v>
      </c>
      <c r="H132" s="44">
        <v>1.8571428571428572</v>
      </c>
      <c r="I132" s="44">
        <v>1.8571428571428572</v>
      </c>
      <c r="J132" s="44">
        <v>1.8571428571428572</v>
      </c>
      <c r="K132" s="44">
        <v>1.8571428571428572</v>
      </c>
      <c r="L132" s="44">
        <v>1.8571428571428572</v>
      </c>
      <c r="M132" s="44">
        <v>1.8571428571428572</v>
      </c>
      <c r="N132" s="45"/>
    </row>
    <row r="133" spans="1:14" x14ac:dyDescent="0.25">
      <c r="A133" s="306"/>
      <c r="B133" s="323"/>
      <c r="C133" s="21" t="s">
        <v>37</v>
      </c>
      <c r="D133" s="1" t="s">
        <v>4</v>
      </c>
      <c r="E133" s="44">
        <v>20</v>
      </c>
      <c r="F133" s="44">
        <v>20</v>
      </c>
      <c r="G133" s="44">
        <v>20</v>
      </c>
      <c r="H133" s="44">
        <v>20</v>
      </c>
      <c r="I133" s="44">
        <v>20</v>
      </c>
      <c r="J133" s="44">
        <v>20</v>
      </c>
      <c r="K133" s="44">
        <v>20</v>
      </c>
      <c r="L133" s="44">
        <v>20</v>
      </c>
      <c r="M133" s="44">
        <v>20</v>
      </c>
      <c r="N133" s="45"/>
    </row>
    <row r="134" spans="1:14" x14ac:dyDescent="0.25">
      <c r="A134" s="306"/>
      <c r="B134" s="323"/>
      <c r="C134" s="21" t="s">
        <v>38</v>
      </c>
      <c r="D134" s="1" t="s">
        <v>6</v>
      </c>
      <c r="E134" s="46">
        <v>6304.5457437357918</v>
      </c>
      <c r="F134" s="46">
        <v>4255.2155768670527</v>
      </c>
      <c r="G134" s="46">
        <v>2631.5994039092525</v>
      </c>
      <c r="H134" s="46">
        <v>2072.3743483471271</v>
      </c>
      <c r="I134" s="46">
        <v>1733.2777911140615</v>
      </c>
      <c r="J134" s="46">
        <v>1392.7514739604958</v>
      </c>
      <c r="K134" s="46">
        <v>1092.1408151125991</v>
      </c>
      <c r="L134" s="46">
        <v>876.09845826756919</v>
      </c>
      <c r="M134" s="46">
        <v>714.42976829028339</v>
      </c>
      <c r="N134" s="45"/>
    </row>
    <row r="135" spans="1:14" x14ac:dyDescent="0.25">
      <c r="A135" s="306"/>
      <c r="B135" s="323"/>
      <c r="C135" s="21" t="s">
        <v>176</v>
      </c>
      <c r="D135" s="1" t="s">
        <v>19</v>
      </c>
      <c r="E135" s="47">
        <v>0</v>
      </c>
      <c r="F135" s="47">
        <v>0</v>
      </c>
      <c r="G135" s="47">
        <v>0</v>
      </c>
      <c r="H135" s="47">
        <v>0</v>
      </c>
      <c r="I135" s="47">
        <v>0</v>
      </c>
      <c r="J135" s="47">
        <v>0</v>
      </c>
      <c r="K135" s="47">
        <v>0</v>
      </c>
      <c r="L135" s="47">
        <v>0</v>
      </c>
      <c r="M135" s="47">
        <v>0</v>
      </c>
      <c r="N135" s="45"/>
    </row>
    <row r="136" spans="1:14" x14ac:dyDescent="0.25">
      <c r="A136" s="306"/>
      <c r="B136" s="323"/>
      <c r="C136" s="21" t="s">
        <v>118</v>
      </c>
      <c r="D136" s="1" t="s">
        <v>8</v>
      </c>
      <c r="E136" s="44"/>
      <c r="F136" s="44"/>
      <c r="G136" s="44"/>
      <c r="H136" s="44"/>
      <c r="I136" s="44"/>
      <c r="J136" s="44"/>
      <c r="K136" s="44"/>
      <c r="L136" s="44"/>
      <c r="M136" s="44"/>
      <c r="N136" s="45"/>
    </row>
    <row r="137" spans="1:14" x14ac:dyDescent="0.25">
      <c r="A137" s="306"/>
      <c r="B137" s="323"/>
      <c r="C137" s="21" t="s">
        <v>119</v>
      </c>
      <c r="D137" s="1" t="s">
        <v>9</v>
      </c>
      <c r="E137" s="44"/>
      <c r="F137" s="44"/>
      <c r="G137" s="44"/>
      <c r="H137" s="44"/>
      <c r="I137" s="44"/>
      <c r="J137" s="44"/>
      <c r="K137" s="44"/>
      <c r="L137" s="44"/>
      <c r="M137" s="44"/>
      <c r="N137" s="45"/>
    </row>
    <row r="138" spans="1:14" x14ac:dyDescent="0.25">
      <c r="A138" s="306"/>
      <c r="B138" s="323"/>
      <c r="C138" s="21" t="s">
        <v>39</v>
      </c>
      <c r="D138" s="1" t="s">
        <v>10</v>
      </c>
      <c r="E138" s="46">
        <v>5.4632155805897732E-2</v>
      </c>
      <c r="F138" s="46">
        <v>6.9225169277652349E-2</v>
      </c>
      <c r="G138" s="46">
        <v>5.5072970988733948E-2</v>
      </c>
      <c r="H138" s="46">
        <v>4.6604222305577481E-2</v>
      </c>
      <c r="I138" s="46">
        <v>4.0289223212275231E-2</v>
      </c>
      <c r="J138" s="46">
        <v>2.4583755873341454E-2</v>
      </c>
      <c r="K138" s="46">
        <v>1.9104989606490121E-2</v>
      </c>
      <c r="L138" s="46">
        <v>1.5182594783541725E-2</v>
      </c>
      <c r="M138" s="46">
        <v>1.3307545040231683E-2</v>
      </c>
      <c r="N138" s="45"/>
    </row>
    <row r="139" spans="1:14" x14ac:dyDescent="0.25">
      <c r="A139" s="306"/>
      <c r="B139" s="323"/>
      <c r="C139" s="22" t="s">
        <v>40</v>
      </c>
      <c r="D139" s="23" t="s">
        <v>10</v>
      </c>
      <c r="E139" s="46">
        <v>0</v>
      </c>
      <c r="F139" s="46">
        <v>0</v>
      </c>
      <c r="G139" s="46">
        <v>0</v>
      </c>
      <c r="H139" s="46">
        <v>0</v>
      </c>
      <c r="I139" s="46">
        <v>0</v>
      </c>
      <c r="J139" s="46">
        <v>0</v>
      </c>
      <c r="K139" s="46">
        <v>0</v>
      </c>
      <c r="L139" s="46">
        <v>0</v>
      </c>
      <c r="M139" s="46">
        <v>0</v>
      </c>
      <c r="N139" s="45"/>
    </row>
    <row r="140" spans="1:14" x14ac:dyDescent="0.25">
      <c r="A140" s="306"/>
      <c r="B140" s="323"/>
      <c r="C140" s="21" t="s">
        <v>41</v>
      </c>
      <c r="D140" s="1" t="s">
        <v>14</v>
      </c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1:14" x14ac:dyDescent="0.25">
      <c r="A141" s="306"/>
      <c r="B141" s="323"/>
      <c r="C141" s="21" t="s">
        <v>42</v>
      </c>
      <c r="D141" s="1" t="s">
        <v>4</v>
      </c>
      <c r="E141" s="44"/>
      <c r="F141" s="44"/>
      <c r="G141" s="44"/>
      <c r="H141" s="44"/>
      <c r="I141" s="44"/>
      <c r="J141" s="44"/>
      <c r="K141" s="44"/>
      <c r="L141" s="44"/>
      <c r="M141" s="44"/>
      <c r="N141" s="45"/>
    </row>
    <row r="142" spans="1:14" x14ac:dyDescent="0.25">
      <c r="A142" s="306"/>
      <c r="B142" s="323"/>
      <c r="C142" s="21" t="s">
        <v>43</v>
      </c>
      <c r="D142" s="1" t="s">
        <v>7</v>
      </c>
      <c r="E142" s="50">
        <v>0.25</v>
      </c>
      <c r="F142" s="50">
        <v>0.25</v>
      </c>
      <c r="G142" s="50">
        <v>0.25</v>
      </c>
      <c r="H142" s="50">
        <v>0.25</v>
      </c>
      <c r="I142" s="50">
        <v>0.25</v>
      </c>
      <c r="J142" s="50">
        <v>0.25</v>
      </c>
      <c r="K142" s="50">
        <v>0.25</v>
      </c>
      <c r="L142" s="50">
        <v>0.25</v>
      </c>
      <c r="M142" s="50">
        <v>0.25</v>
      </c>
      <c r="N142" s="45"/>
    </row>
    <row r="143" spans="1:14" x14ac:dyDescent="0.25">
      <c r="A143" s="306"/>
      <c r="B143" s="323"/>
      <c r="C143" s="24" t="s">
        <v>44</v>
      </c>
      <c r="D143" s="1" t="s">
        <v>7</v>
      </c>
      <c r="E143" s="47">
        <v>0.66625430833964439</v>
      </c>
      <c r="F143" s="47">
        <v>0.66367464936796561</v>
      </c>
      <c r="G143" s="47">
        <v>0.65679555877682227</v>
      </c>
      <c r="H143" s="47">
        <v>0.64733680921400016</v>
      </c>
      <c r="I143" s="47">
        <v>0.63443851435560639</v>
      </c>
      <c r="J143" s="47">
        <v>0.4680070358050421</v>
      </c>
      <c r="K143" s="47">
        <v>0.46713859851464173</v>
      </c>
      <c r="L143" s="47">
        <v>0.46531488020480088</v>
      </c>
      <c r="M143" s="47">
        <v>0.47</v>
      </c>
      <c r="N143" s="45"/>
    </row>
    <row r="144" spans="1:14" x14ac:dyDescent="0.25">
      <c r="A144" s="306"/>
      <c r="B144" s="323"/>
      <c r="C144" s="24" t="s">
        <v>45</v>
      </c>
      <c r="D144" s="1" t="s">
        <v>7</v>
      </c>
      <c r="E144" s="47">
        <v>0.25092243745356524</v>
      </c>
      <c r="F144" s="47">
        <v>0.25657675134016689</v>
      </c>
      <c r="G144" s="47">
        <v>0.27165492170443795</v>
      </c>
      <c r="H144" s="47">
        <v>0.29238740595531065</v>
      </c>
      <c r="I144" s="47">
        <v>0.32065897538831889</v>
      </c>
      <c r="J144" s="47">
        <v>0.41290384467151914</v>
      </c>
      <c r="K144" s="47">
        <v>0.41363974384019625</v>
      </c>
      <c r="L144" s="47">
        <v>0.41518513209441815</v>
      </c>
      <c r="M144" s="47">
        <v>0.41599999999999998</v>
      </c>
      <c r="N144" s="45"/>
    </row>
    <row r="145" spans="1:14" x14ac:dyDescent="0.25">
      <c r="A145" s="306"/>
      <c r="B145" s="323"/>
      <c r="C145" s="25" t="s">
        <v>120</v>
      </c>
      <c r="D145" s="23" t="s">
        <v>10</v>
      </c>
      <c r="E145" s="46">
        <v>0</v>
      </c>
      <c r="F145" s="46">
        <v>0</v>
      </c>
      <c r="G145" s="46">
        <v>0</v>
      </c>
      <c r="H145" s="46">
        <v>0</v>
      </c>
      <c r="I145" s="46">
        <v>0</v>
      </c>
      <c r="J145" s="46">
        <v>0</v>
      </c>
      <c r="K145" s="46">
        <v>0</v>
      </c>
      <c r="L145" s="46">
        <v>0</v>
      </c>
      <c r="M145" s="46">
        <v>0</v>
      </c>
      <c r="N145" s="45"/>
    </row>
    <row r="146" spans="1:14" x14ac:dyDescent="0.25">
      <c r="A146" s="306"/>
      <c r="B146" s="323"/>
      <c r="C146" s="25" t="s">
        <v>121</v>
      </c>
      <c r="D146" s="23" t="s">
        <v>122</v>
      </c>
      <c r="E146" s="46">
        <v>0</v>
      </c>
      <c r="F146" s="46">
        <v>0</v>
      </c>
      <c r="G146" s="46">
        <v>0</v>
      </c>
      <c r="H146" s="46">
        <v>0</v>
      </c>
      <c r="I146" s="46">
        <v>0</v>
      </c>
      <c r="J146" s="46">
        <v>0</v>
      </c>
      <c r="K146" s="46">
        <v>0</v>
      </c>
      <c r="L146" s="46">
        <v>0</v>
      </c>
      <c r="M146" s="46">
        <v>0</v>
      </c>
      <c r="N146" s="45"/>
    </row>
    <row r="147" spans="1:14" x14ac:dyDescent="0.25">
      <c r="A147" s="306"/>
      <c r="B147" s="323"/>
      <c r="C147" s="25" t="s">
        <v>123</v>
      </c>
      <c r="D147" s="23" t="s">
        <v>124</v>
      </c>
      <c r="E147" s="44">
        <v>0</v>
      </c>
      <c r="F147" s="44">
        <v>0</v>
      </c>
      <c r="G147" s="44">
        <v>0</v>
      </c>
      <c r="H147" s="44">
        <v>0</v>
      </c>
      <c r="I147" s="44">
        <v>0</v>
      </c>
      <c r="J147" s="44">
        <v>0</v>
      </c>
      <c r="K147" s="44">
        <v>0</v>
      </c>
      <c r="L147" s="44">
        <v>0</v>
      </c>
      <c r="M147" s="44">
        <v>0</v>
      </c>
      <c r="N147" s="45"/>
    </row>
    <row r="148" spans="1:14" ht="15" customHeight="1" x14ac:dyDescent="0.25">
      <c r="A148" s="306">
        <v>11</v>
      </c>
      <c r="B148" s="323" t="s">
        <v>177</v>
      </c>
      <c r="C148" s="21" t="s">
        <v>109</v>
      </c>
      <c r="D148" s="1" t="s">
        <v>19</v>
      </c>
      <c r="E148" s="44">
        <v>1</v>
      </c>
      <c r="F148" s="44">
        <v>1</v>
      </c>
      <c r="G148" s="44">
        <v>1</v>
      </c>
      <c r="H148" s="44">
        <v>1</v>
      </c>
      <c r="I148" s="44">
        <v>1</v>
      </c>
      <c r="J148" s="44">
        <v>1</v>
      </c>
      <c r="K148" s="44">
        <v>1</v>
      </c>
      <c r="L148" s="44">
        <v>1</v>
      </c>
      <c r="M148" s="44">
        <v>1</v>
      </c>
      <c r="N148" s="45"/>
    </row>
    <row r="149" spans="1:14" x14ac:dyDescent="0.25">
      <c r="A149" s="306"/>
      <c r="B149" s="323"/>
      <c r="C149" s="21" t="s">
        <v>21</v>
      </c>
      <c r="D149" s="1" t="s">
        <v>19</v>
      </c>
      <c r="E149" s="44">
        <v>0.35</v>
      </c>
      <c r="F149" s="44">
        <v>0.35</v>
      </c>
      <c r="G149" s="44">
        <v>0.35</v>
      </c>
      <c r="H149" s="44">
        <v>0.35</v>
      </c>
      <c r="I149" s="44">
        <v>0.35</v>
      </c>
      <c r="J149" s="44">
        <v>0.35</v>
      </c>
      <c r="K149" s="44">
        <v>0.35</v>
      </c>
      <c r="L149" s="44">
        <v>0.35</v>
      </c>
      <c r="M149" s="44">
        <v>0.35</v>
      </c>
      <c r="N149" s="45"/>
    </row>
    <row r="150" spans="1:14" x14ac:dyDescent="0.25">
      <c r="A150" s="306"/>
      <c r="B150" s="323"/>
      <c r="C150" s="21" t="s">
        <v>22</v>
      </c>
      <c r="D150" s="1" t="s">
        <v>4</v>
      </c>
      <c r="E150" s="44">
        <v>20</v>
      </c>
      <c r="F150" s="44">
        <v>20</v>
      </c>
      <c r="G150" s="44">
        <v>20</v>
      </c>
      <c r="H150" s="44">
        <v>20</v>
      </c>
      <c r="I150" s="44">
        <v>20</v>
      </c>
      <c r="J150" s="44">
        <v>20</v>
      </c>
      <c r="K150" s="44">
        <v>20</v>
      </c>
      <c r="L150" s="44">
        <v>20</v>
      </c>
      <c r="M150" s="44">
        <v>20</v>
      </c>
      <c r="N150" s="45"/>
    </row>
    <row r="151" spans="1:14" x14ac:dyDescent="0.25">
      <c r="A151" s="306"/>
      <c r="B151" s="323"/>
      <c r="C151" s="21" t="s">
        <v>23</v>
      </c>
      <c r="D151" s="1" t="s">
        <v>6</v>
      </c>
      <c r="E151" s="46">
        <v>202.65582041234001</v>
      </c>
      <c r="F151" s="46">
        <v>171.6776866187549</v>
      </c>
      <c r="G151" s="46">
        <v>133.81025064233</v>
      </c>
      <c r="H151" s="46">
        <v>107.89700245248551</v>
      </c>
      <c r="I151" s="46">
        <v>107.31263157894738</v>
      </c>
      <c r="J151" s="46">
        <v>107.00631578947369</v>
      </c>
      <c r="K151" s="46">
        <v>105.98526315789475</v>
      </c>
      <c r="L151" s="46">
        <v>103.84105263157896</v>
      </c>
      <c r="M151" s="46">
        <v>99.55263157894737</v>
      </c>
      <c r="N151" s="45"/>
    </row>
    <row r="152" spans="1:14" x14ac:dyDescent="0.25">
      <c r="A152" s="306"/>
      <c r="B152" s="323"/>
      <c r="C152" s="21" t="s">
        <v>173</v>
      </c>
      <c r="D152" s="1" t="s">
        <v>19</v>
      </c>
      <c r="E152" s="47">
        <v>0</v>
      </c>
      <c r="F152" s="47">
        <v>0</v>
      </c>
      <c r="G152" s="47">
        <v>0</v>
      </c>
      <c r="H152" s="47">
        <v>0</v>
      </c>
      <c r="I152" s="47">
        <v>0</v>
      </c>
      <c r="J152" s="47">
        <v>0</v>
      </c>
      <c r="K152" s="47">
        <v>0</v>
      </c>
      <c r="L152" s="47">
        <v>0</v>
      </c>
      <c r="M152" s="47">
        <v>0</v>
      </c>
      <c r="N152" s="45"/>
    </row>
    <row r="153" spans="1:14" x14ac:dyDescent="0.25">
      <c r="A153" s="306"/>
      <c r="B153" s="323"/>
      <c r="C153" s="21" t="s">
        <v>110</v>
      </c>
      <c r="D153" s="1" t="s">
        <v>8</v>
      </c>
      <c r="E153" s="44"/>
      <c r="F153" s="44"/>
      <c r="G153" s="44"/>
      <c r="H153" s="44"/>
      <c r="I153" s="44"/>
      <c r="J153" s="44"/>
      <c r="K153" s="44"/>
      <c r="L153" s="44"/>
      <c r="M153" s="44"/>
      <c r="N153" s="45"/>
    </row>
    <row r="154" spans="1:14" x14ac:dyDescent="0.25">
      <c r="A154" s="306"/>
      <c r="B154" s="323"/>
      <c r="C154" s="21" t="s">
        <v>111</v>
      </c>
      <c r="D154" s="1" t="s">
        <v>9</v>
      </c>
      <c r="E154" s="46">
        <v>6.0796746123701997</v>
      </c>
      <c r="F154" s="46">
        <v>5.1503305985626469</v>
      </c>
      <c r="G154" s="46">
        <v>4.0143075192698996</v>
      </c>
      <c r="H154" s="46">
        <v>3.2369100735745651</v>
      </c>
      <c r="I154" s="46">
        <v>2.0378947368421052</v>
      </c>
      <c r="J154" s="46">
        <v>2.0189473684210526</v>
      </c>
      <c r="K154" s="46">
        <v>1.9557894736842103</v>
      </c>
      <c r="L154" s="46">
        <v>1.8231578947368419</v>
      </c>
      <c r="M154" s="46">
        <v>1.557894736842105</v>
      </c>
      <c r="N154" s="45"/>
    </row>
    <row r="155" spans="1:14" x14ac:dyDescent="0.25">
      <c r="A155" s="306"/>
      <c r="B155" s="323"/>
      <c r="C155" s="21" t="s">
        <v>35</v>
      </c>
      <c r="D155" s="1" t="s">
        <v>10</v>
      </c>
      <c r="E155" s="46">
        <v>0</v>
      </c>
      <c r="F155" s="46">
        <v>0</v>
      </c>
      <c r="G155" s="46">
        <v>0</v>
      </c>
      <c r="H155" s="46">
        <v>0</v>
      </c>
      <c r="I155" s="46">
        <v>0</v>
      </c>
      <c r="J155" s="46">
        <v>0</v>
      </c>
      <c r="K155" s="46">
        <v>1.6666105263157894E-3</v>
      </c>
      <c r="L155" s="46">
        <v>1.5304421052631579E-3</v>
      </c>
      <c r="M155" s="46">
        <v>1.2581052631578946E-3</v>
      </c>
      <c r="N155" s="45"/>
    </row>
    <row r="156" spans="1:14" x14ac:dyDescent="0.25">
      <c r="A156" s="306"/>
      <c r="B156" s="323"/>
      <c r="C156" s="22" t="s">
        <v>24</v>
      </c>
      <c r="D156" s="23" t="s">
        <v>10</v>
      </c>
      <c r="E156" s="46">
        <v>0</v>
      </c>
      <c r="F156" s="46">
        <v>0</v>
      </c>
      <c r="G156" s="46">
        <v>0</v>
      </c>
      <c r="H156" s="46">
        <v>0</v>
      </c>
      <c r="I156" s="46">
        <v>0</v>
      </c>
      <c r="J156" s="46">
        <v>0</v>
      </c>
      <c r="K156" s="46">
        <v>0</v>
      </c>
      <c r="L156" s="46">
        <v>0</v>
      </c>
      <c r="M156" s="46">
        <v>0</v>
      </c>
      <c r="N156" s="45"/>
    </row>
    <row r="157" spans="1:14" x14ac:dyDescent="0.25">
      <c r="A157" s="306"/>
      <c r="B157" s="323"/>
      <c r="C157" s="21" t="s">
        <v>25</v>
      </c>
      <c r="D157" s="1" t="s">
        <v>7</v>
      </c>
      <c r="E157" s="47">
        <v>0.98499999999999988</v>
      </c>
      <c r="F157" s="47">
        <v>0.98499999999999988</v>
      </c>
      <c r="G157" s="47">
        <v>0.98499999999999988</v>
      </c>
      <c r="H157" s="47">
        <v>0.98499999999999988</v>
      </c>
      <c r="I157" s="47">
        <v>0.98499999999999988</v>
      </c>
      <c r="J157" s="47">
        <v>0.98499999999999988</v>
      </c>
      <c r="K157" s="47">
        <v>0.99399999999999999</v>
      </c>
      <c r="L157" s="47">
        <v>0.99399999999999999</v>
      </c>
      <c r="M157" s="47">
        <v>0.99399999999999999</v>
      </c>
      <c r="N157" s="45"/>
    </row>
    <row r="158" spans="1:14" x14ac:dyDescent="0.25">
      <c r="A158" s="306"/>
      <c r="B158" s="323"/>
      <c r="C158" s="21" t="s">
        <v>26</v>
      </c>
      <c r="D158" s="1" t="s">
        <v>14</v>
      </c>
      <c r="E158" s="46">
        <v>1524.6</v>
      </c>
      <c r="F158" s="46">
        <v>1749.6</v>
      </c>
      <c r="G158" s="46">
        <v>2349.6</v>
      </c>
      <c r="H158" s="46">
        <v>3174.6</v>
      </c>
      <c r="I158" s="46">
        <v>4299.6000000000004</v>
      </c>
      <c r="J158" s="46">
        <v>14213</v>
      </c>
      <c r="K158" s="46">
        <v>21713</v>
      </c>
      <c r="L158" s="46">
        <v>37463</v>
      </c>
      <c r="M158" s="46">
        <v>68963</v>
      </c>
      <c r="N158" s="45"/>
    </row>
    <row r="159" spans="1:14" x14ac:dyDescent="0.25">
      <c r="A159" s="306"/>
      <c r="B159" s="323"/>
      <c r="C159" s="21" t="s">
        <v>27</v>
      </c>
      <c r="D159" s="1" t="s">
        <v>4</v>
      </c>
      <c r="E159" s="44">
        <v>40</v>
      </c>
      <c r="F159" s="44">
        <v>40</v>
      </c>
      <c r="G159" s="44">
        <v>40</v>
      </c>
      <c r="H159" s="44">
        <v>40</v>
      </c>
      <c r="I159" s="44">
        <v>40</v>
      </c>
      <c r="J159" s="44">
        <v>40</v>
      </c>
      <c r="K159" s="44">
        <v>40</v>
      </c>
      <c r="L159" s="44">
        <v>40</v>
      </c>
      <c r="M159" s="44">
        <v>40</v>
      </c>
      <c r="N159" s="45"/>
    </row>
    <row r="160" spans="1:14" x14ac:dyDescent="0.25">
      <c r="A160" s="306"/>
      <c r="B160" s="323"/>
      <c r="C160" s="21" t="s">
        <v>117</v>
      </c>
      <c r="D160" s="1" t="s">
        <v>19</v>
      </c>
      <c r="E160" s="44">
        <v>0.35</v>
      </c>
      <c r="F160" s="44">
        <v>0.35</v>
      </c>
      <c r="G160" s="44">
        <v>0.35</v>
      </c>
      <c r="H160" s="44">
        <v>0.35</v>
      </c>
      <c r="I160" s="44">
        <v>0.35</v>
      </c>
      <c r="J160" s="44">
        <v>0.35</v>
      </c>
      <c r="K160" s="44">
        <v>0.35</v>
      </c>
      <c r="L160" s="44">
        <v>0.35</v>
      </c>
      <c r="M160" s="44">
        <v>0.35</v>
      </c>
      <c r="N160" s="45"/>
    </row>
    <row r="161" spans="1:14" x14ac:dyDescent="0.25">
      <c r="A161" s="306"/>
      <c r="B161" s="323"/>
      <c r="C161" s="21" t="s">
        <v>36</v>
      </c>
      <c r="D161" s="1" t="s">
        <v>19</v>
      </c>
      <c r="E161" s="44">
        <v>1.8571428571428572</v>
      </c>
      <c r="F161" s="44">
        <v>1.8571428571428572</v>
      </c>
      <c r="G161" s="44">
        <v>1.8571428571428572</v>
      </c>
      <c r="H161" s="44">
        <v>1.8571428571428572</v>
      </c>
      <c r="I161" s="44">
        <v>1.8571428571428572</v>
      </c>
      <c r="J161" s="44">
        <v>1.8571428571428572</v>
      </c>
      <c r="K161" s="44">
        <v>1.8571428571428572</v>
      </c>
      <c r="L161" s="44">
        <v>1.8571428571428572</v>
      </c>
      <c r="M161" s="44">
        <v>1.8571428571428572</v>
      </c>
      <c r="N161" s="45"/>
    </row>
    <row r="162" spans="1:14" x14ac:dyDescent="0.25">
      <c r="A162" s="306"/>
      <c r="B162" s="323"/>
      <c r="C162" s="21" t="s">
        <v>37</v>
      </c>
      <c r="D162" s="1" t="s">
        <v>4</v>
      </c>
      <c r="E162" s="44">
        <v>20</v>
      </c>
      <c r="F162" s="44">
        <v>20</v>
      </c>
      <c r="G162" s="44">
        <v>20</v>
      </c>
      <c r="H162" s="44">
        <v>20</v>
      </c>
      <c r="I162" s="44">
        <v>20</v>
      </c>
      <c r="J162" s="44">
        <v>20</v>
      </c>
      <c r="K162" s="44">
        <v>20</v>
      </c>
      <c r="L162" s="44">
        <v>20</v>
      </c>
      <c r="M162" s="44">
        <v>20</v>
      </c>
      <c r="N162" s="45"/>
    </row>
    <row r="163" spans="1:14" x14ac:dyDescent="0.25">
      <c r="A163" s="306"/>
      <c r="B163" s="323"/>
      <c r="C163" s="21" t="s">
        <v>38</v>
      </c>
      <c r="D163" s="1" t="s">
        <v>6</v>
      </c>
      <c r="E163" s="46">
        <v>6304.5457437357918</v>
      </c>
      <c r="F163" s="46">
        <v>4255.2155768670527</v>
      </c>
      <c r="G163" s="46">
        <v>2631.5994039092525</v>
      </c>
      <c r="H163" s="46">
        <v>2072.3743483471271</v>
      </c>
      <c r="I163" s="46">
        <v>1733.2777911140615</v>
      </c>
      <c r="J163" s="46">
        <v>1392.7514739604958</v>
      </c>
      <c r="K163" s="46">
        <v>1092.1408151125991</v>
      </c>
      <c r="L163" s="46">
        <v>876.09845826756919</v>
      </c>
      <c r="M163" s="46">
        <v>714.42976829028339</v>
      </c>
      <c r="N163" s="45"/>
    </row>
    <row r="164" spans="1:14" x14ac:dyDescent="0.25">
      <c r="A164" s="306"/>
      <c r="B164" s="323"/>
      <c r="C164" s="21" t="s">
        <v>176</v>
      </c>
      <c r="D164" s="1" t="s">
        <v>19</v>
      </c>
      <c r="E164" s="47">
        <v>0</v>
      </c>
      <c r="F164" s="47">
        <v>0</v>
      </c>
      <c r="G164" s="47">
        <v>0</v>
      </c>
      <c r="H164" s="47">
        <v>0</v>
      </c>
      <c r="I164" s="47">
        <v>0</v>
      </c>
      <c r="J164" s="47">
        <v>0</v>
      </c>
      <c r="K164" s="47">
        <v>0</v>
      </c>
      <c r="L164" s="47">
        <v>0</v>
      </c>
      <c r="M164" s="47">
        <v>0</v>
      </c>
      <c r="N164" s="45"/>
    </row>
    <row r="165" spans="1:14" x14ac:dyDescent="0.25">
      <c r="A165" s="306"/>
      <c r="B165" s="323"/>
      <c r="C165" s="21" t="s">
        <v>118</v>
      </c>
      <c r="D165" s="1" t="s">
        <v>8</v>
      </c>
      <c r="E165" s="44"/>
      <c r="F165" s="44"/>
      <c r="G165" s="44"/>
      <c r="H165" s="44"/>
      <c r="I165" s="44"/>
      <c r="J165" s="44"/>
      <c r="K165" s="44"/>
      <c r="L165" s="44"/>
      <c r="M165" s="44"/>
      <c r="N165" s="45"/>
    </row>
    <row r="166" spans="1:14" x14ac:dyDescent="0.25">
      <c r="A166" s="306"/>
      <c r="B166" s="323"/>
      <c r="C166" s="21" t="s">
        <v>119</v>
      </c>
      <c r="D166" s="1" t="s">
        <v>9</v>
      </c>
      <c r="E166" s="44"/>
      <c r="F166" s="44"/>
      <c r="G166" s="44"/>
      <c r="H166" s="44"/>
      <c r="I166" s="44"/>
      <c r="J166" s="44"/>
      <c r="K166" s="44"/>
      <c r="L166" s="44"/>
      <c r="M166" s="44"/>
      <c r="N166" s="45"/>
    </row>
    <row r="167" spans="1:14" x14ac:dyDescent="0.25">
      <c r="A167" s="306"/>
      <c r="B167" s="323"/>
      <c r="C167" s="21" t="s">
        <v>39</v>
      </c>
      <c r="D167" s="1" t="s">
        <v>10</v>
      </c>
      <c r="E167" s="46">
        <v>5.4632155805897732E-2</v>
      </c>
      <c r="F167" s="46">
        <v>6.9225169277652349E-2</v>
      </c>
      <c r="G167" s="46">
        <v>5.5072970988733948E-2</v>
      </c>
      <c r="H167" s="46">
        <v>4.6604222305577481E-2</v>
      </c>
      <c r="I167" s="46">
        <v>4.0289223212275231E-2</v>
      </c>
      <c r="J167" s="46">
        <v>2.4583755873341454E-2</v>
      </c>
      <c r="K167" s="46">
        <v>1.9104989606490121E-2</v>
      </c>
      <c r="L167" s="46">
        <v>1.5182594783541725E-2</v>
      </c>
      <c r="M167" s="46">
        <v>1.3307545040231683E-2</v>
      </c>
      <c r="N167" s="45"/>
    </row>
    <row r="168" spans="1:14" x14ac:dyDescent="0.25">
      <c r="A168" s="306"/>
      <c r="B168" s="323"/>
      <c r="C168" s="22" t="s">
        <v>40</v>
      </c>
      <c r="D168" s="23" t="s">
        <v>10</v>
      </c>
      <c r="E168" s="46">
        <v>0</v>
      </c>
      <c r="F168" s="46">
        <v>0</v>
      </c>
      <c r="G168" s="46">
        <v>0</v>
      </c>
      <c r="H168" s="46">
        <v>0</v>
      </c>
      <c r="I168" s="46">
        <v>0</v>
      </c>
      <c r="J168" s="46">
        <v>0</v>
      </c>
      <c r="K168" s="46">
        <v>0</v>
      </c>
      <c r="L168" s="46">
        <v>0</v>
      </c>
      <c r="M168" s="46">
        <v>0</v>
      </c>
      <c r="N168" s="45"/>
    </row>
    <row r="169" spans="1:14" x14ac:dyDescent="0.25">
      <c r="A169" s="306"/>
      <c r="B169" s="323"/>
      <c r="C169" s="21" t="s">
        <v>41</v>
      </c>
      <c r="D169" s="1" t="s">
        <v>14</v>
      </c>
      <c r="E169" s="44"/>
      <c r="F169" s="44"/>
      <c r="G169" s="44"/>
      <c r="H169" s="44"/>
      <c r="I169" s="44"/>
      <c r="J169" s="44"/>
      <c r="K169" s="44"/>
      <c r="L169" s="44"/>
      <c r="M169" s="44"/>
      <c r="N169" s="45"/>
    </row>
    <row r="170" spans="1:14" x14ac:dyDescent="0.25">
      <c r="A170" s="306"/>
      <c r="B170" s="323"/>
      <c r="C170" s="21" t="s">
        <v>42</v>
      </c>
      <c r="D170" s="1" t="s">
        <v>4</v>
      </c>
      <c r="E170" s="44"/>
      <c r="F170" s="44"/>
      <c r="G170" s="44"/>
      <c r="H170" s="44"/>
      <c r="I170" s="44"/>
      <c r="J170" s="44"/>
      <c r="K170" s="44"/>
      <c r="L170" s="44"/>
      <c r="M170" s="44"/>
      <c r="N170" s="45"/>
    </row>
    <row r="171" spans="1:14" x14ac:dyDescent="0.25">
      <c r="A171" s="306"/>
      <c r="B171" s="323"/>
      <c r="C171" s="21" t="s">
        <v>43</v>
      </c>
      <c r="D171" s="1" t="s">
        <v>7</v>
      </c>
      <c r="E171" s="50">
        <v>0.5</v>
      </c>
      <c r="F171" s="50">
        <v>0.5</v>
      </c>
      <c r="G171" s="50">
        <v>0.5</v>
      </c>
      <c r="H171" s="50">
        <v>0.5</v>
      </c>
      <c r="I171" s="50">
        <v>0.5</v>
      </c>
      <c r="J171" s="50">
        <v>0.5</v>
      </c>
      <c r="K171" s="50">
        <v>0.5</v>
      </c>
      <c r="L171" s="50">
        <v>0.5</v>
      </c>
      <c r="M171" s="50">
        <v>0.5</v>
      </c>
      <c r="N171" s="45"/>
    </row>
    <row r="172" spans="1:14" ht="14.45" customHeight="1" x14ac:dyDescent="0.25">
      <c r="A172" s="306"/>
      <c r="B172" s="323"/>
      <c r="C172" s="24" t="s">
        <v>44</v>
      </c>
      <c r="D172" s="1" t="s">
        <v>7</v>
      </c>
      <c r="E172" s="47">
        <v>0.66625430833964439</v>
      </c>
      <c r="F172" s="47">
        <v>0.66367464936796561</v>
      </c>
      <c r="G172" s="47">
        <v>0.65679555877682227</v>
      </c>
      <c r="H172" s="47">
        <v>0.64733680921400016</v>
      </c>
      <c r="I172" s="47">
        <v>0.63443851435560639</v>
      </c>
      <c r="J172" s="47">
        <v>0.4680070358050421</v>
      </c>
      <c r="K172" s="47">
        <v>0.46713859851464173</v>
      </c>
      <c r="L172" s="47">
        <v>0.46531488020480088</v>
      </c>
      <c r="M172" s="47">
        <v>0.47</v>
      </c>
      <c r="N172" s="45"/>
    </row>
    <row r="173" spans="1:14" ht="14.45" customHeight="1" x14ac:dyDescent="0.25">
      <c r="A173" s="306"/>
      <c r="B173" s="323"/>
      <c r="C173" s="24" t="s">
        <v>45</v>
      </c>
      <c r="D173" s="1" t="s">
        <v>7</v>
      </c>
      <c r="E173" s="47">
        <v>0.25092243745356524</v>
      </c>
      <c r="F173" s="47">
        <v>0.25657675134016689</v>
      </c>
      <c r="G173" s="47">
        <v>0.27165492170443795</v>
      </c>
      <c r="H173" s="47">
        <v>0.29238740595531065</v>
      </c>
      <c r="I173" s="47">
        <v>0.32065897538831889</v>
      </c>
      <c r="J173" s="47">
        <v>0.41290384467151914</v>
      </c>
      <c r="K173" s="47">
        <v>0.41363974384019625</v>
      </c>
      <c r="L173" s="47">
        <v>0.41518513209441815</v>
      </c>
      <c r="M173" s="47">
        <v>0.41599999999999998</v>
      </c>
      <c r="N173" s="45"/>
    </row>
    <row r="174" spans="1:14" ht="14.45" customHeight="1" x14ac:dyDescent="0.25">
      <c r="A174" s="306"/>
      <c r="B174" s="323"/>
      <c r="C174" s="25" t="s">
        <v>120</v>
      </c>
      <c r="D174" s="23" t="s">
        <v>10</v>
      </c>
      <c r="E174" s="46">
        <v>0</v>
      </c>
      <c r="F174" s="46">
        <v>0</v>
      </c>
      <c r="G174" s="46">
        <v>0</v>
      </c>
      <c r="H174" s="46">
        <v>0</v>
      </c>
      <c r="I174" s="46">
        <v>0</v>
      </c>
      <c r="J174" s="46">
        <v>0</v>
      </c>
      <c r="K174" s="46">
        <v>0</v>
      </c>
      <c r="L174" s="46">
        <v>0</v>
      </c>
      <c r="M174" s="46">
        <v>0</v>
      </c>
      <c r="N174" s="45"/>
    </row>
    <row r="175" spans="1:14" ht="14.45" customHeight="1" x14ac:dyDescent="0.25">
      <c r="A175" s="306"/>
      <c r="B175" s="323"/>
      <c r="C175" s="25" t="s">
        <v>121</v>
      </c>
      <c r="D175" s="23" t="s">
        <v>122</v>
      </c>
      <c r="E175" s="46">
        <v>0</v>
      </c>
      <c r="F175" s="46">
        <v>0</v>
      </c>
      <c r="G175" s="46">
        <v>0</v>
      </c>
      <c r="H175" s="46">
        <v>0</v>
      </c>
      <c r="I175" s="46">
        <v>0</v>
      </c>
      <c r="J175" s="46">
        <v>0</v>
      </c>
      <c r="K175" s="46">
        <v>0</v>
      </c>
      <c r="L175" s="46">
        <v>0</v>
      </c>
      <c r="M175" s="46">
        <v>0</v>
      </c>
      <c r="N175" s="45"/>
    </row>
    <row r="176" spans="1:14" ht="14.45" customHeight="1" x14ac:dyDescent="0.25">
      <c r="A176" s="306"/>
      <c r="B176" s="323"/>
      <c r="C176" s="25" t="s">
        <v>123</v>
      </c>
      <c r="D176" s="23" t="s">
        <v>124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v>0</v>
      </c>
      <c r="L176" s="44">
        <v>0</v>
      </c>
      <c r="M176" s="44">
        <v>0</v>
      </c>
      <c r="N176" s="45"/>
    </row>
    <row r="177" spans="1:14" ht="14.45" customHeight="1" x14ac:dyDescent="0.25">
      <c r="A177" s="306">
        <v>12</v>
      </c>
      <c r="B177" s="323" t="s">
        <v>178</v>
      </c>
      <c r="C177" s="21" t="s">
        <v>109</v>
      </c>
      <c r="D177" s="1" t="s">
        <v>19</v>
      </c>
      <c r="E177" s="51">
        <v>1</v>
      </c>
      <c r="F177" s="51">
        <v>1</v>
      </c>
      <c r="G177" s="51">
        <v>1</v>
      </c>
      <c r="H177" s="51">
        <v>1</v>
      </c>
      <c r="I177" s="51">
        <v>1</v>
      </c>
      <c r="J177" s="51">
        <v>1</v>
      </c>
      <c r="K177" s="51">
        <v>1</v>
      </c>
      <c r="L177" s="51">
        <v>1</v>
      </c>
      <c r="M177" s="51">
        <v>1</v>
      </c>
      <c r="N177" s="45"/>
    </row>
    <row r="178" spans="1:14" x14ac:dyDescent="0.25">
      <c r="A178" s="306"/>
      <c r="B178" s="323"/>
      <c r="C178" s="21" t="s">
        <v>21</v>
      </c>
      <c r="D178" s="1" t="s">
        <v>19</v>
      </c>
      <c r="E178" s="44">
        <v>0.8</v>
      </c>
      <c r="F178" s="44">
        <v>0.8</v>
      </c>
      <c r="G178" s="44">
        <v>0.8</v>
      </c>
      <c r="H178" s="44">
        <v>0.8</v>
      </c>
      <c r="I178" s="44">
        <v>0.8</v>
      </c>
      <c r="J178" s="44">
        <v>0.8</v>
      </c>
      <c r="K178" s="44">
        <v>0.8</v>
      </c>
      <c r="L178" s="44">
        <v>0.8</v>
      </c>
      <c r="M178" s="44">
        <v>0.8</v>
      </c>
      <c r="N178" s="45"/>
    </row>
    <row r="179" spans="1:14" x14ac:dyDescent="0.25">
      <c r="A179" s="306"/>
      <c r="B179" s="323"/>
      <c r="C179" s="21" t="s">
        <v>22</v>
      </c>
      <c r="D179" s="1" t="s">
        <v>4</v>
      </c>
      <c r="E179" s="44">
        <v>20</v>
      </c>
      <c r="F179" s="44">
        <v>20</v>
      </c>
      <c r="G179" s="44">
        <v>20</v>
      </c>
      <c r="H179" s="44">
        <v>20</v>
      </c>
      <c r="I179" s="44">
        <v>20</v>
      </c>
      <c r="J179" s="44">
        <v>20</v>
      </c>
      <c r="K179" s="44">
        <v>20</v>
      </c>
      <c r="L179" s="44">
        <v>20</v>
      </c>
      <c r="M179" s="44">
        <v>20</v>
      </c>
      <c r="N179" s="45"/>
    </row>
    <row r="180" spans="1:14" x14ac:dyDescent="0.25">
      <c r="A180" s="306"/>
      <c r="B180" s="323"/>
      <c r="C180" s="21" t="s">
        <v>23</v>
      </c>
      <c r="D180" s="1" t="s">
        <v>6</v>
      </c>
      <c r="E180" s="46">
        <v>202.65582041234001</v>
      </c>
      <c r="F180" s="46">
        <v>171.6776866187549</v>
      </c>
      <c r="G180" s="46">
        <v>133.81025064233</v>
      </c>
      <c r="H180" s="46">
        <v>107.89700245248551</v>
      </c>
      <c r="I180" s="46">
        <v>107.31263157894738</v>
      </c>
      <c r="J180" s="46">
        <v>107.00631578947369</v>
      </c>
      <c r="K180" s="46">
        <v>105.98526315789475</v>
      </c>
      <c r="L180" s="46">
        <v>103.84105263157896</v>
      </c>
      <c r="M180" s="46">
        <v>99.55263157894737</v>
      </c>
      <c r="N180" s="45"/>
    </row>
    <row r="181" spans="1:14" ht="14.45" customHeight="1" x14ac:dyDescent="0.25">
      <c r="A181" s="306"/>
      <c r="B181" s="323"/>
      <c r="C181" s="21" t="s">
        <v>173</v>
      </c>
      <c r="D181" s="1" t="s">
        <v>19</v>
      </c>
      <c r="E181" s="47">
        <v>0</v>
      </c>
      <c r="F181" s="47">
        <v>0</v>
      </c>
      <c r="G181" s="47">
        <v>0</v>
      </c>
      <c r="H181" s="47">
        <v>0</v>
      </c>
      <c r="I181" s="47">
        <v>0</v>
      </c>
      <c r="J181" s="47">
        <v>0</v>
      </c>
      <c r="K181" s="47">
        <v>0</v>
      </c>
      <c r="L181" s="47">
        <v>0</v>
      </c>
      <c r="M181" s="47">
        <v>0</v>
      </c>
      <c r="N181" s="45"/>
    </row>
    <row r="182" spans="1:14" x14ac:dyDescent="0.25">
      <c r="A182" s="306"/>
      <c r="B182" s="323"/>
      <c r="C182" s="21" t="s">
        <v>110</v>
      </c>
      <c r="D182" s="1" t="s">
        <v>8</v>
      </c>
      <c r="E182" s="44"/>
      <c r="F182" s="44"/>
      <c r="G182" s="44"/>
      <c r="H182" s="44"/>
      <c r="I182" s="44"/>
      <c r="J182" s="44"/>
      <c r="K182" s="44"/>
      <c r="L182" s="44"/>
      <c r="M182" s="44"/>
      <c r="N182" s="45"/>
    </row>
    <row r="183" spans="1:14" x14ac:dyDescent="0.25">
      <c r="A183" s="306"/>
      <c r="B183" s="323"/>
      <c r="C183" s="21" t="s">
        <v>111</v>
      </c>
      <c r="D183" s="1" t="s">
        <v>9</v>
      </c>
      <c r="E183" s="46">
        <v>6.0796746123701997</v>
      </c>
      <c r="F183" s="46">
        <v>5.1503305985626469</v>
      </c>
      <c r="G183" s="46">
        <v>4.0143075192698996</v>
      </c>
      <c r="H183" s="46">
        <v>3.2369100735745651</v>
      </c>
      <c r="I183" s="46">
        <v>2.0378947368421052</v>
      </c>
      <c r="J183" s="46">
        <v>2.0189473684210526</v>
      </c>
      <c r="K183" s="46">
        <v>1.9557894736842103</v>
      </c>
      <c r="L183" s="46">
        <v>1.8231578947368419</v>
      </c>
      <c r="M183" s="46">
        <v>1.557894736842105</v>
      </c>
      <c r="N183" s="45"/>
    </row>
    <row r="184" spans="1:14" x14ac:dyDescent="0.25">
      <c r="A184" s="306"/>
      <c r="B184" s="323"/>
      <c r="C184" s="21" t="s">
        <v>35</v>
      </c>
      <c r="D184" s="1" t="s">
        <v>10</v>
      </c>
      <c r="E184" s="46">
        <v>0</v>
      </c>
      <c r="F184" s="46">
        <v>0</v>
      </c>
      <c r="G184" s="46">
        <v>0</v>
      </c>
      <c r="H184" s="46">
        <v>0</v>
      </c>
      <c r="I184" s="46">
        <v>0</v>
      </c>
      <c r="J184" s="46">
        <v>0</v>
      </c>
      <c r="K184" s="46">
        <v>1.6666105263157894E-3</v>
      </c>
      <c r="L184" s="46">
        <v>1.5304421052631579E-3</v>
      </c>
      <c r="M184" s="46">
        <v>1.2581052631578946E-3</v>
      </c>
      <c r="N184" s="45"/>
    </row>
    <row r="185" spans="1:14" x14ac:dyDescent="0.25">
      <c r="A185" s="306"/>
      <c r="B185" s="323"/>
      <c r="C185" s="22" t="s">
        <v>24</v>
      </c>
      <c r="D185" s="23" t="s">
        <v>10</v>
      </c>
      <c r="E185" s="46">
        <v>0</v>
      </c>
      <c r="F185" s="46">
        <v>0</v>
      </c>
      <c r="G185" s="46">
        <v>0</v>
      </c>
      <c r="H185" s="46">
        <v>0</v>
      </c>
      <c r="I185" s="46">
        <v>0</v>
      </c>
      <c r="J185" s="46">
        <v>0</v>
      </c>
      <c r="K185" s="46">
        <v>0</v>
      </c>
      <c r="L185" s="46">
        <v>0</v>
      </c>
      <c r="M185" s="46">
        <v>0</v>
      </c>
      <c r="N185" s="45"/>
    </row>
    <row r="186" spans="1:14" x14ac:dyDescent="0.25">
      <c r="A186" s="306"/>
      <c r="B186" s="323"/>
      <c r="C186" s="21" t="s">
        <v>25</v>
      </c>
      <c r="D186" s="1" t="s">
        <v>7</v>
      </c>
      <c r="E186" s="47">
        <v>0.98499999999999988</v>
      </c>
      <c r="F186" s="47">
        <v>0.98499999999999988</v>
      </c>
      <c r="G186" s="47">
        <v>0.98499999999999988</v>
      </c>
      <c r="H186" s="47">
        <v>0.98499999999999988</v>
      </c>
      <c r="I186" s="47">
        <v>0.98499999999999988</v>
      </c>
      <c r="J186" s="47">
        <v>0.98499999999999988</v>
      </c>
      <c r="K186" s="47">
        <v>0.99399999999999999</v>
      </c>
      <c r="L186" s="47">
        <v>0.99399999999999999</v>
      </c>
      <c r="M186" s="47">
        <v>0.99399999999999999</v>
      </c>
      <c r="N186" s="45"/>
    </row>
    <row r="187" spans="1:14" x14ac:dyDescent="0.25">
      <c r="A187" s="306"/>
      <c r="B187" s="323"/>
      <c r="C187" s="21" t="s">
        <v>26</v>
      </c>
      <c r="D187" s="1" t="s">
        <v>14</v>
      </c>
      <c r="E187" s="46">
        <v>1524.6</v>
      </c>
      <c r="F187" s="46">
        <v>1749.6</v>
      </c>
      <c r="G187" s="46">
        <v>2349.6</v>
      </c>
      <c r="H187" s="46">
        <v>3174.6</v>
      </c>
      <c r="I187" s="46">
        <v>4299.6000000000004</v>
      </c>
      <c r="J187" s="46">
        <v>14213</v>
      </c>
      <c r="K187" s="46">
        <v>21713</v>
      </c>
      <c r="L187" s="46">
        <v>37463</v>
      </c>
      <c r="M187" s="46">
        <v>68963</v>
      </c>
      <c r="N187" s="45"/>
    </row>
    <row r="188" spans="1:14" x14ac:dyDescent="0.25">
      <c r="A188" s="306"/>
      <c r="B188" s="323"/>
      <c r="C188" s="21" t="s">
        <v>27</v>
      </c>
      <c r="D188" s="1" t="s">
        <v>4</v>
      </c>
      <c r="E188" s="44">
        <v>40</v>
      </c>
      <c r="F188" s="44">
        <v>40</v>
      </c>
      <c r="G188" s="44">
        <v>40</v>
      </c>
      <c r="H188" s="44">
        <v>40</v>
      </c>
      <c r="I188" s="44">
        <v>40</v>
      </c>
      <c r="J188" s="44">
        <v>40</v>
      </c>
      <c r="K188" s="44">
        <v>40</v>
      </c>
      <c r="L188" s="44">
        <v>40</v>
      </c>
      <c r="M188" s="44">
        <v>40</v>
      </c>
      <c r="N188" s="45"/>
    </row>
    <row r="189" spans="1:14" x14ac:dyDescent="0.25">
      <c r="A189" s="306"/>
      <c r="B189" s="323"/>
      <c r="C189" s="21" t="s">
        <v>125</v>
      </c>
      <c r="D189" s="1" t="s">
        <v>19</v>
      </c>
      <c r="E189" s="51">
        <v>0.3125</v>
      </c>
      <c r="F189" s="51">
        <v>0.3125</v>
      </c>
      <c r="G189" s="51">
        <v>0.3125</v>
      </c>
      <c r="H189" s="51">
        <v>0.3125</v>
      </c>
      <c r="I189" s="51">
        <v>0.3125</v>
      </c>
      <c r="J189" s="51">
        <v>0.3125</v>
      </c>
      <c r="K189" s="51">
        <v>0.3125</v>
      </c>
      <c r="L189" s="51">
        <v>0.3125</v>
      </c>
      <c r="M189" s="51">
        <v>0.3125</v>
      </c>
      <c r="N189" s="45"/>
    </row>
    <row r="190" spans="1:14" x14ac:dyDescent="0.25">
      <c r="A190" s="306"/>
      <c r="B190" s="323"/>
      <c r="C190" s="21" t="s">
        <v>126</v>
      </c>
      <c r="D190" s="1" t="s">
        <v>19</v>
      </c>
      <c r="E190" s="44">
        <v>0.64</v>
      </c>
      <c r="F190" s="44">
        <v>0.64</v>
      </c>
      <c r="G190" s="44">
        <v>0.64</v>
      </c>
      <c r="H190" s="44">
        <v>0.64</v>
      </c>
      <c r="I190" s="44">
        <v>0.64</v>
      </c>
      <c r="J190" s="44">
        <v>0.64</v>
      </c>
      <c r="K190" s="44">
        <v>0.64</v>
      </c>
      <c r="L190" s="44">
        <v>0.64</v>
      </c>
      <c r="M190" s="44">
        <v>0.64</v>
      </c>
      <c r="N190" s="45"/>
    </row>
    <row r="191" spans="1:14" ht="14.45" customHeight="1" x14ac:dyDescent="0.25">
      <c r="A191" s="306"/>
      <c r="B191" s="323"/>
      <c r="C191" s="24" t="s">
        <v>127</v>
      </c>
      <c r="D191" s="1" t="s">
        <v>4</v>
      </c>
      <c r="E191" s="44">
        <v>20</v>
      </c>
      <c r="F191" s="44">
        <v>20</v>
      </c>
      <c r="G191" s="44">
        <v>20</v>
      </c>
      <c r="H191" s="44">
        <v>20</v>
      </c>
      <c r="I191" s="44">
        <v>20</v>
      </c>
      <c r="J191" s="44">
        <v>20</v>
      </c>
      <c r="K191" s="44">
        <v>20</v>
      </c>
      <c r="L191" s="44">
        <v>20</v>
      </c>
      <c r="M191" s="44">
        <v>20</v>
      </c>
      <c r="N191" s="45"/>
    </row>
    <row r="192" spans="1:14" ht="14.45" customHeight="1" x14ac:dyDescent="0.25">
      <c r="A192" s="306"/>
      <c r="B192" s="323"/>
      <c r="C192" s="24" t="s">
        <v>128</v>
      </c>
      <c r="D192" s="1" t="s">
        <v>6</v>
      </c>
      <c r="E192" s="52">
        <v>900.49275895925371</v>
      </c>
      <c r="F192" s="46">
        <v>886.9158075601373</v>
      </c>
      <c r="G192" s="46">
        <v>850.71060382916039</v>
      </c>
      <c r="H192" s="46">
        <v>800.92844869906708</v>
      </c>
      <c r="I192" s="46">
        <v>733.04369170348536</v>
      </c>
      <c r="J192" s="46">
        <v>597.27417771232194</v>
      </c>
      <c r="K192" s="46">
        <v>508.57142857142856</v>
      </c>
      <c r="L192" s="46">
        <v>508.57142857142856</v>
      </c>
      <c r="M192" s="46">
        <v>508.57142857142856</v>
      </c>
      <c r="N192" s="45"/>
    </row>
    <row r="193" spans="1:14" ht="14.45" customHeight="1" x14ac:dyDescent="0.25">
      <c r="A193" s="306"/>
      <c r="B193" s="323"/>
      <c r="C193" s="21" t="s">
        <v>179</v>
      </c>
      <c r="D193" s="1" t="s">
        <v>19</v>
      </c>
      <c r="E193" s="47">
        <v>0</v>
      </c>
      <c r="F193" s="47">
        <v>0</v>
      </c>
      <c r="G193" s="47">
        <v>0</v>
      </c>
      <c r="H193" s="47">
        <v>0</v>
      </c>
      <c r="I193" s="47">
        <v>0</v>
      </c>
      <c r="J193" s="47">
        <v>0</v>
      </c>
      <c r="K193" s="47">
        <v>0</v>
      </c>
      <c r="L193" s="47">
        <v>0</v>
      </c>
      <c r="M193" s="47">
        <v>0</v>
      </c>
      <c r="N193" s="45"/>
    </row>
    <row r="194" spans="1:14" x14ac:dyDescent="0.25">
      <c r="A194" s="306"/>
      <c r="B194" s="323"/>
      <c r="C194" s="21" t="s">
        <v>129</v>
      </c>
      <c r="D194" s="1" t="s">
        <v>8</v>
      </c>
      <c r="E194" s="46">
        <v>52.688365243004426</v>
      </c>
      <c r="F194" s="46">
        <v>69.477761413843893</v>
      </c>
      <c r="G194" s="46">
        <v>114.24948453608249</v>
      </c>
      <c r="H194" s="46">
        <v>175.81060382916056</v>
      </c>
      <c r="I194" s="46">
        <v>259.75758468335789</v>
      </c>
      <c r="J194" s="46">
        <v>427.65154639175262</v>
      </c>
      <c r="K194" s="46">
        <v>595.54550810014734</v>
      </c>
      <c r="L194" s="46">
        <v>595.54550810014734</v>
      </c>
      <c r="M194" s="46">
        <v>595.54550810014734</v>
      </c>
      <c r="N194" s="45"/>
    </row>
    <row r="195" spans="1:14" x14ac:dyDescent="0.25">
      <c r="A195" s="306"/>
      <c r="B195" s="323"/>
      <c r="C195" s="21" t="s">
        <v>130</v>
      </c>
      <c r="D195" s="1" t="s">
        <v>9</v>
      </c>
      <c r="E195" s="44"/>
      <c r="F195" s="44"/>
      <c r="G195" s="44"/>
      <c r="H195" s="44"/>
      <c r="I195" s="44"/>
      <c r="J195" s="44"/>
      <c r="K195" s="44"/>
      <c r="L195" s="44"/>
      <c r="M195" s="44"/>
    </row>
    <row r="196" spans="1:14" x14ac:dyDescent="0.25">
      <c r="A196" s="306"/>
      <c r="B196" s="323"/>
      <c r="C196" s="21" t="s">
        <v>131</v>
      </c>
      <c r="D196" s="1" t="s">
        <v>10</v>
      </c>
      <c r="E196" s="44"/>
      <c r="F196" s="44"/>
      <c r="G196" s="44"/>
      <c r="H196" s="44"/>
      <c r="I196" s="44"/>
      <c r="J196" s="44"/>
      <c r="K196" s="44"/>
      <c r="L196" s="44"/>
      <c r="M196" s="44"/>
    </row>
    <row r="197" spans="1:14" ht="18.75" x14ac:dyDescent="0.25">
      <c r="A197" s="306"/>
      <c r="B197" s="323"/>
      <c r="C197" s="53" t="s">
        <v>132</v>
      </c>
      <c r="D197" s="23" t="s">
        <v>17</v>
      </c>
      <c r="E197" s="44"/>
      <c r="F197" s="44"/>
      <c r="G197" s="44"/>
      <c r="H197" s="44"/>
      <c r="I197" s="44"/>
      <c r="J197" s="44"/>
      <c r="K197" s="44"/>
      <c r="L197" s="44"/>
      <c r="M197" s="44"/>
    </row>
    <row r="198" spans="1:14" ht="14.45" customHeight="1" x14ac:dyDescent="0.25">
      <c r="A198" s="306">
        <v>13</v>
      </c>
      <c r="B198" s="323" t="s">
        <v>180</v>
      </c>
      <c r="C198" s="21" t="s">
        <v>109</v>
      </c>
      <c r="D198" s="1" t="s">
        <v>19</v>
      </c>
      <c r="E198" s="44">
        <v>1</v>
      </c>
      <c r="F198" s="44">
        <v>1</v>
      </c>
      <c r="G198" s="44">
        <v>1</v>
      </c>
      <c r="H198" s="44">
        <v>1</v>
      </c>
      <c r="I198" s="44">
        <v>1</v>
      </c>
      <c r="J198" s="44">
        <v>1</v>
      </c>
      <c r="K198" s="44">
        <v>1</v>
      </c>
      <c r="L198" s="44">
        <v>1</v>
      </c>
      <c r="M198" s="44">
        <v>1</v>
      </c>
    </row>
    <row r="199" spans="1:14" x14ac:dyDescent="0.25">
      <c r="A199" s="306"/>
      <c r="B199" s="323"/>
      <c r="C199" s="21" t="s">
        <v>21</v>
      </c>
      <c r="D199" s="1" t="s">
        <v>19</v>
      </c>
      <c r="E199" s="44">
        <v>0.65</v>
      </c>
      <c r="F199" s="44">
        <v>0.65</v>
      </c>
      <c r="G199" s="44">
        <v>0.65</v>
      </c>
      <c r="H199" s="44">
        <v>0.65</v>
      </c>
      <c r="I199" s="44">
        <v>0.65</v>
      </c>
      <c r="J199" s="44">
        <v>0.65</v>
      </c>
      <c r="K199" s="44">
        <v>0.65</v>
      </c>
      <c r="L199" s="44">
        <v>0.65</v>
      </c>
      <c r="M199" s="44">
        <v>0.65</v>
      </c>
    </row>
    <row r="200" spans="1:14" x14ac:dyDescent="0.25">
      <c r="A200" s="306"/>
      <c r="B200" s="323"/>
      <c r="C200" s="21" t="s">
        <v>22</v>
      </c>
      <c r="D200" s="1" t="s">
        <v>4</v>
      </c>
      <c r="E200" s="44">
        <v>20</v>
      </c>
      <c r="F200" s="44">
        <v>20</v>
      </c>
      <c r="G200" s="44">
        <v>20</v>
      </c>
      <c r="H200" s="44">
        <v>20</v>
      </c>
      <c r="I200" s="44">
        <v>20</v>
      </c>
      <c r="J200" s="44">
        <v>20</v>
      </c>
      <c r="K200" s="44">
        <v>20</v>
      </c>
      <c r="L200" s="44">
        <v>20</v>
      </c>
      <c r="M200" s="44">
        <v>20</v>
      </c>
    </row>
    <row r="201" spans="1:14" x14ac:dyDescent="0.25">
      <c r="A201" s="306"/>
      <c r="B201" s="323"/>
      <c r="C201" s="21" t="s">
        <v>23</v>
      </c>
      <c r="D201" s="1" t="s">
        <v>6</v>
      </c>
      <c r="E201" s="46">
        <v>202.65582041234001</v>
      </c>
      <c r="F201" s="46">
        <v>171.6776866187549</v>
      </c>
      <c r="G201" s="46">
        <v>133.81025064233</v>
      </c>
      <c r="H201" s="46">
        <v>107.89700245248551</v>
      </c>
      <c r="I201" s="46">
        <v>107.31263157894738</v>
      </c>
      <c r="J201" s="46">
        <v>107.00631578947369</v>
      </c>
      <c r="K201" s="46">
        <v>105.98526315789475</v>
      </c>
      <c r="L201" s="46">
        <v>103.84105263157896</v>
      </c>
      <c r="M201" s="46">
        <v>99.55263157894737</v>
      </c>
    </row>
    <row r="202" spans="1:14" x14ac:dyDescent="0.25">
      <c r="A202" s="306"/>
      <c r="B202" s="323"/>
      <c r="C202" s="21" t="s">
        <v>173</v>
      </c>
      <c r="D202" s="1" t="s">
        <v>19</v>
      </c>
      <c r="E202" s="47">
        <v>0</v>
      </c>
      <c r="F202" s="47">
        <v>0</v>
      </c>
      <c r="G202" s="47">
        <v>0</v>
      </c>
      <c r="H202" s="47">
        <v>0</v>
      </c>
      <c r="I202" s="47">
        <v>0</v>
      </c>
      <c r="J202" s="47">
        <v>0</v>
      </c>
      <c r="K202" s="47">
        <v>0</v>
      </c>
      <c r="L202" s="47">
        <v>0</v>
      </c>
      <c r="M202" s="47">
        <v>0</v>
      </c>
    </row>
    <row r="203" spans="1:14" x14ac:dyDescent="0.25">
      <c r="A203" s="306"/>
      <c r="B203" s="323"/>
      <c r="C203" s="21" t="s">
        <v>110</v>
      </c>
      <c r="D203" s="1" t="s">
        <v>8</v>
      </c>
      <c r="E203" s="44"/>
      <c r="F203" s="44"/>
      <c r="G203" s="44"/>
      <c r="H203" s="44"/>
      <c r="I203" s="44"/>
      <c r="J203" s="44"/>
      <c r="K203" s="44"/>
      <c r="L203" s="44"/>
      <c r="M203" s="44"/>
    </row>
    <row r="204" spans="1:14" x14ac:dyDescent="0.25">
      <c r="A204" s="306"/>
      <c r="B204" s="323"/>
      <c r="C204" s="21" t="s">
        <v>111</v>
      </c>
      <c r="D204" s="1" t="s">
        <v>9</v>
      </c>
      <c r="E204" s="46">
        <v>6.0796746123701997</v>
      </c>
      <c r="F204" s="46">
        <v>5.1503305985626469</v>
      </c>
      <c r="G204" s="46">
        <v>4.0143075192698996</v>
      </c>
      <c r="H204" s="46">
        <v>3.2369100735745651</v>
      </c>
      <c r="I204" s="46">
        <v>2.0378947368421052</v>
      </c>
      <c r="J204" s="46">
        <v>2.0189473684210526</v>
      </c>
      <c r="K204" s="46">
        <v>1.9557894736842103</v>
      </c>
      <c r="L204" s="46">
        <v>1.8231578947368419</v>
      </c>
      <c r="M204" s="46">
        <v>1.557894736842105</v>
      </c>
    </row>
    <row r="205" spans="1:14" x14ac:dyDescent="0.25">
      <c r="A205" s="306"/>
      <c r="B205" s="323"/>
      <c r="C205" s="21" t="s">
        <v>35</v>
      </c>
      <c r="D205" s="1" t="s">
        <v>10</v>
      </c>
      <c r="E205" s="46">
        <v>0</v>
      </c>
      <c r="F205" s="46">
        <v>0</v>
      </c>
      <c r="G205" s="46">
        <v>0</v>
      </c>
      <c r="H205" s="46">
        <v>0</v>
      </c>
      <c r="I205" s="46">
        <v>0</v>
      </c>
      <c r="J205" s="46">
        <v>0</v>
      </c>
      <c r="K205" s="46">
        <v>1.6666105263157894E-3</v>
      </c>
      <c r="L205" s="46">
        <v>1.5304421052631579E-3</v>
      </c>
      <c r="M205" s="46">
        <v>1.2581052631578946E-3</v>
      </c>
    </row>
    <row r="206" spans="1:14" x14ac:dyDescent="0.25">
      <c r="A206" s="306"/>
      <c r="B206" s="323"/>
      <c r="C206" s="22" t="s">
        <v>24</v>
      </c>
      <c r="D206" s="23" t="s">
        <v>10</v>
      </c>
      <c r="E206" s="46">
        <v>0</v>
      </c>
      <c r="F206" s="46">
        <v>0</v>
      </c>
      <c r="G206" s="46">
        <v>0</v>
      </c>
      <c r="H206" s="46">
        <v>0</v>
      </c>
      <c r="I206" s="46">
        <v>0</v>
      </c>
      <c r="J206" s="46">
        <v>0</v>
      </c>
      <c r="K206" s="46">
        <v>0</v>
      </c>
      <c r="L206" s="46">
        <v>0</v>
      </c>
      <c r="M206" s="46">
        <v>0</v>
      </c>
    </row>
    <row r="207" spans="1:14" x14ac:dyDescent="0.25">
      <c r="A207" s="306"/>
      <c r="B207" s="323"/>
      <c r="C207" s="21" t="s">
        <v>25</v>
      </c>
      <c r="D207" s="1" t="s">
        <v>7</v>
      </c>
      <c r="E207" s="47">
        <v>0.98499999999999988</v>
      </c>
      <c r="F207" s="47">
        <v>0.98499999999999988</v>
      </c>
      <c r="G207" s="47">
        <v>0.98499999999999988</v>
      </c>
      <c r="H207" s="47">
        <v>0.98499999999999988</v>
      </c>
      <c r="I207" s="47">
        <v>0.98499999999999988</v>
      </c>
      <c r="J207" s="47">
        <v>0.98499999999999988</v>
      </c>
      <c r="K207" s="47">
        <v>0.99399999999999999</v>
      </c>
      <c r="L207" s="47">
        <v>0.99399999999999999</v>
      </c>
      <c r="M207" s="47">
        <v>0.99399999999999999</v>
      </c>
    </row>
    <row r="208" spans="1:14" x14ac:dyDescent="0.25">
      <c r="A208" s="306"/>
      <c r="B208" s="323"/>
      <c r="C208" s="21" t="s">
        <v>26</v>
      </c>
      <c r="D208" s="1" t="s">
        <v>14</v>
      </c>
      <c r="E208" s="46">
        <v>1524.6</v>
      </c>
      <c r="F208" s="46">
        <v>1749.6</v>
      </c>
      <c r="G208" s="46">
        <v>2349.6</v>
      </c>
      <c r="H208" s="46">
        <v>3174.6</v>
      </c>
      <c r="I208" s="46">
        <v>4299.6000000000004</v>
      </c>
      <c r="J208" s="46">
        <v>14213</v>
      </c>
      <c r="K208" s="46">
        <v>21713</v>
      </c>
      <c r="L208" s="46">
        <v>37463</v>
      </c>
      <c r="M208" s="46">
        <v>68963</v>
      </c>
    </row>
    <row r="209" spans="1:13" x14ac:dyDescent="0.25">
      <c r="A209" s="306"/>
      <c r="B209" s="323"/>
      <c r="C209" s="21" t="s">
        <v>27</v>
      </c>
      <c r="D209" s="1" t="s">
        <v>4</v>
      </c>
      <c r="E209" s="44">
        <v>40</v>
      </c>
      <c r="F209" s="44">
        <v>40</v>
      </c>
      <c r="G209" s="44">
        <v>40</v>
      </c>
      <c r="H209" s="44">
        <v>40</v>
      </c>
      <c r="I209" s="44">
        <v>40</v>
      </c>
      <c r="J209" s="44">
        <v>40</v>
      </c>
      <c r="K209" s="44">
        <v>40</v>
      </c>
      <c r="L209" s="44">
        <v>40</v>
      </c>
      <c r="M209" s="44">
        <v>40</v>
      </c>
    </row>
    <row r="210" spans="1:13" x14ac:dyDescent="0.25">
      <c r="A210" s="306"/>
      <c r="B210" s="323"/>
      <c r="C210" s="21" t="s">
        <v>125</v>
      </c>
      <c r="D210" s="1" t="s">
        <v>19</v>
      </c>
      <c r="E210" s="51">
        <v>0.546875</v>
      </c>
      <c r="F210" s="51">
        <v>0.546875</v>
      </c>
      <c r="G210" s="51">
        <v>0.54687499999999989</v>
      </c>
      <c r="H210" s="51">
        <v>0.546875</v>
      </c>
      <c r="I210" s="51">
        <v>0.546875</v>
      </c>
      <c r="J210" s="51">
        <v>0.546875</v>
      </c>
      <c r="K210" s="51">
        <v>0.546875</v>
      </c>
      <c r="L210" s="51">
        <v>0.546875</v>
      </c>
      <c r="M210" s="51">
        <v>0.546875</v>
      </c>
    </row>
    <row r="211" spans="1:13" x14ac:dyDescent="0.25">
      <c r="A211" s="306"/>
      <c r="B211" s="323"/>
      <c r="C211" s="21" t="s">
        <v>126</v>
      </c>
      <c r="D211" s="1" t="s">
        <v>19</v>
      </c>
      <c r="E211" s="44">
        <v>0.64</v>
      </c>
      <c r="F211" s="44">
        <v>0.64</v>
      </c>
      <c r="G211" s="44">
        <v>0.64</v>
      </c>
      <c r="H211" s="44">
        <v>0.64</v>
      </c>
      <c r="I211" s="44">
        <v>0.64</v>
      </c>
      <c r="J211" s="44">
        <v>0.64</v>
      </c>
      <c r="K211" s="44">
        <v>0.64</v>
      </c>
      <c r="L211" s="44">
        <v>0.64</v>
      </c>
      <c r="M211" s="44">
        <v>0.64</v>
      </c>
    </row>
    <row r="212" spans="1:13" x14ac:dyDescent="0.25">
      <c r="A212" s="306"/>
      <c r="B212" s="323"/>
      <c r="C212" s="24" t="s">
        <v>127</v>
      </c>
      <c r="D212" s="1" t="s">
        <v>4</v>
      </c>
      <c r="E212" s="44">
        <v>20</v>
      </c>
      <c r="F212" s="44">
        <v>20</v>
      </c>
      <c r="G212" s="44">
        <v>20</v>
      </c>
      <c r="H212" s="44">
        <v>20</v>
      </c>
      <c r="I212" s="44">
        <v>20</v>
      </c>
      <c r="J212" s="44">
        <v>20</v>
      </c>
      <c r="K212" s="44">
        <v>20</v>
      </c>
      <c r="L212" s="44">
        <v>20</v>
      </c>
      <c r="M212" s="44">
        <v>20</v>
      </c>
    </row>
    <row r="213" spans="1:13" x14ac:dyDescent="0.25">
      <c r="A213" s="306"/>
      <c r="B213" s="323"/>
      <c r="C213" s="24" t="s">
        <v>128</v>
      </c>
      <c r="D213" s="1" t="s">
        <v>6</v>
      </c>
      <c r="E213" s="52">
        <v>890.31004540991637</v>
      </c>
      <c r="F213" s="46">
        <v>866.55038046146274</v>
      </c>
      <c r="G213" s="46">
        <v>803.19127393225313</v>
      </c>
      <c r="H213" s="46">
        <v>716.07250245458999</v>
      </c>
      <c r="I213" s="46">
        <v>597.27417771232194</v>
      </c>
      <c r="J213" s="46">
        <v>508.57142857142856</v>
      </c>
      <c r="K213" s="46">
        <v>508.57142857142856</v>
      </c>
      <c r="L213" s="46">
        <v>508.57142857142856</v>
      </c>
      <c r="M213" s="46">
        <v>508.57142857142856</v>
      </c>
    </row>
    <row r="214" spans="1:13" x14ac:dyDescent="0.25">
      <c r="A214" s="306"/>
      <c r="B214" s="323"/>
      <c r="C214" s="21" t="s">
        <v>179</v>
      </c>
      <c r="D214" s="1" t="s">
        <v>19</v>
      </c>
      <c r="E214" s="47">
        <v>0</v>
      </c>
      <c r="F214" s="47">
        <v>0</v>
      </c>
      <c r="G214" s="47">
        <v>0</v>
      </c>
      <c r="H214" s="47">
        <v>0</v>
      </c>
      <c r="I214" s="47">
        <v>0</v>
      </c>
      <c r="J214" s="47">
        <v>0</v>
      </c>
      <c r="K214" s="47">
        <v>0</v>
      </c>
      <c r="L214" s="47">
        <v>0</v>
      </c>
      <c r="M214" s="47">
        <v>0</v>
      </c>
    </row>
    <row r="215" spans="1:13" x14ac:dyDescent="0.25">
      <c r="A215" s="306"/>
      <c r="B215" s="323"/>
      <c r="C215" s="21" t="s">
        <v>129</v>
      </c>
      <c r="D215" s="1" t="s">
        <v>8</v>
      </c>
      <c r="E215" s="46">
        <v>52.688365243004426</v>
      </c>
      <c r="F215" s="46">
        <v>69.477761413843893</v>
      </c>
      <c r="G215" s="46">
        <v>114.24948453608249</v>
      </c>
      <c r="H215" s="46">
        <v>175.81060382916056</v>
      </c>
      <c r="I215" s="46">
        <v>259.75758468335789</v>
      </c>
      <c r="J215" s="46">
        <v>427.65154639175262</v>
      </c>
      <c r="K215" s="46">
        <v>595.54550810014734</v>
      </c>
      <c r="L215" s="46">
        <v>595.54550810014734</v>
      </c>
      <c r="M215" s="46">
        <v>595.54550810014734</v>
      </c>
    </row>
    <row r="216" spans="1:13" x14ac:dyDescent="0.25">
      <c r="A216" s="306"/>
      <c r="B216" s="323"/>
      <c r="C216" s="21" t="s">
        <v>130</v>
      </c>
      <c r="D216" s="1" t="s">
        <v>9</v>
      </c>
      <c r="E216" s="44"/>
      <c r="F216" s="44"/>
      <c r="G216" s="44"/>
      <c r="H216" s="44"/>
      <c r="I216" s="44"/>
      <c r="J216" s="44"/>
      <c r="K216" s="44"/>
      <c r="L216" s="44"/>
      <c r="M216" s="44"/>
    </row>
    <row r="217" spans="1:13" x14ac:dyDescent="0.25">
      <c r="A217" s="306"/>
      <c r="B217" s="323"/>
      <c r="C217" s="21" t="s">
        <v>131</v>
      </c>
      <c r="D217" s="1" t="s">
        <v>10</v>
      </c>
      <c r="E217" s="44"/>
      <c r="F217" s="44"/>
      <c r="G217" s="44"/>
      <c r="H217" s="44"/>
      <c r="I217" s="44"/>
      <c r="J217" s="44"/>
      <c r="K217" s="44"/>
      <c r="L217" s="44"/>
      <c r="M217" s="44"/>
    </row>
    <row r="218" spans="1:13" ht="18.75" x14ac:dyDescent="0.25">
      <c r="A218" s="306"/>
      <c r="B218" s="323"/>
      <c r="C218" s="53" t="s">
        <v>132</v>
      </c>
      <c r="D218" s="23" t="s">
        <v>17</v>
      </c>
      <c r="E218" s="44"/>
      <c r="F218" s="44"/>
      <c r="G218" s="44"/>
      <c r="H218" s="44"/>
      <c r="I218" s="44"/>
      <c r="J218" s="44"/>
      <c r="K218" s="44"/>
      <c r="L218" s="44"/>
      <c r="M218" s="44"/>
    </row>
    <row r="219" spans="1:13" x14ac:dyDescent="0.25">
      <c r="A219" s="324">
        <v>14</v>
      </c>
      <c r="B219" s="327" t="s">
        <v>181</v>
      </c>
      <c r="C219" s="21" t="s">
        <v>112</v>
      </c>
      <c r="D219" s="1" t="s">
        <v>19</v>
      </c>
      <c r="E219" s="51">
        <v>1</v>
      </c>
      <c r="F219" s="51">
        <v>1</v>
      </c>
      <c r="G219" s="51">
        <v>1</v>
      </c>
      <c r="H219" s="51">
        <v>1</v>
      </c>
      <c r="I219" s="51">
        <v>1</v>
      </c>
      <c r="J219" s="51">
        <v>1</v>
      </c>
      <c r="K219" s="51">
        <v>1</v>
      </c>
      <c r="L219" s="51">
        <v>1</v>
      </c>
      <c r="M219" s="51">
        <v>1</v>
      </c>
    </row>
    <row r="220" spans="1:13" x14ac:dyDescent="0.25">
      <c r="A220" s="325"/>
      <c r="B220" s="328"/>
      <c r="C220" s="21" t="s">
        <v>28</v>
      </c>
      <c r="D220" s="1" t="s">
        <v>19</v>
      </c>
      <c r="E220" s="44">
        <v>0.8</v>
      </c>
      <c r="F220" s="44">
        <v>0.8</v>
      </c>
      <c r="G220" s="44">
        <v>0.8</v>
      </c>
      <c r="H220" s="44">
        <v>0.8</v>
      </c>
      <c r="I220" s="44">
        <v>0.8</v>
      </c>
      <c r="J220" s="44">
        <v>0.8</v>
      </c>
      <c r="K220" s="44">
        <v>0.8</v>
      </c>
      <c r="L220" s="44">
        <v>0.8</v>
      </c>
      <c r="M220" s="44">
        <v>0.8</v>
      </c>
    </row>
    <row r="221" spans="1:13" x14ac:dyDescent="0.25">
      <c r="A221" s="325"/>
      <c r="B221" s="328"/>
      <c r="C221" s="21" t="s">
        <v>29</v>
      </c>
      <c r="D221" s="1" t="s">
        <v>4</v>
      </c>
      <c r="E221" s="44">
        <v>20</v>
      </c>
      <c r="F221" s="44">
        <v>20</v>
      </c>
      <c r="G221" s="44">
        <v>20</v>
      </c>
      <c r="H221" s="44">
        <v>20</v>
      </c>
      <c r="I221" s="44">
        <v>20</v>
      </c>
      <c r="J221" s="44">
        <v>20</v>
      </c>
      <c r="K221" s="44">
        <v>20</v>
      </c>
      <c r="L221" s="44">
        <v>20</v>
      </c>
      <c r="M221" s="44">
        <v>20</v>
      </c>
    </row>
    <row r="222" spans="1:13" x14ac:dyDescent="0.25">
      <c r="A222" s="325"/>
      <c r="B222" s="328"/>
      <c r="C222" s="21" t="s">
        <v>30</v>
      </c>
      <c r="D222" s="1" t="s">
        <v>6</v>
      </c>
      <c r="E222" s="46">
        <v>800.77079092910083</v>
      </c>
      <c r="F222" s="46">
        <v>571.81820894808823</v>
      </c>
      <c r="G222" s="46">
        <v>446.14556901716315</v>
      </c>
      <c r="H222" s="46">
        <v>446.14556901716315</v>
      </c>
      <c r="I222" s="46">
        <v>446.14556901716315</v>
      </c>
      <c r="J222" s="46">
        <v>446.14556901716315</v>
      </c>
      <c r="K222" s="46">
        <v>1129.4706178785063</v>
      </c>
      <c r="L222" s="46">
        <v>982.55924743473179</v>
      </c>
      <c r="M222" s="46">
        <v>863.67730421521264</v>
      </c>
    </row>
    <row r="223" spans="1:13" x14ac:dyDescent="0.25">
      <c r="A223" s="325"/>
      <c r="B223" s="328"/>
      <c r="C223" s="21" t="s">
        <v>174</v>
      </c>
      <c r="D223" s="1" t="s">
        <v>19</v>
      </c>
      <c r="E223" s="47">
        <v>0</v>
      </c>
      <c r="F223" s="47">
        <v>0</v>
      </c>
      <c r="G223" s="47">
        <v>0</v>
      </c>
      <c r="H223" s="47">
        <v>0</v>
      </c>
      <c r="I223" s="47">
        <v>0</v>
      </c>
      <c r="J223" s="47">
        <v>0</v>
      </c>
      <c r="K223" s="47">
        <v>0</v>
      </c>
      <c r="L223" s="47">
        <v>0</v>
      </c>
      <c r="M223" s="47">
        <v>0</v>
      </c>
    </row>
    <row r="224" spans="1:13" x14ac:dyDescent="0.25">
      <c r="A224" s="325"/>
      <c r="B224" s="328"/>
      <c r="C224" s="21" t="s">
        <v>113</v>
      </c>
      <c r="D224" s="1" t="s">
        <v>8</v>
      </c>
      <c r="E224" s="44"/>
      <c r="F224" s="44"/>
      <c r="G224" s="44"/>
      <c r="H224" s="44"/>
      <c r="I224" s="44"/>
      <c r="J224" s="44"/>
      <c r="K224" s="44"/>
      <c r="L224" s="44"/>
      <c r="M224" s="44"/>
    </row>
    <row r="225" spans="1:13" x14ac:dyDescent="0.25">
      <c r="A225" s="325"/>
      <c r="B225" s="328"/>
      <c r="C225" s="21" t="s">
        <v>114</v>
      </c>
      <c r="D225" s="1" t="s">
        <v>9</v>
      </c>
      <c r="E225" s="44"/>
      <c r="F225" s="44"/>
      <c r="G225" s="44"/>
      <c r="H225" s="44"/>
      <c r="I225" s="44"/>
      <c r="J225" s="44"/>
      <c r="K225" s="44"/>
      <c r="L225" s="44"/>
      <c r="M225" s="44"/>
    </row>
    <row r="226" spans="1:13" x14ac:dyDescent="0.25">
      <c r="A226" s="325"/>
      <c r="B226" s="328"/>
      <c r="C226" s="21" t="s">
        <v>115</v>
      </c>
      <c r="D226" s="1" t="s">
        <v>10</v>
      </c>
      <c r="E226" s="46">
        <v>0</v>
      </c>
      <c r="F226" s="46">
        <v>0</v>
      </c>
      <c r="G226" s="46">
        <v>0</v>
      </c>
      <c r="H226" s="46">
        <v>0</v>
      </c>
      <c r="I226" s="46">
        <v>0</v>
      </c>
      <c r="J226" s="46">
        <v>0</v>
      </c>
      <c r="K226" s="46">
        <v>2.0599999999999998E-3</v>
      </c>
      <c r="L226" s="46">
        <v>2.0599999999999998E-3</v>
      </c>
      <c r="M226" s="46">
        <v>2.0599999999999998E-3</v>
      </c>
    </row>
    <row r="227" spans="1:13" ht="18.75" x14ac:dyDescent="0.25">
      <c r="A227" s="325"/>
      <c r="B227" s="328"/>
      <c r="C227" s="22" t="s">
        <v>116</v>
      </c>
      <c r="D227" s="23" t="s">
        <v>17</v>
      </c>
      <c r="E227" s="46">
        <v>0</v>
      </c>
      <c r="F227" s="46">
        <v>0</v>
      </c>
      <c r="G227" s="46">
        <v>0</v>
      </c>
      <c r="H227" s="46">
        <v>0</v>
      </c>
      <c r="I227" s="46">
        <v>0</v>
      </c>
      <c r="J227" s="46">
        <v>0</v>
      </c>
      <c r="K227" s="46">
        <v>0</v>
      </c>
      <c r="L227" s="46">
        <v>0</v>
      </c>
      <c r="M227" s="46">
        <v>0</v>
      </c>
    </row>
    <row r="228" spans="1:13" x14ac:dyDescent="0.25">
      <c r="A228" s="325"/>
      <c r="B228" s="328"/>
      <c r="C228" s="22" t="s">
        <v>31</v>
      </c>
      <c r="D228" s="23" t="s">
        <v>10</v>
      </c>
      <c r="E228" s="46">
        <v>0</v>
      </c>
      <c r="F228" s="46">
        <v>0</v>
      </c>
      <c r="G228" s="46">
        <v>0</v>
      </c>
      <c r="H228" s="46">
        <v>0</v>
      </c>
      <c r="I228" s="46">
        <v>0</v>
      </c>
      <c r="J228" s="46">
        <v>0</v>
      </c>
      <c r="K228" s="46">
        <v>0</v>
      </c>
      <c r="L228" s="46">
        <v>0</v>
      </c>
      <c r="M228" s="46">
        <v>0</v>
      </c>
    </row>
    <row r="229" spans="1:13" x14ac:dyDescent="0.25">
      <c r="A229" s="325"/>
      <c r="B229" s="328"/>
      <c r="C229" s="21" t="s">
        <v>32</v>
      </c>
      <c r="D229" s="2" t="s">
        <v>19</v>
      </c>
      <c r="E229" s="44">
        <v>3.38</v>
      </c>
      <c r="F229" s="44">
        <v>3.38</v>
      </c>
      <c r="G229" s="44">
        <v>3.38</v>
      </c>
      <c r="H229" s="44">
        <v>3.38</v>
      </c>
      <c r="I229" s="44">
        <v>3.38</v>
      </c>
      <c r="J229" s="44">
        <v>3.38</v>
      </c>
      <c r="K229" s="44">
        <v>3.38</v>
      </c>
      <c r="L229" s="44">
        <v>3.38</v>
      </c>
      <c r="M229" s="44">
        <v>3.38</v>
      </c>
    </row>
    <row r="230" spans="1:13" x14ac:dyDescent="0.25">
      <c r="A230" s="325"/>
      <c r="B230" s="328"/>
      <c r="C230" s="21" t="s">
        <v>33</v>
      </c>
      <c r="D230" s="2" t="s">
        <v>14</v>
      </c>
      <c r="E230" s="44"/>
      <c r="F230" s="44"/>
      <c r="G230" s="44"/>
      <c r="H230" s="44"/>
      <c r="I230" s="44"/>
      <c r="J230" s="44"/>
      <c r="K230" s="44"/>
      <c r="L230" s="44"/>
      <c r="M230" s="44"/>
    </row>
    <row r="231" spans="1:13" x14ac:dyDescent="0.25">
      <c r="A231" s="325"/>
      <c r="B231" s="328"/>
      <c r="C231" s="21" t="s">
        <v>34</v>
      </c>
      <c r="D231" s="2" t="s">
        <v>4</v>
      </c>
      <c r="E231" s="44"/>
      <c r="F231" s="44"/>
      <c r="G231" s="44"/>
      <c r="H231" s="44"/>
      <c r="I231" s="44"/>
      <c r="J231" s="44"/>
      <c r="K231" s="44"/>
      <c r="L231" s="44"/>
      <c r="M231" s="44"/>
    </row>
    <row r="232" spans="1:13" x14ac:dyDescent="0.25">
      <c r="A232" s="325"/>
      <c r="B232" s="328"/>
      <c r="C232" s="21" t="s">
        <v>125</v>
      </c>
      <c r="D232" s="1" t="s">
        <v>19</v>
      </c>
      <c r="E232" s="51">
        <v>0.3125</v>
      </c>
      <c r="F232" s="51">
        <v>0.3125</v>
      </c>
      <c r="G232" s="51">
        <v>0.3125</v>
      </c>
      <c r="H232" s="51">
        <v>0.3125</v>
      </c>
      <c r="I232" s="51">
        <v>0.3125</v>
      </c>
      <c r="J232" s="51">
        <v>0.3125</v>
      </c>
      <c r="K232" s="51">
        <v>0.3125</v>
      </c>
      <c r="L232" s="51">
        <v>0.3125</v>
      </c>
      <c r="M232" s="51">
        <v>0.3125</v>
      </c>
    </row>
    <row r="233" spans="1:13" x14ac:dyDescent="0.25">
      <c r="A233" s="325"/>
      <c r="B233" s="328"/>
      <c r="C233" s="21" t="s">
        <v>126</v>
      </c>
      <c r="D233" s="1" t="s">
        <v>19</v>
      </c>
      <c r="E233" s="44">
        <v>0.64</v>
      </c>
      <c r="F233" s="44">
        <v>0.64</v>
      </c>
      <c r="G233" s="44">
        <v>0.64</v>
      </c>
      <c r="H233" s="44">
        <v>0.64</v>
      </c>
      <c r="I233" s="44">
        <v>0.64</v>
      </c>
      <c r="J233" s="44">
        <v>0.64</v>
      </c>
      <c r="K233" s="44">
        <v>0.64</v>
      </c>
      <c r="L233" s="44">
        <v>0.64</v>
      </c>
      <c r="M233" s="44">
        <v>0.64</v>
      </c>
    </row>
    <row r="234" spans="1:13" x14ac:dyDescent="0.25">
      <c r="A234" s="325"/>
      <c r="B234" s="328"/>
      <c r="C234" s="24" t="s">
        <v>127</v>
      </c>
      <c r="D234" s="1" t="s">
        <v>4</v>
      </c>
      <c r="E234" s="44">
        <v>20</v>
      </c>
      <c r="F234" s="44">
        <v>20</v>
      </c>
      <c r="G234" s="44">
        <v>20</v>
      </c>
      <c r="H234" s="44">
        <v>20</v>
      </c>
      <c r="I234" s="44">
        <v>20</v>
      </c>
      <c r="J234" s="44">
        <v>20</v>
      </c>
      <c r="K234" s="44">
        <v>20</v>
      </c>
      <c r="L234" s="44">
        <v>20</v>
      </c>
      <c r="M234" s="44">
        <v>20</v>
      </c>
    </row>
    <row r="235" spans="1:13" x14ac:dyDescent="0.25">
      <c r="A235" s="325"/>
      <c r="B235" s="328"/>
      <c r="C235" s="24" t="s">
        <v>128</v>
      </c>
      <c r="D235" s="1" t="s">
        <v>6</v>
      </c>
      <c r="E235" s="52">
        <v>900.49275895925371</v>
      </c>
      <c r="F235" s="52">
        <v>886.9158075601373</v>
      </c>
      <c r="G235" s="52">
        <v>850.71060382916039</v>
      </c>
      <c r="H235" s="52">
        <v>800.92844869906708</v>
      </c>
      <c r="I235" s="52">
        <v>733.04369170348536</v>
      </c>
      <c r="J235" s="52">
        <v>597.27417771232194</v>
      </c>
      <c r="K235" s="52">
        <v>508.57142857142856</v>
      </c>
      <c r="L235" s="52">
        <v>508.57142857142856</v>
      </c>
      <c r="M235" s="52">
        <v>508.57142857142856</v>
      </c>
    </row>
    <row r="236" spans="1:13" x14ac:dyDescent="0.25">
      <c r="A236" s="325"/>
      <c r="B236" s="328"/>
      <c r="C236" s="24" t="s">
        <v>179</v>
      </c>
      <c r="D236" s="1" t="s">
        <v>19</v>
      </c>
      <c r="E236" s="47">
        <v>0</v>
      </c>
      <c r="F236" s="47">
        <v>0</v>
      </c>
      <c r="G236" s="47">
        <v>0</v>
      </c>
      <c r="H236" s="47">
        <v>0</v>
      </c>
      <c r="I236" s="47">
        <v>0</v>
      </c>
      <c r="J236" s="47">
        <v>0</v>
      </c>
      <c r="K236" s="47">
        <v>0</v>
      </c>
      <c r="L236" s="47">
        <v>0</v>
      </c>
      <c r="M236" s="47">
        <v>0</v>
      </c>
    </row>
    <row r="237" spans="1:13" x14ac:dyDescent="0.25">
      <c r="A237" s="325"/>
      <c r="B237" s="328"/>
      <c r="C237" s="21" t="s">
        <v>129</v>
      </c>
      <c r="D237" s="1" t="s">
        <v>8</v>
      </c>
      <c r="E237" s="46">
        <v>52.688365243004426</v>
      </c>
      <c r="F237" s="46">
        <v>69.477761413843893</v>
      </c>
      <c r="G237" s="46">
        <v>114.24948453608249</v>
      </c>
      <c r="H237" s="46">
        <v>175.81060382916056</v>
      </c>
      <c r="I237" s="46">
        <v>259.75758468335789</v>
      </c>
      <c r="J237" s="46">
        <v>427.65154639175262</v>
      </c>
      <c r="K237" s="46">
        <v>595.54550810014734</v>
      </c>
      <c r="L237" s="46">
        <v>595.54550810014734</v>
      </c>
      <c r="M237" s="46">
        <v>595.54550810014734</v>
      </c>
    </row>
    <row r="238" spans="1:13" x14ac:dyDescent="0.25">
      <c r="A238" s="325"/>
      <c r="B238" s="328"/>
      <c r="C238" s="21" t="s">
        <v>130</v>
      </c>
      <c r="D238" s="1" t="s">
        <v>9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1:13" x14ac:dyDescent="0.25">
      <c r="A239" s="325"/>
      <c r="B239" s="328"/>
      <c r="C239" s="21" t="s">
        <v>131</v>
      </c>
      <c r="D239" s="1" t="s">
        <v>10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1:13" ht="18.75" x14ac:dyDescent="0.25">
      <c r="A240" s="326"/>
      <c r="B240" s="329"/>
      <c r="C240" s="53" t="s">
        <v>132</v>
      </c>
      <c r="D240" s="23" t="s">
        <v>17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1:13" x14ac:dyDescent="0.25">
      <c r="A241" s="324">
        <v>15</v>
      </c>
      <c r="B241" s="327" t="s">
        <v>182</v>
      </c>
      <c r="C241" s="21" t="s">
        <v>112</v>
      </c>
      <c r="D241" s="1" t="s">
        <v>19</v>
      </c>
      <c r="E241" s="51">
        <v>1</v>
      </c>
      <c r="F241" s="51">
        <v>1</v>
      </c>
      <c r="G241" s="51">
        <v>1</v>
      </c>
      <c r="H241" s="51">
        <v>1</v>
      </c>
      <c r="I241" s="51">
        <v>1</v>
      </c>
      <c r="J241" s="51">
        <v>1</v>
      </c>
      <c r="K241" s="51">
        <v>1</v>
      </c>
      <c r="L241" s="51">
        <v>1</v>
      </c>
      <c r="M241" s="51">
        <v>1</v>
      </c>
    </row>
    <row r="242" spans="1:13" x14ac:dyDescent="0.25">
      <c r="A242" s="325"/>
      <c r="B242" s="328"/>
      <c r="C242" s="21" t="s">
        <v>28</v>
      </c>
      <c r="D242" s="1" t="s">
        <v>19</v>
      </c>
      <c r="E242" s="44">
        <v>0.65</v>
      </c>
      <c r="F242" s="44">
        <v>0.65</v>
      </c>
      <c r="G242" s="44">
        <v>0.65</v>
      </c>
      <c r="H242" s="44">
        <v>0.65</v>
      </c>
      <c r="I242" s="44">
        <v>0.65</v>
      </c>
      <c r="J242" s="44">
        <v>0.65</v>
      </c>
      <c r="K242" s="44">
        <v>0.65</v>
      </c>
      <c r="L242" s="44">
        <v>0.65</v>
      </c>
      <c r="M242" s="44">
        <v>0.65</v>
      </c>
    </row>
    <row r="243" spans="1:13" x14ac:dyDescent="0.25">
      <c r="A243" s="325"/>
      <c r="B243" s="328"/>
      <c r="C243" s="21" t="s">
        <v>29</v>
      </c>
      <c r="D243" s="1" t="s">
        <v>4</v>
      </c>
      <c r="E243" s="44">
        <v>20</v>
      </c>
      <c r="F243" s="44">
        <v>20</v>
      </c>
      <c r="G243" s="44">
        <v>20</v>
      </c>
      <c r="H243" s="44">
        <v>20</v>
      </c>
      <c r="I243" s="44">
        <v>20</v>
      </c>
      <c r="J243" s="44">
        <v>20</v>
      </c>
      <c r="K243" s="44">
        <v>20</v>
      </c>
      <c r="L243" s="44">
        <v>20</v>
      </c>
      <c r="M243" s="44">
        <v>20</v>
      </c>
    </row>
    <row r="244" spans="1:13" x14ac:dyDescent="0.25">
      <c r="A244" s="325"/>
      <c r="B244" s="328"/>
      <c r="C244" s="21" t="s">
        <v>30</v>
      </c>
      <c r="D244" s="1" t="s">
        <v>6</v>
      </c>
      <c r="E244" s="46">
        <v>800.77079092910083</v>
      </c>
      <c r="F244" s="46">
        <v>571.81820894808823</v>
      </c>
      <c r="G244" s="46">
        <v>446.14556901716315</v>
      </c>
      <c r="H244" s="46">
        <v>446.14556901716315</v>
      </c>
      <c r="I244" s="46">
        <v>446.14556901716315</v>
      </c>
      <c r="J244" s="46">
        <v>446.14556901716315</v>
      </c>
      <c r="K244" s="46">
        <v>1129.4706178785063</v>
      </c>
      <c r="L244" s="46">
        <v>982.55924743473179</v>
      </c>
      <c r="M244" s="46">
        <v>863.67730421521264</v>
      </c>
    </row>
    <row r="245" spans="1:13" x14ac:dyDescent="0.25">
      <c r="A245" s="325"/>
      <c r="B245" s="328"/>
      <c r="C245" s="21" t="s">
        <v>174</v>
      </c>
      <c r="D245" s="1" t="s">
        <v>19</v>
      </c>
      <c r="E245" s="47">
        <v>0</v>
      </c>
      <c r="F245" s="47">
        <v>0</v>
      </c>
      <c r="G245" s="47">
        <v>0</v>
      </c>
      <c r="H245" s="47">
        <v>0</v>
      </c>
      <c r="I245" s="47">
        <v>0</v>
      </c>
      <c r="J245" s="47">
        <v>0</v>
      </c>
      <c r="K245" s="47">
        <v>0</v>
      </c>
      <c r="L245" s="47">
        <v>0</v>
      </c>
      <c r="M245" s="47">
        <v>0</v>
      </c>
    </row>
    <row r="246" spans="1:13" x14ac:dyDescent="0.25">
      <c r="A246" s="325"/>
      <c r="B246" s="328"/>
      <c r="C246" s="21" t="s">
        <v>113</v>
      </c>
      <c r="D246" s="1" t="s">
        <v>8</v>
      </c>
      <c r="E246" s="44"/>
      <c r="F246" s="44"/>
      <c r="G246" s="44"/>
      <c r="H246" s="44"/>
      <c r="I246" s="44"/>
      <c r="J246" s="44"/>
      <c r="K246" s="44"/>
      <c r="L246" s="44"/>
      <c r="M246" s="44"/>
    </row>
    <row r="247" spans="1:13" x14ac:dyDescent="0.25">
      <c r="A247" s="325"/>
      <c r="B247" s="328"/>
      <c r="C247" s="21" t="s">
        <v>114</v>
      </c>
      <c r="D247" s="1" t="s">
        <v>9</v>
      </c>
      <c r="E247" s="44"/>
      <c r="F247" s="44"/>
      <c r="G247" s="44"/>
      <c r="H247" s="44"/>
      <c r="I247" s="44"/>
      <c r="J247" s="44"/>
      <c r="K247" s="44"/>
      <c r="L247" s="44"/>
      <c r="M247" s="44"/>
    </row>
    <row r="248" spans="1:13" x14ac:dyDescent="0.25">
      <c r="A248" s="325"/>
      <c r="B248" s="328"/>
      <c r="C248" s="21" t="s">
        <v>115</v>
      </c>
      <c r="D248" s="1" t="s">
        <v>10</v>
      </c>
      <c r="E248" s="46">
        <v>0</v>
      </c>
      <c r="F248" s="46">
        <v>0</v>
      </c>
      <c r="G248" s="46">
        <v>0</v>
      </c>
      <c r="H248" s="46">
        <v>0</v>
      </c>
      <c r="I248" s="46">
        <v>0</v>
      </c>
      <c r="J248" s="46">
        <v>0</v>
      </c>
      <c r="K248" s="46">
        <v>2.0599999999999998E-3</v>
      </c>
      <c r="L248" s="46">
        <v>2.0599999999999998E-3</v>
      </c>
      <c r="M248" s="46">
        <v>2.0599999999999998E-3</v>
      </c>
    </row>
    <row r="249" spans="1:13" ht="18.75" x14ac:dyDescent="0.25">
      <c r="A249" s="325"/>
      <c r="B249" s="328"/>
      <c r="C249" s="22" t="s">
        <v>116</v>
      </c>
      <c r="D249" s="23" t="s">
        <v>17</v>
      </c>
      <c r="E249" s="46">
        <v>0</v>
      </c>
      <c r="F249" s="46">
        <v>0</v>
      </c>
      <c r="G249" s="46">
        <v>0</v>
      </c>
      <c r="H249" s="46">
        <v>0</v>
      </c>
      <c r="I249" s="46">
        <v>0</v>
      </c>
      <c r="J249" s="46">
        <v>0</v>
      </c>
      <c r="K249" s="46">
        <v>0</v>
      </c>
      <c r="L249" s="46">
        <v>0</v>
      </c>
      <c r="M249" s="46">
        <v>0</v>
      </c>
    </row>
    <row r="250" spans="1:13" x14ac:dyDescent="0.25">
      <c r="A250" s="325"/>
      <c r="B250" s="328"/>
      <c r="C250" s="22" t="s">
        <v>31</v>
      </c>
      <c r="D250" s="23" t="s">
        <v>10</v>
      </c>
      <c r="E250" s="46">
        <v>0</v>
      </c>
      <c r="F250" s="46">
        <v>0</v>
      </c>
      <c r="G250" s="46">
        <v>0</v>
      </c>
      <c r="H250" s="46">
        <v>0</v>
      </c>
      <c r="I250" s="46">
        <v>0</v>
      </c>
      <c r="J250" s="46">
        <v>0</v>
      </c>
      <c r="K250" s="46">
        <v>0</v>
      </c>
      <c r="L250" s="46">
        <v>0</v>
      </c>
      <c r="M250" s="46">
        <v>0</v>
      </c>
    </row>
    <row r="251" spans="1:13" x14ac:dyDescent="0.25">
      <c r="A251" s="325"/>
      <c r="B251" s="328"/>
      <c r="C251" s="21" t="s">
        <v>32</v>
      </c>
      <c r="D251" s="2" t="s">
        <v>19</v>
      </c>
      <c r="E251" s="44">
        <v>3.38</v>
      </c>
      <c r="F251" s="44">
        <v>3.38</v>
      </c>
      <c r="G251" s="44">
        <v>3.38</v>
      </c>
      <c r="H251" s="44">
        <v>3.38</v>
      </c>
      <c r="I251" s="44">
        <v>3.38</v>
      </c>
      <c r="J251" s="44">
        <v>3.38</v>
      </c>
      <c r="K251" s="44">
        <v>3.38</v>
      </c>
      <c r="L251" s="44">
        <v>3.38</v>
      </c>
      <c r="M251" s="44">
        <v>3.38</v>
      </c>
    </row>
    <row r="252" spans="1:13" x14ac:dyDescent="0.25">
      <c r="A252" s="325"/>
      <c r="B252" s="328"/>
      <c r="C252" s="21" t="s">
        <v>33</v>
      </c>
      <c r="D252" s="2" t="s">
        <v>14</v>
      </c>
      <c r="E252" s="44"/>
      <c r="F252" s="44"/>
      <c r="G252" s="44"/>
      <c r="H252" s="44"/>
      <c r="I252" s="44"/>
      <c r="J252" s="44"/>
      <c r="K252" s="44"/>
      <c r="L252" s="44"/>
      <c r="M252" s="44"/>
    </row>
    <row r="253" spans="1:13" x14ac:dyDescent="0.25">
      <c r="A253" s="325"/>
      <c r="B253" s="328"/>
      <c r="C253" s="21" t="s">
        <v>34</v>
      </c>
      <c r="D253" s="2" t="s">
        <v>4</v>
      </c>
      <c r="E253" s="44"/>
      <c r="F253" s="44"/>
      <c r="G253" s="44"/>
      <c r="H253" s="44"/>
      <c r="I253" s="44"/>
      <c r="J253" s="44"/>
      <c r="K253" s="44"/>
      <c r="L253" s="44"/>
      <c r="M253" s="44"/>
    </row>
    <row r="254" spans="1:13" x14ac:dyDescent="0.25">
      <c r="A254" s="325"/>
      <c r="B254" s="328"/>
      <c r="C254" s="21" t="s">
        <v>125</v>
      </c>
      <c r="D254" s="1" t="s">
        <v>19</v>
      </c>
      <c r="E254" s="51">
        <v>0.546875</v>
      </c>
      <c r="F254" s="51">
        <v>0.546875</v>
      </c>
      <c r="G254" s="51">
        <v>0.54687499999999989</v>
      </c>
      <c r="H254" s="51">
        <v>0.546875</v>
      </c>
      <c r="I254" s="51">
        <v>0.546875</v>
      </c>
      <c r="J254" s="51">
        <v>0.546875</v>
      </c>
      <c r="K254" s="51">
        <v>0.546875</v>
      </c>
      <c r="L254" s="51">
        <v>0.546875</v>
      </c>
      <c r="M254" s="51">
        <v>0.546875</v>
      </c>
    </row>
    <row r="255" spans="1:13" x14ac:dyDescent="0.25">
      <c r="A255" s="325"/>
      <c r="B255" s="328"/>
      <c r="C255" s="21" t="s">
        <v>126</v>
      </c>
      <c r="D255" s="1" t="s">
        <v>19</v>
      </c>
      <c r="E255" s="44">
        <v>0.64</v>
      </c>
      <c r="F255" s="44">
        <v>0.64</v>
      </c>
      <c r="G255" s="44">
        <v>0.64</v>
      </c>
      <c r="H255" s="44">
        <v>0.64</v>
      </c>
      <c r="I255" s="44">
        <v>0.64</v>
      </c>
      <c r="J255" s="44">
        <v>0.64</v>
      </c>
      <c r="K255" s="44">
        <v>0.64</v>
      </c>
      <c r="L255" s="44">
        <v>0.64</v>
      </c>
      <c r="M255" s="44">
        <v>0.64</v>
      </c>
    </row>
    <row r="256" spans="1:13" x14ac:dyDescent="0.25">
      <c r="A256" s="325"/>
      <c r="B256" s="328"/>
      <c r="C256" s="24" t="s">
        <v>127</v>
      </c>
      <c r="D256" s="1" t="s">
        <v>4</v>
      </c>
      <c r="E256" s="44">
        <v>20</v>
      </c>
      <c r="F256" s="44">
        <v>20</v>
      </c>
      <c r="G256" s="44">
        <v>20</v>
      </c>
      <c r="H256" s="44">
        <v>20</v>
      </c>
      <c r="I256" s="44">
        <v>20</v>
      </c>
      <c r="J256" s="44">
        <v>20</v>
      </c>
      <c r="K256" s="44">
        <v>20</v>
      </c>
      <c r="L256" s="44">
        <v>20</v>
      </c>
      <c r="M256" s="44">
        <v>20</v>
      </c>
    </row>
    <row r="257" spans="1:13" x14ac:dyDescent="0.25">
      <c r="A257" s="325"/>
      <c r="B257" s="328"/>
      <c r="C257" s="24" t="s">
        <v>128</v>
      </c>
      <c r="D257" s="1" t="s">
        <v>6</v>
      </c>
      <c r="E257" s="52">
        <v>890.31004540991637</v>
      </c>
      <c r="F257" s="52">
        <v>866.55038046146274</v>
      </c>
      <c r="G257" s="52">
        <v>803.19127393225313</v>
      </c>
      <c r="H257" s="52">
        <v>716.07250245458999</v>
      </c>
      <c r="I257" s="52">
        <v>597.27417771232194</v>
      </c>
      <c r="J257" s="52">
        <v>508.57142857142856</v>
      </c>
      <c r="K257" s="52">
        <v>508.57142857142856</v>
      </c>
      <c r="L257" s="52">
        <v>508.57142857142856</v>
      </c>
      <c r="M257" s="52">
        <v>508.57142857142856</v>
      </c>
    </row>
    <row r="258" spans="1:13" x14ac:dyDescent="0.25">
      <c r="A258" s="325"/>
      <c r="B258" s="328"/>
      <c r="C258" s="24" t="s">
        <v>179</v>
      </c>
      <c r="D258" s="1" t="s">
        <v>19</v>
      </c>
      <c r="E258" s="47">
        <v>0</v>
      </c>
      <c r="F258" s="47">
        <v>0</v>
      </c>
      <c r="G258" s="47">
        <v>0</v>
      </c>
      <c r="H258" s="47">
        <v>0</v>
      </c>
      <c r="I258" s="47">
        <v>0</v>
      </c>
      <c r="J258" s="47">
        <v>0</v>
      </c>
      <c r="K258" s="47">
        <v>0</v>
      </c>
      <c r="L258" s="47">
        <v>0</v>
      </c>
      <c r="M258" s="47">
        <v>0</v>
      </c>
    </row>
    <row r="259" spans="1:13" x14ac:dyDescent="0.25">
      <c r="A259" s="325"/>
      <c r="B259" s="328"/>
      <c r="C259" s="21" t="s">
        <v>129</v>
      </c>
      <c r="D259" s="1" t="s">
        <v>8</v>
      </c>
      <c r="E259" s="46">
        <v>52.688365243004426</v>
      </c>
      <c r="F259" s="46">
        <v>69.477761413843893</v>
      </c>
      <c r="G259" s="46">
        <v>114.24948453608249</v>
      </c>
      <c r="H259" s="46">
        <v>175.81060382916056</v>
      </c>
      <c r="I259" s="46">
        <v>259.75758468335789</v>
      </c>
      <c r="J259" s="46">
        <v>427.65154639175262</v>
      </c>
      <c r="K259" s="46">
        <v>595.54550810014734</v>
      </c>
      <c r="L259" s="46">
        <v>595.54550810014734</v>
      </c>
      <c r="M259" s="46">
        <v>595.54550810014734</v>
      </c>
    </row>
    <row r="260" spans="1:13" x14ac:dyDescent="0.25">
      <c r="A260" s="325"/>
      <c r="B260" s="328"/>
      <c r="C260" s="21" t="s">
        <v>130</v>
      </c>
      <c r="D260" s="1" t="s">
        <v>9</v>
      </c>
      <c r="E260" s="44"/>
      <c r="F260" s="44"/>
      <c r="G260" s="44"/>
      <c r="H260" s="44"/>
      <c r="I260" s="44"/>
      <c r="J260" s="44"/>
      <c r="K260" s="44"/>
      <c r="L260" s="44"/>
      <c r="M260" s="44"/>
    </row>
    <row r="261" spans="1:13" x14ac:dyDescent="0.25">
      <c r="A261" s="325"/>
      <c r="B261" s="328"/>
      <c r="C261" s="21" t="s">
        <v>131</v>
      </c>
      <c r="D261" s="1" t="s">
        <v>10</v>
      </c>
      <c r="E261" s="44"/>
      <c r="F261" s="44"/>
      <c r="G261" s="44"/>
      <c r="H261" s="44"/>
      <c r="I261" s="44"/>
      <c r="J261" s="44"/>
      <c r="K261" s="44"/>
      <c r="L261" s="44"/>
      <c r="M261" s="44"/>
    </row>
    <row r="262" spans="1:13" ht="18.75" x14ac:dyDescent="0.25">
      <c r="A262" s="326"/>
      <c r="B262" s="329"/>
      <c r="C262" s="53" t="s">
        <v>132</v>
      </c>
      <c r="D262" s="23" t="s">
        <v>17</v>
      </c>
      <c r="E262" s="44"/>
      <c r="F262" s="44"/>
      <c r="G262" s="44"/>
      <c r="H262" s="44"/>
      <c r="I262" s="44"/>
      <c r="J262" s="44"/>
      <c r="K262" s="44"/>
      <c r="L262" s="44"/>
      <c r="M262" s="44"/>
    </row>
    <row r="263" spans="1:13" x14ac:dyDescent="0.25">
      <c r="A263" s="306">
        <v>16</v>
      </c>
      <c r="B263" s="323" t="s">
        <v>156</v>
      </c>
      <c r="C263" s="21" t="s">
        <v>101</v>
      </c>
      <c r="D263" s="1" t="s">
        <v>4</v>
      </c>
      <c r="E263" s="44">
        <v>40</v>
      </c>
      <c r="F263" s="44">
        <v>40</v>
      </c>
      <c r="G263" s="44">
        <v>40</v>
      </c>
      <c r="H263" s="44">
        <v>40</v>
      </c>
      <c r="I263" s="44">
        <v>40</v>
      </c>
      <c r="J263" s="44">
        <v>40</v>
      </c>
      <c r="K263" s="44">
        <v>40</v>
      </c>
      <c r="L263" s="44">
        <v>40</v>
      </c>
      <c r="M263" s="44">
        <v>40</v>
      </c>
    </row>
    <row r="264" spans="1:13" x14ac:dyDescent="0.25">
      <c r="A264" s="306"/>
      <c r="B264" s="323"/>
      <c r="C264" s="21" t="s">
        <v>5</v>
      </c>
      <c r="D264" s="1" t="s">
        <v>6</v>
      </c>
      <c r="E264" s="46">
        <v>300</v>
      </c>
      <c r="F264" s="46">
        <v>183.33333333333334</v>
      </c>
      <c r="G264" s="46">
        <v>100</v>
      </c>
      <c r="H264" s="46">
        <v>76</v>
      </c>
      <c r="I264" s="46">
        <v>60</v>
      </c>
      <c r="J264" s="46">
        <v>42.857142857142854</v>
      </c>
      <c r="K264" s="46">
        <v>27.058823529411764</v>
      </c>
      <c r="L264" s="46">
        <v>18.421052631578949</v>
      </c>
      <c r="M264" s="46">
        <v>13.75</v>
      </c>
    </row>
    <row r="265" spans="1:13" x14ac:dyDescent="0.25">
      <c r="A265" s="306"/>
      <c r="B265" s="323"/>
      <c r="C265" s="21" t="s">
        <v>172</v>
      </c>
      <c r="D265" s="1" t="s">
        <v>19</v>
      </c>
      <c r="E265" s="47">
        <v>0</v>
      </c>
      <c r="F265" s="47">
        <v>0</v>
      </c>
      <c r="G265" s="47">
        <v>0</v>
      </c>
      <c r="H265" s="47">
        <v>0</v>
      </c>
      <c r="I265" s="47">
        <v>0</v>
      </c>
      <c r="J265" s="47">
        <v>0</v>
      </c>
      <c r="K265" s="47">
        <v>0</v>
      </c>
      <c r="L265" s="47">
        <v>0</v>
      </c>
      <c r="M265" s="47">
        <v>0</v>
      </c>
    </row>
    <row r="266" spans="1:13" x14ac:dyDescent="0.25">
      <c r="A266" s="306"/>
      <c r="B266" s="323"/>
      <c r="C266" s="21" t="s">
        <v>102</v>
      </c>
      <c r="D266" s="1" t="s">
        <v>8</v>
      </c>
      <c r="E266" s="46">
        <v>0</v>
      </c>
      <c r="F266" s="46">
        <v>0</v>
      </c>
      <c r="G266" s="46">
        <v>0</v>
      </c>
      <c r="H266" s="46">
        <v>0</v>
      </c>
      <c r="I266" s="46">
        <v>0</v>
      </c>
      <c r="J266" s="46">
        <v>0</v>
      </c>
      <c r="K266" s="46">
        <v>0</v>
      </c>
      <c r="L266" s="46">
        <v>0</v>
      </c>
      <c r="M266" s="46">
        <v>0</v>
      </c>
    </row>
    <row r="267" spans="1:13" x14ac:dyDescent="0.25">
      <c r="A267" s="306"/>
      <c r="B267" s="323"/>
      <c r="C267" s="21" t="s">
        <v>103</v>
      </c>
      <c r="D267" s="1" t="s">
        <v>9</v>
      </c>
      <c r="E267" s="44"/>
      <c r="F267" s="44"/>
      <c r="G267" s="44"/>
      <c r="H267" s="44"/>
      <c r="I267" s="44"/>
      <c r="J267" s="44"/>
      <c r="K267" s="44"/>
      <c r="L267" s="44"/>
      <c r="M267" s="44"/>
    </row>
    <row r="268" spans="1:13" x14ac:dyDescent="0.25">
      <c r="A268" s="306"/>
      <c r="B268" s="323"/>
      <c r="C268" s="21" t="s">
        <v>104</v>
      </c>
      <c r="D268" s="1" t="s">
        <v>10</v>
      </c>
      <c r="E268" s="44"/>
      <c r="F268" s="44"/>
      <c r="G268" s="44"/>
      <c r="H268" s="44"/>
      <c r="I268" s="44"/>
      <c r="J268" s="44"/>
      <c r="K268" s="44"/>
      <c r="L268" s="44"/>
      <c r="M268" s="44"/>
    </row>
    <row r="269" spans="1:13" x14ac:dyDescent="0.25">
      <c r="A269" s="306"/>
      <c r="B269" s="323"/>
      <c r="C269" s="22" t="s">
        <v>11</v>
      </c>
      <c r="D269" s="23" t="s">
        <v>10</v>
      </c>
      <c r="E269" s="44"/>
      <c r="F269" s="44"/>
      <c r="G269" s="44"/>
      <c r="H269" s="44"/>
      <c r="I269" s="44"/>
      <c r="J269" s="44"/>
      <c r="K269" s="44"/>
      <c r="L269" s="44"/>
      <c r="M269" s="44"/>
    </row>
    <row r="270" spans="1:13" x14ac:dyDescent="0.25">
      <c r="A270" s="306"/>
      <c r="B270" s="323"/>
      <c r="C270" s="21" t="s">
        <v>12</v>
      </c>
      <c r="D270" s="1" t="s">
        <v>7</v>
      </c>
      <c r="E270" s="47">
        <v>1</v>
      </c>
      <c r="F270" s="47">
        <v>1</v>
      </c>
      <c r="G270" s="47">
        <v>1</v>
      </c>
      <c r="H270" s="47">
        <v>1</v>
      </c>
      <c r="I270" s="47">
        <v>1</v>
      </c>
      <c r="J270" s="47">
        <v>1</v>
      </c>
      <c r="K270" s="47">
        <v>1</v>
      </c>
      <c r="L270" s="47">
        <v>1</v>
      </c>
      <c r="M270" s="47">
        <v>1</v>
      </c>
    </row>
    <row r="271" spans="1:13" x14ac:dyDescent="0.25">
      <c r="A271" s="306"/>
      <c r="B271" s="323"/>
      <c r="C271" s="21" t="s">
        <v>13</v>
      </c>
      <c r="D271" s="1" t="s">
        <v>14</v>
      </c>
      <c r="E271" s="46">
        <v>31017</v>
      </c>
      <c r="F271" s="46">
        <v>31902</v>
      </c>
      <c r="G271" s="46">
        <v>34262</v>
      </c>
      <c r="H271" s="46">
        <v>37507</v>
      </c>
      <c r="I271" s="46">
        <v>41932</v>
      </c>
      <c r="J271" s="46">
        <v>50782</v>
      </c>
      <c r="K271" s="46">
        <v>80282</v>
      </c>
      <c r="L271" s="46">
        <v>151952</v>
      </c>
      <c r="M271" s="46">
        <v>292470.28399999999</v>
      </c>
    </row>
    <row r="272" spans="1:13" x14ac:dyDescent="0.25">
      <c r="A272" s="306"/>
      <c r="B272" s="323"/>
      <c r="C272" s="21" t="s">
        <v>15</v>
      </c>
      <c r="D272" s="1" t="s">
        <v>4</v>
      </c>
      <c r="E272" s="44">
        <v>40</v>
      </c>
      <c r="F272" s="44">
        <v>40</v>
      </c>
      <c r="G272" s="44">
        <v>40</v>
      </c>
      <c r="H272" s="44">
        <v>40</v>
      </c>
      <c r="I272" s="44">
        <v>40</v>
      </c>
      <c r="J272" s="44">
        <v>40</v>
      </c>
      <c r="K272" s="44">
        <v>40</v>
      </c>
      <c r="L272" s="44">
        <v>40</v>
      </c>
      <c r="M272" s="44">
        <v>40</v>
      </c>
    </row>
    <row r="273" spans="1:13" x14ac:dyDescent="0.25">
      <c r="A273" s="306">
        <v>17</v>
      </c>
      <c r="B273" s="323" t="s">
        <v>157</v>
      </c>
      <c r="C273" s="21" t="s">
        <v>101</v>
      </c>
      <c r="D273" s="1" t="s">
        <v>4</v>
      </c>
      <c r="E273" s="44">
        <v>40</v>
      </c>
      <c r="F273" s="44">
        <v>40</v>
      </c>
      <c r="G273" s="44">
        <v>40</v>
      </c>
      <c r="H273" s="44">
        <v>40</v>
      </c>
      <c r="I273" s="44">
        <v>40</v>
      </c>
      <c r="J273" s="44">
        <v>40</v>
      </c>
      <c r="K273" s="44">
        <v>40</v>
      </c>
      <c r="L273" s="44">
        <v>40</v>
      </c>
      <c r="M273" s="44">
        <v>40</v>
      </c>
    </row>
    <row r="274" spans="1:13" x14ac:dyDescent="0.25">
      <c r="A274" s="306"/>
      <c r="B274" s="323"/>
      <c r="C274" s="21" t="s">
        <v>5</v>
      </c>
      <c r="D274" s="1" t="s">
        <v>6</v>
      </c>
      <c r="E274" s="44"/>
      <c r="F274" s="44"/>
      <c r="G274" s="44"/>
      <c r="H274" s="44"/>
      <c r="I274" s="44"/>
      <c r="J274" s="44"/>
      <c r="K274" s="44"/>
      <c r="L274" s="44"/>
      <c r="M274" s="44"/>
    </row>
    <row r="275" spans="1:13" x14ac:dyDescent="0.25">
      <c r="A275" s="306"/>
      <c r="B275" s="323"/>
      <c r="C275" s="21" t="s">
        <v>172</v>
      </c>
      <c r="D275" s="1" t="s">
        <v>19</v>
      </c>
      <c r="E275" s="47">
        <v>0</v>
      </c>
      <c r="F275" s="47">
        <v>0</v>
      </c>
      <c r="G275" s="47">
        <v>0</v>
      </c>
      <c r="H275" s="47">
        <v>0</v>
      </c>
      <c r="I275" s="47">
        <v>0</v>
      </c>
      <c r="J275" s="47">
        <v>0</v>
      </c>
      <c r="K275" s="47">
        <v>0</v>
      </c>
      <c r="L275" s="47">
        <v>0</v>
      </c>
      <c r="M275" s="47">
        <v>0</v>
      </c>
    </row>
    <row r="276" spans="1:13" x14ac:dyDescent="0.25">
      <c r="A276" s="306"/>
      <c r="B276" s="323"/>
      <c r="C276" s="21" t="s">
        <v>102</v>
      </c>
      <c r="D276" s="1" t="s">
        <v>8</v>
      </c>
      <c r="E276" s="46">
        <v>0</v>
      </c>
      <c r="F276" s="46">
        <v>0</v>
      </c>
      <c r="G276" s="46">
        <v>0</v>
      </c>
      <c r="H276" s="46">
        <v>0</v>
      </c>
      <c r="I276" s="46">
        <v>0</v>
      </c>
      <c r="J276" s="46">
        <v>0</v>
      </c>
      <c r="K276" s="46">
        <v>0</v>
      </c>
      <c r="L276" s="46">
        <v>0</v>
      </c>
      <c r="M276" s="46">
        <v>0</v>
      </c>
    </row>
    <row r="277" spans="1:13" x14ac:dyDescent="0.25">
      <c r="A277" s="306"/>
      <c r="B277" s="323"/>
      <c r="C277" s="21" t="s">
        <v>103</v>
      </c>
      <c r="D277" s="1" t="s">
        <v>9</v>
      </c>
      <c r="E277" s="44"/>
      <c r="F277" s="44"/>
      <c r="G277" s="44"/>
      <c r="H277" s="44"/>
      <c r="I277" s="44"/>
      <c r="J277" s="44"/>
      <c r="K277" s="44"/>
      <c r="L277" s="44"/>
      <c r="M277" s="44"/>
    </row>
    <row r="278" spans="1:13" x14ac:dyDescent="0.25">
      <c r="A278" s="306"/>
      <c r="B278" s="323"/>
      <c r="C278" s="21" t="s">
        <v>104</v>
      </c>
      <c r="D278" s="1" t="s">
        <v>10</v>
      </c>
      <c r="E278" s="44"/>
      <c r="F278" s="44"/>
      <c r="G278" s="44"/>
      <c r="H278" s="44"/>
      <c r="I278" s="44"/>
      <c r="J278" s="44"/>
      <c r="K278" s="44"/>
      <c r="L278" s="44"/>
      <c r="M278" s="44"/>
    </row>
    <row r="279" spans="1:13" x14ac:dyDescent="0.25">
      <c r="A279" s="306"/>
      <c r="B279" s="323"/>
      <c r="C279" s="22" t="s">
        <v>11</v>
      </c>
      <c r="D279" s="23" t="s">
        <v>10</v>
      </c>
      <c r="E279" s="44"/>
      <c r="F279" s="44"/>
      <c r="G279" s="44"/>
      <c r="H279" s="44"/>
      <c r="I279" s="44"/>
      <c r="J279" s="44"/>
      <c r="K279" s="44"/>
      <c r="L279" s="44"/>
      <c r="M279" s="44"/>
    </row>
    <row r="280" spans="1:13" x14ac:dyDescent="0.25">
      <c r="A280" s="306"/>
      <c r="B280" s="323"/>
      <c r="C280" s="21" t="s">
        <v>12</v>
      </c>
      <c r="D280" s="1" t="s">
        <v>7</v>
      </c>
      <c r="E280" s="47">
        <v>1</v>
      </c>
      <c r="F280" s="47">
        <v>1</v>
      </c>
      <c r="G280" s="47">
        <v>1</v>
      </c>
      <c r="H280" s="47">
        <v>1</v>
      </c>
      <c r="I280" s="47">
        <v>1</v>
      </c>
      <c r="J280" s="47">
        <v>1</v>
      </c>
      <c r="K280" s="47">
        <v>1</v>
      </c>
      <c r="L280" s="47">
        <v>1</v>
      </c>
      <c r="M280" s="47">
        <v>1</v>
      </c>
    </row>
    <row r="281" spans="1:13" x14ac:dyDescent="0.25">
      <c r="A281" s="306"/>
      <c r="B281" s="323"/>
      <c r="C281" s="21" t="s">
        <v>13</v>
      </c>
      <c r="D281" s="1" t="s">
        <v>14</v>
      </c>
      <c r="E281" s="46">
        <v>92256.599999999991</v>
      </c>
      <c r="F281" s="46">
        <v>92691.599999999991</v>
      </c>
      <c r="G281" s="46">
        <v>93851.599999999991</v>
      </c>
      <c r="H281" s="46">
        <v>95446.599999999991</v>
      </c>
      <c r="I281" s="46">
        <v>97621.599999999991</v>
      </c>
      <c r="J281" s="46">
        <v>101971.59999999999</v>
      </c>
      <c r="K281" s="46">
        <v>116471.59999999999</v>
      </c>
      <c r="L281" s="46">
        <v>146921.59999999998</v>
      </c>
      <c r="M281" s="46">
        <v>207821.59999999998</v>
      </c>
    </row>
    <row r="282" spans="1:13" x14ac:dyDescent="0.25">
      <c r="A282" s="306"/>
      <c r="B282" s="323"/>
      <c r="C282" s="21" t="s">
        <v>15</v>
      </c>
      <c r="D282" s="1" t="s">
        <v>4</v>
      </c>
      <c r="E282" s="46">
        <v>40</v>
      </c>
      <c r="F282" s="46">
        <v>40</v>
      </c>
      <c r="G282" s="46">
        <v>40</v>
      </c>
      <c r="H282" s="46">
        <v>40</v>
      </c>
      <c r="I282" s="46">
        <v>40</v>
      </c>
      <c r="J282" s="46">
        <v>40</v>
      </c>
      <c r="K282" s="46">
        <v>40</v>
      </c>
      <c r="L282" s="46">
        <v>40</v>
      </c>
      <c r="M282" s="46">
        <v>40</v>
      </c>
    </row>
  </sheetData>
  <sheetProtection algorithmName="SHA-512" hashValue="IUuIdX5XMh8qnJsVXwIZ6Ftekxw7zim7p3K9tiarRlTxO8rZpQ8oxs4QD/5wTA8pdWyArjsfaPO6qrspuhpb1Q==" saltValue="mcjAzy1alY3cs/mNArA2ew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21">
    <tabColor theme="9" tint="-0.249977111117893"/>
  </sheetPr>
  <dimension ref="A1:O282"/>
  <sheetViews>
    <sheetView zoomScale="85" zoomScaleNormal="85" workbookViewId="0">
      <pane ySplit="1" topLeftCell="A80" activePane="bottomLeft" state="frozen"/>
      <selection activeCell="E116" sqref="E116"/>
      <selection pane="bottomLeft" activeCell="E2" sqref="E2:M282"/>
    </sheetView>
  </sheetViews>
  <sheetFormatPr baseColWidth="10" defaultColWidth="10.85546875" defaultRowHeight="15" x14ac:dyDescent="0.25"/>
  <cols>
    <col min="1" max="1" width="4.7109375" style="30" customWidth="1"/>
    <col min="2" max="2" width="20.140625" style="30" bestFit="1" customWidth="1"/>
    <col min="3" max="3" width="45.42578125" style="26" customWidth="1"/>
    <col min="4" max="4" width="12.140625" style="27" customWidth="1"/>
    <col min="5" max="12" width="12.28515625" style="54" bestFit="1" customWidth="1"/>
    <col min="13" max="13" width="13.42578125" style="54" bestFit="1" customWidth="1"/>
    <col min="14" max="14" width="15" style="30" customWidth="1"/>
    <col min="15" max="16384" width="10.85546875" style="30"/>
  </cols>
  <sheetData>
    <row r="1" spans="1:14" ht="15.75" x14ac:dyDescent="0.25">
      <c r="A1" s="40"/>
      <c r="B1" s="41" t="s">
        <v>0</v>
      </c>
      <c r="C1" s="28" t="s">
        <v>1</v>
      </c>
      <c r="D1" s="29" t="s">
        <v>2</v>
      </c>
      <c r="E1" s="42">
        <v>15</v>
      </c>
      <c r="F1" s="43">
        <v>30</v>
      </c>
      <c r="G1" s="43">
        <v>70</v>
      </c>
      <c r="H1" s="43">
        <v>125</v>
      </c>
      <c r="I1" s="43">
        <v>200</v>
      </c>
      <c r="J1" s="43">
        <v>350</v>
      </c>
      <c r="K1" s="43">
        <v>850</v>
      </c>
      <c r="L1" s="43">
        <v>1900</v>
      </c>
      <c r="M1" s="43">
        <v>4000</v>
      </c>
    </row>
    <row r="2" spans="1:14" x14ac:dyDescent="0.25">
      <c r="A2" s="306">
        <v>1</v>
      </c>
      <c r="B2" s="322" t="s">
        <v>3</v>
      </c>
      <c r="C2" s="21" t="s">
        <v>101</v>
      </c>
      <c r="D2" s="1" t="s">
        <v>4</v>
      </c>
      <c r="E2" s="44">
        <v>20</v>
      </c>
      <c r="F2" s="44">
        <v>20</v>
      </c>
      <c r="G2" s="44">
        <v>20</v>
      </c>
      <c r="H2" s="44">
        <v>20</v>
      </c>
      <c r="I2" s="44">
        <v>20</v>
      </c>
      <c r="J2" s="44">
        <v>20</v>
      </c>
      <c r="K2" s="44">
        <v>20</v>
      </c>
      <c r="L2" s="44">
        <v>20</v>
      </c>
      <c r="M2" s="44">
        <v>20</v>
      </c>
      <c r="N2" s="45"/>
    </row>
    <row r="3" spans="1:14" x14ac:dyDescent="0.25">
      <c r="A3" s="306"/>
      <c r="B3" s="322"/>
      <c r="C3" s="21" t="s">
        <v>5</v>
      </c>
      <c r="D3" s="1" t="s">
        <v>6</v>
      </c>
      <c r="E3" s="46">
        <v>197.6111183946131</v>
      </c>
      <c r="F3" s="46">
        <v>167.43356959457475</v>
      </c>
      <c r="G3" s="46">
        <v>130.54476264689706</v>
      </c>
      <c r="H3" s="46">
        <v>105.30120481906971</v>
      </c>
      <c r="I3" s="46">
        <v>107.31263157894738</v>
      </c>
      <c r="J3" s="46">
        <v>107.00631578947369</v>
      </c>
      <c r="K3" s="46">
        <v>105.98526315789475</v>
      </c>
      <c r="L3" s="46">
        <v>103.84105263157896</v>
      </c>
      <c r="M3" s="46">
        <v>99.55263157894737</v>
      </c>
      <c r="N3" s="45"/>
    </row>
    <row r="4" spans="1:14" x14ac:dyDescent="0.25">
      <c r="A4" s="306"/>
      <c r="B4" s="322"/>
      <c r="C4" s="21" t="s">
        <v>172</v>
      </c>
      <c r="D4" s="1" t="s">
        <v>19</v>
      </c>
      <c r="E4" s="47">
        <v>0</v>
      </c>
      <c r="F4" s="47">
        <v>0</v>
      </c>
      <c r="G4" s="47">
        <v>0</v>
      </c>
      <c r="H4" s="47">
        <v>0</v>
      </c>
      <c r="I4" s="47">
        <v>0</v>
      </c>
      <c r="J4" s="47">
        <v>0</v>
      </c>
      <c r="K4" s="47">
        <v>0</v>
      </c>
      <c r="L4" s="47">
        <v>0</v>
      </c>
      <c r="M4" s="47">
        <v>0</v>
      </c>
      <c r="N4" s="45"/>
    </row>
    <row r="5" spans="1:14" x14ac:dyDescent="0.25">
      <c r="A5" s="306"/>
      <c r="B5" s="322"/>
      <c r="C5" s="21" t="s">
        <v>102</v>
      </c>
      <c r="D5" s="1" t="s">
        <v>8</v>
      </c>
      <c r="E5" s="44"/>
      <c r="F5" s="44"/>
      <c r="G5" s="44"/>
      <c r="H5" s="44"/>
      <c r="I5" s="44"/>
      <c r="J5" s="44"/>
      <c r="K5" s="44"/>
      <c r="L5" s="44"/>
      <c r="M5" s="44"/>
      <c r="N5" s="45"/>
    </row>
    <row r="6" spans="1:14" x14ac:dyDescent="0.25">
      <c r="A6" s="306"/>
      <c r="B6" s="322"/>
      <c r="C6" s="21" t="s">
        <v>103</v>
      </c>
      <c r="D6" s="1" t="s">
        <v>9</v>
      </c>
      <c r="E6" s="46">
        <v>5.9283335518383931</v>
      </c>
      <c r="F6" s="46">
        <v>5.0230070878372421</v>
      </c>
      <c r="G6" s="46">
        <v>3.9163428794069115</v>
      </c>
      <c r="H6" s="46">
        <v>3.1590361445720911</v>
      </c>
      <c r="I6" s="46">
        <v>2.0378947368421052</v>
      </c>
      <c r="J6" s="46">
        <v>2.0189473684210526</v>
      </c>
      <c r="K6" s="46">
        <v>1.9557894736842103</v>
      </c>
      <c r="L6" s="46">
        <v>1.8231578947368419</v>
      </c>
      <c r="M6" s="46">
        <v>1.557894736842105</v>
      </c>
      <c r="N6" s="45"/>
    </row>
    <row r="7" spans="1:14" x14ac:dyDescent="0.25">
      <c r="A7" s="306"/>
      <c r="B7" s="322"/>
      <c r="C7" s="21" t="s">
        <v>104</v>
      </c>
      <c r="D7" s="1" t="s">
        <v>10</v>
      </c>
      <c r="E7" s="46">
        <v>0</v>
      </c>
      <c r="F7" s="46">
        <v>0</v>
      </c>
      <c r="G7" s="46">
        <v>0</v>
      </c>
      <c r="H7" s="46">
        <v>0</v>
      </c>
      <c r="I7" s="46">
        <v>0</v>
      </c>
      <c r="J7" s="46">
        <v>0</v>
      </c>
      <c r="K7" s="46">
        <v>1.6858736842105264E-3</v>
      </c>
      <c r="L7" s="46">
        <v>1.5474947368421053E-3</v>
      </c>
      <c r="M7" s="46">
        <v>1.2707368421052633E-3</v>
      </c>
      <c r="N7" s="45"/>
    </row>
    <row r="8" spans="1:14" x14ac:dyDescent="0.25">
      <c r="A8" s="306"/>
      <c r="B8" s="322"/>
      <c r="C8" s="22" t="s">
        <v>11</v>
      </c>
      <c r="D8" s="23" t="s">
        <v>10</v>
      </c>
      <c r="E8" s="46">
        <v>0</v>
      </c>
      <c r="F8" s="44"/>
      <c r="G8" s="44"/>
      <c r="H8" s="44"/>
      <c r="I8" s="44"/>
      <c r="J8" s="44"/>
      <c r="K8" s="44"/>
      <c r="L8" s="44"/>
      <c r="M8" s="44"/>
      <c r="N8" s="45"/>
    </row>
    <row r="9" spans="1:14" x14ac:dyDescent="0.25">
      <c r="A9" s="306"/>
      <c r="B9" s="322"/>
      <c r="C9" s="21" t="s">
        <v>12</v>
      </c>
      <c r="D9" s="1" t="s">
        <v>7</v>
      </c>
      <c r="E9" s="47">
        <v>0.99124999999999996</v>
      </c>
      <c r="F9" s="47">
        <v>0.99124999999999996</v>
      </c>
      <c r="G9" s="47">
        <v>0.99124999999999996</v>
      </c>
      <c r="H9" s="47">
        <v>0.99124999999999996</v>
      </c>
      <c r="I9" s="47">
        <v>0.99124999999999996</v>
      </c>
      <c r="J9" s="47">
        <v>0.99124999999999996</v>
      </c>
      <c r="K9" s="47">
        <v>0.99649999999999994</v>
      </c>
      <c r="L9" s="47">
        <v>0.99649999999999994</v>
      </c>
      <c r="M9" s="47">
        <v>0.99649999999999994</v>
      </c>
      <c r="N9" s="45"/>
    </row>
    <row r="10" spans="1:14" x14ac:dyDescent="0.25">
      <c r="A10" s="306"/>
      <c r="B10" s="322"/>
      <c r="C10" s="21" t="s">
        <v>13</v>
      </c>
      <c r="D10" s="1" t="s">
        <v>14</v>
      </c>
      <c r="E10" s="46">
        <v>1524.6</v>
      </c>
      <c r="F10" s="46">
        <v>1749.6</v>
      </c>
      <c r="G10" s="46">
        <v>2349.6</v>
      </c>
      <c r="H10" s="46">
        <v>3174.6</v>
      </c>
      <c r="I10" s="46">
        <v>4299.6000000000004</v>
      </c>
      <c r="J10" s="46">
        <v>14213</v>
      </c>
      <c r="K10" s="46">
        <v>21713</v>
      </c>
      <c r="L10" s="46">
        <v>37463</v>
      </c>
      <c r="M10" s="46">
        <v>68963</v>
      </c>
      <c r="N10" s="45"/>
    </row>
    <row r="11" spans="1:14" x14ac:dyDescent="0.25">
      <c r="A11" s="306"/>
      <c r="B11" s="322"/>
      <c r="C11" s="21" t="s">
        <v>15</v>
      </c>
      <c r="D11" s="1" t="s">
        <v>4</v>
      </c>
      <c r="E11" s="44">
        <v>40</v>
      </c>
      <c r="F11" s="44">
        <v>40</v>
      </c>
      <c r="G11" s="44">
        <v>40</v>
      </c>
      <c r="H11" s="44">
        <v>40</v>
      </c>
      <c r="I11" s="44">
        <v>40</v>
      </c>
      <c r="J11" s="44">
        <v>40</v>
      </c>
      <c r="K11" s="44">
        <v>40</v>
      </c>
      <c r="L11" s="44">
        <v>40</v>
      </c>
      <c r="M11" s="44">
        <v>40</v>
      </c>
      <c r="N11" s="45"/>
    </row>
    <row r="12" spans="1:14" x14ac:dyDescent="0.25">
      <c r="A12" s="306">
        <v>2</v>
      </c>
      <c r="B12" s="322" t="s">
        <v>16</v>
      </c>
      <c r="C12" s="21" t="s">
        <v>101</v>
      </c>
      <c r="D12" s="1" t="s">
        <v>4</v>
      </c>
      <c r="E12" s="44">
        <v>20</v>
      </c>
      <c r="F12" s="44">
        <v>20</v>
      </c>
      <c r="G12" s="44">
        <v>20</v>
      </c>
      <c r="H12" s="44">
        <v>20</v>
      </c>
      <c r="I12" s="44">
        <v>20</v>
      </c>
      <c r="J12" s="44">
        <v>20</v>
      </c>
      <c r="K12" s="44">
        <v>20</v>
      </c>
      <c r="L12" s="44">
        <v>20</v>
      </c>
      <c r="M12" s="44">
        <v>20</v>
      </c>
      <c r="N12" s="45"/>
    </row>
    <row r="13" spans="1:14" x14ac:dyDescent="0.25">
      <c r="A13" s="306"/>
      <c r="B13" s="322"/>
      <c r="C13" s="21" t="s">
        <v>5</v>
      </c>
      <c r="D13" s="1" t="s">
        <v>6</v>
      </c>
      <c r="E13" s="46">
        <v>507.61727242819484</v>
      </c>
      <c r="F13" s="46">
        <v>320.51156293897873</v>
      </c>
      <c r="G13" s="46">
        <v>182.70097797005911</v>
      </c>
      <c r="H13" s="46">
        <v>124.36485973586129</v>
      </c>
      <c r="I13" s="46">
        <v>111.1</v>
      </c>
      <c r="J13" s="46">
        <v>111.1</v>
      </c>
      <c r="K13" s="46">
        <v>174.7702048892304</v>
      </c>
      <c r="L13" s="46">
        <v>258.33594101773554</v>
      </c>
      <c r="M13" s="46">
        <v>425.4674132747457</v>
      </c>
      <c r="N13" s="45"/>
    </row>
    <row r="14" spans="1:14" x14ac:dyDescent="0.25">
      <c r="A14" s="306"/>
      <c r="B14" s="322"/>
      <c r="C14" s="21" t="s">
        <v>172</v>
      </c>
      <c r="D14" s="1" t="s">
        <v>19</v>
      </c>
      <c r="E14" s="47">
        <v>0</v>
      </c>
      <c r="F14" s="47">
        <v>0</v>
      </c>
      <c r="G14" s="47">
        <v>0</v>
      </c>
      <c r="H14" s="47">
        <v>0</v>
      </c>
      <c r="I14" s="47">
        <v>0</v>
      </c>
      <c r="J14" s="47">
        <v>0</v>
      </c>
      <c r="K14" s="47">
        <v>0</v>
      </c>
      <c r="L14" s="47">
        <v>0</v>
      </c>
      <c r="M14" s="47">
        <v>0</v>
      </c>
      <c r="N14" s="45"/>
    </row>
    <row r="15" spans="1:14" x14ac:dyDescent="0.25">
      <c r="A15" s="306"/>
      <c r="B15" s="322"/>
      <c r="C15" s="21" t="s">
        <v>102</v>
      </c>
      <c r="D15" s="1" t="s">
        <v>8</v>
      </c>
      <c r="E15" s="44"/>
      <c r="F15" s="44"/>
      <c r="G15" s="44"/>
      <c r="H15" s="44"/>
      <c r="I15" s="44"/>
      <c r="J15" s="44"/>
      <c r="K15" s="44"/>
      <c r="L15" s="44"/>
      <c r="M15" s="44"/>
      <c r="N15" s="45"/>
    </row>
    <row r="16" spans="1:14" x14ac:dyDescent="0.25">
      <c r="A16" s="306"/>
      <c r="B16" s="322"/>
      <c r="C16" s="21" t="s">
        <v>103</v>
      </c>
      <c r="D16" s="1" t="s">
        <v>9</v>
      </c>
      <c r="E16" s="46">
        <v>30.457036345691673</v>
      </c>
      <c r="F16" s="46">
        <v>19.230693776338708</v>
      </c>
      <c r="G16" s="46">
        <v>10.962058678203539</v>
      </c>
      <c r="H16" s="46">
        <v>7.4618915841516733</v>
      </c>
      <c r="I16" s="46">
        <v>7.0406813381716651</v>
      </c>
      <c r="J16" s="46">
        <v>7.0406813381716651</v>
      </c>
      <c r="K16" s="46">
        <v>6.7014586460644257</v>
      </c>
      <c r="L16" s="46">
        <v>6.1534835280450384</v>
      </c>
      <c r="M16" s="46">
        <v>5.0575332920062639</v>
      </c>
      <c r="N16" s="45"/>
    </row>
    <row r="17" spans="1:14" x14ac:dyDescent="0.25">
      <c r="A17" s="306"/>
      <c r="B17" s="322"/>
      <c r="C17" s="21" t="s">
        <v>104</v>
      </c>
      <c r="D17" s="1" t="s">
        <v>10</v>
      </c>
      <c r="E17" s="46">
        <v>0</v>
      </c>
      <c r="F17" s="46">
        <v>0</v>
      </c>
      <c r="G17" s="46">
        <v>0</v>
      </c>
      <c r="H17" s="46">
        <v>0</v>
      </c>
      <c r="I17" s="46">
        <v>0</v>
      </c>
      <c r="J17" s="46">
        <v>0</v>
      </c>
      <c r="K17" s="46">
        <v>2.4047861016365463E-3</v>
      </c>
      <c r="L17" s="46">
        <v>2.4047861016365463E-3</v>
      </c>
      <c r="M17" s="46">
        <v>2.4047861016365463E-3</v>
      </c>
      <c r="N17" s="45"/>
    </row>
    <row r="18" spans="1:14" x14ac:dyDescent="0.25">
      <c r="A18" s="306"/>
      <c r="B18" s="322"/>
      <c r="C18" s="22" t="s">
        <v>11</v>
      </c>
      <c r="D18" s="23" t="s">
        <v>10</v>
      </c>
      <c r="E18" s="46">
        <v>0</v>
      </c>
      <c r="F18" s="46">
        <v>0</v>
      </c>
      <c r="G18" s="46">
        <v>0</v>
      </c>
      <c r="H18" s="46">
        <v>0</v>
      </c>
      <c r="I18" s="46">
        <v>0</v>
      </c>
      <c r="J18" s="46">
        <v>0</v>
      </c>
      <c r="K18" s="46">
        <v>0</v>
      </c>
      <c r="L18" s="46">
        <v>0</v>
      </c>
      <c r="M18" s="46">
        <v>0</v>
      </c>
      <c r="N18" s="45"/>
    </row>
    <row r="19" spans="1:14" x14ac:dyDescent="0.25">
      <c r="A19" s="306"/>
      <c r="B19" s="322"/>
      <c r="C19" s="21" t="s">
        <v>12</v>
      </c>
      <c r="D19" s="1" t="s">
        <v>7</v>
      </c>
      <c r="E19" s="47">
        <v>0.85200000000000031</v>
      </c>
      <c r="F19" s="47">
        <v>0.85200000000000031</v>
      </c>
      <c r="G19" s="47">
        <v>0.85200000000000031</v>
      </c>
      <c r="H19" s="47">
        <v>0.85200000000000031</v>
      </c>
      <c r="I19" s="47">
        <v>0.85200000000000031</v>
      </c>
      <c r="J19" s="47">
        <v>0.85200000000000031</v>
      </c>
      <c r="K19" s="47">
        <v>0.85200000000000031</v>
      </c>
      <c r="L19" s="47">
        <v>0.95558333333333323</v>
      </c>
      <c r="M19" s="47">
        <v>0.95558333333333323</v>
      </c>
      <c r="N19" s="45"/>
    </row>
    <row r="20" spans="1:14" x14ac:dyDescent="0.25">
      <c r="A20" s="306"/>
      <c r="B20" s="322"/>
      <c r="C20" s="21" t="s">
        <v>13</v>
      </c>
      <c r="D20" s="1" t="s">
        <v>14</v>
      </c>
      <c r="E20" s="44"/>
      <c r="F20" s="44"/>
      <c r="G20" s="44"/>
      <c r="H20" s="44"/>
      <c r="I20" s="44"/>
      <c r="J20" s="44"/>
      <c r="K20" s="44"/>
      <c r="L20" s="44"/>
      <c r="M20" s="44"/>
      <c r="N20" s="45"/>
    </row>
    <row r="21" spans="1:14" x14ac:dyDescent="0.25">
      <c r="A21" s="306"/>
      <c r="B21" s="322"/>
      <c r="C21" s="21" t="s">
        <v>15</v>
      </c>
      <c r="D21" s="1" t="s">
        <v>4</v>
      </c>
      <c r="E21" s="44"/>
      <c r="F21" s="44"/>
      <c r="G21" s="44"/>
      <c r="H21" s="44"/>
      <c r="I21" s="44"/>
      <c r="J21" s="44"/>
      <c r="K21" s="44"/>
      <c r="L21" s="44"/>
      <c r="M21" s="44"/>
      <c r="N21" s="45"/>
    </row>
    <row r="22" spans="1:14" ht="14.45" customHeight="1" x14ac:dyDescent="0.25">
      <c r="A22" s="306">
        <v>3</v>
      </c>
      <c r="B22" s="323" t="s">
        <v>144</v>
      </c>
      <c r="C22" s="21" t="s">
        <v>101</v>
      </c>
      <c r="D22" s="1" t="s">
        <v>4</v>
      </c>
      <c r="E22" s="44">
        <v>20</v>
      </c>
      <c r="F22" s="44">
        <v>20</v>
      </c>
      <c r="G22" s="44">
        <v>20</v>
      </c>
      <c r="H22" s="44">
        <v>20</v>
      </c>
      <c r="I22" s="44">
        <v>20</v>
      </c>
      <c r="J22" s="44">
        <v>20</v>
      </c>
      <c r="K22" s="44">
        <v>20</v>
      </c>
      <c r="L22" s="44">
        <v>20</v>
      </c>
      <c r="M22" s="44">
        <v>20</v>
      </c>
      <c r="N22" s="45"/>
    </row>
    <row r="23" spans="1:14" x14ac:dyDescent="0.25">
      <c r="A23" s="306"/>
      <c r="B23" s="323"/>
      <c r="C23" s="21" t="s">
        <v>5</v>
      </c>
      <c r="D23" s="1" t="s">
        <v>6</v>
      </c>
      <c r="E23" s="46">
        <v>778.63646317000416</v>
      </c>
      <c r="F23" s="46">
        <v>556.01242307421592</v>
      </c>
      <c r="G23" s="46">
        <v>433.81353547553391</v>
      </c>
      <c r="H23" s="46">
        <v>433.81353547553391</v>
      </c>
      <c r="I23" s="46">
        <v>433.81353547553391</v>
      </c>
      <c r="J23" s="46">
        <v>433.81353547553391</v>
      </c>
      <c r="K23" s="46">
        <v>1125.1890967142162</v>
      </c>
      <c r="L23" s="46">
        <v>978.8877535076831</v>
      </c>
      <c r="M23" s="46">
        <v>860.49325281850611</v>
      </c>
      <c r="N23" s="45"/>
    </row>
    <row r="24" spans="1:14" x14ac:dyDescent="0.25">
      <c r="A24" s="306"/>
      <c r="B24" s="323"/>
      <c r="C24" s="21" t="s">
        <v>172</v>
      </c>
      <c r="D24" s="1" t="s">
        <v>19</v>
      </c>
      <c r="E24" s="47">
        <v>0</v>
      </c>
      <c r="F24" s="47">
        <v>0</v>
      </c>
      <c r="G24" s="47">
        <v>0</v>
      </c>
      <c r="H24" s="47">
        <v>0</v>
      </c>
      <c r="I24" s="47">
        <v>0</v>
      </c>
      <c r="J24" s="47">
        <v>0</v>
      </c>
      <c r="K24" s="47">
        <v>0</v>
      </c>
      <c r="L24" s="47">
        <v>0</v>
      </c>
      <c r="M24" s="47">
        <v>0</v>
      </c>
      <c r="N24" s="45"/>
    </row>
    <row r="25" spans="1:14" x14ac:dyDescent="0.25">
      <c r="A25" s="306"/>
      <c r="B25" s="323"/>
      <c r="C25" s="21" t="s">
        <v>102</v>
      </c>
      <c r="D25" s="1" t="s">
        <v>8</v>
      </c>
      <c r="E25" s="44"/>
      <c r="F25" s="44"/>
      <c r="G25" s="44"/>
      <c r="H25" s="44"/>
      <c r="I25" s="44"/>
      <c r="J25" s="44"/>
      <c r="K25" s="44"/>
      <c r="L25" s="44"/>
      <c r="M25" s="44"/>
      <c r="N25" s="45"/>
    </row>
    <row r="26" spans="1:14" x14ac:dyDescent="0.25">
      <c r="A26" s="306"/>
      <c r="B26" s="323"/>
      <c r="C26" s="21" t="s">
        <v>103</v>
      </c>
      <c r="D26" s="1" t="s">
        <v>9</v>
      </c>
      <c r="E26" s="46">
        <v>11.679546947550062</v>
      </c>
      <c r="F26" s="46">
        <v>8.3401863461132386</v>
      </c>
      <c r="G26" s="46">
        <v>6.5072030321330079</v>
      </c>
      <c r="H26" s="46">
        <v>6.5072030321330079</v>
      </c>
      <c r="I26" s="46">
        <v>6.5072030321330079</v>
      </c>
      <c r="J26" s="46">
        <v>6.5072030321330079</v>
      </c>
      <c r="K26" s="46">
        <v>1.583</v>
      </c>
      <c r="L26" s="46">
        <v>1.583</v>
      </c>
      <c r="M26" s="46">
        <v>1.583</v>
      </c>
      <c r="N26" s="45"/>
    </row>
    <row r="27" spans="1:14" x14ac:dyDescent="0.25">
      <c r="A27" s="306"/>
      <c r="B27" s="323"/>
      <c r="C27" s="21" t="s">
        <v>104</v>
      </c>
      <c r="D27" s="1" t="s">
        <v>10</v>
      </c>
      <c r="E27" s="46">
        <v>0</v>
      </c>
      <c r="F27" s="46">
        <v>0</v>
      </c>
      <c r="G27" s="46">
        <v>0</v>
      </c>
      <c r="H27" s="46">
        <v>0</v>
      </c>
      <c r="I27" s="46">
        <v>0</v>
      </c>
      <c r="J27" s="46">
        <v>0</v>
      </c>
      <c r="K27" s="46">
        <v>2.0349999999999999E-3</v>
      </c>
      <c r="L27" s="46">
        <v>2.0349999999999999E-3</v>
      </c>
      <c r="M27" s="46">
        <v>2.0349999999999999E-3</v>
      </c>
      <c r="N27" s="45"/>
    </row>
    <row r="28" spans="1:14" ht="18.75" x14ac:dyDescent="0.25">
      <c r="A28" s="306"/>
      <c r="B28" s="323"/>
      <c r="C28" s="22" t="s">
        <v>105</v>
      </c>
      <c r="D28" s="23" t="s">
        <v>17</v>
      </c>
      <c r="E28" s="46">
        <v>0</v>
      </c>
      <c r="F28" s="46">
        <v>0</v>
      </c>
      <c r="G28" s="46">
        <v>0</v>
      </c>
      <c r="H28" s="46">
        <v>0</v>
      </c>
      <c r="I28" s="46">
        <v>0</v>
      </c>
      <c r="J28" s="46">
        <v>0</v>
      </c>
      <c r="K28" s="46">
        <v>0</v>
      </c>
      <c r="L28" s="46">
        <v>0</v>
      </c>
      <c r="M28" s="46">
        <v>0</v>
      </c>
      <c r="N28" s="45"/>
    </row>
    <row r="29" spans="1:14" x14ac:dyDescent="0.25">
      <c r="A29" s="306"/>
      <c r="B29" s="323"/>
      <c r="C29" s="22" t="s">
        <v>11</v>
      </c>
      <c r="D29" s="23" t="s">
        <v>10</v>
      </c>
      <c r="E29" s="46">
        <v>0</v>
      </c>
      <c r="F29" s="46">
        <v>0</v>
      </c>
      <c r="G29" s="46">
        <v>0</v>
      </c>
      <c r="H29" s="46">
        <v>0</v>
      </c>
      <c r="I29" s="46">
        <v>0</v>
      </c>
      <c r="J29" s="46">
        <v>0</v>
      </c>
      <c r="K29" s="46">
        <v>0</v>
      </c>
      <c r="L29" s="46">
        <v>0</v>
      </c>
      <c r="M29" s="46">
        <v>0</v>
      </c>
      <c r="N29" s="45"/>
    </row>
    <row r="30" spans="1:14" x14ac:dyDescent="0.25">
      <c r="A30" s="306"/>
      <c r="B30" s="323"/>
      <c r="C30" s="21" t="s">
        <v>18</v>
      </c>
      <c r="D30" s="2" t="s">
        <v>19</v>
      </c>
      <c r="E30" s="44">
        <v>3.9299999999999997</v>
      </c>
      <c r="F30" s="44">
        <v>3.9299999999999997</v>
      </c>
      <c r="G30" s="44">
        <v>3.9299999999999997</v>
      </c>
      <c r="H30" s="44">
        <v>3.9299999999999997</v>
      </c>
      <c r="I30" s="44">
        <v>3.9299999999999997</v>
      </c>
      <c r="J30" s="44">
        <v>3.9299999999999997</v>
      </c>
      <c r="K30" s="44">
        <v>3.9299999999999997</v>
      </c>
      <c r="L30" s="44">
        <v>3.9299999999999997</v>
      </c>
      <c r="M30" s="44">
        <v>3.9299999999999997</v>
      </c>
      <c r="N30" s="45"/>
    </row>
    <row r="31" spans="1:14" x14ac:dyDescent="0.25">
      <c r="A31" s="306"/>
      <c r="B31" s="323"/>
      <c r="C31" s="21" t="s">
        <v>13</v>
      </c>
      <c r="D31" s="1" t="s">
        <v>14</v>
      </c>
      <c r="E31" s="44"/>
      <c r="F31" s="44"/>
      <c r="G31" s="44"/>
      <c r="H31" s="44"/>
      <c r="I31" s="44"/>
      <c r="J31" s="44"/>
      <c r="K31" s="44"/>
      <c r="L31" s="44"/>
      <c r="M31" s="44"/>
      <c r="N31" s="45"/>
    </row>
    <row r="32" spans="1:14" x14ac:dyDescent="0.25">
      <c r="A32" s="306"/>
      <c r="B32" s="323"/>
      <c r="C32" s="21" t="s">
        <v>15</v>
      </c>
      <c r="D32" s="1" t="s">
        <v>4</v>
      </c>
      <c r="E32" s="44"/>
      <c r="F32" s="44"/>
      <c r="G32" s="44"/>
      <c r="H32" s="44"/>
      <c r="I32" s="44"/>
      <c r="J32" s="44"/>
      <c r="K32" s="44"/>
      <c r="L32" s="44"/>
      <c r="M32" s="44"/>
      <c r="N32" s="45"/>
    </row>
    <row r="33" spans="1:14" ht="14.45" customHeight="1" x14ac:dyDescent="0.25">
      <c r="A33" s="306">
        <v>4</v>
      </c>
      <c r="B33" s="323" t="s">
        <v>145</v>
      </c>
      <c r="C33" s="21" t="s">
        <v>101</v>
      </c>
      <c r="D33" s="1" t="s">
        <v>4</v>
      </c>
      <c r="E33" s="44">
        <v>20</v>
      </c>
      <c r="F33" s="44">
        <v>20</v>
      </c>
      <c r="G33" s="44">
        <v>20</v>
      </c>
      <c r="H33" s="44">
        <v>20</v>
      </c>
      <c r="I33" s="44">
        <v>20</v>
      </c>
      <c r="J33" s="44">
        <v>20</v>
      </c>
      <c r="K33" s="44">
        <v>20</v>
      </c>
      <c r="L33" s="44">
        <v>20</v>
      </c>
      <c r="M33" s="44">
        <v>20</v>
      </c>
      <c r="N33" s="45"/>
    </row>
    <row r="34" spans="1:14" x14ac:dyDescent="0.25">
      <c r="A34" s="306"/>
      <c r="B34" s="323"/>
      <c r="C34" s="21" t="s">
        <v>5</v>
      </c>
      <c r="D34" s="1" t="s">
        <v>6</v>
      </c>
      <c r="E34" s="46">
        <v>778.63646317000416</v>
      </c>
      <c r="F34" s="46">
        <v>556.01242307421592</v>
      </c>
      <c r="G34" s="46">
        <v>433.81353547553391</v>
      </c>
      <c r="H34" s="46">
        <v>433.81353547553391</v>
      </c>
      <c r="I34" s="46">
        <v>433.81353547553391</v>
      </c>
      <c r="J34" s="46">
        <v>433.81353547553391</v>
      </c>
      <c r="K34" s="46">
        <v>1125.1890967142162</v>
      </c>
      <c r="L34" s="46">
        <v>978.8877535076831</v>
      </c>
      <c r="M34" s="46">
        <v>860.49325281850611</v>
      </c>
      <c r="N34" s="45"/>
    </row>
    <row r="35" spans="1:14" x14ac:dyDescent="0.25">
      <c r="A35" s="306"/>
      <c r="B35" s="323"/>
      <c r="C35" s="21" t="s">
        <v>172</v>
      </c>
      <c r="D35" s="1" t="s">
        <v>19</v>
      </c>
      <c r="E35" s="47">
        <v>0</v>
      </c>
      <c r="F35" s="47">
        <v>0</v>
      </c>
      <c r="G35" s="47">
        <v>0</v>
      </c>
      <c r="H35" s="47">
        <v>0</v>
      </c>
      <c r="I35" s="47">
        <v>0</v>
      </c>
      <c r="J35" s="47">
        <v>0</v>
      </c>
      <c r="K35" s="47">
        <v>0</v>
      </c>
      <c r="L35" s="47">
        <v>0</v>
      </c>
      <c r="M35" s="47">
        <v>0</v>
      </c>
      <c r="N35" s="45"/>
    </row>
    <row r="36" spans="1:14" x14ac:dyDescent="0.25">
      <c r="A36" s="306"/>
      <c r="B36" s="323"/>
      <c r="C36" s="21" t="s">
        <v>102</v>
      </c>
      <c r="D36" s="1" t="s">
        <v>8</v>
      </c>
      <c r="E36" s="44"/>
      <c r="F36" s="44"/>
      <c r="G36" s="44"/>
      <c r="H36" s="44"/>
      <c r="I36" s="44"/>
      <c r="J36" s="44"/>
      <c r="K36" s="44"/>
      <c r="L36" s="44"/>
      <c r="M36" s="44"/>
      <c r="N36" s="45"/>
    </row>
    <row r="37" spans="1:14" x14ac:dyDescent="0.25">
      <c r="A37" s="306"/>
      <c r="B37" s="323"/>
      <c r="C37" s="21" t="s">
        <v>103</v>
      </c>
      <c r="D37" s="1" t="s">
        <v>9</v>
      </c>
      <c r="E37" s="46">
        <v>11.679546947550062</v>
      </c>
      <c r="F37" s="46">
        <v>8.3401863461132386</v>
      </c>
      <c r="G37" s="46">
        <v>6.5072030321330079</v>
      </c>
      <c r="H37" s="46">
        <v>6.5072030321330079</v>
      </c>
      <c r="I37" s="46">
        <v>6.5072030321330079</v>
      </c>
      <c r="J37" s="46">
        <v>6.5072030321330079</v>
      </c>
      <c r="K37" s="46">
        <v>1.583</v>
      </c>
      <c r="L37" s="46">
        <v>1.583</v>
      </c>
      <c r="M37" s="46">
        <v>1.583</v>
      </c>
      <c r="N37" s="45"/>
    </row>
    <row r="38" spans="1:14" x14ac:dyDescent="0.25">
      <c r="A38" s="306"/>
      <c r="B38" s="323"/>
      <c r="C38" s="21" t="s">
        <v>104</v>
      </c>
      <c r="D38" s="1" t="s">
        <v>10</v>
      </c>
      <c r="E38" s="46">
        <v>0</v>
      </c>
      <c r="F38" s="46">
        <v>0</v>
      </c>
      <c r="G38" s="46">
        <v>0</v>
      </c>
      <c r="H38" s="46">
        <v>0</v>
      </c>
      <c r="I38" s="46">
        <v>0</v>
      </c>
      <c r="J38" s="46">
        <v>0</v>
      </c>
      <c r="K38" s="46">
        <v>2.0349999999999999E-3</v>
      </c>
      <c r="L38" s="46">
        <v>2.0349999999999999E-3</v>
      </c>
      <c r="M38" s="46">
        <v>2.0349999999999999E-3</v>
      </c>
      <c r="N38" s="45"/>
    </row>
    <row r="39" spans="1:14" ht="18.75" x14ac:dyDescent="0.25">
      <c r="A39" s="306"/>
      <c r="B39" s="323"/>
      <c r="C39" s="22" t="s">
        <v>105</v>
      </c>
      <c r="D39" s="23" t="s">
        <v>17</v>
      </c>
      <c r="E39" s="46">
        <v>0</v>
      </c>
      <c r="F39" s="46">
        <v>0</v>
      </c>
      <c r="G39" s="46">
        <v>0</v>
      </c>
      <c r="H39" s="46">
        <v>0</v>
      </c>
      <c r="I39" s="46">
        <v>0</v>
      </c>
      <c r="J39" s="46">
        <v>0</v>
      </c>
      <c r="K39" s="46">
        <v>0</v>
      </c>
      <c r="L39" s="46">
        <v>0</v>
      </c>
      <c r="M39" s="46">
        <v>0</v>
      </c>
      <c r="N39" s="45"/>
    </row>
    <row r="40" spans="1:14" x14ac:dyDescent="0.25">
      <c r="A40" s="306"/>
      <c r="B40" s="323"/>
      <c r="C40" s="22" t="s">
        <v>11</v>
      </c>
      <c r="D40" s="23" t="s">
        <v>10</v>
      </c>
      <c r="E40" s="46">
        <v>0</v>
      </c>
      <c r="F40" s="46">
        <v>0</v>
      </c>
      <c r="G40" s="46">
        <v>0</v>
      </c>
      <c r="H40" s="46">
        <v>0</v>
      </c>
      <c r="I40" s="46">
        <v>0</v>
      </c>
      <c r="J40" s="46">
        <v>0</v>
      </c>
      <c r="K40" s="46">
        <v>0</v>
      </c>
      <c r="L40" s="46">
        <v>0</v>
      </c>
      <c r="M40" s="46">
        <v>0</v>
      </c>
      <c r="N40" s="45"/>
    </row>
    <row r="41" spans="1:14" x14ac:dyDescent="0.25">
      <c r="A41" s="306"/>
      <c r="B41" s="323"/>
      <c r="C41" s="21" t="s">
        <v>18</v>
      </c>
      <c r="D41" s="2" t="s">
        <v>19</v>
      </c>
      <c r="E41" s="44">
        <v>3.6799999999999997</v>
      </c>
      <c r="F41" s="44">
        <v>3.6799999999999997</v>
      </c>
      <c r="G41" s="44">
        <v>3.6799999999999997</v>
      </c>
      <c r="H41" s="44">
        <v>3.6799999999999997</v>
      </c>
      <c r="I41" s="44">
        <v>3.6799999999999997</v>
      </c>
      <c r="J41" s="44">
        <v>3.6799999999999997</v>
      </c>
      <c r="K41" s="44">
        <v>3.6799999999999997</v>
      </c>
      <c r="L41" s="44">
        <v>3.6799999999999997</v>
      </c>
      <c r="M41" s="44">
        <v>3.6799999999999997</v>
      </c>
      <c r="N41" s="45"/>
    </row>
    <row r="42" spans="1:14" x14ac:dyDescent="0.25">
      <c r="A42" s="306"/>
      <c r="B42" s="323"/>
      <c r="C42" s="21" t="s">
        <v>13</v>
      </c>
      <c r="D42" s="1" t="s">
        <v>14</v>
      </c>
      <c r="E42" s="44"/>
      <c r="F42" s="44"/>
      <c r="G42" s="44"/>
      <c r="H42" s="44"/>
      <c r="I42" s="44"/>
      <c r="J42" s="44"/>
      <c r="K42" s="44"/>
      <c r="L42" s="44"/>
      <c r="M42" s="44"/>
      <c r="N42" s="45"/>
    </row>
    <row r="43" spans="1:14" x14ac:dyDescent="0.25">
      <c r="A43" s="306"/>
      <c r="B43" s="323"/>
      <c r="C43" s="21" t="s">
        <v>15</v>
      </c>
      <c r="D43" s="1" t="s">
        <v>4</v>
      </c>
      <c r="E43" s="44"/>
      <c r="F43" s="44"/>
      <c r="G43" s="44"/>
      <c r="H43" s="44"/>
      <c r="I43" s="44"/>
      <c r="J43" s="44"/>
      <c r="K43" s="44"/>
      <c r="L43" s="44"/>
      <c r="M43" s="44"/>
      <c r="N43" s="45"/>
    </row>
    <row r="44" spans="1:14" ht="14.45" customHeight="1" x14ac:dyDescent="0.25">
      <c r="A44" s="306">
        <v>5</v>
      </c>
      <c r="B44" s="323" t="s">
        <v>146</v>
      </c>
      <c r="C44" s="21" t="s">
        <v>101</v>
      </c>
      <c r="D44" s="1" t="s">
        <v>4</v>
      </c>
      <c r="E44" s="44">
        <v>20</v>
      </c>
      <c r="F44" s="44">
        <v>20</v>
      </c>
      <c r="G44" s="44">
        <v>20</v>
      </c>
      <c r="H44" s="44">
        <v>20</v>
      </c>
      <c r="I44" s="44">
        <v>20</v>
      </c>
      <c r="J44" s="44">
        <v>20</v>
      </c>
      <c r="K44" s="44">
        <v>20</v>
      </c>
      <c r="L44" s="44">
        <v>20</v>
      </c>
      <c r="M44" s="44">
        <v>20</v>
      </c>
      <c r="N44" s="45"/>
    </row>
    <row r="45" spans="1:14" x14ac:dyDescent="0.25">
      <c r="A45" s="306"/>
      <c r="B45" s="323"/>
      <c r="C45" s="21" t="s">
        <v>20</v>
      </c>
      <c r="D45" s="1" t="s">
        <v>6</v>
      </c>
      <c r="E45" s="46">
        <v>778.63646317000416</v>
      </c>
      <c r="F45" s="46">
        <v>556.01242307421592</v>
      </c>
      <c r="G45" s="46">
        <v>433.81353547553391</v>
      </c>
      <c r="H45" s="46">
        <v>433.81353547553391</v>
      </c>
      <c r="I45" s="46">
        <v>433.81353547553391</v>
      </c>
      <c r="J45" s="46">
        <v>433.81353547553391</v>
      </c>
      <c r="K45" s="46">
        <v>1125.1890967142162</v>
      </c>
      <c r="L45" s="46">
        <v>978.8877535076831</v>
      </c>
      <c r="M45" s="46">
        <v>860.49325281850611</v>
      </c>
      <c r="N45" s="45"/>
    </row>
    <row r="46" spans="1:14" x14ac:dyDescent="0.25">
      <c r="A46" s="306"/>
      <c r="B46" s="323"/>
      <c r="C46" s="21" t="s">
        <v>172</v>
      </c>
      <c r="D46" s="1" t="s">
        <v>19</v>
      </c>
      <c r="E46" s="47">
        <v>0</v>
      </c>
      <c r="F46" s="47">
        <v>0</v>
      </c>
      <c r="G46" s="47">
        <v>0</v>
      </c>
      <c r="H46" s="47">
        <v>0</v>
      </c>
      <c r="I46" s="47">
        <v>0</v>
      </c>
      <c r="J46" s="47">
        <v>0</v>
      </c>
      <c r="K46" s="47">
        <v>0</v>
      </c>
      <c r="L46" s="47">
        <v>0</v>
      </c>
      <c r="M46" s="47">
        <v>0</v>
      </c>
      <c r="N46" s="45"/>
    </row>
    <row r="47" spans="1:14" x14ac:dyDescent="0.25">
      <c r="A47" s="306"/>
      <c r="B47" s="323"/>
      <c r="C47" s="21" t="s">
        <v>102</v>
      </c>
      <c r="D47" s="1" t="s">
        <v>8</v>
      </c>
      <c r="E47" s="44"/>
      <c r="F47" s="44"/>
      <c r="G47" s="44"/>
      <c r="H47" s="44"/>
      <c r="I47" s="44"/>
      <c r="J47" s="44"/>
      <c r="K47" s="44"/>
      <c r="L47" s="44"/>
      <c r="M47" s="44"/>
      <c r="N47" s="45"/>
    </row>
    <row r="48" spans="1:14" x14ac:dyDescent="0.25">
      <c r="A48" s="306"/>
      <c r="B48" s="323"/>
      <c r="C48" s="21" t="s">
        <v>103</v>
      </c>
      <c r="D48" s="1" t="s">
        <v>9</v>
      </c>
      <c r="E48" s="46">
        <v>11.679546947550062</v>
      </c>
      <c r="F48" s="46">
        <v>8.3401863461132386</v>
      </c>
      <c r="G48" s="46">
        <v>6.5072030321330079</v>
      </c>
      <c r="H48" s="46">
        <v>6.5072030321330079</v>
      </c>
      <c r="I48" s="46">
        <v>6.5072030321330079</v>
      </c>
      <c r="J48" s="46">
        <v>6.5072030321330079</v>
      </c>
      <c r="K48" s="46">
        <v>1.583</v>
      </c>
      <c r="L48" s="46">
        <v>1.583</v>
      </c>
      <c r="M48" s="46">
        <v>1.583</v>
      </c>
      <c r="N48" s="45"/>
    </row>
    <row r="49" spans="1:14" x14ac:dyDescent="0.25">
      <c r="A49" s="306"/>
      <c r="B49" s="323"/>
      <c r="C49" s="21" t="s">
        <v>104</v>
      </c>
      <c r="D49" s="1" t="s">
        <v>10</v>
      </c>
      <c r="E49" s="46">
        <v>0</v>
      </c>
      <c r="F49" s="46">
        <v>0</v>
      </c>
      <c r="G49" s="46">
        <v>0</v>
      </c>
      <c r="H49" s="46">
        <v>0</v>
      </c>
      <c r="I49" s="46">
        <v>0</v>
      </c>
      <c r="J49" s="46">
        <v>0</v>
      </c>
      <c r="K49" s="46">
        <v>2.0349999999999999E-3</v>
      </c>
      <c r="L49" s="46">
        <v>2.0349999999999999E-3</v>
      </c>
      <c r="M49" s="46">
        <v>2.0349999999999999E-3</v>
      </c>
      <c r="N49" s="45"/>
    </row>
    <row r="50" spans="1:14" ht="18.75" x14ac:dyDescent="0.25">
      <c r="A50" s="306"/>
      <c r="B50" s="323"/>
      <c r="C50" s="22" t="s">
        <v>105</v>
      </c>
      <c r="D50" s="23" t="s">
        <v>17</v>
      </c>
      <c r="E50" s="46">
        <v>0</v>
      </c>
      <c r="F50" s="46">
        <v>0</v>
      </c>
      <c r="G50" s="46">
        <v>0</v>
      </c>
      <c r="H50" s="46">
        <v>0</v>
      </c>
      <c r="I50" s="46">
        <v>0</v>
      </c>
      <c r="J50" s="46">
        <v>0</v>
      </c>
      <c r="K50" s="46">
        <v>0</v>
      </c>
      <c r="L50" s="46">
        <v>0</v>
      </c>
      <c r="M50" s="46">
        <v>0</v>
      </c>
      <c r="N50" s="45"/>
    </row>
    <row r="51" spans="1:14" x14ac:dyDescent="0.25">
      <c r="A51" s="306"/>
      <c r="B51" s="323"/>
      <c r="C51" s="22" t="s">
        <v>11</v>
      </c>
      <c r="D51" s="23" t="s">
        <v>10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5"/>
    </row>
    <row r="52" spans="1:14" x14ac:dyDescent="0.25">
      <c r="A52" s="306"/>
      <c r="B52" s="323"/>
      <c r="C52" s="21" t="s">
        <v>18</v>
      </c>
      <c r="D52" s="2" t="s">
        <v>19</v>
      </c>
      <c r="E52" s="44">
        <v>3.4299999999999997</v>
      </c>
      <c r="F52" s="44">
        <v>3.4299999999999997</v>
      </c>
      <c r="G52" s="44">
        <v>3.4299999999999997</v>
      </c>
      <c r="H52" s="44">
        <v>3.4299999999999997</v>
      </c>
      <c r="I52" s="44">
        <v>3.4299999999999997</v>
      </c>
      <c r="J52" s="44">
        <v>3.4299999999999997</v>
      </c>
      <c r="K52" s="44">
        <v>3.4299999999999997</v>
      </c>
      <c r="L52" s="44">
        <v>3.4299999999999997</v>
      </c>
      <c r="M52" s="44">
        <v>3.4299999999999997</v>
      </c>
      <c r="N52" s="45"/>
    </row>
    <row r="53" spans="1:14" x14ac:dyDescent="0.25">
      <c r="A53" s="306"/>
      <c r="B53" s="323"/>
      <c r="C53" s="21" t="s">
        <v>13</v>
      </c>
      <c r="D53" s="2" t="s">
        <v>14</v>
      </c>
      <c r="E53" s="44"/>
      <c r="F53" s="44"/>
      <c r="G53" s="44"/>
      <c r="H53" s="44"/>
      <c r="I53" s="44"/>
      <c r="J53" s="44"/>
      <c r="K53" s="44"/>
      <c r="L53" s="44"/>
      <c r="M53" s="44"/>
      <c r="N53" s="45"/>
    </row>
    <row r="54" spans="1:14" x14ac:dyDescent="0.25">
      <c r="A54" s="306"/>
      <c r="B54" s="323"/>
      <c r="C54" s="21" t="s">
        <v>15</v>
      </c>
      <c r="D54" s="2" t="s">
        <v>4</v>
      </c>
      <c r="E54" s="44"/>
      <c r="F54" s="44"/>
      <c r="G54" s="44"/>
      <c r="H54" s="44"/>
      <c r="I54" s="44"/>
      <c r="J54" s="44"/>
      <c r="K54" s="44"/>
      <c r="L54" s="44"/>
      <c r="M54" s="44"/>
      <c r="N54" s="45"/>
    </row>
    <row r="55" spans="1:14" ht="14.45" customHeight="1" x14ac:dyDescent="0.25">
      <c r="A55" s="306">
        <v>6</v>
      </c>
      <c r="B55" s="323" t="s">
        <v>147</v>
      </c>
      <c r="C55" s="21" t="s">
        <v>101</v>
      </c>
      <c r="D55" s="1" t="s">
        <v>4</v>
      </c>
      <c r="E55" s="44">
        <v>20</v>
      </c>
      <c r="F55" s="44">
        <v>20</v>
      </c>
      <c r="G55" s="44">
        <v>20</v>
      </c>
      <c r="H55" s="44">
        <v>20</v>
      </c>
      <c r="I55" s="44">
        <v>20</v>
      </c>
      <c r="J55" s="44">
        <v>20</v>
      </c>
      <c r="K55" s="44">
        <v>20</v>
      </c>
      <c r="L55" s="44">
        <v>20</v>
      </c>
      <c r="M55" s="44">
        <v>20</v>
      </c>
      <c r="N55" s="45"/>
    </row>
    <row r="56" spans="1:14" x14ac:dyDescent="0.25">
      <c r="A56" s="306"/>
      <c r="B56" s="323"/>
      <c r="C56" s="21" t="s">
        <v>20</v>
      </c>
      <c r="D56" s="1" t="s">
        <v>6</v>
      </c>
      <c r="E56" s="46">
        <v>738.31610915879503</v>
      </c>
      <c r="F56" s="46">
        <v>515.77022112163911</v>
      </c>
      <c r="G56" s="46">
        <v>395.95632283937084</v>
      </c>
      <c r="H56" s="46">
        <v>395.95632283937084</v>
      </c>
      <c r="I56" s="46">
        <v>395.95632283937084</v>
      </c>
      <c r="J56" s="46">
        <v>395.95632283937084</v>
      </c>
      <c r="K56" s="46">
        <v>582.06399999999996</v>
      </c>
      <c r="L56" s="46">
        <v>582.06399999999996</v>
      </c>
      <c r="M56" s="46">
        <v>582.06399999999996</v>
      </c>
      <c r="N56" s="45"/>
    </row>
    <row r="57" spans="1:14" x14ac:dyDescent="0.25">
      <c r="A57" s="306"/>
      <c r="B57" s="323"/>
      <c r="C57" s="21" t="s">
        <v>172</v>
      </c>
      <c r="D57" s="1" t="s">
        <v>19</v>
      </c>
      <c r="E57" s="47">
        <v>0</v>
      </c>
      <c r="F57" s="47">
        <v>0</v>
      </c>
      <c r="G57" s="47">
        <v>0</v>
      </c>
      <c r="H57" s="47">
        <v>0</v>
      </c>
      <c r="I57" s="47">
        <v>0</v>
      </c>
      <c r="J57" s="47">
        <v>0</v>
      </c>
      <c r="K57" s="47">
        <v>0</v>
      </c>
      <c r="L57" s="47">
        <v>0</v>
      </c>
      <c r="M57" s="47">
        <v>0</v>
      </c>
      <c r="N57" s="45"/>
    </row>
    <row r="58" spans="1:14" x14ac:dyDescent="0.25">
      <c r="A58" s="306"/>
      <c r="B58" s="323"/>
      <c r="C58" s="21" t="s">
        <v>102</v>
      </c>
      <c r="D58" s="1" t="s">
        <v>8</v>
      </c>
      <c r="E58" s="44"/>
      <c r="F58" s="44"/>
      <c r="G58" s="44"/>
      <c r="H58" s="44"/>
      <c r="I58" s="44"/>
      <c r="J58" s="44"/>
      <c r="K58" s="44"/>
      <c r="L58" s="44"/>
      <c r="M58" s="44"/>
      <c r="N58" s="45"/>
    </row>
    <row r="59" spans="1:14" x14ac:dyDescent="0.25">
      <c r="A59" s="306"/>
      <c r="B59" s="323"/>
      <c r="C59" s="21" t="s">
        <v>103</v>
      </c>
      <c r="D59" s="1" t="s">
        <v>9</v>
      </c>
      <c r="E59" s="46">
        <v>11.074741637381925</v>
      </c>
      <c r="F59" s="46">
        <v>7.7365533168245868</v>
      </c>
      <c r="G59" s="46">
        <v>5.9393448425905628</v>
      </c>
      <c r="H59" s="46">
        <v>5.9393448425905628</v>
      </c>
      <c r="I59" s="46">
        <v>5.9393448425905628</v>
      </c>
      <c r="J59" s="46">
        <v>5.9393448425905628</v>
      </c>
      <c r="K59" s="46">
        <v>1.583</v>
      </c>
      <c r="L59" s="46">
        <v>1.583</v>
      </c>
      <c r="M59" s="46">
        <v>1.583</v>
      </c>
      <c r="N59" s="45"/>
    </row>
    <row r="60" spans="1:14" x14ac:dyDescent="0.25">
      <c r="A60" s="306"/>
      <c r="B60" s="323"/>
      <c r="C60" s="21" t="s">
        <v>104</v>
      </c>
      <c r="D60" s="1" t="s">
        <v>10</v>
      </c>
      <c r="E60" s="46">
        <v>0</v>
      </c>
      <c r="F60" s="46">
        <v>0</v>
      </c>
      <c r="G60" s="46">
        <v>0</v>
      </c>
      <c r="H60" s="46">
        <v>0</v>
      </c>
      <c r="I60" s="46">
        <v>0</v>
      </c>
      <c r="J60" s="46">
        <v>0</v>
      </c>
      <c r="K60" s="46">
        <v>2.0349999999999999E-3</v>
      </c>
      <c r="L60" s="46">
        <v>2.0349999999999999E-3</v>
      </c>
      <c r="M60" s="46">
        <v>2.0349999999999999E-3</v>
      </c>
      <c r="N60" s="45"/>
    </row>
    <row r="61" spans="1:14" ht="18.75" x14ac:dyDescent="0.25">
      <c r="A61" s="306"/>
      <c r="B61" s="323"/>
      <c r="C61" s="22" t="s">
        <v>105</v>
      </c>
      <c r="D61" s="23" t="s">
        <v>17</v>
      </c>
      <c r="E61" s="46">
        <v>0</v>
      </c>
      <c r="F61" s="46">
        <v>0</v>
      </c>
      <c r="G61" s="46">
        <v>0</v>
      </c>
      <c r="H61" s="46">
        <v>0</v>
      </c>
      <c r="I61" s="46">
        <v>0</v>
      </c>
      <c r="J61" s="46">
        <v>0</v>
      </c>
      <c r="K61" s="46">
        <v>0</v>
      </c>
      <c r="L61" s="46">
        <v>0</v>
      </c>
      <c r="M61" s="46">
        <v>0</v>
      </c>
      <c r="N61" s="45"/>
    </row>
    <row r="62" spans="1:14" x14ac:dyDescent="0.25">
      <c r="A62" s="306"/>
      <c r="B62" s="323"/>
      <c r="C62" s="22" t="s">
        <v>11</v>
      </c>
      <c r="D62" s="23" t="s">
        <v>10</v>
      </c>
      <c r="E62" s="46">
        <v>0</v>
      </c>
      <c r="F62" s="46">
        <v>0</v>
      </c>
      <c r="G62" s="46">
        <v>0</v>
      </c>
      <c r="H62" s="46">
        <v>0</v>
      </c>
      <c r="I62" s="46">
        <v>0</v>
      </c>
      <c r="J62" s="46">
        <v>0</v>
      </c>
      <c r="K62" s="46">
        <v>0</v>
      </c>
      <c r="L62" s="46">
        <v>0</v>
      </c>
      <c r="M62" s="46">
        <v>0</v>
      </c>
      <c r="N62" s="45"/>
    </row>
    <row r="63" spans="1:14" x14ac:dyDescent="0.25">
      <c r="A63" s="306"/>
      <c r="B63" s="323"/>
      <c r="C63" s="21" t="s">
        <v>18</v>
      </c>
      <c r="D63" s="2" t="s">
        <v>19</v>
      </c>
      <c r="E63" s="44">
        <v>5.0199999999999996</v>
      </c>
      <c r="F63" s="44">
        <v>5.0199999999999996</v>
      </c>
      <c r="G63" s="44">
        <v>5.0199999999999996</v>
      </c>
      <c r="H63" s="44">
        <v>5.0199999999999996</v>
      </c>
      <c r="I63" s="44">
        <v>5.0199999999999996</v>
      </c>
      <c r="J63" s="44">
        <v>5.0199999999999996</v>
      </c>
      <c r="K63" s="44">
        <v>5.0199999999999996</v>
      </c>
      <c r="L63" s="44">
        <v>5.0199999999999996</v>
      </c>
      <c r="M63" s="44">
        <v>5.0199999999999996</v>
      </c>
      <c r="N63" s="45"/>
    </row>
    <row r="64" spans="1:14" x14ac:dyDescent="0.25">
      <c r="A64" s="306"/>
      <c r="B64" s="323"/>
      <c r="C64" s="21" t="s">
        <v>13</v>
      </c>
      <c r="D64" s="1" t="s">
        <v>14</v>
      </c>
      <c r="E64" s="44"/>
      <c r="F64" s="44"/>
      <c r="G64" s="44"/>
      <c r="H64" s="44"/>
      <c r="I64" s="44"/>
      <c r="J64" s="44"/>
      <c r="K64" s="44"/>
      <c r="L64" s="44"/>
      <c r="M64" s="44"/>
      <c r="N64" s="45"/>
    </row>
    <row r="65" spans="1:14" x14ac:dyDescent="0.25">
      <c r="A65" s="306"/>
      <c r="B65" s="323"/>
      <c r="C65" s="21" t="s">
        <v>15</v>
      </c>
      <c r="D65" s="1" t="s">
        <v>4</v>
      </c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4" x14ac:dyDescent="0.25">
      <c r="A66" s="306"/>
      <c r="B66" s="323"/>
      <c r="C66" s="21" t="s">
        <v>106</v>
      </c>
      <c r="D66" s="1" t="s">
        <v>6</v>
      </c>
      <c r="E66" s="46">
        <v>2962.5638498082421</v>
      </c>
      <c r="F66" s="46">
        <v>2027.1699626993282</v>
      </c>
      <c r="G66" s="46">
        <v>1274.8741817587722</v>
      </c>
      <c r="H66" s="46">
        <v>442.87029020421795</v>
      </c>
      <c r="I66" s="46">
        <v>301.97608311819215</v>
      </c>
      <c r="J66" s="46">
        <v>191.40821792528925</v>
      </c>
      <c r="K66" s="46">
        <v>92.896885443989731</v>
      </c>
      <c r="L66" s="46">
        <v>81.375969664560998</v>
      </c>
      <c r="M66" s="46">
        <v>81.375969664560998</v>
      </c>
      <c r="N66" s="45"/>
    </row>
    <row r="67" spans="1:14" x14ac:dyDescent="0.25">
      <c r="A67" s="306"/>
      <c r="B67" s="323"/>
      <c r="C67" s="21" t="s">
        <v>107</v>
      </c>
      <c r="D67" s="1" t="s">
        <v>4</v>
      </c>
      <c r="E67" s="44"/>
      <c r="F67" s="44"/>
      <c r="G67" s="44"/>
      <c r="H67" s="44"/>
      <c r="I67" s="44"/>
      <c r="J67" s="44"/>
      <c r="K67" s="44"/>
      <c r="L67" s="44"/>
      <c r="M67" s="44"/>
      <c r="N67" s="45"/>
    </row>
    <row r="68" spans="1:14" ht="14.45" customHeight="1" x14ac:dyDescent="0.25">
      <c r="A68" s="306">
        <v>7</v>
      </c>
      <c r="B68" s="323" t="s">
        <v>148</v>
      </c>
      <c r="C68" s="21" t="s">
        <v>101</v>
      </c>
      <c r="D68" s="1" t="s">
        <v>4</v>
      </c>
      <c r="E68" s="44">
        <v>20</v>
      </c>
      <c r="F68" s="44">
        <v>20</v>
      </c>
      <c r="G68" s="44">
        <v>20</v>
      </c>
      <c r="H68" s="44">
        <v>20</v>
      </c>
      <c r="I68" s="44">
        <v>20</v>
      </c>
      <c r="J68" s="44">
        <v>20</v>
      </c>
      <c r="K68" s="44">
        <v>20</v>
      </c>
      <c r="L68" s="44">
        <v>20</v>
      </c>
      <c r="M68" s="44">
        <v>20</v>
      </c>
      <c r="N68" s="45"/>
    </row>
    <row r="69" spans="1:14" x14ac:dyDescent="0.25">
      <c r="A69" s="306"/>
      <c r="B69" s="323"/>
      <c r="C69" s="21" t="s">
        <v>20</v>
      </c>
      <c r="D69" s="1" t="s">
        <v>6</v>
      </c>
      <c r="E69" s="46">
        <v>738.31610915879503</v>
      </c>
      <c r="F69" s="46">
        <v>515.77022112163911</v>
      </c>
      <c r="G69" s="46">
        <v>395.95632283937084</v>
      </c>
      <c r="H69" s="46">
        <v>395.95632283937084</v>
      </c>
      <c r="I69" s="46">
        <v>395.95632283937084</v>
      </c>
      <c r="J69" s="46">
        <v>395.95632283937084</v>
      </c>
      <c r="K69" s="46">
        <v>582.06399999999996</v>
      </c>
      <c r="L69" s="46">
        <v>582.06399999999996</v>
      </c>
      <c r="M69" s="46">
        <v>582.06399999999996</v>
      </c>
      <c r="N69" s="45"/>
    </row>
    <row r="70" spans="1:14" x14ac:dyDescent="0.25">
      <c r="A70" s="306"/>
      <c r="B70" s="323"/>
      <c r="C70" s="21" t="s">
        <v>172</v>
      </c>
      <c r="D70" s="1" t="s">
        <v>19</v>
      </c>
      <c r="E70" s="47">
        <v>0</v>
      </c>
      <c r="F70" s="47">
        <v>0</v>
      </c>
      <c r="G70" s="47">
        <v>0</v>
      </c>
      <c r="H70" s="47">
        <v>0</v>
      </c>
      <c r="I70" s="47">
        <v>0</v>
      </c>
      <c r="J70" s="47">
        <v>0</v>
      </c>
      <c r="K70" s="47">
        <v>0</v>
      </c>
      <c r="L70" s="47">
        <v>0</v>
      </c>
      <c r="M70" s="47">
        <v>0</v>
      </c>
      <c r="N70" s="45"/>
    </row>
    <row r="71" spans="1:14" x14ac:dyDescent="0.25">
      <c r="A71" s="306"/>
      <c r="B71" s="323"/>
      <c r="C71" s="21" t="s">
        <v>102</v>
      </c>
      <c r="D71" s="1" t="s">
        <v>8</v>
      </c>
      <c r="E71" s="44"/>
      <c r="F71" s="44"/>
      <c r="G71" s="44"/>
      <c r="H71" s="44"/>
      <c r="I71" s="44"/>
      <c r="J71" s="44"/>
      <c r="K71" s="44"/>
      <c r="L71" s="44"/>
      <c r="M71" s="44"/>
      <c r="N71" s="45"/>
    </row>
    <row r="72" spans="1:14" x14ac:dyDescent="0.25">
      <c r="A72" s="306"/>
      <c r="B72" s="323"/>
      <c r="C72" s="21" t="s">
        <v>103</v>
      </c>
      <c r="D72" s="1" t="s">
        <v>9</v>
      </c>
      <c r="E72" s="46">
        <v>11.074741637381925</v>
      </c>
      <c r="F72" s="46">
        <v>7.7365533168245868</v>
      </c>
      <c r="G72" s="46">
        <v>5.9393448425905628</v>
      </c>
      <c r="H72" s="46">
        <v>5.9393448425905628</v>
      </c>
      <c r="I72" s="46">
        <v>5.9393448425905628</v>
      </c>
      <c r="J72" s="46">
        <v>5.9393448425905628</v>
      </c>
      <c r="K72" s="46">
        <v>1.583</v>
      </c>
      <c r="L72" s="46">
        <v>1.583</v>
      </c>
      <c r="M72" s="46">
        <v>1.583</v>
      </c>
      <c r="N72" s="45"/>
    </row>
    <row r="73" spans="1:14" x14ac:dyDescent="0.25">
      <c r="A73" s="306"/>
      <c r="B73" s="323"/>
      <c r="C73" s="21" t="s">
        <v>104</v>
      </c>
      <c r="D73" s="1" t="s">
        <v>10</v>
      </c>
      <c r="E73" s="46">
        <v>0</v>
      </c>
      <c r="F73" s="46">
        <v>0</v>
      </c>
      <c r="G73" s="46">
        <v>0</v>
      </c>
      <c r="H73" s="46">
        <v>0</v>
      </c>
      <c r="I73" s="46">
        <v>0</v>
      </c>
      <c r="J73" s="46">
        <v>0</v>
      </c>
      <c r="K73" s="46">
        <v>2.0349999999999999E-3</v>
      </c>
      <c r="L73" s="46">
        <v>2.0349999999999999E-3</v>
      </c>
      <c r="M73" s="46">
        <v>2.0349999999999999E-3</v>
      </c>
      <c r="N73" s="45"/>
    </row>
    <row r="74" spans="1:14" ht="18.75" x14ac:dyDescent="0.25">
      <c r="A74" s="306"/>
      <c r="B74" s="323"/>
      <c r="C74" s="22" t="s">
        <v>105</v>
      </c>
      <c r="D74" s="23" t="s">
        <v>17</v>
      </c>
      <c r="E74" s="46">
        <v>0</v>
      </c>
      <c r="F74" s="46">
        <v>0</v>
      </c>
      <c r="G74" s="46">
        <v>0</v>
      </c>
      <c r="H74" s="46">
        <v>0</v>
      </c>
      <c r="I74" s="46">
        <v>0</v>
      </c>
      <c r="J74" s="46">
        <v>0</v>
      </c>
      <c r="K74" s="46">
        <v>0</v>
      </c>
      <c r="L74" s="46">
        <v>0</v>
      </c>
      <c r="M74" s="46">
        <v>0</v>
      </c>
      <c r="N74" s="45"/>
    </row>
    <row r="75" spans="1:14" x14ac:dyDescent="0.25">
      <c r="A75" s="306"/>
      <c r="B75" s="323"/>
      <c r="C75" s="22" t="s">
        <v>11</v>
      </c>
      <c r="D75" s="23" t="s">
        <v>10</v>
      </c>
      <c r="E75" s="46">
        <v>0</v>
      </c>
      <c r="F75" s="46">
        <v>0</v>
      </c>
      <c r="G75" s="46">
        <v>0</v>
      </c>
      <c r="H75" s="46">
        <v>0</v>
      </c>
      <c r="I75" s="46">
        <v>0</v>
      </c>
      <c r="J75" s="46">
        <v>0</v>
      </c>
      <c r="K75" s="46">
        <v>0</v>
      </c>
      <c r="L75" s="46">
        <v>0</v>
      </c>
      <c r="M75" s="46">
        <v>0</v>
      </c>
      <c r="N75" s="45"/>
    </row>
    <row r="76" spans="1:14" x14ac:dyDescent="0.25">
      <c r="A76" s="306"/>
      <c r="B76" s="323"/>
      <c r="C76" s="21" t="s">
        <v>18</v>
      </c>
      <c r="D76" s="2" t="s">
        <v>19</v>
      </c>
      <c r="E76" s="44">
        <v>4.6875</v>
      </c>
      <c r="F76" s="44">
        <v>4.6875</v>
      </c>
      <c r="G76" s="44">
        <v>4.6875</v>
      </c>
      <c r="H76" s="44">
        <v>4.6875</v>
      </c>
      <c r="I76" s="44">
        <v>4.6875</v>
      </c>
      <c r="J76" s="44">
        <v>4.6875</v>
      </c>
      <c r="K76" s="44">
        <v>4.6875</v>
      </c>
      <c r="L76" s="44">
        <v>4.6875</v>
      </c>
      <c r="M76" s="44">
        <v>4.6875</v>
      </c>
      <c r="N76" s="45"/>
    </row>
    <row r="77" spans="1:14" x14ac:dyDescent="0.25">
      <c r="A77" s="306"/>
      <c r="B77" s="323"/>
      <c r="C77" s="21" t="s">
        <v>13</v>
      </c>
      <c r="D77" s="1" t="s">
        <v>14</v>
      </c>
      <c r="E77" s="44"/>
      <c r="F77" s="44"/>
      <c r="G77" s="44"/>
      <c r="H77" s="44"/>
      <c r="I77" s="44"/>
      <c r="J77" s="44"/>
      <c r="K77" s="44"/>
      <c r="L77" s="44"/>
      <c r="M77" s="44"/>
      <c r="N77" s="45"/>
    </row>
    <row r="78" spans="1:14" x14ac:dyDescent="0.25">
      <c r="A78" s="306"/>
      <c r="B78" s="323"/>
      <c r="C78" s="21" t="s">
        <v>15</v>
      </c>
      <c r="D78" s="1" t="s">
        <v>4</v>
      </c>
      <c r="E78" s="44"/>
      <c r="F78" s="44"/>
      <c r="G78" s="44"/>
      <c r="H78" s="44"/>
      <c r="I78" s="44"/>
      <c r="J78" s="44"/>
      <c r="K78" s="44"/>
      <c r="L78" s="44"/>
      <c r="M78" s="44"/>
      <c r="N78" s="45"/>
    </row>
    <row r="79" spans="1:14" x14ac:dyDescent="0.25">
      <c r="A79" s="306"/>
      <c r="B79" s="323"/>
      <c r="C79" s="21" t="s">
        <v>106</v>
      </c>
      <c r="D79" s="1" t="s">
        <v>6</v>
      </c>
      <c r="E79" s="46">
        <v>2962.5638498082421</v>
      </c>
      <c r="F79" s="46">
        <v>2027.1699626993282</v>
      </c>
      <c r="G79" s="46">
        <v>1274.8741817587722</v>
      </c>
      <c r="H79" s="46">
        <v>442.87029020421795</v>
      </c>
      <c r="I79" s="46">
        <v>301.97608311819215</v>
      </c>
      <c r="J79" s="46">
        <v>191.40821792528925</v>
      </c>
      <c r="K79" s="46">
        <v>92.896885443989731</v>
      </c>
      <c r="L79" s="46">
        <v>81.375969664560998</v>
      </c>
      <c r="M79" s="46">
        <v>81.375969664560998</v>
      </c>
      <c r="N79" s="45"/>
    </row>
    <row r="80" spans="1:14" x14ac:dyDescent="0.25">
      <c r="A80" s="306"/>
      <c r="B80" s="323"/>
      <c r="C80" s="21" t="s">
        <v>107</v>
      </c>
      <c r="D80" s="1" t="s">
        <v>4</v>
      </c>
      <c r="E80" s="44"/>
      <c r="F80" s="44"/>
      <c r="G80" s="44"/>
      <c r="H80" s="44"/>
      <c r="I80" s="44"/>
      <c r="J80" s="44"/>
      <c r="K80" s="44"/>
      <c r="L80" s="44"/>
      <c r="M80" s="44"/>
      <c r="N80" s="45"/>
    </row>
    <row r="81" spans="1:14" ht="14.45" customHeight="1" x14ac:dyDescent="0.25">
      <c r="A81" s="306">
        <v>8</v>
      </c>
      <c r="B81" s="323" t="s">
        <v>149</v>
      </c>
      <c r="C81" s="21" t="s">
        <v>101</v>
      </c>
      <c r="D81" s="1" t="s">
        <v>4</v>
      </c>
      <c r="E81" s="44">
        <v>20</v>
      </c>
      <c r="F81" s="44">
        <v>20</v>
      </c>
      <c r="G81" s="44">
        <v>20</v>
      </c>
      <c r="H81" s="44">
        <v>20</v>
      </c>
      <c r="I81" s="44">
        <v>20</v>
      </c>
      <c r="J81" s="44">
        <v>20</v>
      </c>
      <c r="K81" s="44">
        <v>20</v>
      </c>
      <c r="L81" s="44">
        <v>20</v>
      </c>
      <c r="M81" s="44">
        <v>20</v>
      </c>
      <c r="N81" s="45"/>
    </row>
    <row r="82" spans="1:14" x14ac:dyDescent="0.25">
      <c r="A82" s="306"/>
      <c r="B82" s="323"/>
      <c r="C82" s="21" t="s">
        <v>20</v>
      </c>
      <c r="D82" s="1" t="s">
        <v>6</v>
      </c>
      <c r="E82" s="46">
        <v>738.31610915879503</v>
      </c>
      <c r="F82" s="46">
        <v>515.77022112163911</v>
      </c>
      <c r="G82" s="46">
        <v>395.95632283937084</v>
      </c>
      <c r="H82" s="46">
        <v>395.95632283937084</v>
      </c>
      <c r="I82" s="46">
        <v>395.95632283937084</v>
      </c>
      <c r="J82" s="46">
        <v>395.95632283937084</v>
      </c>
      <c r="K82" s="46">
        <v>582.06399999999996</v>
      </c>
      <c r="L82" s="46">
        <v>582.06399999999996</v>
      </c>
      <c r="M82" s="46">
        <v>582.06399999999996</v>
      </c>
      <c r="N82" s="45"/>
    </row>
    <row r="83" spans="1:14" x14ac:dyDescent="0.25">
      <c r="A83" s="306"/>
      <c r="B83" s="323"/>
      <c r="C83" s="21" t="s">
        <v>172</v>
      </c>
      <c r="D83" s="1" t="s">
        <v>19</v>
      </c>
      <c r="E83" s="47">
        <v>0</v>
      </c>
      <c r="F83" s="47">
        <v>0</v>
      </c>
      <c r="G83" s="47">
        <v>0</v>
      </c>
      <c r="H83" s="47">
        <v>0</v>
      </c>
      <c r="I83" s="47">
        <v>0</v>
      </c>
      <c r="J83" s="47">
        <v>0</v>
      </c>
      <c r="K83" s="47">
        <v>0</v>
      </c>
      <c r="L83" s="47">
        <v>0</v>
      </c>
      <c r="M83" s="47">
        <v>0</v>
      </c>
      <c r="N83" s="45"/>
    </row>
    <row r="84" spans="1:14" x14ac:dyDescent="0.25">
      <c r="A84" s="306"/>
      <c r="B84" s="323"/>
      <c r="C84" s="21" t="s">
        <v>102</v>
      </c>
      <c r="D84" s="1" t="s">
        <v>8</v>
      </c>
      <c r="E84" s="44"/>
      <c r="F84" s="44"/>
      <c r="G84" s="44"/>
      <c r="H84" s="44"/>
      <c r="I84" s="44"/>
      <c r="J84" s="44"/>
      <c r="K84" s="44"/>
      <c r="L84" s="44"/>
      <c r="M84" s="44"/>
      <c r="N84" s="45"/>
    </row>
    <row r="85" spans="1:14" x14ac:dyDescent="0.25">
      <c r="A85" s="306"/>
      <c r="B85" s="323"/>
      <c r="C85" s="21" t="s">
        <v>103</v>
      </c>
      <c r="D85" s="1" t="s">
        <v>9</v>
      </c>
      <c r="E85" s="46">
        <v>11.074741637381925</v>
      </c>
      <c r="F85" s="46">
        <v>7.7365533168245868</v>
      </c>
      <c r="G85" s="46">
        <v>5.9393448425905628</v>
      </c>
      <c r="H85" s="46">
        <v>5.9393448425905628</v>
      </c>
      <c r="I85" s="46">
        <v>5.9393448425905628</v>
      </c>
      <c r="J85" s="46">
        <v>5.9393448425905628</v>
      </c>
      <c r="K85" s="46">
        <v>1.583</v>
      </c>
      <c r="L85" s="46">
        <v>1.583</v>
      </c>
      <c r="M85" s="46">
        <v>1.583</v>
      </c>
      <c r="N85" s="45"/>
    </row>
    <row r="86" spans="1:14" x14ac:dyDescent="0.25">
      <c r="A86" s="306"/>
      <c r="B86" s="323"/>
      <c r="C86" s="21" t="s">
        <v>104</v>
      </c>
      <c r="D86" s="1" t="s">
        <v>10</v>
      </c>
      <c r="E86" s="46">
        <v>0</v>
      </c>
      <c r="F86" s="46">
        <v>0</v>
      </c>
      <c r="G86" s="46">
        <v>0</v>
      </c>
      <c r="H86" s="46">
        <v>0</v>
      </c>
      <c r="I86" s="46">
        <v>0</v>
      </c>
      <c r="J86" s="46">
        <v>0</v>
      </c>
      <c r="K86" s="46">
        <v>2.0349999999999999E-3</v>
      </c>
      <c r="L86" s="46">
        <v>2.0349999999999999E-3</v>
      </c>
      <c r="M86" s="46">
        <v>2.0349999999999999E-3</v>
      </c>
      <c r="N86" s="45"/>
    </row>
    <row r="87" spans="1:14" ht="18.75" x14ac:dyDescent="0.25">
      <c r="A87" s="306"/>
      <c r="B87" s="323"/>
      <c r="C87" s="22" t="s">
        <v>105</v>
      </c>
      <c r="D87" s="23" t="s">
        <v>17</v>
      </c>
      <c r="E87" s="46">
        <v>0</v>
      </c>
      <c r="F87" s="46">
        <v>0</v>
      </c>
      <c r="G87" s="46">
        <v>0</v>
      </c>
      <c r="H87" s="46">
        <v>0</v>
      </c>
      <c r="I87" s="46">
        <v>0</v>
      </c>
      <c r="J87" s="46">
        <v>0</v>
      </c>
      <c r="K87" s="46">
        <v>0</v>
      </c>
      <c r="L87" s="46">
        <v>0</v>
      </c>
      <c r="M87" s="46">
        <v>0</v>
      </c>
      <c r="N87" s="45"/>
    </row>
    <row r="88" spans="1:14" x14ac:dyDescent="0.25">
      <c r="A88" s="306"/>
      <c r="B88" s="323"/>
      <c r="C88" s="22" t="s">
        <v>11</v>
      </c>
      <c r="D88" s="23" t="s">
        <v>10</v>
      </c>
      <c r="E88" s="46">
        <v>0</v>
      </c>
      <c r="F88" s="46">
        <v>0</v>
      </c>
      <c r="G88" s="46">
        <v>0</v>
      </c>
      <c r="H88" s="46">
        <v>0</v>
      </c>
      <c r="I88" s="46">
        <v>0</v>
      </c>
      <c r="J88" s="46">
        <v>0</v>
      </c>
      <c r="K88" s="46">
        <v>0</v>
      </c>
      <c r="L88" s="46">
        <v>0</v>
      </c>
      <c r="M88" s="46">
        <v>0</v>
      </c>
      <c r="N88" s="45"/>
    </row>
    <row r="89" spans="1:14" x14ac:dyDescent="0.25">
      <c r="A89" s="306"/>
      <c r="B89" s="323"/>
      <c r="C89" s="21" t="s">
        <v>18</v>
      </c>
      <c r="D89" s="2" t="s">
        <v>19</v>
      </c>
      <c r="E89" s="44">
        <v>4.3549999999999995</v>
      </c>
      <c r="F89" s="44">
        <v>4.3549999999999995</v>
      </c>
      <c r="G89" s="44">
        <v>4.3549999999999995</v>
      </c>
      <c r="H89" s="44">
        <v>4.3549999999999995</v>
      </c>
      <c r="I89" s="44">
        <v>4.3549999999999995</v>
      </c>
      <c r="J89" s="44">
        <v>4.3549999999999995</v>
      </c>
      <c r="K89" s="44">
        <v>4.3549999999999995</v>
      </c>
      <c r="L89" s="44">
        <v>4.3549999999999995</v>
      </c>
      <c r="M89" s="44">
        <v>4.3549999999999995</v>
      </c>
      <c r="N89" s="45"/>
    </row>
    <row r="90" spans="1:14" x14ac:dyDescent="0.25">
      <c r="A90" s="306"/>
      <c r="B90" s="323"/>
      <c r="C90" s="21" t="s">
        <v>13</v>
      </c>
      <c r="D90" s="2" t="s">
        <v>14</v>
      </c>
      <c r="E90" s="44"/>
      <c r="F90" s="44"/>
      <c r="G90" s="44"/>
      <c r="H90" s="44"/>
      <c r="I90" s="44"/>
      <c r="J90" s="44"/>
      <c r="K90" s="44"/>
      <c r="L90" s="44"/>
      <c r="M90" s="44"/>
      <c r="N90" s="45"/>
    </row>
    <row r="91" spans="1:14" x14ac:dyDescent="0.25">
      <c r="A91" s="306"/>
      <c r="B91" s="323"/>
      <c r="C91" s="21" t="s">
        <v>15</v>
      </c>
      <c r="D91" s="1" t="s">
        <v>4</v>
      </c>
      <c r="E91" s="44"/>
      <c r="F91" s="44"/>
      <c r="G91" s="44"/>
      <c r="H91" s="44"/>
      <c r="I91" s="44"/>
      <c r="J91" s="44"/>
      <c r="K91" s="44"/>
      <c r="L91" s="44"/>
      <c r="M91" s="44"/>
      <c r="N91" s="45"/>
    </row>
    <row r="92" spans="1:14" x14ac:dyDescent="0.25">
      <c r="A92" s="306"/>
      <c r="B92" s="323"/>
      <c r="C92" s="21" t="s">
        <v>106</v>
      </c>
      <c r="D92" s="1" t="s">
        <v>6</v>
      </c>
      <c r="E92" s="46">
        <v>2962.5638498082421</v>
      </c>
      <c r="F92" s="46">
        <v>2027.1699626993282</v>
      </c>
      <c r="G92" s="46">
        <v>1274.8741817587722</v>
      </c>
      <c r="H92" s="46">
        <v>442.87029020421795</v>
      </c>
      <c r="I92" s="46">
        <v>301.97608311819215</v>
      </c>
      <c r="J92" s="46">
        <v>191.40821792528925</v>
      </c>
      <c r="K92" s="46">
        <v>92.896885443989731</v>
      </c>
      <c r="L92" s="46">
        <v>81.375969664560998</v>
      </c>
      <c r="M92" s="46">
        <v>81.375969664560998</v>
      </c>
      <c r="N92" s="45"/>
    </row>
    <row r="93" spans="1:14" x14ac:dyDescent="0.25">
      <c r="A93" s="306"/>
      <c r="B93" s="323"/>
      <c r="C93" s="21" t="s">
        <v>107</v>
      </c>
      <c r="D93" s="1" t="s">
        <v>4</v>
      </c>
      <c r="E93" s="44"/>
      <c r="F93" s="44"/>
      <c r="G93" s="44"/>
      <c r="H93" s="44"/>
      <c r="I93" s="44"/>
      <c r="J93" s="44"/>
      <c r="K93" s="44"/>
      <c r="L93" s="44"/>
      <c r="M93" s="44"/>
      <c r="N93" s="45"/>
    </row>
    <row r="94" spans="1:14" ht="15" customHeight="1" x14ac:dyDescent="0.25">
      <c r="A94" s="306">
        <v>9</v>
      </c>
      <c r="B94" s="323" t="s">
        <v>108</v>
      </c>
      <c r="C94" s="21" t="s">
        <v>109</v>
      </c>
      <c r="D94" s="1" t="s">
        <v>19</v>
      </c>
      <c r="E94" s="44">
        <v>1</v>
      </c>
      <c r="F94" s="44">
        <v>1</v>
      </c>
      <c r="G94" s="44">
        <v>1</v>
      </c>
      <c r="H94" s="44">
        <v>1</v>
      </c>
      <c r="I94" s="44">
        <v>1</v>
      </c>
      <c r="J94" s="44">
        <v>1</v>
      </c>
      <c r="K94" s="44">
        <v>1</v>
      </c>
      <c r="L94" s="44">
        <v>1</v>
      </c>
      <c r="M94" s="44">
        <v>1</v>
      </c>
      <c r="N94" s="45"/>
    </row>
    <row r="95" spans="1:14" x14ac:dyDescent="0.25">
      <c r="A95" s="306"/>
      <c r="B95" s="323"/>
      <c r="C95" s="21" t="s">
        <v>21</v>
      </c>
      <c r="D95" s="1" t="s">
        <v>19</v>
      </c>
      <c r="E95" s="44">
        <v>0.35</v>
      </c>
      <c r="F95" s="44">
        <v>0.35</v>
      </c>
      <c r="G95" s="44">
        <v>0.35</v>
      </c>
      <c r="H95" s="44">
        <v>0.35</v>
      </c>
      <c r="I95" s="44">
        <v>0.35</v>
      </c>
      <c r="J95" s="44">
        <v>0.35</v>
      </c>
      <c r="K95" s="44">
        <v>0.35</v>
      </c>
      <c r="L95" s="44">
        <v>0.35</v>
      </c>
      <c r="M95" s="44">
        <v>0.35</v>
      </c>
      <c r="N95" s="45"/>
    </row>
    <row r="96" spans="1:14" x14ac:dyDescent="0.25">
      <c r="A96" s="306"/>
      <c r="B96" s="323"/>
      <c r="C96" s="21" t="s">
        <v>22</v>
      </c>
      <c r="D96" s="1" t="s">
        <v>4</v>
      </c>
      <c r="E96" s="44">
        <v>20</v>
      </c>
      <c r="F96" s="44">
        <v>20</v>
      </c>
      <c r="G96" s="44">
        <v>20</v>
      </c>
      <c r="H96" s="44">
        <v>20</v>
      </c>
      <c r="I96" s="44">
        <v>20</v>
      </c>
      <c r="J96" s="44">
        <v>20</v>
      </c>
      <c r="K96" s="44">
        <v>20</v>
      </c>
      <c r="L96" s="44">
        <v>20</v>
      </c>
      <c r="M96" s="44">
        <v>20</v>
      </c>
      <c r="N96" s="45"/>
    </row>
    <row r="97" spans="1:15" x14ac:dyDescent="0.25">
      <c r="A97" s="306"/>
      <c r="B97" s="323"/>
      <c r="C97" s="21" t="s">
        <v>23</v>
      </c>
      <c r="D97" s="1" t="s">
        <v>6</v>
      </c>
      <c r="E97" s="46">
        <v>197.6111183946131</v>
      </c>
      <c r="F97" s="46">
        <v>167.43356959457475</v>
      </c>
      <c r="G97" s="46">
        <v>130.54476264689706</v>
      </c>
      <c r="H97" s="46">
        <v>105.30120481906971</v>
      </c>
      <c r="I97" s="46">
        <v>107.31263157894738</v>
      </c>
      <c r="J97" s="46">
        <v>107.00631578947369</v>
      </c>
      <c r="K97" s="46">
        <v>105.98526315789475</v>
      </c>
      <c r="L97" s="46">
        <v>103.84105263157896</v>
      </c>
      <c r="M97" s="46">
        <v>99.55263157894737</v>
      </c>
      <c r="N97" s="45"/>
    </row>
    <row r="98" spans="1:15" x14ac:dyDescent="0.25">
      <c r="A98" s="306"/>
      <c r="B98" s="323"/>
      <c r="C98" s="21" t="s">
        <v>173</v>
      </c>
      <c r="D98" s="1" t="s">
        <v>19</v>
      </c>
      <c r="E98" s="47">
        <v>0</v>
      </c>
      <c r="F98" s="47">
        <v>0</v>
      </c>
      <c r="G98" s="47">
        <v>0</v>
      </c>
      <c r="H98" s="47">
        <v>0</v>
      </c>
      <c r="I98" s="47">
        <v>0</v>
      </c>
      <c r="J98" s="47">
        <v>0</v>
      </c>
      <c r="K98" s="47">
        <v>0</v>
      </c>
      <c r="L98" s="47">
        <v>0</v>
      </c>
      <c r="M98" s="47">
        <v>0</v>
      </c>
      <c r="N98" s="45"/>
    </row>
    <row r="99" spans="1:15" x14ac:dyDescent="0.25">
      <c r="A99" s="306"/>
      <c r="B99" s="323"/>
      <c r="C99" s="21" t="s">
        <v>110</v>
      </c>
      <c r="D99" s="1" t="s">
        <v>8</v>
      </c>
      <c r="E99" s="44"/>
      <c r="F99" s="44"/>
      <c r="G99" s="44"/>
      <c r="H99" s="44"/>
      <c r="I99" s="44"/>
      <c r="J99" s="44"/>
      <c r="K99" s="44"/>
      <c r="L99" s="44"/>
      <c r="M99" s="44"/>
      <c r="N99" s="45"/>
    </row>
    <row r="100" spans="1:15" x14ac:dyDescent="0.25">
      <c r="A100" s="306"/>
      <c r="B100" s="323"/>
      <c r="C100" s="21" t="s">
        <v>111</v>
      </c>
      <c r="D100" s="1" t="s">
        <v>9</v>
      </c>
      <c r="E100" s="46">
        <v>5.9283335518383931</v>
      </c>
      <c r="F100" s="46">
        <v>5.0230070878372421</v>
      </c>
      <c r="G100" s="46">
        <v>3.9163428794069115</v>
      </c>
      <c r="H100" s="46">
        <v>3.1590361445720911</v>
      </c>
      <c r="I100" s="46">
        <v>2.0378947368421052</v>
      </c>
      <c r="J100" s="46">
        <v>2.0189473684210526</v>
      </c>
      <c r="K100" s="46">
        <v>1.9557894736842103</v>
      </c>
      <c r="L100" s="46">
        <v>1.8231578947368419</v>
      </c>
      <c r="M100" s="46">
        <v>1.557894736842105</v>
      </c>
      <c r="N100" s="45"/>
    </row>
    <row r="101" spans="1:15" x14ac:dyDescent="0.25">
      <c r="A101" s="306"/>
      <c r="B101" s="323"/>
      <c r="C101" s="21" t="s">
        <v>35</v>
      </c>
      <c r="D101" s="1" t="s">
        <v>10</v>
      </c>
      <c r="E101" s="46">
        <v>0</v>
      </c>
      <c r="F101" s="46">
        <v>0</v>
      </c>
      <c r="G101" s="46">
        <v>0</v>
      </c>
      <c r="H101" s="46">
        <v>0</v>
      </c>
      <c r="I101" s="46">
        <v>0</v>
      </c>
      <c r="J101" s="46">
        <v>0</v>
      </c>
      <c r="K101" s="46">
        <v>1.6858736842105264E-3</v>
      </c>
      <c r="L101" s="46">
        <v>1.5474947368421053E-3</v>
      </c>
      <c r="M101" s="46">
        <v>1.2707368421052633E-3</v>
      </c>
      <c r="N101" s="45"/>
    </row>
    <row r="102" spans="1:15" x14ac:dyDescent="0.25">
      <c r="A102" s="306"/>
      <c r="B102" s="323"/>
      <c r="C102" s="22" t="s">
        <v>24</v>
      </c>
      <c r="D102" s="23" t="s">
        <v>10</v>
      </c>
      <c r="E102" s="47">
        <v>0</v>
      </c>
      <c r="F102" s="47">
        <v>0</v>
      </c>
      <c r="G102" s="47">
        <v>0</v>
      </c>
      <c r="H102" s="47">
        <v>0</v>
      </c>
      <c r="I102" s="47">
        <v>0</v>
      </c>
      <c r="J102" s="47">
        <v>0</v>
      </c>
      <c r="K102" s="47">
        <v>0</v>
      </c>
      <c r="L102" s="47">
        <v>0</v>
      </c>
      <c r="M102" s="47">
        <v>0</v>
      </c>
      <c r="N102" s="45"/>
    </row>
    <row r="103" spans="1:15" x14ac:dyDescent="0.25">
      <c r="A103" s="306"/>
      <c r="B103" s="323"/>
      <c r="C103" s="21" t="s">
        <v>25</v>
      </c>
      <c r="D103" s="1" t="s">
        <v>7</v>
      </c>
      <c r="E103" s="47">
        <v>0.99124999999999996</v>
      </c>
      <c r="F103" s="47">
        <v>0.99124999999999996</v>
      </c>
      <c r="G103" s="47">
        <v>0.99124999999999996</v>
      </c>
      <c r="H103" s="47">
        <v>0.99124999999999996</v>
      </c>
      <c r="I103" s="47">
        <v>0.99124999999999996</v>
      </c>
      <c r="J103" s="47">
        <v>0.99124999999999996</v>
      </c>
      <c r="K103" s="47">
        <v>0.99649999999999994</v>
      </c>
      <c r="L103" s="47">
        <v>0.99649999999999994</v>
      </c>
      <c r="M103" s="47">
        <v>0.99649999999999994</v>
      </c>
      <c r="N103" s="45"/>
    </row>
    <row r="104" spans="1:15" x14ac:dyDescent="0.25">
      <c r="A104" s="306"/>
      <c r="B104" s="323"/>
      <c r="C104" s="21" t="s">
        <v>26</v>
      </c>
      <c r="D104" s="1" t="s">
        <v>14</v>
      </c>
      <c r="E104" s="46">
        <v>1524.6</v>
      </c>
      <c r="F104" s="46">
        <v>1749.6</v>
      </c>
      <c r="G104" s="46">
        <v>2349.6</v>
      </c>
      <c r="H104" s="46">
        <v>3174.6</v>
      </c>
      <c r="I104" s="46">
        <v>4299.6000000000004</v>
      </c>
      <c r="J104" s="46">
        <v>14213</v>
      </c>
      <c r="K104" s="46">
        <v>21713</v>
      </c>
      <c r="L104" s="46">
        <v>37463</v>
      </c>
      <c r="M104" s="46">
        <v>68963</v>
      </c>
      <c r="N104" s="45"/>
    </row>
    <row r="105" spans="1:15" x14ac:dyDescent="0.25">
      <c r="A105" s="306"/>
      <c r="B105" s="323"/>
      <c r="C105" s="21" t="s">
        <v>27</v>
      </c>
      <c r="D105" s="1" t="s">
        <v>4</v>
      </c>
      <c r="E105" s="44">
        <v>40</v>
      </c>
      <c r="F105" s="44">
        <v>40</v>
      </c>
      <c r="G105" s="44">
        <v>40</v>
      </c>
      <c r="H105" s="44">
        <v>40</v>
      </c>
      <c r="I105" s="44">
        <v>40</v>
      </c>
      <c r="J105" s="44">
        <v>40</v>
      </c>
      <c r="K105" s="44">
        <v>40</v>
      </c>
      <c r="L105" s="44">
        <v>40</v>
      </c>
      <c r="M105" s="44">
        <v>40</v>
      </c>
      <c r="N105" s="45"/>
    </row>
    <row r="106" spans="1:15" x14ac:dyDescent="0.25">
      <c r="A106" s="306"/>
      <c r="B106" s="323"/>
      <c r="C106" s="21" t="s">
        <v>112</v>
      </c>
      <c r="D106" s="1" t="s">
        <v>19</v>
      </c>
      <c r="E106" s="44">
        <v>0.5</v>
      </c>
      <c r="F106" s="44">
        <v>0.5</v>
      </c>
      <c r="G106" s="44">
        <v>0.5</v>
      </c>
      <c r="H106" s="44">
        <v>0.5</v>
      </c>
      <c r="I106" s="44">
        <v>0.5</v>
      </c>
      <c r="J106" s="44">
        <v>0.5</v>
      </c>
      <c r="K106" s="44">
        <v>0.5</v>
      </c>
      <c r="L106" s="44">
        <v>0.5</v>
      </c>
      <c r="M106" s="44">
        <v>0.5</v>
      </c>
      <c r="N106" s="45"/>
      <c r="O106" s="65"/>
    </row>
    <row r="107" spans="1:15" x14ac:dyDescent="0.25">
      <c r="A107" s="306"/>
      <c r="B107" s="323"/>
      <c r="C107" s="21" t="s">
        <v>28</v>
      </c>
      <c r="D107" s="1" t="s">
        <v>19</v>
      </c>
      <c r="E107" s="44">
        <v>1.3</v>
      </c>
      <c r="F107" s="44">
        <v>1.3</v>
      </c>
      <c r="G107" s="44">
        <v>1.3</v>
      </c>
      <c r="H107" s="44">
        <v>1.3</v>
      </c>
      <c r="I107" s="44">
        <v>1.3</v>
      </c>
      <c r="J107" s="44">
        <v>1.3</v>
      </c>
      <c r="K107" s="44">
        <v>1.3</v>
      </c>
      <c r="L107" s="44">
        <v>1.3</v>
      </c>
      <c r="M107" s="44">
        <v>1.3</v>
      </c>
      <c r="N107" s="45"/>
    </row>
    <row r="108" spans="1:15" x14ac:dyDescent="0.25">
      <c r="A108" s="306"/>
      <c r="B108" s="323"/>
      <c r="C108" s="21" t="s">
        <v>29</v>
      </c>
      <c r="D108" s="1" t="s">
        <v>4</v>
      </c>
      <c r="E108" s="44">
        <v>20</v>
      </c>
      <c r="F108" s="44">
        <v>20</v>
      </c>
      <c r="G108" s="44">
        <v>20</v>
      </c>
      <c r="H108" s="44">
        <v>20</v>
      </c>
      <c r="I108" s="44">
        <v>20</v>
      </c>
      <c r="J108" s="44">
        <v>20</v>
      </c>
      <c r="K108" s="44">
        <v>20</v>
      </c>
      <c r="L108" s="44">
        <v>20</v>
      </c>
      <c r="M108" s="44">
        <v>20</v>
      </c>
      <c r="N108" s="45"/>
    </row>
    <row r="109" spans="1:15" x14ac:dyDescent="0.25">
      <c r="A109" s="306"/>
      <c r="B109" s="323"/>
      <c r="C109" s="21" t="s">
        <v>30</v>
      </c>
      <c r="D109" s="1" t="s">
        <v>6</v>
      </c>
      <c r="E109" s="46">
        <v>1090.397833965246</v>
      </c>
      <c r="F109" s="46">
        <v>778.63646317000416</v>
      </c>
      <c r="G109" s="46">
        <v>515.89289850747139</v>
      </c>
      <c r="H109" s="46">
        <v>433.81353547553391</v>
      </c>
      <c r="I109" s="46">
        <v>433.81353547553391</v>
      </c>
      <c r="J109" s="46">
        <v>433.81353547553391</v>
      </c>
      <c r="K109" s="46">
        <v>1268.6839450200719</v>
      </c>
      <c r="L109" s="46">
        <v>1103.7248587624642</v>
      </c>
      <c r="M109" s="46">
        <v>970.23156182094863</v>
      </c>
      <c r="N109" s="45"/>
    </row>
    <row r="110" spans="1:15" x14ac:dyDescent="0.25">
      <c r="A110" s="306"/>
      <c r="B110" s="323"/>
      <c r="C110" s="21" t="s">
        <v>174</v>
      </c>
      <c r="D110" s="1" t="s">
        <v>19</v>
      </c>
      <c r="E110" s="47">
        <v>0</v>
      </c>
      <c r="F110" s="47">
        <v>0</v>
      </c>
      <c r="G110" s="47">
        <v>0</v>
      </c>
      <c r="H110" s="47">
        <v>0</v>
      </c>
      <c r="I110" s="47">
        <v>0</v>
      </c>
      <c r="J110" s="47">
        <v>0</v>
      </c>
      <c r="K110" s="47">
        <v>0</v>
      </c>
      <c r="L110" s="47">
        <v>0</v>
      </c>
      <c r="M110" s="47">
        <v>0</v>
      </c>
      <c r="N110" s="45"/>
    </row>
    <row r="111" spans="1:15" x14ac:dyDescent="0.25">
      <c r="A111" s="306"/>
      <c r="B111" s="323"/>
      <c r="C111" s="21" t="s">
        <v>113</v>
      </c>
      <c r="D111" s="1" t="s">
        <v>8</v>
      </c>
      <c r="E111" s="44"/>
      <c r="F111" s="44"/>
      <c r="G111" s="44"/>
      <c r="H111" s="44"/>
      <c r="I111" s="44"/>
      <c r="J111" s="44"/>
      <c r="K111" s="44"/>
      <c r="L111" s="44"/>
      <c r="M111" s="44"/>
      <c r="N111" s="45"/>
    </row>
    <row r="112" spans="1:15" x14ac:dyDescent="0.25">
      <c r="A112" s="306"/>
      <c r="B112" s="323"/>
      <c r="C112" s="21" t="s">
        <v>114</v>
      </c>
      <c r="D112" s="1" t="s">
        <v>9</v>
      </c>
      <c r="E112" s="44"/>
      <c r="F112" s="44"/>
      <c r="G112" s="44"/>
      <c r="H112" s="44"/>
      <c r="I112" s="44"/>
      <c r="J112" s="44"/>
      <c r="K112" s="44"/>
      <c r="L112" s="44"/>
      <c r="M112" s="44"/>
      <c r="N112" s="45"/>
    </row>
    <row r="113" spans="1:15" x14ac:dyDescent="0.25">
      <c r="A113" s="306"/>
      <c r="B113" s="323"/>
      <c r="C113" s="21" t="s">
        <v>115</v>
      </c>
      <c r="D113" s="1" t="s">
        <v>10</v>
      </c>
      <c r="E113" s="46">
        <v>0</v>
      </c>
      <c r="F113" s="46">
        <v>0</v>
      </c>
      <c r="G113" s="46">
        <v>0</v>
      </c>
      <c r="H113" s="46">
        <v>0</v>
      </c>
      <c r="I113" s="46">
        <v>0</v>
      </c>
      <c r="J113" s="46">
        <v>0</v>
      </c>
      <c r="K113" s="46">
        <v>0</v>
      </c>
      <c r="L113" s="46">
        <v>2.0349999999999999E-3</v>
      </c>
      <c r="M113" s="46">
        <v>2.0349999999999999E-3</v>
      </c>
      <c r="N113" s="48"/>
      <c r="O113" s="49"/>
    </row>
    <row r="114" spans="1:15" ht="18.75" x14ac:dyDescent="0.25">
      <c r="A114" s="306"/>
      <c r="B114" s="323"/>
      <c r="C114" s="22" t="s">
        <v>116</v>
      </c>
      <c r="D114" s="23" t="s">
        <v>17</v>
      </c>
      <c r="E114" s="46">
        <v>0</v>
      </c>
      <c r="F114" s="46">
        <v>0</v>
      </c>
      <c r="G114" s="46">
        <v>0</v>
      </c>
      <c r="H114" s="46">
        <v>0</v>
      </c>
      <c r="I114" s="46">
        <v>0</v>
      </c>
      <c r="J114" s="46">
        <v>0</v>
      </c>
      <c r="K114" s="46">
        <v>0</v>
      </c>
      <c r="L114" s="46">
        <v>0</v>
      </c>
      <c r="M114" s="46">
        <v>0</v>
      </c>
      <c r="N114" s="45"/>
    </row>
    <row r="115" spans="1:15" x14ac:dyDescent="0.25">
      <c r="A115" s="306"/>
      <c r="B115" s="323"/>
      <c r="C115" s="22" t="s">
        <v>31</v>
      </c>
      <c r="D115" s="23" t="s">
        <v>10</v>
      </c>
      <c r="E115" s="46">
        <v>0</v>
      </c>
      <c r="F115" s="46">
        <v>0</v>
      </c>
      <c r="G115" s="46">
        <v>0</v>
      </c>
      <c r="H115" s="46">
        <v>0</v>
      </c>
      <c r="I115" s="46">
        <v>0</v>
      </c>
      <c r="J115" s="46">
        <v>0</v>
      </c>
      <c r="K115" s="46">
        <v>0</v>
      </c>
      <c r="L115" s="46">
        <v>0</v>
      </c>
      <c r="M115" s="46">
        <v>0</v>
      </c>
      <c r="N115" s="45"/>
    </row>
    <row r="116" spans="1:15" x14ac:dyDescent="0.25">
      <c r="A116" s="306"/>
      <c r="B116" s="323"/>
      <c r="C116" s="21" t="s">
        <v>32</v>
      </c>
      <c r="D116" s="2" t="s">
        <v>19</v>
      </c>
      <c r="E116" s="44">
        <v>3.4299999999999997</v>
      </c>
      <c r="F116" s="44">
        <v>3.4299999999999997</v>
      </c>
      <c r="G116" s="44">
        <v>3.4299999999999997</v>
      </c>
      <c r="H116" s="44">
        <v>3.4299999999999997</v>
      </c>
      <c r="I116" s="44">
        <v>3.4299999999999997</v>
      </c>
      <c r="J116" s="44">
        <v>3.4299999999999997</v>
      </c>
      <c r="K116" s="44">
        <v>3.4299999999999997</v>
      </c>
      <c r="L116" s="44">
        <v>3.4299999999999997</v>
      </c>
      <c r="M116" s="44">
        <v>3.4299999999999997</v>
      </c>
      <c r="N116" s="45"/>
    </row>
    <row r="117" spans="1:15" x14ac:dyDescent="0.25">
      <c r="A117" s="306"/>
      <c r="B117" s="323"/>
      <c r="C117" s="21" t="s">
        <v>33</v>
      </c>
      <c r="D117" s="2" t="s">
        <v>14</v>
      </c>
      <c r="E117" s="44"/>
      <c r="F117" s="44"/>
      <c r="G117" s="44"/>
      <c r="H117" s="44"/>
      <c r="I117" s="44"/>
      <c r="J117" s="44"/>
      <c r="K117" s="44"/>
      <c r="L117" s="44"/>
      <c r="M117" s="44"/>
      <c r="N117" s="45"/>
    </row>
    <row r="118" spans="1:15" x14ac:dyDescent="0.25">
      <c r="A118" s="306"/>
      <c r="B118" s="323"/>
      <c r="C118" s="21" t="s">
        <v>34</v>
      </c>
      <c r="D118" s="2" t="s">
        <v>4</v>
      </c>
      <c r="E118" s="44"/>
      <c r="F118" s="44"/>
      <c r="G118" s="44"/>
      <c r="H118" s="44"/>
      <c r="I118" s="44"/>
      <c r="J118" s="44"/>
      <c r="K118" s="44"/>
      <c r="L118" s="44"/>
      <c r="M118" s="44"/>
      <c r="N118" s="45"/>
    </row>
    <row r="119" spans="1:15" ht="15" customHeight="1" x14ac:dyDescent="0.25">
      <c r="A119" s="306">
        <v>10</v>
      </c>
      <c r="B119" s="323" t="s">
        <v>175</v>
      </c>
      <c r="C119" s="21" t="s">
        <v>109</v>
      </c>
      <c r="D119" s="1" t="s">
        <v>19</v>
      </c>
      <c r="E119" s="44">
        <v>1</v>
      </c>
      <c r="F119" s="44">
        <v>1</v>
      </c>
      <c r="G119" s="44">
        <v>1</v>
      </c>
      <c r="H119" s="44">
        <v>1</v>
      </c>
      <c r="I119" s="44">
        <v>1</v>
      </c>
      <c r="J119" s="44">
        <v>1</v>
      </c>
      <c r="K119" s="44">
        <v>1</v>
      </c>
      <c r="L119" s="44">
        <v>1</v>
      </c>
      <c r="M119" s="44">
        <v>1</v>
      </c>
      <c r="N119" s="45"/>
    </row>
    <row r="120" spans="1:15" x14ac:dyDescent="0.25">
      <c r="A120" s="306"/>
      <c r="B120" s="323"/>
      <c r="C120" s="21" t="s">
        <v>21</v>
      </c>
      <c r="D120" s="1" t="s">
        <v>19</v>
      </c>
      <c r="E120" s="44">
        <v>0.35</v>
      </c>
      <c r="F120" s="44">
        <v>0.35</v>
      </c>
      <c r="G120" s="44">
        <v>0.35</v>
      </c>
      <c r="H120" s="44">
        <v>0.35</v>
      </c>
      <c r="I120" s="44">
        <v>0.35</v>
      </c>
      <c r="J120" s="44">
        <v>0.35</v>
      </c>
      <c r="K120" s="44">
        <v>0.35</v>
      </c>
      <c r="L120" s="44">
        <v>0.35</v>
      </c>
      <c r="M120" s="44">
        <v>0.35</v>
      </c>
      <c r="N120" s="45"/>
    </row>
    <row r="121" spans="1:15" x14ac:dyDescent="0.25">
      <c r="A121" s="306"/>
      <c r="B121" s="323"/>
      <c r="C121" s="21" t="s">
        <v>22</v>
      </c>
      <c r="D121" s="1" t="s">
        <v>4</v>
      </c>
      <c r="E121" s="44">
        <v>20</v>
      </c>
      <c r="F121" s="44">
        <v>20</v>
      </c>
      <c r="G121" s="44">
        <v>20</v>
      </c>
      <c r="H121" s="44">
        <v>20</v>
      </c>
      <c r="I121" s="44">
        <v>20</v>
      </c>
      <c r="J121" s="44">
        <v>20</v>
      </c>
      <c r="K121" s="44">
        <v>20</v>
      </c>
      <c r="L121" s="44">
        <v>20</v>
      </c>
      <c r="M121" s="44">
        <v>20</v>
      </c>
      <c r="N121" s="45"/>
    </row>
    <row r="122" spans="1:15" x14ac:dyDescent="0.25">
      <c r="A122" s="306"/>
      <c r="B122" s="323"/>
      <c r="C122" s="21" t="s">
        <v>23</v>
      </c>
      <c r="D122" s="1" t="s">
        <v>6</v>
      </c>
      <c r="E122" s="46">
        <v>197.6111183946131</v>
      </c>
      <c r="F122" s="46">
        <v>167.43356959457475</v>
      </c>
      <c r="G122" s="46">
        <v>130.54476264689706</v>
      </c>
      <c r="H122" s="46">
        <v>105.30120481906971</v>
      </c>
      <c r="I122" s="46">
        <v>107.31263157894738</v>
      </c>
      <c r="J122" s="46">
        <v>107.00631578947369</v>
      </c>
      <c r="K122" s="46">
        <v>105.98526315789475</v>
      </c>
      <c r="L122" s="46">
        <v>103.84105263157896</v>
      </c>
      <c r="M122" s="46">
        <v>99.55263157894737</v>
      </c>
      <c r="N122" s="45"/>
    </row>
    <row r="123" spans="1:15" x14ac:dyDescent="0.25">
      <c r="A123" s="306"/>
      <c r="B123" s="323"/>
      <c r="C123" s="21" t="s">
        <v>173</v>
      </c>
      <c r="D123" s="1" t="s">
        <v>19</v>
      </c>
      <c r="E123" s="47">
        <v>0</v>
      </c>
      <c r="F123" s="47">
        <v>0</v>
      </c>
      <c r="G123" s="47">
        <v>0</v>
      </c>
      <c r="H123" s="47">
        <v>0</v>
      </c>
      <c r="I123" s="47">
        <v>0</v>
      </c>
      <c r="J123" s="47">
        <v>0</v>
      </c>
      <c r="K123" s="47">
        <v>0</v>
      </c>
      <c r="L123" s="47">
        <v>0</v>
      </c>
      <c r="M123" s="47">
        <v>0</v>
      </c>
      <c r="N123" s="45"/>
    </row>
    <row r="124" spans="1:15" x14ac:dyDescent="0.25">
      <c r="A124" s="306"/>
      <c r="B124" s="323"/>
      <c r="C124" s="21" t="s">
        <v>110</v>
      </c>
      <c r="D124" s="1" t="s">
        <v>8</v>
      </c>
      <c r="E124" s="44"/>
      <c r="F124" s="44"/>
      <c r="G124" s="44"/>
      <c r="H124" s="44"/>
      <c r="I124" s="44"/>
      <c r="J124" s="44"/>
      <c r="K124" s="44"/>
      <c r="L124" s="44"/>
      <c r="M124" s="44"/>
      <c r="N124" s="45"/>
    </row>
    <row r="125" spans="1:15" x14ac:dyDescent="0.25">
      <c r="A125" s="306"/>
      <c r="B125" s="323"/>
      <c r="C125" s="21" t="s">
        <v>111</v>
      </c>
      <c r="D125" s="1" t="s">
        <v>9</v>
      </c>
      <c r="E125" s="46">
        <v>5.9283335518383931</v>
      </c>
      <c r="F125" s="46">
        <v>5.0230070878372421</v>
      </c>
      <c r="G125" s="46">
        <v>3.9163428794069115</v>
      </c>
      <c r="H125" s="46">
        <v>3.1590361445720911</v>
      </c>
      <c r="I125" s="46">
        <v>2.0378947368421052</v>
      </c>
      <c r="J125" s="46">
        <v>2.0189473684210526</v>
      </c>
      <c r="K125" s="46">
        <v>1.9557894736842103</v>
      </c>
      <c r="L125" s="46">
        <v>1.8231578947368419</v>
      </c>
      <c r="M125" s="46">
        <v>1.557894736842105</v>
      </c>
      <c r="N125" s="45"/>
    </row>
    <row r="126" spans="1:15" x14ac:dyDescent="0.25">
      <c r="A126" s="306"/>
      <c r="B126" s="323"/>
      <c r="C126" s="21" t="s">
        <v>35</v>
      </c>
      <c r="D126" s="1" t="s">
        <v>10</v>
      </c>
      <c r="E126" s="46">
        <v>0</v>
      </c>
      <c r="F126" s="46">
        <v>0</v>
      </c>
      <c r="G126" s="46">
        <v>0</v>
      </c>
      <c r="H126" s="46">
        <v>0</v>
      </c>
      <c r="I126" s="46">
        <v>0</v>
      </c>
      <c r="J126" s="46">
        <v>0</v>
      </c>
      <c r="K126" s="46">
        <v>1.6858736842105264E-3</v>
      </c>
      <c r="L126" s="46">
        <v>1.5474947368421053E-3</v>
      </c>
      <c r="M126" s="46">
        <v>1.2707368421052633E-3</v>
      </c>
      <c r="N126" s="45"/>
    </row>
    <row r="127" spans="1:15" x14ac:dyDescent="0.25">
      <c r="A127" s="306"/>
      <c r="B127" s="323"/>
      <c r="C127" s="22" t="s">
        <v>24</v>
      </c>
      <c r="D127" s="23" t="s">
        <v>10</v>
      </c>
      <c r="E127" s="46">
        <v>0</v>
      </c>
      <c r="F127" s="46">
        <v>0</v>
      </c>
      <c r="G127" s="46">
        <v>0</v>
      </c>
      <c r="H127" s="46">
        <v>0</v>
      </c>
      <c r="I127" s="46">
        <v>0</v>
      </c>
      <c r="J127" s="46">
        <v>0</v>
      </c>
      <c r="K127" s="46">
        <v>0</v>
      </c>
      <c r="L127" s="46">
        <v>0</v>
      </c>
      <c r="M127" s="46">
        <v>0</v>
      </c>
      <c r="N127" s="45"/>
    </row>
    <row r="128" spans="1:15" x14ac:dyDescent="0.25">
      <c r="A128" s="306"/>
      <c r="B128" s="323"/>
      <c r="C128" s="21" t="s">
        <v>25</v>
      </c>
      <c r="D128" s="1" t="s">
        <v>7</v>
      </c>
      <c r="E128" s="47">
        <v>0.99124999999999996</v>
      </c>
      <c r="F128" s="47">
        <v>0.99124999999999996</v>
      </c>
      <c r="G128" s="47">
        <v>0.99124999999999996</v>
      </c>
      <c r="H128" s="47">
        <v>0.99124999999999996</v>
      </c>
      <c r="I128" s="47">
        <v>0.99124999999999996</v>
      </c>
      <c r="J128" s="47">
        <v>0.99124999999999996</v>
      </c>
      <c r="K128" s="47">
        <v>0.99649999999999994</v>
      </c>
      <c r="L128" s="47">
        <v>0.99649999999999994</v>
      </c>
      <c r="M128" s="47">
        <v>0.99649999999999994</v>
      </c>
      <c r="N128" s="45"/>
    </row>
    <row r="129" spans="1:14" x14ac:dyDescent="0.25">
      <c r="A129" s="306"/>
      <c r="B129" s="323"/>
      <c r="C129" s="21" t="s">
        <v>26</v>
      </c>
      <c r="D129" s="1" t="s">
        <v>14</v>
      </c>
      <c r="E129" s="46">
        <v>1524.6</v>
      </c>
      <c r="F129" s="46">
        <v>1749.6</v>
      </c>
      <c r="G129" s="46">
        <v>2349.6</v>
      </c>
      <c r="H129" s="46">
        <v>3174.6</v>
      </c>
      <c r="I129" s="46">
        <v>4299.6000000000004</v>
      </c>
      <c r="J129" s="46">
        <v>14213</v>
      </c>
      <c r="K129" s="46">
        <v>21713</v>
      </c>
      <c r="L129" s="46">
        <v>37463</v>
      </c>
      <c r="M129" s="46">
        <v>68963</v>
      </c>
      <c r="N129" s="45"/>
    </row>
    <row r="130" spans="1:14" x14ac:dyDescent="0.25">
      <c r="A130" s="306"/>
      <c r="B130" s="323"/>
      <c r="C130" s="21" t="s">
        <v>27</v>
      </c>
      <c r="D130" s="1" t="s">
        <v>4</v>
      </c>
      <c r="E130" s="44">
        <v>40</v>
      </c>
      <c r="F130" s="44">
        <v>40</v>
      </c>
      <c r="G130" s="44">
        <v>40</v>
      </c>
      <c r="H130" s="44">
        <v>40</v>
      </c>
      <c r="I130" s="44">
        <v>40</v>
      </c>
      <c r="J130" s="44">
        <v>40</v>
      </c>
      <c r="K130" s="44">
        <v>40</v>
      </c>
      <c r="L130" s="44">
        <v>40</v>
      </c>
      <c r="M130" s="44">
        <v>40</v>
      </c>
      <c r="N130" s="45"/>
    </row>
    <row r="131" spans="1:14" x14ac:dyDescent="0.25">
      <c r="A131" s="306"/>
      <c r="B131" s="323"/>
      <c r="C131" s="21" t="s">
        <v>117</v>
      </c>
      <c r="D131" s="1" t="s">
        <v>19</v>
      </c>
      <c r="E131" s="44">
        <v>0.35</v>
      </c>
      <c r="F131" s="44">
        <v>0.35</v>
      </c>
      <c r="G131" s="44">
        <v>0.35</v>
      </c>
      <c r="H131" s="44">
        <v>0.35</v>
      </c>
      <c r="I131" s="44">
        <v>0.35</v>
      </c>
      <c r="J131" s="44">
        <v>0.35</v>
      </c>
      <c r="K131" s="44">
        <v>0.35</v>
      </c>
      <c r="L131" s="44">
        <v>0.35</v>
      </c>
      <c r="M131" s="44">
        <v>0.35</v>
      </c>
      <c r="N131" s="45"/>
    </row>
    <row r="132" spans="1:14" x14ac:dyDescent="0.25">
      <c r="A132" s="306"/>
      <c r="B132" s="323"/>
      <c r="C132" s="21" t="s">
        <v>36</v>
      </c>
      <c r="D132" s="1" t="s">
        <v>19</v>
      </c>
      <c r="E132" s="44">
        <v>1.8571428571428572</v>
      </c>
      <c r="F132" s="44">
        <v>1.8571428571428572</v>
      </c>
      <c r="G132" s="44">
        <v>1.8571428571428572</v>
      </c>
      <c r="H132" s="44">
        <v>1.8571428571428572</v>
      </c>
      <c r="I132" s="44">
        <v>1.8571428571428572</v>
      </c>
      <c r="J132" s="44">
        <v>1.8571428571428572</v>
      </c>
      <c r="K132" s="44">
        <v>1.8571428571428572</v>
      </c>
      <c r="L132" s="44">
        <v>1.8571428571428572</v>
      </c>
      <c r="M132" s="44">
        <v>1.8571428571428572</v>
      </c>
      <c r="N132" s="45"/>
    </row>
    <row r="133" spans="1:14" x14ac:dyDescent="0.25">
      <c r="A133" s="306"/>
      <c r="B133" s="323"/>
      <c r="C133" s="21" t="s">
        <v>37</v>
      </c>
      <c r="D133" s="1" t="s">
        <v>4</v>
      </c>
      <c r="E133" s="44">
        <v>20</v>
      </c>
      <c r="F133" s="44">
        <v>20</v>
      </c>
      <c r="G133" s="44">
        <v>20</v>
      </c>
      <c r="H133" s="44">
        <v>20</v>
      </c>
      <c r="I133" s="44">
        <v>20</v>
      </c>
      <c r="J133" s="44">
        <v>20</v>
      </c>
      <c r="K133" s="44">
        <v>20</v>
      </c>
      <c r="L133" s="44">
        <v>20</v>
      </c>
      <c r="M133" s="44">
        <v>20</v>
      </c>
      <c r="N133" s="45"/>
    </row>
    <row r="134" spans="1:14" x14ac:dyDescent="0.25">
      <c r="A134" s="306"/>
      <c r="B134" s="323"/>
      <c r="C134" s="21" t="s">
        <v>38</v>
      </c>
      <c r="D134" s="1" t="s">
        <v>6</v>
      </c>
      <c r="E134" s="46">
        <v>6164.6383832423717</v>
      </c>
      <c r="F134" s="46">
        <v>4148.5230456644149</v>
      </c>
      <c r="G134" s="46">
        <v>2556.3762612328273</v>
      </c>
      <c r="H134" s="46">
        <v>2029.3996454702053</v>
      </c>
      <c r="I134" s="46">
        <v>1711.4923611115926</v>
      </c>
      <c r="J134" s="46">
        <v>1355.2644648583628</v>
      </c>
      <c r="K134" s="46">
        <v>1064.4923090556324</v>
      </c>
      <c r="L134" s="46">
        <v>855.19192060813634</v>
      </c>
      <c r="M134" s="46">
        <v>698.34303740823668</v>
      </c>
      <c r="N134" s="45"/>
    </row>
    <row r="135" spans="1:14" x14ac:dyDescent="0.25">
      <c r="A135" s="306"/>
      <c r="B135" s="323"/>
      <c r="C135" s="21" t="s">
        <v>176</v>
      </c>
      <c r="D135" s="1" t="s">
        <v>19</v>
      </c>
      <c r="E135" s="47">
        <v>0</v>
      </c>
      <c r="F135" s="47">
        <v>0</v>
      </c>
      <c r="G135" s="47">
        <v>0</v>
      </c>
      <c r="H135" s="47">
        <v>0</v>
      </c>
      <c r="I135" s="47">
        <v>0</v>
      </c>
      <c r="J135" s="47">
        <v>0</v>
      </c>
      <c r="K135" s="47">
        <v>0</v>
      </c>
      <c r="L135" s="47">
        <v>0</v>
      </c>
      <c r="M135" s="47">
        <v>0</v>
      </c>
      <c r="N135" s="45"/>
    </row>
    <row r="136" spans="1:14" x14ac:dyDescent="0.25">
      <c r="A136" s="306"/>
      <c r="B136" s="323"/>
      <c r="C136" s="21" t="s">
        <v>118</v>
      </c>
      <c r="D136" s="1" t="s">
        <v>8</v>
      </c>
      <c r="E136" s="44"/>
      <c r="F136" s="44"/>
      <c r="G136" s="44"/>
      <c r="H136" s="44"/>
      <c r="I136" s="44"/>
      <c r="J136" s="44"/>
      <c r="K136" s="44"/>
      <c r="L136" s="44"/>
      <c r="M136" s="44"/>
      <c r="N136" s="45"/>
    </row>
    <row r="137" spans="1:14" x14ac:dyDescent="0.25">
      <c r="A137" s="306"/>
      <c r="B137" s="323"/>
      <c r="C137" s="21" t="s">
        <v>119</v>
      </c>
      <c r="D137" s="1" t="s">
        <v>9</v>
      </c>
      <c r="E137" s="44"/>
      <c r="F137" s="44"/>
      <c r="G137" s="44"/>
      <c r="H137" s="44"/>
      <c r="I137" s="44"/>
      <c r="J137" s="44"/>
      <c r="K137" s="44"/>
      <c r="L137" s="44"/>
      <c r="M137" s="44"/>
      <c r="N137" s="45"/>
    </row>
    <row r="138" spans="1:14" x14ac:dyDescent="0.25">
      <c r="A138" s="306"/>
      <c r="B138" s="323"/>
      <c r="C138" s="21" t="s">
        <v>39</v>
      </c>
      <c r="D138" s="1" t="s">
        <v>10</v>
      </c>
      <c r="E138" s="46">
        <v>5.4632155805897732E-2</v>
      </c>
      <c r="F138" s="46">
        <v>6.9225169277652349E-2</v>
      </c>
      <c r="G138" s="46">
        <v>5.5072970988733948E-2</v>
      </c>
      <c r="H138" s="46">
        <v>4.6604222305577481E-2</v>
      </c>
      <c r="I138" s="46">
        <v>4.0289223212275231E-2</v>
      </c>
      <c r="J138" s="46">
        <v>2.4583755873341454E-2</v>
      </c>
      <c r="K138" s="46">
        <v>1.9104989606490121E-2</v>
      </c>
      <c r="L138" s="46">
        <v>1.5182594783541725E-2</v>
      </c>
      <c r="M138" s="46">
        <v>1.3307545040231683E-2</v>
      </c>
      <c r="N138" s="45"/>
    </row>
    <row r="139" spans="1:14" x14ac:dyDescent="0.25">
      <c r="A139" s="306"/>
      <c r="B139" s="323"/>
      <c r="C139" s="22" t="s">
        <v>40</v>
      </c>
      <c r="D139" s="23" t="s">
        <v>10</v>
      </c>
      <c r="E139" s="46">
        <v>0</v>
      </c>
      <c r="F139" s="46">
        <v>0</v>
      </c>
      <c r="G139" s="46">
        <v>0</v>
      </c>
      <c r="H139" s="46">
        <v>0</v>
      </c>
      <c r="I139" s="46">
        <v>0</v>
      </c>
      <c r="J139" s="46">
        <v>0</v>
      </c>
      <c r="K139" s="46">
        <v>0</v>
      </c>
      <c r="L139" s="46">
        <v>0</v>
      </c>
      <c r="M139" s="46">
        <v>0</v>
      </c>
      <c r="N139" s="45"/>
    </row>
    <row r="140" spans="1:14" x14ac:dyDescent="0.25">
      <c r="A140" s="306"/>
      <c r="B140" s="323"/>
      <c r="C140" s="21" t="s">
        <v>41</v>
      </c>
      <c r="D140" s="1" t="s">
        <v>14</v>
      </c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1:14" x14ac:dyDescent="0.25">
      <c r="A141" s="306"/>
      <c r="B141" s="323"/>
      <c r="C141" s="21" t="s">
        <v>42</v>
      </c>
      <c r="D141" s="1" t="s">
        <v>4</v>
      </c>
      <c r="E141" s="44"/>
      <c r="F141" s="44"/>
      <c r="G141" s="44"/>
      <c r="H141" s="44"/>
      <c r="I141" s="44"/>
      <c r="J141" s="44"/>
      <c r="K141" s="44"/>
      <c r="L141" s="44"/>
      <c r="M141" s="44"/>
      <c r="N141" s="45"/>
    </row>
    <row r="142" spans="1:14" x14ac:dyDescent="0.25">
      <c r="A142" s="306"/>
      <c r="B142" s="323"/>
      <c r="C142" s="21" t="s">
        <v>43</v>
      </c>
      <c r="D142" s="1" t="s">
        <v>7</v>
      </c>
      <c r="E142" s="50">
        <v>0.25</v>
      </c>
      <c r="F142" s="50">
        <v>0.25</v>
      </c>
      <c r="G142" s="50">
        <v>0.25</v>
      </c>
      <c r="H142" s="50">
        <v>0.25</v>
      </c>
      <c r="I142" s="50">
        <v>0.25</v>
      </c>
      <c r="J142" s="50">
        <v>0.25</v>
      </c>
      <c r="K142" s="50">
        <v>0.25</v>
      </c>
      <c r="L142" s="50">
        <v>0.25</v>
      </c>
      <c r="M142" s="50">
        <v>0.25</v>
      </c>
      <c r="N142" s="45"/>
    </row>
    <row r="143" spans="1:14" x14ac:dyDescent="0.25">
      <c r="A143" s="306"/>
      <c r="B143" s="323"/>
      <c r="C143" s="24" t="s">
        <v>44</v>
      </c>
      <c r="D143" s="1" t="s">
        <v>7</v>
      </c>
      <c r="E143" s="47">
        <v>0.66625430833964439</v>
      </c>
      <c r="F143" s="47">
        <v>0.66367464936796561</v>
      </c>
      <c r="G143" s="47">
        <v>0.65679555877682227</v>
      </c>
      <c r="H143" s="47">
        <v>0.64733680921400016</v>
      </c>
      <c r="I143" s="47">
        <v>0.63443851435560639</v>
      </c>
      <c r="J143" s="47">
        <v>0.4680070358050421</v>
      </c>
      <c r="K143" s="47">
        <v>0.46713859851464173</v>
      </c>
      <c r="L143" s="47">
        <v>0.46531488020480088</v>
      </c>
      <c r="M143" s="47">
        <v>0.47</v>
      </c>
      <c r="N143" s="45"/>
    </row>
    <row r="144" spans="1:14" x14ac:dyDescent="0.25">
      <c r="A144" s="306"/>
      <c r="B144" s="323"/>
      <c r="C144" s="24" t="s">
        <v>45</v>
      </c>
      <c r="D144" s="1" t="s">
        <v>7</v>
      </c>
      <c r="E144" s="47">
        <v>0.25092243745356524</v>
      </c>
      <c r="F144" s="47">
        <v>0.25657675134016689</v>
      </c>
      <c r="G144" s="47">
        <v>0.27165492170443795</v>
      </c>
      <c r="H144" s="47">
        <v>0.29238740595531065</v>
      </c>
      <c r="I144" s="47">
        <v>0.32065897538831889</v>
      </c>
      <c r="J144" s="47">
        <v>0.41290384467151914</v>
      </c>
      <c r="K144" s="47">
        <v>0.41363974384019625</v>
      </c>
      <c r="L144" s="47">
        <v>0.41518513209441815</v>
      </c>
      <c r="M144" s="47">
        <v>0.41599999999999998</v>
      </c>
      <c r="N144" s="45"/>
    </row>
    <row r="145" spans="1:14" x14ac:dyDescent="0.25">
      <c r="A145" s="306"/>
      <c r="B145" s="323"/>
      <c r="C145" s="25" t="s">
        <v>120</v>
      </c>
      <c r="D145" s="23" t="s">
        <v>10</v>
      </c>
      <c r="E145" s="46">
        <v>0</v>
      </c>
      <c r="F145" s="46">
        <v>0</v>
      </c>
      <c r="G145" s="46">
        <v>0</v>
      </c>
      <c r="H145" s="46">
        <v>0</v>
      </c>
      <c r="I145" s="46">
        <v>0</v>
      </c>
      <c r="J145" s="46">
        <v>0</v>
      </c>
      <c r="K145" s="46">
        <v>0</v>
      </c>
      <c r="L145" s="46">
        <v>0</v>
      </c>
      <c r="M145" s="46">
        <v>0</v>
      </c>
      <c r="N145" s="45"/>
    </row>
    <row r="146" spans="1:14" x14ac:dyDescent="0.25">
      <c r="A146" s="306"/>
      <c r="B146" s="323"/>
      <c r="C146" s="25" t="s">
        <v>121</v>
      </c>
      <c r="D146" s="23" t="s">
        <v>122</v>
      </c>
      <c r="E146" s="46">
        <v>0</v>
      </c>
      <c r="F146" s="46">
        <v>0</v>
      </c>
      <c r="G146" s="46">
        <v>0</v>
      </c>
      <c r="H146" s="46">
        <v>0</v>
      </c>
      <c r="I146" s="46">
        <v>0</v>
      </c>
      <c r="J146" s="46">
        <v>0</v>
      </c>
      <c r="K146" s="46">
        <v>0</v>
      </c>
      <c r="L146" s="46">
        <v>0</v>
      </c>
      <c r="M146" s="46">
        <v>0</v>
      </c>
      <c r="N146" s="45"/>
    </row>
    <row r="147" spans="1:14" x14ac:dyDescent="0.25">
      <c r="A147" s="306"/>
      <c r="B147" s="323"/>
      <c r="C147" s="25" t="s">
        <v>123</v>
      </c>
      <c r="D147" s="23" t="s">
        <v>124</v>
      </c>
      <c r="E147" s="44">
        <v>0</v>
      </c>
      <c r="F147" s="44">
        <v>0</v>
      </c>
      <c r="G147" s="44">
        <v>0</v>
      </c>
      <c r="H147" s="44">
        <v>0</v>
      </c>
      <c r="I147" s="44">
        <v>0</v>
      </c>
      <c r="J147" s="44">
        <v>0</v>
      </c>
      <c r="K147" s="44">
        <v>0</v>
      </c>
      <c r="L147" s="44">
        <v>0</v>
      </c>
      <c r="M147" s="44">
        <v>0</v>
      </c>
      <c r="N147" s="45"/>
    </row>
    <row r="148" spans="1:14" ht="15" customHeight="1" x14ac:dyDescent="0.25">
      <c r="A148" s="306">
        <v>11</v>
      </c>
      <c r="B148" s="323" t="s">
        <v>177</v>
      </c>
      <c r="C148" s="21" t="s">
        <v>109</v>
      </c>
      <c r="D148" s="1" t="s">
        <v>19</v>
      </c>
      <c r="E148" s="44">
        <v>1</v>
      </c>
      <c r="F148" s="44">
        <v>1</v>
      </c>
      <c r="G148" s="44">
        <v>1</v>
      </c>
      <c r="H148" s="44">
        <v>1</v>
      </c>
      <c r="I148" s="44">
        <v>1</v>
      </c>
      <c r="J148" s="44">
        <v>1</v>
      </c>
      <c r="K148" s="44">
        <v>1</v>
      </c>
      <c r="L148" s="44">
        <v>1</v>
      </c>
      <c r="M148" s="44">
        <v>1</v>
      </c>
      <c r="N148" s="45"/>
    </row>
    <row r="149" spans="1:14" x14ac:dyDescent="0.25">
      <c r="A149" s="306"/>
      <c r="B149" s="323"/>
      <c r="C149" s="21" t="s">
        <v>21</v>
      </c>
      <c r="D149" s="1" t="s">
        <v>19</v>
      </c>
      <c r="E149" s="44">
        <v>0.35</v>
      </c>
      <c r="F149" s="44">
        <v>0.35</v>
      </c>
      <c r="G149" s="44">
        <v>0.35</v>
      </c>
      <c r="H149" s="44">
        <v>0.35</v>
      </c>
      <c r="I149" s="44">
        <v>0.35</v>
      </c>
      <c r="J149" s="44">
        <v>0.35</v>
      </c>
      <c r="K149" s="44">
        <v>0.35</v>
      </c>
      <c r="L149" s="44">
        <v>0.35</v>
      </c>
      <c r="M149" s="44">
        <v>0.35</v>
      </c>
      <c r="N149" s="45"/>
    </row>
    <row r="150" spans="1:14" x14ac:dyDescent="0.25">
      <c r="A150" s="306"/>
      <c r="B150" s="323"/>
      <c r="C150" s="21" t="s">
        <v>22</v>
      </c>
      <c r="D150" s="1" t="s">
        <v>4</v>
      </c>
      <c r="E150" s="44">
        <v>20</v>
      </c>
      <c r="F150" s="44">
        <v>20</v>
      </c>
      <c r="G150" s="44">
        <v>20</v>
      </c>
      <c r="H150" s="44">
        <v>20</v>
      </c>
      <c r="I150" s="44">
        <v>20</v>
      </c>
      <c r="J150" s="44">
        <v>20</v>
      </c>
      <c r="K150" s="44">
        <v>20</v>
      </c>
      <c r="L150" s="44">
        <v>20</v>
      </c>
      <c r="M150" s="44">
        <v>20</v>
      </c>
      <c r="N150" s="45"/>
    </row>
    <row r="151" spans="1:14" x14ac:dyDescent="0.25">
      <c r="A151" s="306"/>
      <c r="B151" s="323"/>
      <c r="C151" s="21" t="s">
        <v>23</v>
      </c>
      <c r="D151" s="1" t="s">
        <v>6</v>
      </c>
      <c r="E151" s="46">
        <v>197.6111183946131</v>
      </c>
      <c r="F151" s="46">
        <v>167.43356959457475</v>
      </c>
      <c r="G151" s="46">
        <v>130.54476264689706</v>
      </c>
      <c r="H151" s="46">
        <v>105.30120481906971</v>
      </c>
      <c r="I151" s="46">
        <v>107.31263157894738</v>
      </c>
      <c r="J151" s="46">
        <v>107.00631578947369</v>
      </c>
      <c r="K151" s="46">
        <v>105.98526315789475</v>
      </c>
      <c r="L151" s="46">
        <v>103.84105263157896</v>
      </c>
      <c r="M151" s="46">
        <v>99.55263157894737</v>
      </c>
      <c r="N151" s="45"/>
    </row>
    <row r="152" spans="1:14" x14ac:dyDescent="0.25">
      <c r="A152" s="306"/>
      <c r="B152" s="323"/>
      <c r="C152" s="21" t="s">
        <v>173</v>
      </c>
      <c r="D152" s="1" t="s">
        <v>19</v>
      </c>
      <c r="E152" s="47">
        <v>0</v>
      </c>
      <c r="F152" s="47">
        <v>0</v>
      </c>
      <c r="G152" s="47">
        <v>0</v>
      </c>
      <c r="H152" s="47">
        <v>0</v>
      </c>
      <c r="I152" s="47">
        <v>0</v>
      </c>
      <c r="J152" s="47">
        <v>0</v>
      </c>
      <c r="K152" s="47">
        <v>0</v>
      </c>
      <c r="L152" s="47">
        <v>0</v>
      </c>
      <c r="M152" s="47">
        <v>0</v>
      </c>
      <c r="N152" s="45"/>
    </row>
    <row r="153" spans="1:14" x14ac:dyDescent="0.25">
      <c r="A153" s="306"/>
      <c r="B153" s="323"/>
      <c r="C153" s="21" t="s">
        <v>110</v>
      </c>
      <c r="D153" s="1" t="s">
        <v>8</v>
      </c>
      <c r="E153" s="44"/>
      <c r="F153" s="44"/>
      <c r="G153" s="44"/>
      <c r="H153" s="44"/>
      <c r="I153" s="44"/>
      <c r="J153" s="44"/>
      <c r="K153" s="44"/>
      <c r="L153" s="44"/>
      <c r="M153" s="44"/>
      <c r="N153" s="45"/>
    </row>
    <row r="154" spans="1:14" x14ac:dyDescent="0.25">
      <c r="A154" s="306"/>
      <c r="B154" s="323"/>
      <c r="C154" s="21" t="s">
        <v>111</v>
      </c>
      <c r="D154" s="1" t="s">
        <v>9</v>
      </c>
      <c r="E154" s="46">
        <v>5.9283335518383931</v>
      </c>
      <c r="F154" s="46">
        <v>5.0230070878372421</v>
      </c>
      <c r="G154" s="46">
        <v>3.9163428794069115</v>
      </c>
      <c r="H154" s="46">
        <v>3.1590361445720911</v>
      </c>
      <c r="I154" s="46">
        <v>2.0378947368421052</v>
      </c>
      <c r="J154" s="46">
        <v>2.0189473684210526</v>
      </c>
      <c r="K154" s="46">
        <v>1.9557894736842103</v>
      </c>
      <c r="L154" s="46">
        <v>1.8231578947368419</v>
      </c>
      <c r="M154" s="46">
        <v>1.557894736842105</v>
      </c>
      <c r="N154" s="45"/>
    </row>
    <row r="155" spans="1:14" x14ac:dyDescent="0.25">
      <c r="A155" s="306"/>
      <c r="B155" s="323"/>
      <c r="C155" s="21" t="s">
        <v>35</v>
      </c>
      <c r="D155" s="1" t="s">
        <v>10</v>
      </c>
      <c r="E155" s="46">
        <v>0</v>
      </c>
      <c r="F155" s="46">
        <v>0</v>
      </c>
      <c r="G155" s="46">
        <v>0</v>
      </c>
      <c r="H155" s="46">
        <v>0</v>
      </c>
      <c r="I155" s="46">
        <v>0</v>
      </c>
      <c r="J155" s="46">
        <v>0</v>
      </c>
      <c r="K155" s="46">
        <v>1.6858736842105264E-3</v>
      </c>
      <c r="L155" s="46">
        <v>1.5474947368421053E-3</v>
      </c>
      <c r="M155" s="46">
        <v>1.2707368421052633E-3</v>
      </c>
      <c r="N155" s="45"/>
    </row>
    <row r="156" spans="1:14" x14ac:dyDescent="0.25">
      <c r="A156" s="306"/>
      <c r="B156" s="323"/>
      <c r="C156" s="22" t="s">
        <v>24</v>
      </c>
      <c r="D156" s="23" t="s">
        <v>10</v>
      </c>
      <c r="E156" s="46">
        <v>0</v>
      </c>
      <c r="F156" s="46">
        <v>0</v>
      </c>
      <c r="G156" s="46">
        <v>0</v>
      </c>
      <c r="H156" s="46">
        <v>0</v>
      </c>
      <c r="I156" s="46">
        <v>0</v>
      </c>
      <c r="J156" s="46">
        <v>0</v>
      </c>
      <c r="K156" s="46">
        <v>0</v>
      </c>
      <c r="L156" s="46">
        <v>0</v>
      </c>
      <c r="M156" s="46">
        <v>0</v>
      </c>
      <c r="N156" s="45"/>
    </row>
    <row r="157" spans="1:14" x14ac:dyDescent="0.25">
      <c r="A157" s="306"/>
      <c r="B157" s="323"/>
      <c r="C157" s="21" t="s">
        <v>25</v>
      </c>
      <c r="D157" s="1" t="s">
        <v>7</v>
      </c>
      <c r="E157" s="47">
        <v>0.99124999999999996</v>
      </c>
      <c r="F157" s="47">
        <v>0.99124999999999996</v>
      </c>
      <c r="G157" s="47">
        <v>0.99124999999999996</v>
      </c>
      <c r="H157" s="47">
        <v>0.99124999999999996</v>
      </c>
      <c r="I157" s="47">
        <v>0.99124999999999996</v>
      </c>
      <c r="J157" s="47">
        <v>0.99124999999999996</v>
      </c>
      <c r="K157" s="47">
        <v>0.99649999999999994</v>
      </c>
      <c r="L157" s="47">
        <v>0.99649999999999994</v>
      </c>
      <c r="M157" s="47">
        <v>0.99649999999999994</v>
      </c>
      <c r="N157" s="45"/>
    </row>
    <row r="158" spans="1:14" x14ac:dyDescent="0.25">
      <c r="A158" s="306"/>
      <c r="B158" s="323"/>
      <c r="C158" s="21" t="s">
        <v>26</v>
      </c>
      <c r="D158" s="1" t="s">
        <v>14</v>
      </c>
      <c r="E158" s="46">
        <v>1524.6</v>
      </c>
      <c r="F158" s="46">
        <v>1749.6</v>
      </c>
      <c r="G158" s="46">
        <v>2349.6</v>
      </c>
      <c r="H158" s="46">
        <v>3174.6</v>
      </c>
      <c r="I158" s="46">
        <v>4299.6000000000004</v>
      </c>
      <c r="J158" s="46">
        <v>14213</v>
      </c>
      <c r="K158" s="46">
        <v>21713</v>
      </c>
      <c r="L158" s="46">
        <v>37463</v>
      </c>
      <c r="M158" s="46">
        <v>68963</v>
      </c>
      <c r="N158" s="45"/>
    </row>
    <row r="159" spans="1:14" x14ac:dyDescent="0.25">
      <c r="A159" s="306"/>
      <c r="B159" s="323"/>
      <c r="C159" s="21" t="s">
        <v>27</v>
      </c>
      <c r="D159" s="1" t="s">
        <v>4</v>
      </c>
      <c r="E159" s="44">
        <v>40</v>
      </c>
      <c r="F159" s="44">
        <v>40</v>
      </c>
      <c r="G159" s="44">
        <v>40</v>
      </c>
      <c r="H159" s="44">
        <v>40</v>
      </c>
      <c r="I159" s="44">
        <v>40</v>
      </c>
      <c r="J159" s="44">
        <v>40</v>
      </c>
      <c r="K159" s="44">
        <v>40</v>
      </c>
      <c r="L159" s="44">
        <v>40</v>
      </c>
      <c r="M159" s="44">
        <v>40</v>
      </c>
      <c r="N159" s="45"/>
    </row>
    <row r="160" spans="1:14" x14ac:dyDescent="0.25">
      <c r="A160" s="306"/>
      <c r="B160" s="323"/>
      <c r="C160" s="21" t="s">
        <v>117</v>
      </c>
      <c r="D160" s="1" t="s">
        <v>19</v>
      </c>
      <c r="E160" s="44">
        <v>0.35</v>
      </c>
      <c r="F160" s="44">
        <v>0.35</v>
      </c>
      <c r="G160" s="44">
        <v>0.35</v>
      </c>
      <c r="H160" s="44">
        <v>0.35</v>
      </c>
      <c r="I160" s="44">
        <v>0.35</v>
      </c>
      <c r="J160" s="44">
        <v>0.35</v>
      </c>
      <c r="K160" s="44">
        <v>0.35</v>
      </c>
      <c r="L160" s="44">
        <v>0.35</v>
      </c>
      <c r="M160" s="44">
        <v>0.35</v>
      </c>
      <c r="N160" s="45"/>
    </row>
    <row r="161" spans="1:14" x14ac:dyDescent="0.25">
      <c r="A161" s="306"/>
      <c r="B161" s="323"/>
      <c r="C161" s="21" t="s">
        <v>36</v>
      </c>
      <c r="D161" s="1" t="s">
        <v>19</v>
      </c>
      <c r="E161" s="44">
        <v>1.8571428571428572</v>
      </c>
      <c r="F161" s="44">
        <v>1.8571428571428572</v>
      </c>
      <c r="G161" s="44">
        <v>1.8571428571428572</v>
      </c>
      <c r="H161" s="44">
        <v>1.8571428571428572</v>
      </c>
      <c r="I161" s="44">
        <v>1.8571428571428572</v>
      </c>
      <c r="J161" s="44">
        <v>1.8571428571428572</v>
      </c>
      <c r="K161" s="44">
        <v>1.8571428571428572</v>
      </c>
      <c r="L161" s="44">
        <v>1.8571428571428572</v>
      </c>
      <c r="M161" s="44">
        <v>1.8571428571428572</v>
      </c>
      <c r="N161" s="45"/>
    </row>
    <row r="162" spans="1:14" x14ac:dyDescent="0.25">
      <c r="A162" s="306"/>
      <c r="B162" s="323"/>
      <c r="C162" s="21" t="s">
        <v>37</v>
      </c>
      <c r="D162" s="1" t="s">
        <v>4</v>
      </c>
      <c r="E162" s="44">
        <v>20</v>
      </c>
      <c r="F162" s="44">
        <v>20</v>
      </c>
      <c r="G162" s="44">
        <v>20</v>
      </c>
      <c r="H162" s="44">
        <v>20</v>
      </c>
      <c r="I162" s="44">
        <v>20</v>
      </c>
      <c r="J162" s="44">
        <v>20</v>
      </c>
      <c r="K162" s="44">
        <v>20</v>
      </c>
      <c r="L162" s="44">
        <v>20</v>
      </c>
      <c r="M162" s="44">
        <v>20</v>
      </c>
      <c r="N162" s="45"/>
    </row>
    <row r="163" spans="1:14" x14ac:dyDescent="0.25">
      <c r="A163" s="306"/>
      <c r="B163" s="323"/>
      <c r="C163" s="21" t="s">
        <v>38</v>
      </c>
      <c r="D163" s="1" t="s">
        <v>6</v>
      </c>
      <c r="E163" s="46">
        <v>6164.6383832423717</v>
      </c>
      <c r="F163" s="46">
        <v>4148.5230456644149</v>
      </c>
      <c r="G163" s="46">
        <v>2556.3762612328273</v>
      </c>
      <c r="H163" s="46">
        <v>2029.3996454702053</v>
      </c>
      <c r="I163" s="46">
        <v>1711.4923611115926</v>
      </c>
      <c r="J163" s="46">
        <v>1355.2644648583628</v>
      </c>
      <c r="K163" s="46">
        <v>1064.4923090556324</v>
      </c>
      <c r="L163" s="46">
        <v>855.19192060813634</v>
      </c>
      <c r="M163" s="46">
        <v>698.34303740823668</v>
      </c>
      <c r="N163" s="45"/>
    </row>
    <row r="164" spans="1:14" x14ac:dyDescent="0.25">
      <c r="A164" s="306"/>
      <c r="B164" s="323"/>
      <c r="C164" s="21" t="s">
        <v>176</v>
      </c>
      <c r="D164" s="1" t="s">
        <v>19</v>
      </c>
      <c r="E164" s="47">
        <v>0</v>
      </c>
      <c r="F164" s="47">
        <v>0</v>
      </c>
      <c r="G164" s="47">
        <v>0</v>
      </c>
      <c r="H164" s="47">
        <v>0</v>
      </c>
      <c r="I164" s="47">
        <v>0</v>
      </c>
      <c r="J164" s="47">
        <v>0</v>
      </c>
      <c r="K164" s="47">
        <v>0</v>
      </c>
      <c r="L164" s="47">
        <v>0</v>
      </c>
      <c r="M164" s="47">
        <v>0</v>
      </c>
      <c r="N164" s="45"/>
    </row>
    <row r="165" spans="1:14" x14ac:dyDescent="0.25">
      <c r="A165" s="306"/>
      <c r="B165" s="323"/>
      <c r="C165" s="21" t="s">
        <v>118</v>
      </c>
      <c r="D165" s="1" t="s">
        <v>8</v>
      </c>
      <c r="E165" s="44"/>
      <c r="F165" s="44"/>
      <c r="G165" s="44"/>
      <c r="H165" s="44"/>
      <c r="I165" s="44"/>
      <c r="J165" s="44"/>
      <c r="K165" s="44"/>
      <c r="L165" s="44"/>
      <c r="M165" s="44"/>
      <c r="N165" s="45"/>
    </row>
    <row r="166" spans="1:14" x14ac:dyDescent="0.25">
      <c r="A166" s="306"/>
      <c r="B166" s="323"/>
      <c r="C166" s="21" t="s">
        <v>119</v>
      </c>
      <c r="D166" s="1" t="s">
        <v>9</v>
      </c>
      <c r="E166" s="44"/>
      <c r="F166" s="44"/>
      <c r="G166" s="44"/>
      <c r="H166" s="44"/>
      <c r="I166" s="44"/>
      <c r="J166" s="44"/>
      <c r="K166" s="44"/>
      <c r="L166" s="44"/>
      <c r="M166" s="44"/>
      <c r="N166" s="45"/>
    </row>
    <row r="167" spans="1:14" x14ac:dyDescent="0.25">
      <c r="A167" s="306"/>
      <c r="B167" s="323"/>
      <c r="C167" s="21" t="s">
        <v>39</v>
      </c>
      <c r="D167" s="1" t="s">
        <v>10</v>
      </c>
      <c r="E167" s="46">
        <v>5.4632155805897732E-2</v>
      </c>
      <c r="F167" s="46">
        <v>6.9225169277652349E-2</v>
      </c>
      <c r="G167" s="46">
        <v>5.5072970988733948E-2</v>
      </c>
      <c r="H167" s="46">
        <v>4.6604222305577481E-2</v>
      </c>
      <c r="I167" s="46">
        <v>4.0289223212275231E-2</v>
      </c>
      <c r="J167" s="46">
        <v>2.4583755873341454E-2</v>
      </c>
      <c r="K167" s="46">
        <v>1.9104989606490121E-2</v>
      </c>
      <c r="L167" s="46">
        <v>1.5182594783541725E-2</v>
      </c>
      <c r="M167" s="46">
        <v>1.3307545040231683E-2</v>
      </c>
      <c r="N167" s="45"/>
    </row>
    <row r="168" spans="1:14" x14ac:dyDescent="0.25">
      <c r="A168" s="306"/>
      <c r="B168" s="323"/>
      <c r="C168" s="22" t="s">
        <v>40</v>
      </c>
      <c r="D168" s="23" t="s">
        <v>10</v>
      </c>
      <c r="E168" s="46">
        <v>0</v>
      </c>
      <c r="F168" s="46">
        <v>0</v>
      </c>
      <c r="G168" s="46">
        <v>0</v>
      </c>
      <c r="H168" s="46">
        <v>0</v>
      </c>
      <c r="I168" s="46">
        <v>0</v>
      </c>
      <c r="J168" s="46">
        <v>0</v>
      </c>
      <c r="K168" s="46">
        <v>0</v>
      </c>
      <c r="L168" s="46">
        <v>0</v>
      </c>
      <c r="M168" s="46">
        <v>0</v>
      </c>
      <c r="N168" s="45"/>
    </row>
    <row r="169" spans="1:14" x14ac:dyDescent="0.25">
      <c r="A169" s="306"/>
      <c r="B169" s="323"/>
      <c r="C169" s="21" t="s">
        <v>41</v>
      </c>
      <c r="D169" s="1" t="s">
        <v>14</v>
      </c>
      <c r="E169" s="44"/>
      <c r="F169" s="44"/>
      <c r="G169" s="44"/>
      <c r="H169" s="44"/>
      <c r="I169" s="44"/>
      <c r="J169" s="44"/>
      <c r="K169" s="44"/>
      <c r="L169" s="44"/>
      <c r="M169" s="44"/>
      <c r="N169" s="45"/>
    </row>
    <row r="170" spans="1:14" x14ac:dyDescent="0.25">
      <c r="A170" s="306"/>
      <c r="B170" s="323"/>
      <c r="C170" s="21" t="s">
        <v>42</v>
      </c>
      <c r="D170" s="1" t="s">
        <v>4</v>
      </c>
      <c r="E170" s="44"/>
      <c r="F170" s="44"/>
      <c r="G170" s="44"/>
      <c r="H170" s="44"/>
      <c r="I170" s="44"/>
      <c r="J170" s="44"/>
      <c r="K170" s="44"/>
      <c r="L170" s="44"/>
      <c r="M170" s="44"/>
      <c r="N170" s="45"/>
    </row>
    <row r="171" spans="1:14" x14ac:dyDescent="0.25">
      <c r="A171" s="306"/>
      <c r="B171" s="323"/>
      <c r="C171" s="21" t="s">
        <v>43</v>
      </c>
      <c r="D171" s="1" t="s">
        <v>7</v>
      </c>
      <c r="E171" s="50">
        <v>0.5</v>
      </c>
      <c r="F171" s="50">
        <v>0.5</v>
      </c>
      <c r="G171" s="50">
        <v>0.5</v>
      </c>
      <c r="H171" s="50">
        <v>0.5</v>
      </c>
      <c r="I171" s="50">
        <v>0.5</v>
      </c>
      <c r="J171" s="50">
        <v>0.5</v>
      </c>
      <c r="K171" s="50">
        <v>0.5</v>
      </c>
      <c r="L171" s="50">
        <v>0.5</v>
      </c>
      <c r="M171" s="50">
        <v>0.5</v>
      </c>
      <c r="N171" s="45"/>
    </row>
    <row r="172" spans="1:14" ht="14.45" customHeight="1" x14ac:dyDescent="0.25">
      <c r="A172" s="306"/>
      <c r="B172" s="323"/>
      <c r="C172" s="24" t="s">
        <v>44</v>
      </c>
      <c r="D172" s="1" t="s">
        <v>7</v>
      </c>
      <c r="E172" s="47">
        <v>0.66625430833964439</v>
      </c>
      <c r="F172" s="47">
        <v>0.66367464936796561</v>
      </c>
      <c r="G172" s="47">
        <v>0.65679555877682227</v>
      </c>
      <c r="H172" s="47">
        <v>0.64733680921400016</v>
      </c>
      <c r="I172" s="47">
        <v>0.63443851435560639</v>
      </c>
      <c r="J172" s="47">
        <v>0.4680070358050421</v>
      </c>
      <c r="K172" s="47">
        <v>0.46713859851464173</v>
      </c>
      <c r="L172" s="47">
        <v>0.46531488020480088</v>
      </c>
      <c r="M172" s="47">
        <v>0.47</v>
      </c>
      <c r="N172" s="45"/>
    </row>
    <row r="173" spans="1:14" ht="14.45" customHeight="1" x14ac:dyDescent="0.25">
      <c r="A173" s="306"/>
      <c r="B173" s="323"/>
      <c r="C173" s="24" t="s">
        <v>45</v>
      </c>
      <c r="D173" s="1" t="s">
        <v>7</v>
      </c>
      <c r="E173" s="47">
        <v>0.25092243745356524</v>
      </c>
      <c r="F173" s="47">
        <v>0.25657675134016689</v>
      </c>
      <c r="G173" s="47">
        <v>0.27165492170443795</v>
      </c>
      <c r="H173" s="47">
        <v>0.29238740595531065</v>
      </c>
      <c r="I173" s="47">
        <v>0.32065897538831889</v>
      </c>
      <c r="J173" s="47">
        <v>0.41290384467151914</v>
      </c>
      <c r="K173" s="47">
        <v>0.41363974384019625</v>
      </c>
      <c r="L173" s="47">
        <v>0.41518513209441815</v>
      </c>
      <c r="M173" s="47">
        <v>0.41599999999999998</v>
      </c>
      <c r="N173" s="45"/>
    </row>
    <row r="174" spans="1:14" ht="14.45" customHeight="1" x14ac:dyDescent="0.25">
      <c r="A174" s="306"/>
      <c r="B174" s="323"/>
      <c r="C174" s="25" t="s">
        <v>120</v>
      </c>
      <c r="D174" s="23" t="s">
        <v>10</v>
      </c>
      <c r="E174" s="46">
        <v>0</v>
      </c>
      <c r="F174" s="46">
        <v>0</v>
      </c>
      <c r="G174" s="46">
        <v>0</v>
      </c>
      <c r="H174" s="46">
        <v>0</v>
      </c>
      <c r="I174" s="46">
        <v>0</v>
      </c>
      <c r="J174" s="46">
        <v>0</v>
      </c>
      <c r="K174" s="46">
        <v>0</v>
      </c>
      <c r="L174" s="46">
        <v>0</v>
      </c>
      <c r="M174" s="46">
        <v>0</v>
      </c>
      <c r="N174" s="45"/>
    </row>
    <row r="175" spans="1:14" ht="14.45" customHeight="1" x14ac:dyDescent="0.25">
      <c r="A175" s="306"/>
      <c r="B175" s="323"/>
      <c r="C175" s="25" t="s">
        <v>121</v>
      </c>
      <c r="D175" s="23" t="s">
        <v>122</v>
      </c>
      <c r="E175" s="46">
        <v>0</v>
      </c>
      <c r="F175" s="46">
        <v>0</v>
      </c>
      <c r="G175" s="46">
        <v>0</v>
      </c>
      <c r="H175" s="46">
        <v>0</v>
      </c>
      <c r="I175" s="46">
        <v>0</v>
      </c>
      <c r="J175" s="46">
        <v>0</v>
      </c>
      <c r="K175" s="46">
        <v>0</v>
      </c>
      <c r="L175" s="46">
        <v>0</v>
      </c>
      <c r="M175" s="46">
        <v>0</v>
      </c>
      <c r="N175" s="45"/>
    </row>
    <row r="176" spans="1:14" ht="14.45" customHeight="1" x14ac:dyDescent="0.25">
      <c r="A176" s="306"/>
      <c r="B176" s="323"/>
      <c r="C176" s="25" t="s">
        <v>123</v>
      </c>
      <c r="D176" s="23" t="s">
        <v>124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v>0</v>
      </c>
      <c r="L176" s="44">
        <v>0</v>
      </c>
      <c r="M176" s="44">
        <v>0</v>
      </c>
      <c r="N176" s="45"/>
    </row>
    <row r="177" spans="1:14" ht="14.45" customHeight="1" x14ac:dyDescent="0.25">
      <c r="A177" s="306">
        <v>12</v>
      </c>
      <c r="B177" s="323" t="s">
        <v>178</v>
      </c>
      <c r="C177" s="21" t="s">
        <v>109</v>
      </c>
      <c r="D177" s="1" t="s">
        <v>19</v>
      </c>
      <c r="E177" s="51">
        <v>1</v>
      </c>
      <c r="F177" s="51">
        <v>1</v>
      </c>
      <c r="G177" s="51">
        <v>1</v>
      </c>
      <c r="H177" s="51">
        <v>1</v>
      </c>
      <c r="I177" s="51">
        <v>1</v>
      </c>
      <c r="J177" s="51">
        <v>1</v>
      </c>
      <c r="K177" s="51">
        <v>1</v>
      </c>
      <c r="L177" s="51">
        <v>1</v>
      </c>
      <c r="M177" s="51">
        <v>1</v>
      </c>
      <c r="N177" s="45"/>
    </row>
    <row r="178" spans="1:14" x14ac:dyDescent="0.25">
      <c r="A178" s="306"/>
      <c r="B178" s="323"/>
      <c r="C178" s="21" t="s">
        <v>21</v>
      </c>
      <c r="D178" s="1" t="s">
        <v>19</v>
      </c>
      <c r="E178" s="44">
        <v>0.8</v>
      </c>
      <c r="F178" s="44">
        <v>0.8</v>
      </c>
      <c r="G178" s="44">
        <v>0.8</v>
      </c>
      <c r="H178" s="44">
        <v>0.8</v>
      </c>
      <c r="I178" s="44">
        <v>0.8</v>
      </c>
      <c r="J178" s="44">
        <v>0.8</v>
      </c>
      <c r="K178" s="44">
        <v>0.8</v>
      </c>
      <c r="L178" s="44">
        <v>0.8</v>
      </c>
      <c r="M178" s="44">
        <v>0.8</v>
      </c>
      <c r="N178" s="45"/>
    </row>
    <row r="179" spans="1:14" x14ac:dyDescent="0.25">
      <c r="A179" s="306"/>
      <c r="B179" s="323"/>
      <c r="C179" s="21" t="s">
        <v>22</v>
      </c>
      <c r="D179" s="1" t="s">
        <v>4</v>
      </c>
      <c r="E179" s="44">
        <v>20</v>
      </c>
      <c r="F179" s="44">
        <v>20</v>
      </c>
      <c r="G179" s="44">
        <v>20</v>
      </c>
      <c r="H179" s="44">
        <v>20</v>
      </c>
      <c r="I179" s="44">
        <v>20</v>
      </c>
      <c r="J179" s="44">
        <v>20</v>
      </c>
      <c r="K179" s="44">
        <v>20</v>
      </c>
      <c r="L179" s="44">
        <v>20</v>
      </c>
      <c r="M179" s="44">
        <v>20</v>
      </c>
      <c r="N179" s="45"/>
    </row>
    <row r="180" spans="1:14" x14ac:dyDescent="0.25">
      <c r="A180" s="306"/>
      <c r="B180" s="323"/>
      <c r="C180" s="21" t="s">
        <v>23</v>
      </c>
      <c r="D180" s="1" t="s">
        <v>6</v>
      </c>
      <c r="E180" s="46">
        <v>197.6111183946131</v>
      </c>
      <c r="F180" s="46">
        <v>167.43356959457475</v>
      </c>
      <c r="G180" s="46">
        <v>130.54476264689706</v>
      </c>
      <c r="H180" s="46">
        <v>105.30120481906971</v>
      </c>
      <c r="I180" s="46">
        <v>107.31263157894738</v>
      </c>
      <c r="J180" s="46">
        <v>107.00631578947369</v>
      </c>
      <c r="K180" s="46">
        <v>105.98526315789475</v>
      </c>
      <c r="L180" s="46">
        <v>103.84105263157896</v>
      </c>
      <c r="M180" s="46">
        <v>99.55263157894737</v>
      </c>
      <c r="N180" s="45"/>
    </row>
    <row r="181" spans="1:14" ht="14.45" customHeight="1" x14ac:dyDescent="0.25">
      <c r="A181" s="306"/>
      <c r="B181" s="323"/>
      <c r="C181" s="21" t="s">
        <v>173</v>
      </c>
      <c r="D181" s="1" t="s">
        <v>19</v>
      </c>
      <c r="E181" s="47">
        <v>0</v>
      </c>
      <c r="F181" s="47">
        <v>0</v>
      </c>
      <c r="G181" s="47">
        <v>0</v>
      </c>
      <c r="H181" s="47">
        <v>0</v>
      </c>
      <c r="I181" s="47">
        <v>0</v>
      </c>
      <c r="J181" s="47">
        <v>0</v>
      </c>
      <c r="K181" s="47">
        <v>0</v>
      </c>
      <c r="L181" s="47">
        <v>0</v>
      </c>
      <c r="M181" s="47">
        <v>0</v>
      </c>
      <c r="N181" s="45"/>
    </row>
    <row r="182" spans="1:14" x14ac:dyDescent="0.25">
      <c r="A182" s="306"/>
      <c r="B182" s="323"/>
      <c r="C182" s="21" t="s">
        <v>110</v>
      </c>
      <c r="D182" s="1" t="s">
        <v>8</v>
      </c>
      <c r="E182" s="44"/>
      <c r="F182" s="44"/>
      <c r="G182" s="44"/>
      <c r="H182" s="44"/>
      <c r="I182" s="44"/>
      <c r="J182" s="44"/>
      <c r="K182" s="44"/>
      <c r="L182" s="44"/>
      <c r="M182" s="44"/>
      <c r="N182" s="45"/>
    </row>
    <row r="183" spans="1:14" x14ac:dyDescent="0.25">
      <c r="A183" s="306"/>
      <c r="B183" s="323"/>
      <c r="C183" s="21" t="s">
        <v>111</v>
      </c>
      <c r="D183" s="1" t="s">
        <v>9</v>
      </c>
      <c r="E183" s="46">
        <v>5.9283335518383931</v>
      </c>
      <c r="F183" s="46">
        <v>5.0230070878372421</v>
      </c>
      <c r="G183" s="46">
        <v>3.9163428794069115</v>
      </c>
      <c r="H183" s="46">
        <v>3.1590361445720911</v>
      </c>
      <c r="I183" s="46">
        <v>2.0378947368421052</v>
      </c>
      <c r="J183" s="46">
        <v>2.0189473684210526</v>
      </c>
      <c r="K183" s="46">
        <v>1.9557894736842103</v>
      </c>
      <c r="L183" s="46">
        <v>1.8231578947368419</v>
      </c>
      <c r="M183" s="46">
        <v>1.557894736842105</v>
      </c>
      <c r="N183" s="45"/>
    </row>
    <row r="184" spans="1:14" x14ac:dyDescent="0.25">
      <c r="A184" s="306"/>
      <c r="B184" s="323"/>
      <c r="C184" s="21" t="s">
        <v>35</v>
      </c>
      <c r="D184" s="1" t="s">
        <v>10</v>
      </c>
      <c r="E184" s="46">
        <v>0</v>
      </c>
      <c r="F184" s="46">
        <v>0</v>
      </c>
      <c r="G184" s="46">
        <v>0</v>
      </c>
      <c r="H184" s="46">
        <v>0</v>
      </c>
      <c r="I184" s="46">
        <v>0</v>
      </c>
      <c r="J184" s="46">
        <v>0</v>
      </c>
      <c r="K184" s="46">
        <v>1.6858736842105264E-3</v>
      </c>
      <c r="L184" s="46">
        <v>1.5474947368421053E-3</v>
      </c>
      <c r="M184" s="46">
        <v>1.2707368421052633E-3</v>
      </c>
      <c r="N184" s="45"/>
    </row>
    <row r="185" spans="1:14" x14ac:dyDescent="0.25">
      <c r="A185" s="306"/>
      <c r="B185" s="323"/>
      <c r="C185" s="22" t="s">
        <v>24</v>
      </c>
      <c r="D185" s="23" t="s">
        <v>10</v>
      </c>
      <c r="E185" s="46">
        <v>0</v>
      </c>
      <c r="F185" s="46">
        <v>0</v>
      </c>
      <c r="G185" s="46">
        <v>0</v>
      </c>
      <c r="H185" s="46">
        <v>0</v>
      </c>
      <c r="I185" s="46">
        <v>0</v>
      </c>
      <c r="J185" s="46">
        <v>0</v>
      </c>
      <c r="K185" s="46">
        <v>0</v>
      </c>
      <c r="L185" s="46">
        <v>0</v>
      </c>
      <c r="M185" s="46">
        <v>0</v>
      </c>
      <c r="N185" s="45"/>
    </row>
    <row r="186" spans="1:14" x14ac:dyDescent="0.25">
      <c r="A186" s="306"/>
      <c r="B186" s="323"/>
      <c r="C186" s="21" t="s">
        <v>25</v>
      </c>
      <c r="D186" s="1" t="s">
        <v>7</v>
      </c>
      <c r="E186" s="47">
        <v>0.99124999999999996</v>
      </c>
      <c r="F186" s="47">
        <v>0.99124999999999996</v>
      </c>
      <c r="G186" s="47">
        <v>0.99124999999999996</v>
      </c>
      <c r="H186" s="47">
        <v>0.99124999999999996</v>
      </c>
      <c r="I186" s="47">
        <v>0.99124999999999996</v>
      </c>
      <c r="J186" s="47">
        <v>0.99124999999999996</v>
      </c>
      <c r="K186" s="47">
        <v>0.99649999999999994</v>
      </c>
      <c r="L186" s="47">
        <v>0.99649999999999994</v>
      </c>
      <c r="M186" s="47">
        <v>0.99649999999999994</v>
      </c>
      <c r="N186" s="45"/>
    </row>
    <row r="187" spans="1:14" x14ac:dyDescent="0.25">
      <c r="A187" s="306"/>
      <c r="B187" s="323"/>
      <c r="C187" s="21" t="s">
        <v>26</v>
      </c>
      <c r="D187" s="1" t="s">
        <v>14</v>
      </c>
      <c r="E187" s="46">
        <v>1524.6</v>
      </c>
      <c r="F187" s="46">
        <v>1749.6</v>
      </c>
      <c r="G187" s="46">
        <v>2349.6</v>
      </c>
      <c r="H187" s="46">
        <v>3174.6</v>
      </c>
      <c r="I187" s="46">
        <v>4299.6000000000004</v>
      </c>
      <c r="J187" s="46">
        <v>14213</v>
      </c>
      <c r="K187" s="46">
        <v>21713</v>
      </c>
      <c r="L187" s="46">
        <v>37463</v>
      </c>
      <c r="M187" s="46">
        <v>68963</v>
      </c>
      <c r="N187" s="45"/>
    </row>
    <row r="188" spans="1:14" x14ac:dyDescent="0.25">
      <c r="A188" s="306"/>
      <c r="B188" s="323"/>
      <c r="C188" s="21" t="s">
        <v>27</v>
      </c>
      <c r="D188" s="1" t="s">
        <v>4</v>
      </c>
      <c r="E188" s="44">
        <v>40</v>
      </c>
      <c r="F188" s="44">
        <v>40</v>
      </c>
      <c r="G188" s="44">
        <v>40</v>
      </c>
      <c r="H188" s="44">
        <v>40</v>
      </c>
      <c r="I188" s="44">
        <v>40</v>
      </c>
      <c r="J188" s="44">
        <v>40</v>
      </c>
      <c r="K188" s="44">
        <v>40</v>
      </c>
      <c r="L188" s="44">
        <v>40</v>
      </c>
      <c r="M188" s="44">
        <v>40</v>
      </c>
      <c r="N188" s="45"/>
    </row>
    <row r="189" spans="1:14" x14ac:dyDescent="0.25">
      <c r="A189" s="306"/>
      <c r="B189" s="323"/>
      <c r="C189" s="21" t="s">
        <v>125</v>
      </c>
      <c r="D189" s="1" t="s">
        <v>19</v>
      </c>
      <c r="E189" s="51">
        <v>0.3125</v>
      </c>
      <c r="F189" s="51">
        <v>0.3125</v>
      </c>
      <c r="G189" s="51">
        <v>0.3125</v>
      </c>
      <c r="H189" s="51">
        <v>0.3125</v>
      </c>
      <c r="I189" s="51">
        <v>0.3125</v>
      </c>
      <c r="J189" s="51">
        <v>0.3125</v>
      </c>
      <c r="K189" s="51">
        <v>0.3125</v>
      </c>
      <c r="L189" s="51">
        <v>0.3125</v>
      </c>
      <c r="M189" s="51">
        <v>0.3125</v>
      </c>
      <c r="N189" s="45"/>
    </row>
    <row r="190" spans="1:14" x14ac:dyDescent="0.25">
      <c r="A190" s="306"/>
      <c r="B190" s="323"/>
      <c r="C190" s="21" t="s">
        <v>126</v>
      </c>
      <c r="D190" s="1" t="s">
        <v>19</v>
      </c>
      <c r="E190" s="44">
        <v>0.64</v>
      </c>
      <c r="F190" s="44">
        <v>0.64</v>
      </c>
      <c r="G190" s="44">
        <v>0.64</v>
      </c>
      <c r="H190" s="44">
        <v>0.64</v>
      </c>
      <c r="I190" s="44">
        <v>0.64</v>
      </c>
      <c r="J190" s="44">
        <v>0.64</v>
      </c>
      <c r="K190" s="44">
        <v>0.64</v>
      </c>
      <c r="L190" s="44">
        <v>0.64</v>
      </c>
      <c r="M190" s="44">
        <v>0.64</v>
      </c>
      <c r="N190" s="45"/>
    </row>
    <row r="191" spans="1:14" ht="14.45" customHeight="1" x14ac:dyDescent="0.25">
      <c r="A191" s="306"/>
      <c r="B191" s="323"/>
      <c r="C191" s="24" t="s">
        <v>127</v>
      </c>
      <c r="D191" s="1" t="s">
        <v>4</v>
      </c>
      <c r="E191" s="44">
        <v>20</v>
      </c>
      <c r="F191" s="44">
        <v>20</v>
      </c>
      <c r="G191" s="44">
        <v>20</v>
      </c>
      <c r="H191" s="44">
        <v>20</v>
      </c>
      <c r="I191" s="44">
        <v>20</v>
      </c>
      <c r="J191" s="44">
        <v>20</v>
      </c>
      <c r="K191" s="44">
        <v>20</v>
      </c>
      <c r="L191" s="44">
        <v>20</v>
      </c>
      <c r="M191" s="44">
        <v>20</v>
      </c>
      <c r="N191" s="45"/>
    </row>
    <row r="192" spans="1:14" ht="14.45" customHeight="1" x14ac:dyDescent="0.25">
      <c r="A192" s="306"/>
      <c r="B192" s="323"/>
      <c r="C192" s="24" t="s">
        <v>128</v>
      </c>
      <c r="D192" s="1" t="s">
        <v>6</v>
      </c>
      <c r="E192" s="52">
        <v>877.91003708184292</v>
      </c>
      <c r="F192" s="46">
        <v>864.68237166000415</v>
      </c>
      <c r="G192" s="46">
        <v>829.40859720176718</v>
      </c>
      <c r="H192" s="46">
        <v>780.90715732169144</v>
      </c>
      <c r="I192" s="46">
        <v>714.76883021249728</v>
      </c>
      <c r="J192" s="46">
        <v>582.49217599410895</v>
      </c>
      <c r="K192" s="46">
        <v>496.07142857142856</v>
      </c>
      <c r="L192" s="46">
        <v>496.07142857142856</v>
      </c>
      <c r="M192" s="46">
        <v>496.07142857142856</v>
      </c>
      <c r="N192" s="45"/>
    </row>
    <row r="193" spans="1:14" ht="14.45" customHeight="1" x14ac:dyDescent="0.25">
      <c r="A193" s="306"/>
      <c r="B193" s="323"/>
      <c r="C193" s="21" t="s">
        <v>179</v>
      </c>
      <c r="D193" s="1" t="s">
        <v>19</v>
      </c>
      <c r="E193" s="47">
        <v>0</v>
      </c>
      <c r="F193" s="47">
        <v>0</v>
      </c>
      <c r="G193" s="47">
        <v>0</v>
      </c>
      <c r="H193" s="47">
        <v>0</v>
      </c>
      <c r="I193" s="47">
        <v>0</v>
      </c>
      <c r="J193" s="47">
        <v>0</v>
      </c>
      <c r="K193" s="47">
        <v>0</v>
      </c>
      <c r="L193" s="47">
        <v>0</v>
      </c>
      <c r="M193" s="47">
        <v>0</v>
      </c>
      <c r="N193" s="45"/>
    </row>
    <row r="194" spans="1:14" x14ac:dyDescent="0.25">
      <c r="A194" s="306"/>
      <c r="B194" s="323"/>
      <c r="C194" s="21" t="s">
        <v>129</v>
      </c>
      <c r="D194" s="1" t="s">
        <v>8</v>
      </c>
      <c r="E194" s="46">
        <v>50.989543446244483</v>
      </c>
      <c r="F194" s="46">
        <v>67.502798232695142</v>
      </c>
      <c r="G194" s="46">
        <v>111.53814432989691</v>
      </c>
      <c r="H194" s="46">
        <v>172.08674521354934</v>
      </c>
      <c r="I194" s="46">
        <v>254.65301914580263</v>
      </c>
      <c r="J194" s="46">
        <v>419.78556701030925</v>
      </c>
      <c r="K194" s="46">
        <v>584.91811487481596</v>
      </c>
      <c r="L194" s="46">
        <v>584.91811487481596</v>
      </c>
      <c r="M194" s="46">
        <v>584.91811487481596</v>
      </c>
      <c r="N194" s="45"/>
    </row>
    <row r="195" spans="1:14" x14ac:dyDescent="0.25">
      <c r="A195" s="306"/>
      <c r="B195" s="323"/>
      <c r="C195" s="21" t="s">
        <v>130</v>
      </c>
      <c r="D195" s="1" t="s">
        <v>9</v>
      </c>
      <c r="E195" s="44"/>
      <c r="F195" s="44"/>
      <c r="G195" s="44"/>
      <c r="H195" s="44"/>
      <c r="I195" s="44"/>
      <c r="J195" s="44"/>
      <c r="K195" s="44"/>
      <c r="L195" s="44"/>
      <c r="M195" s="44"/>
    </row>
    <row r="196" spans="1:14" x14ac:dyDescent="0.25">
      <c r="A196" s="306"/>
      <c r="B196" s="323"/>
      <c r="C196" s="21" t="s">
        <v>131</v>
      </c>
      <c r="D196" s="1" t="s">
        <v>10</v>
      </c>
      <c r="E196" s="44"/>
      <c r="F196" s="44"/>
      <c r="G196" s="44"/>
      <c r="H196" s="44"/>
      <c r="I196" s="44"/>
      <c r="J196" s="44"/>
      <c r="K196" s="44"/>
      <c r="L196" s="44"/>
      <c r="M196" s="44"/>
    </row>
    <row r="197" spans="1:14" ht="18.75" x14ac:dyDescent="0.25">
      <c r="A197" s="306"/>
      <c r="B197" s="323"/>
      <c r="C197" s="53" t="s">
        <v>132</v>
      </c>
      <c r="D197" s="23" t="s">
        <v>17</v>
      </c>
      <c r="E197" s="44"/>
      <c r="F197" s="44"/>
      <c r="G197" s="44"/>
      <c r="H197" s="44"/>
      <c r="I197" s="44"/>
      <c r="J197" s="44"/>
      <c r="K197" s="44"/>
      <c r="L197" s="44"/>
      <c r="M197" s="44"/>
    </row>
    <row r="198" spans="1:14" ht="14.45" customHeight="1" x14ac:dyDescent="0.25">
      <c r="A198" s="306">
        <v>13</v>
      </c>
      <c r="B198" s="323" t="s">
        <v>180</v>
      </c>
      <c r="C198" s="21" t="s">
        <v>109</v>
      </c>
      <c r="D198" s="1" t="s">
        <v>19</v>
      </c>
      <c r="E198" s="44">
        <v>1</v>
      </c>
      <c r="F198" s="44">
        <v>1</v>
      </c>
      <c r="G198" s="44">
        <v>1</v>
      </c>
      <c r="H198" s="44">
        <v>1</v>
      </c>
      <c r="I198" s="44">
        <v>1</v>
      </c>
      <c r="J198" s="44">
        <v>1</v>
      </c>
      <c r="K198" s="44">
        <v>1</v>
      </c>
      <c r="L198" s="44">
        <v>1</v>
      </c>
      <c r="M198" s="44">
        <v>1</v>
      </c>
    </row>
    <row r="199" spans="1:14" x14ac:dyDescent="0.25">
      <c r="A199" s="306"/>
      <c r="B199" s="323"/>
      <c r="C199" s="21" t="s">
        <v>21</v>
      </c>
      <c r="D199" s="1" t="s">
        <v>19</v>
      </c>
      <c r="E199" s="44">
        <v>0.65</v>
      </c>
      <c r="F199" s="44">
        <v>0.65</v>
      </c>
      <c r="G199" s="44">
        <v>0.65</v>
      </c>
      <c r="H199" s="44">
        <v>0.65</v>
      </c>
      <c r="I199" s="44">
        <v>0.65</v>
      </c>
      <c r="J199" s="44">
        <v>0.65</v>
      </c>
      <c r="K199" s="44">
        <v>0.65</v>
      </c>
      <c r="L199" s="44">
        <v>0.65</v>
      </c>
      <c r="M199" s="44">
        <v>0.65</v>
      </c>
    </row>
    <row r="200" spans="1:14" x14ac:dyDescent="0.25">
      <c r="A200" s="306"/>
      <c r="B200" s="323"/>
      <c r="C200" s="21" t="s">
        <v>22</v>
      </c>
      <c r="D200" s="1" t="s">
        <v>4</v>
      </c>
      <c r="E200" s="44">
        <v>20</v>
      </c>
      <c r="F200" s="44">
        <v>20</v>
      </c>
      <c r="G200" s="44">
        <v>20</v>
      </c>
      <c r="H200" s="44">
        <v>20</v>
      </c>
      <c r="I200" s="44">
        <v>20</v>
      </c>
      <c r="J200" s="44">
        <v>20</v>
      </c>
      <c r="K200" s="44">
        <v>20</v>
      </c>
      <c r="L200" s="44">
        <v>20</v>
      </c>
      <c r="M200" s="44">
        <v>20</v>
      </c>
    </row>
    <row r="201" spans="1:14" x14ac:dyDescent="0.25">
      <c r="A201" s="306"/>
      <c r="B201" s="323"/>
      <c r="C201" s="21" t="s">
        <v>23</v>
      </c>
      <c r="D201" s="1" t="s">
        <v>6</v>
      </c>
      <c r="E201" s="46">
        <v>197.6111183946131</v>
      </c>
      <c r="F201" s="46">
        <v>167.43356959457475</v>
      </c>
      <c r="G201" s="46">
        <v>130.54476264689706</v>
      </c>
      <c r="H201" s="46">
        <v>105.30120481906971</v>
      </c>
      <c r="I201" s="46">
        <v>107.31263157894738</v>
      </c>
      <c r="J201" s="46">
        <v>107.00631578947369</v>
      </c>
      <c r="K201" s="46">
        <v>105.98526315789475</v>
      </c>
      <c r="L201" s="46">
        <v>103.84105263157896</v>
      </c>
      <c r="M201" s="46">
        <v>99.55263157894737</v>
      </c>
    </row>
    <row r="202" spans="1:14" x14ac:dyDescent="0.25">
      <c r="A202" s="306"/>
      <c r="B202" s="323"/>
      <c r="C202" s="21" t="s">
        <v>173</v>
      </c>
      <c r="D202" s="1" t="s">
        <v>19</v>
      </c>
      <c r="E202" s="47">
        <v>0</v>
      </c>
      <c r="F202" s="47">
        <v>0</v>
      </c>
      <c r="G202" s="47">
        <v>0</v>
      </c>
      <c r="H202" s="47">
        <v>0</v>
      </c>
      <c r="I202" s="47">
        <v>0</v>
      </c>
      <c r="J202" s="47">
        <v>0</v>
      </c>
      <c r="K202" s="47">
        <v>0</v>
      </c>
      <c r="L202" s="47">
        <v>0</v>
      </c>
      <c r="M202" s="47">
        <v>0</v>
      </c>
    </row>
    <row r="203" spans="1:14" x14ac:dyDescent="0.25">
      <c r="A203" s="306"/>
      <c r="B203" s="323"/>
      <c r="C203" s="21" t="s">
        <v>110</v>
      </c>
      <c r="D203" s="1" t="s">
        <v>8</v>
      </c>
      <c r="E203" s="44"/>
      <c r="F203" s="44"/>
      <c r="G203" s="44"/>
      <c r="H203" s="44"/>
      <c r="I203" s="44"/>
      <c r="J203" s="44"/>
      <c r="K203" s="44"/>
      <c r="L203" s="44"/>
      <c r="M203" s="44"/>
    </row>
    <row r="204" spans="1:14" x14ac:dyDescent="0.25">
      <c r="A204" s="306"/>
      <c r="B204" s="323"/>
      <c r="C204" s="21" t="s">
        <v>111</v>
      </c>
      <c r="D204" s="1" t="s">
        <v>9</v>
      </c>
      <c r="E204" s="46">
        <v>5.9283335518383931</v>
      </c>
      <c r="F204" s="46">
        <v>5.0230070878372421</v>
      </c>
      <c r="G204" s="46">
        <v>3.9163428794069115</v>
      </c>
      <c r="H204" s="46">
        <v>3.1590361445720911</v>
      </c>
      <c r="I204" s="46">
        <v>2.0378947368421052</v>
      </c>
      <c r="J204" s="46">
        <v>2.0189473684210526</v>
      </c>
      <c r="K204" s="46">
        <v>1.9557894736842103</v>
      </c>
      <c r="L204" s="46">
        <v>1.8231578947368419</v>
      </c>
      <c r="M204" s="46">
        <v>1.557894736842105</v>
      </c>
    </row>
    <row r="205" spans="1:14" x14ac:dyDescent="0.25">
      <c r="A205" s="306"/>
      <c r="B205" s="323"/>
      <c r="C205" s="21" t="s">
        <v>35</v>
      </c>
      <c r="D205" s="1" t="s">
        <v>10</v>
      </c>
      <c r="E205" s="46">
        <v>0</v>
      </c>
      <c r="F205" s="46">
        <v>0</v>
      </c>
      <c r="G205" s="46">
        <v>0</v>
      </c>
      <c r="H205" s="46">
        <v>0</v>
      </c>
      <c r="I205" s="46">
        <v>0</v>
      </c>
      <c r="J205" s="46">
        <v>0</v>
      </c>
      <c r="K205" s="46">
        <v>1.6858736842105264E-3</v>
      </c>
      <c r="L205" s="46">
        <v>1.5474947368421053E-3</v>
      </c>
      <c r="M205" s="46">
        <v>1.2707368421052633E-3</v>
      </c>
    </row>
    <row r="206" spans="1:14" x14ac:dyDescent="0.25">
      <c r="A206" s="306"/>
      <c r="B206" s="323"/>
      <c r="C206" s="22" t="s">
        <v>24</v>
      </c>
      <c r="D206" s="23" t="s">
        <v>10</v>
      </c>
      <c r="E206" s="46">
        <v>0</v>
      </c>
      <c r="F206" s="46">
        <v>0</v>
      </c>
      <c r="G206" s="46">
        <v>0</v>
      </c>
      <c r="H206" s="46">
        <v>0</v>
      </c>
      <c r="I206" s="46">
        <v>0</v>
      </c>
      <c r="J206" s="46">
        <v>0</v>
      </c>
      <c r="K206" s="46">
        <v>0</v>
      </c>
      <c r="L206" s="46">
        <v>0</v>
      </c>
      <c r="M206" s="46">
        <v>0</v>
      </c>
    </row>
    <row r="207" spans="1:14" x14ac:dyDescent="0.25">
      <c r="A207" s="306"/>
      <c r="B207" s="323"/>
      <c r="C207" s="21" t="s">
        <v>25</v>
      </c>
      <c r="D207" s="1" t="s">
        <v>7</v>
      </c>
      <c r="E207" s="47">
        <v>0.99124999999999996</v>
      </c>
      <c r="F207" s="47">
        <v>0.99124999999999996</v>
      </c>
      <c r="G207" s="47">
        <v>0.99124999999999996</v>
      </c>
      <c r="H207" s="47">
        <v>0.99124999999999996</v>
      </c>
      <c r="I207" s="47">
        <v>0.99124999999999996</v>
      </c>
      <c r="J207" s="47">
        <v>0.99124999999999996</v>
      </c>
      <c r="K207" s="47">
        <v>0.99649999999999994</v>
      </c>
      <c r="L207" s="47">
        <v>0.99649999999999994</v>
      </c>
      <c r="M207" s="47">
        <v>0.99649999999999994</v>
      </c>
    </row>
    <row r="208" spans="1:14" x14ac:dyDescent="0.25">
      <c r="A208" s="306"/>
      <c r="B208" s="323"/>
      <c r="C208" s="21" t="s">
        <v>26</v>
      </c>
      <c r="D208" s="1" t="s">
        <v>14</v>
      </c>
      <c r="E208" s="46">
        <v>1524.6</v>
      </c>
      <c r="F208" s="46">
        <v>1749.6</v>
      </c>
      <c r="G208" s="46">
        <v>2349.6</v>
      </c>
      <c r="H208" s="46">
        <v>3174.6</v>
      </c>
      <c r="I208" s="46">
        <v>4299.6000000000004</v>
      </c>
      <c r="J208" s="46">
        <v>14213</v>
      </c>
      <c r="K208" s="46">
        <v>21713</v>
      </c>
      <c r="L208" s="46">
        <v>37463</v>
      </c>
      <c r="M208" s="46">
        <v>68963</v>
      </c>
    </row>
    <row r="209" spans="1:13" x14ac:dyDescent="0.25">
      <c r="A209" s="306"/>
      <c r="B209" s="323"/>
      <c r="C209" s="21" t="s">
        <v>27</v>
      </c>
      <c r="D209" s="1" t="s">
        <v>4</v>
      </c>
      <c r="E209" s="44">
        <v>40</v>
      </c>
      <c r="F209" s="44">
        <v>40</v>
      </c>
      <c r="G209" s="44">
        <v>40</v>
      </c>
      <c r="H209" s="44">
        <v>40</v>
      </c>
      <c r="I209" s="44">
        <v>40</v>
      </c>
      <c r="J209" s="44">
        <v>40</v>
      </c>
      <c r="K209" s="44">
        <v>40</v>
      </c>
      <c r="L209" s="44">
        <v>40</v>
      </c>
      <c r="M209" s="44">
        <v>40</v>
      </c>
    </row>
    <row r="210" spans="1:13" x14ac:dyDescent="0.25">
      <c r="A210" s="306"/>
      <c r="B210" s="323"/>
      <c r="C210" s="21" t="s">
        <v>125</v>
      </c>
      <c r="D210" s="1" t="s">
        <v>19</v>
      </c>
      <c r="E210" s="51">
        <v>0.546875</v>
      </c>
      <c r="F210" s="51">
        <v>0.546875</v>
      </c>
      <c r="G210" s="51">
        <v>0.54687499999999989</v>
      </c>
      <c r="H210" s="51">
        <v>0.546875</v>
      </c>
      <c r="I210" s="51">
        <v>0.546875</v>
      </c>
      <c r="J210" s="51">
        <v>0.546875</v>
      </c>
      <c r="K210" s="51">
        <v>0.546875</v>
      </c>
      <c r="L210" s="51">
        <v>0.546875</v>
      </c>
      <c r="M210" s="51">
        <v>0.546875</v>
      </c>
    </row>
    <row r="211" spans="1:13" x14ac:dyDescent="0.25">
      <c r="A211" s="306"/>
      <c r="B211" s="323"/>
      <c r="C211" s="21" t="s">
        <v>126</v>
      </c>
      <c r="D211" s="1" t="s">
        <v>19</v>
      </c>
      <c r="E211" s="44">
        <v>0.64</v>
      </c>
      <c r="F211" s="44">
        <v>0.64</v>
      </c>
      <c r="G211" s="44">
        <v>0.64</v>
      </c>
      <c r="H211" s="44">
        <v>0.64</v>
      </c>
      <c r="I211" s="44">
        <v>0.64</v>
      </c>
      <c r="J211" s="44">
        <v>0.64</v>
      </c>
      <c r="K211" s="44">
        <v>0.64</v>
      </c>
      <c r="L211" s="44">
        <v>0.64</v>
      </c>
      <c r="M211" s="44">
        <v>0.64</v>
      </c>
    </row>
    <row r="212" spans="1:13" x14ac:dyDescent="0.25">
      <c r="A212" s="306"/>
      <c r="B212" s="323"/>
      <c r="C212" s="24" t="s">
        <v>127</v>
      </c>
      <c r="D212" s="1" t="s">
        <v>4</v>
      </c>
      <c r="E212" s="44">
        <v>20</v>
      </c>
      <c r="F212" s="44">
        <v>20</v>
      </c>
      <c r="G212" s="44">
        <v>20</v>
      </c>
      <c r="H212" s="44">
        <v>20</v>
      </c>
      <c r="I212" s="44">
        <v>20</v>
      </c>
      <c r="J212" s="44">
        <v>20</v>
      </c>
      <c r="K212" s="44">
        <v>20</v>
      </c>
      <c r="L212" s="44">
        <v>20</v>
      </c>
      <c r="M212" s="44">
        <v>20</v>
      </c>
    </row>
    <row r="213" spans="1:13" x14ac:dyDescent="0.25">
      <c r="A213" s="306"/>
      <c r="B213" s="323"/>
      <c r="C213" s="24" t="s">
        <v>128</v>
      </c>
      <c r="D213" s="1" t="s">
        <v>6</v>
      </c>
      <c r="E213" s="52">
        <v>867.98928801546379</v>
      </c>
      <c r="F213" s="46">
        <v>844.84087352724589</v>
      </c>
      <c r="G213" s="46">
        <v>783.11176822533128</v>
      </c>
      <c r="H213" s="46">
        <v>698.23424843519865</v>
      </c>
      <c r="I213" s="46">
        <v>582.49217599410895</v>
      </c>
      <c r="J213" s="46">
        <v>496.07142857142856</v>
      </c>
      <c r="K213" s="46">
        <v>496.07142857142856</v>
      </c>
      <c r="L213" s="46">
        <v>496.07142857142856</v>
      </c>
      <c r="M213" s="46">
        <v>496.07142857142856</v>
      </c>
    </row>
    <row r="214" spans="1:13" x14ac:dyDescent="0.25">
      <c r="A214" s="306"/>
      <c r="B214" s="323"/>
      <c r="C214" s="21" t="s">
        <v>179</v>
      </c>
      <c r="D214" s="1" t="s">
        <v>19</v>
      </c>
      <c r="E214" s="47">
        <v>0</v>
      </c>
      <c r="F214" s="47">
        <v>0</v>
      </c>
      <c r="G214" s="47">
        <v>0</v>
      </c>
      <c r="H214" s="47">
        <v>0</v>
      </c>
      <c r="I214" s="47">
        <v>0</v>
      </c>
      <c r="J214" s="47">
        <v>0</v>
      </c>
      <c r="K214" s="47">
        <v>0</v>
      </c>
      <c r="L214" s="47">
        <v>0</v>
      </c>
      <c r="M214" s="47">
        <v>0</v>
      </c>
    </row>
    <row r="215" spans="1:13" x14ac:dyDescent="0.25">
      <c r="A215" s="306"/>
      <c r="B215" s="323"/>
      <c r="C215" s="21" t="s">
        <v>129</v>
      </c>
      <c r="D215" s="1" t="s">
        <v>8</v>
      </c>
      <c r="E215" s="46">
        <v>50.989543446244483</v>
      </c>
      <c r="F215" s="46">
        <v>67.502798232695142</v>
      </c>
      <c r="G215" s="46">
        <v>111.53814432989691</v>
      </c>
      <c r="H215" s="46">
        <v>172.08674521354934</v>
      </c>
      <c r="I215" s="46">
        <v>254.65301914580263</v>
      </c>
      <c r="J215" s="46">
        <v>419.78556701030925</v>
      </c>
      <c r="K215" s="46">
        <v>584.91811487481596</v>
      </c>
      <c r="L215" s="46">
        <v>584.91811487481596</v>
      </c>
      <c r="M215" s="46">
        <v>584.91811487481596</v>
      </c>
    </row>
    <row r="216" spans="1:13" x14ac:dyDescent="0.25">
      <c r="A216" s="306"/>
      <c r="B216" s="323"/>
      <c r="C216" s="21" t="s">
        <v>130</v>
      </c>
      <c r="D216" s="1" t="s">
        <v>9</v>
      </c>
      <c r="E216" s="44"/>
      <c r="F216" s="44"/>
      <c r="G216" s="44"/>
      <c r="H216" s="44"/>
      <c r="I216" s="44"/>
      <c r="J216" s="44"/>
      <c r="K216" s="44"/>
      <c r="L216" s="44"/>
      <c r="M216" s="44"/>
    </row>
    <row r="217" spans="1:13" x14ac:dyDescent="0.25">
      <c r="A217" s="306"/>
      <c r="B217" s="323"/>
      <c r="C217" s="21" t="s">
        <v>131</v>
      </c>
      <c r="D217" s="1" t="s">
        <v>10</v>
      </c>
      <c r="E217" s="44"/>
      <c r="F217" s="44"/>
      <c r="G217" s="44"/>
      <c r="H217" s="44"/>
      <c r="I217" s="44"/>
      <c r="J217" s="44"/>
      <c r="K217" s="44"/>
      <c r="L217" s="44"/>
      <c r="M217" s="44"/>
    </row>
    <row r="218" spans="1:13" ht="18.75" x14ac:dyDescent="0.25">
      <c r="A218" s="306"/>
      <c r="B218" s="323"/>
      <c r="C218" s="53" t="s">
        <v>132</v>
      </c>
      <c r="D218" s="23" t="s">
        <v>17</v>
      </c>
      <c r="E218" s="44"/>
      <c r="F218" s="44"/>
      <c r="G218" s="44"/>
      <c r="H218" s="44"/>
      <c r="I218" s="44"/>
      <c r="J218" s="44"/>
      <c r="K218" s="44"/>
      <c r="L218" s="44"/>
      <c r="M218" s="44"/>
    </row>
    <row r="219" spans="1:13" x14ac:dyDescent="0.25">
      <c r="A219" s="324">
        <v>14</v>
      </c>
      <c r="B219" s="327" t="s">
        <v>181</v>
      </c>
      <c r="C219" s="21" t="s">
        <v>112</v>
      </c>
      <c r="D219" s="1" t="s">
        <v>19</v>
      </c>
      <c r="E219" s="51">
        <v>1</v>
      </c>
      <c r="F219" s="51">
        <v>1</v>
      </c>
      <c r="G219" s="51">
        <v>1</v>
      </c>
      <c r="H219" s="51">
        <v>1</v>
      </c>
      <c r="I219" s="51">
        <v>1</v>
      </c>
      <c r="J219" s="51">
        <v>1</v>
      </c>
      <c r="K219" s="51">
        <v>1</v>
      </c>
      <c r="L219" s="51">
        <v>1</v>
      </c>
      <c r="M219" s="51">
        <v>1</v>
      </c>
    </row>
    <row r="220" spans="1:13" x14ac:dyDescent="0.25">
      <c r="A220" s="325"/>
      <c r="B220" s="328"/>
      <c r="C220" s="21" t="s">
        <v>28</v>
      </c>
      <c r="D220" s="1" t="s">
        <v>19</v>
      </c>
      <c r="E220" s="44">
        <v>0.8</v>
      </c>
      <c r="F220" s="44">
        <v>0.8</v>
      </c>
      <c r="G220" s="44">
        <v>0.8</v>
      </c>
      <c r="H220" s="44">
        <v>0.8</v>
      </c>
      <c r="I220" s="44">
        <v>0.8</v>
      </c>
      <c r="J220" s="44">
        <v>0.8</v>
      </c>
      <c r="K220" s="44">
        <v>0.8</v>
      </c>
      <c r="L220" s="44">
        <v>0.8</v>
      </c>
      <c r="M220" s="44">
        <v>0.8</v>
      </c>
    </row>
    <row r="221" spans="1:13" x14ac:dyDescent="0.25">
      <c r="A221" s="325"/>
      <c r="B221" s="328"/>
      <c r="C221" s="21" t="s">
        <v>29</v>
      </c>
      <c r="D221" s="1" t="s">
        <v>4</v>
      </c>
      <c r="E221" s="44">
        <v>20</v>
      </c>
      <c r="F221" s="44">
        <v>20</v>
      </c>
      <c r="G221" s="44">
        <v>20</v>
      </c>
      <c r="H221" s="44">
        <v>20</v>
      </c>
      <c r="I221" s="44">
        <v>20</v>
      </c>
      <c r="J221" s="44">
        <v>20</v>
      </c>
      <c r="K221" s="44">
        <v>20</v>
      </c>
      <c r="L221" s="44">
        <v>20</v>
      </c>
      <c r="M221" s="44">
        <v>20</v>
      </c>
    </row>
    <row r="222" spans="1:13" x14ac:dyDescent="0.25">
      <c r="A222" s="325"/>
      <c r="B222" s="328"/>
      <c r="C222" s="21" t="s">
        <v>30</v>
      </c>
      <c r="D222" s="1" t="s">
        <v>6</v>
      </c>
      <c r="E222" s="46">
        <v>778.63646317000416</v>
      </c>
      <c r="F222" s="46">
        <v>556.01242307421592</v>
      </c>
      <c r="G222" s="46">
        <v>433.81353547553391</v>
      </c>
      <c r="H222" s="46">
        <v>433.81353547553391</v>
      </c>
      <c r="I222" s="46">
        <v>433.81353547553391</v>
      </c>
      <c r="J222" s="46">
        <v>433.81353547553391</v>
      </c>
      <c r="K222" s="46">
        <v>1125.1890967142162</v>
      </c>
      <c r="L222" s="46">
        <v>978.8877535076831</v>
      </c>
      <c r="M222" s="46">
        <v>860.49325281850611</v>
      </c>
    </row>
    <row r="223" spans="1:13" x14ac:dyDescent="0.25">
      <c r="A223" s="325"/>
      <c r="B223" s="328"/>
      <c r="C223" s="21" t="s">
        <v>174</v>
      </c>
      <c r="D223" s="1" t="s">
        <v>19</v>
      </c>
      <c r="E223" s="47">
        <v>0</v>
      </c>
      <c r="F223" s="47">
        <v>0</v>
      </c>
      <c r="G223" s="47">
        <v>0</v>
      </c>
      <c r="H223" s="47">
        <v>0</v>
      </c>
      <c r="I223" s="47">
        <v>0</v>
      </c>
      <c r="J223" s="47">
        <v>0</v>
      </c>
      <c r="K223" s="47">
        <v>0</v>
      </c>
      <c r="L223" s="47">
        <v>0</v>
      </c>
      <c r="M223" s="47">
        <v>0</v>
      </c>
    </row>
    <row r="224" spans="1:13" x14ac:dyDescent="0.25">
      <c r="A224" s="325"/>
      <c r="B224" s="328"/>
      <c r="C224" s="21" t="s">
        <v>113</v>
      </c>
      <c r="D224" s="1" t="s">
        <v>8</v>
      </c>
      <c r="E224" s="44"/>
      <c r="F224" s="44"/>
      <c r="G224" s="44"/>
      <c r="H224" s="44"/>
      <c r="I224" s="44"/>
      <c r="J224" s="44"/>
      <c r="K224" s="44"/>
      <c r="L224" s="44"/>
      <c r="M224" s="44"/>
    </row>
    <row r="225" spans="1:13" x14ac:dyDescent="0.25">
      <c r="A225" s="325"/>
      <c r="B225" s="328"/>
      <c r="C225" s="21" t="s">
        <v>114</v>
      </c>
      <c r="D225" s="1" t="s">
        <v>9</v>
      </c>
      <c r="E225" s="44"/>
      <c r="F225" s="44"/>
      <c r="G225" s="44"/>
      <c r="H225" s="44"/>
      <c r="I225" s="44"/>
      <c r="J225" s="44"/>
      <c r="K225" s="44"/>
      <c r="L225" s="44"/>
      <c r="M225" s="44"/>
    </row>
    <row r="226" spans="1:13" x14ac:dyDescent="0.25">
      <c r="A226" s="325"/>
      <c r="B226" s="328"/>
      <c r="C226" s="21" t="s">
        <v>115</v>
      </c>
      <c r="D226" s="1" t="s">
        <v>10</v>
      </c>
      <c r="E226" s="46">
        <v>0</v>
      </c>
      <c r="F226" s="46">
        <v>0</v>
      </c>
      <c r="G226" s="46">
        <v>0</v>
      </c>
      <c r="H226" s="46">
        <v>0</v>
      </c>
      <c r="I226" s="46">
        <v>0</v>
      </c>
      <c r="J226" s="46">
        <v>0</v>
      </c>
      <c r="K226" s="46">
        <v>2.0349999999999999E-3</v>
      </c>
      <c r="L226" s="46">
        <v>2.0349999999999999E-3</v>
      </c>
      <c r="M226" s="46">
        <v>2.0349999999999999E-3</v>
      </c>
    </row>
    <row r="227" spans="1:13" ht="18.75" x14ac:dyDescent="0.25">
      <c r="A227" s="325"/>
      <c r="B227" s="328"/>
      <c r="C227" s="22" t="s">
        <v>116</v>
      </c>
      <c r="D227" s="23" t="s">
        <v>17</v>
      </c>
      <c r="E227" s="46">
        <v>0</v>
      </c>
      <c r="F227" s="46">
        <v>0</v>
      </c>
      <c r="G227" s="46">
        <v>0</v>
      </c>
      <c r="H227" s="46">
        <v>0</v>
      </c>
      <c r="I227" s="46">
        <v>0</v>
      </c>
      <c r="J227" s="46">
        <v>0</v>
      </c>
      <c r="K227" s="46">
        <v>0</v>
      </c>
      <c r="L227" s="46">
        <v>0</v>
      </c>
      <c r="M227" s="46">
        <v>0</v>
      </c>
    </row>
    <row r="228" spans="1:13" x14ac:dyDescent="0.25">
      <c r="A228" s="325"/>
      <c r="B228" s="328"/>
      <c r="C228" s="22" t="s">
        <v>31</v>
      </c>
      <c r="D228" s="23" t="s">
        <v>10</v>
      </c>
      <c r="E228" s="46">
        <v>0</v>
      </c>
      <c r="F228" s="46">
        <v>0</v>
      </c>
      <c r="G228" s="46">
        <v>0</v>
      </c>
      <c r="H228" s="46">
        <v>0</v>
      </c>
      <c r="I228" s="46">
        <v>0</v>
      </c>
      <c r="J228" s="46">
        <v>0</v>
      </c>
      <c r="K228" s="46">
        <v>0</v>
      </c>
      <c r="L228" s="46">
        <v>0</v>
      </c>
      <c r="M228" s="46">
        <v>0</v>
      </c>
    </row>
    <row r="229" spans="1:13" x14ac:dyDescent="0.25">
      <c r="A229" s="325"/>
      <c r="B229" s="328"/>
      <c r="C229" s="21" t="s">
        <v>32</v>
      </c>
      <c r="D229" s="2" t="s">
        <v>19</v>
      </c>
      <c r="E229" s="44">
        <v>3.4299999999999997</v>
      </c>
      <c r="F229" s="44">
        <v>3.4299999999999997</v>
      </c>
      <c r="G229" s="44">
        <v>3.4299999999999997</v>
      </c>
      <c r="H229" s="44">
        <v>3.4299999999999997</v>
      </c>
      <c r="I229" s="44">
        <v>3.4299999999999997</v>
      </c>
      <c r="J229" s="44">
        <v>3.4299999999999997</v>
      </c>
      <c r="K229" s="44">
        <v>3.4299999999999997</v>
      </c>
      <c r="L229" s="44">
        <v>3.4299999999999997</v>
      </c>
      <c r="M229" s="44">
        <v>3.4299999999999997</v>
      </c>
    </row>
    <row r="230" spans="1:13" x14ac:dyDescent="0.25">
      <c r="A230" s="325"/>
      <c r="B230" s="328"/>
      <c r="C230" s="21" t="s">
        <v>33</v>
      </c>
      <c r="D230" s="2" t="s">
        <v>14</v>
      </c>
      <c r="E230" s="44"/>
      <c r="F230" s="44"/>
      <c r="G230" s="44"/>
      <c r="H230" s="44"/>
      <c r="I230" s="44"/>
      <c r="J230" s="44"/>
      <c r="K230" s="44"/>
      <c r="L230" s="44"/>
      <c r="M230" s="44"/>
    </row>
    <row r="231" spans="1:13" x14ac:dyDescent="0.25">
      <c r="A231" s="325"/>
      <c r="B231" s="328"/>
      <c r="C231" s="21" t="s">
        <v>34</v>
      </c>
      <c r="D231" s="2" t="s">
        <v>4</v>
      </c>
      <c r="E231" s="44"/>
      <c r="F231" s="44"/>
      <c r="G231" s="44"/>
      <c r="H231" s="44"/>
      <c r="I231" s="44"/>
      <c r="J231" s="44"/>
      <c r="K231" s="44"/>
      <c r="L231" s="44"/>
      <c r="M231" s="44"/>
    </row>
    <row r="232" spans="1:13" x14ac:dyDescent="0.25">
      <c r="A232" s="325"/>
      <c r="B232" s="328"/>
      <c r="C232" s="21" t="s">
        <v>125</v>
      </c>
      <c r="D232" s="1" t="s">
        <v>19</v>
      </c>
      <c r="E232" s="51">
        <v>0.3125</v>
      </c>
      <c r="F232" s="51">
        <v>0.3125</v>
      </c>
      <c r="G232" s="51">
        <v>0.3125</v>
      </c>
      <c r="H232" s="51">
        <v>0.3125</v>
      </c>
      <c r="I232" s="51">
        <v>0.3125</v>
      </c>
      <c r="J232" s="51">
        <v>0.3125</v>
      </c>
      <c r="K232" s="51">
        <v>0.3125</v>
      </c>
      <c r="L232" s="51">
        <v>0.3125</v>
      </c>
      <c r="M232" s="51">
        <v>0.3125</v>
      </c>
    </row>
    <row r="233" spans="1:13" x14ac:dyDescent="0.25">
      <c r="A233" s="325"/>
      <c r="B233" s="328"/>
      <c r="C233" s="21" t="s">
        <v>126</v>
      </c>
      <c r="D233" s="1" t="s">
        <v>19</v>
      </c>
      <c r="E233" s="44">
        <v>0.64</v>
      </c>
      <c r="F233" s="44">
        <v>0.64</v>
      </c>
      <c r="G233" s="44">
        <v>0.64</v>
      </c>
      <c r="H233" s="44">
        <v>0.64</v>
      </c>
      <c r="I233" s="44">
        <v>0.64</v>
      </c>
      <c r="J233" s="44">
        <v>0.64</v>
      </c>
      <c r="K233" s="44">
        <v>0.64</v>
      </c>
      <c r="L233" s="44">
        <v>0.64</v>
      </c>
      <c r="M233" s="44">
        <v>0.64</v>
      </c>
    </row>
    <row r="234" spans="1:13" x14ac:dyDescent="0.25">
      <c r="A234" s="325"/>
      <c r="B234" s="328"/>
      <c r="C234" s="24" t="s">
        <v>127</v>
      </c>
      <c r="D234" s="1" t="s">
        <v>4</v>
      </c>
      <c r="E234" s="44">
        <v>20</v>
      </c>
      <c r="F234" s="44">
        <v>20</v>
      </c>
      <c r="G234" s="44">
        <v>20</v>
      </c>
      <c r="H234" s="44">
        <v>20</v>
      </c>
      <c r="I234" s="44">
        <v>20</v>
      </c>
      <c r="J234" s="44">
        <v>20</v>
      </c>
      <c r="K234" s="44">
        <v>20</v>
      </c>
      <c r="L234" s="44">
        <v>20</v>
      </c>
      <c r="M234" s="44">
        <v>20</v>
      </c>
    </row>
    <row r="235" spans="1:13" x14ac:dyDescent="0.25">
      <c r="A235" s="325"/>
      <c r="B235" s="328"/>
      <c r="C235" s="24" t="s">
        <v>128</v>
      </c>
      <c r="D235" s="1" t="s">
        <v>6</v>
      </c>
      <c r="E235" s="52">
        <v>877.91003708184292</v>
      </c>
      <c r="F235" s="52">
        <v>864.68237166000415</v>
      </c>
      <c r="G235" s="52">
        <v>829.40859720176718</v>
      </c>
      <c r="H235" s="52">
        <v>780.90715732169144</v>
      </c>
      <c r="I235" s="52">
        <v>714.76883021249728</v>
      </c>
      <c r="J235" s="52">
        <v>582.49217599410895</v>
      </c>
      <c r="K235" s="52">
        <v>496.07142857142856</v>
      </c>
      <c r="L235" s="52">
        <v>496.07142857142856</v>
      </c>
      <c r="M235" s="52">
        <v>496.07142857142856</v>
      </c>
    </row>
    <row r="236" spans="1:13" x14ac:dyDescent="0.25">
      <c r="A236" s="325"/>
      <c r="B236" s="328"/>
      <c r="C236" s="24" t="s">
        <v>179</v>
      </c>
      <c r="D236" s="1" t="s">
        <v>19</v>
      </c>
      <c r="E236" s="47">
        <v>0</v>
      </c>
      <c r="F236" s="47">
        <v>0</v>
      </c>
      <c r="G236" s="47">
        <v>0</v>
      </c>
      <c r="H236" s="47">
        <v>0</v>
      </c>
      <c r="I236" s="47">
        <v>0</v>
      </c>
      <c r="J236" s="47">
        <v>0</v>
      </c>
      <c r="K236" s="47">
        <v>0</v>
      </c>
      <c r="L236" s="47">
        <v>0</v>
      </c>
      <c r="M236" s="47">
        <v>0</v>
      </c>
    </row>
    <row r="237" spans="1:13" x14ac:dyDescent="0.25">
      <c r="A237" s="325"/>
      <c r="B237" s="328"/>
      <c r="C237" s="21" t="s">
        <v>129</v>
      </c>
      <c r="D237" s="1" t="s">
        <v>8</v>
      </c>
      <c r="E237" s="46">
        <v>50.989543446244483</v>
      </c>
      <c r="F237" s="46">
        <v>67.502798232695142</v>
      </c>
      <c r="G237" s="46">
        <v>111.53814432989691</v>
      </c>
      <c r="H237" s="46">
        <v>172.08674521354934</v>
      </c>
      <c r="I237" s="46">
        <v>254.65301914580263</v>
      </c>
      <c r="J237" s="46">
        <v>419.78556701030925</v>
      </c>
      <c r="K237" s="46">
        <v>584.91811487481596</v>
      </c>
      <c r="L237" s="46">
        <v>584.91811487481596</v>
      </c>
      <c r="M237" s="46">
        <v>584.91811487481596</v>
      </c>
    </row>
    <row r="238" spans="1:13" x14ac:dyDescent="0.25">
      <c r="A238" s="325"/>
      <c r="B238" s="328"/>
      <c r="C238" s="21" t="s">
        <v>130</v>
      </c>
      <c r="D238" s="1" t="s">
        <v>9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1:13" x14ac:dyDescent="0.25">
      <c r="A239" s="325"/>
      <c r="B239" s="328"/>
      <c r="C239" s="21" t="s">
        <v>131</v>
      </c>
      <c r="D239" s="1" t="s">
        <v>10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1:13" ht="18.75" x14ac:dyDescent="0.25">
      <c r="A240" s="326"/>
      <c r="B240" s="329"/>
      <c r="C240" s="53" t="s">
        <v>132</v>
      </c>
      <c r="D240" s="23" t="s">
        <v>17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1:13" x14ac:dyDescent="0.25">
      <c r="A241" s="324">
        <v>15</v>
      </c>
      <c r="B241" s="327" t="s">
        <v>182</v>
      </c>
      <c r="C241" s="21" t="s">
        <v>112</v>
      </c>
      <c r="D241" s="1" t="s">
        <v>19</v>
      </c>
      <c r="E241" s="51">
        <v>1</v>
      </c>
      <c r="F241" s="51">
        <v>1</v>
      </c>
      <c r="G241" s="51">
        <v>1</v>
      </c>
      <c r="H241" s="51">
        <v>1</v>
      </c>
      <c r="I241" s="51">
        <v>1</v>
      </c>
      <c r="J241" s="51">
        <v>1</v>
      </c>
      <c r="K241" s="51">
        <v>1</v>
      </c>
      <c r="L241" s="51">
        <v>1</v>
      </c>
      <c r="M241" s="51">
        <v>1</v>
      </c>
    </row>
    <row r="242" spans="1:13" x14ac:dyDescent="0.25">
      <c r="A242" s="325"/>
      <c r="B242" s="328"/>
      <c r="C242" s="21" t="s">
        <v>28</v>
      </c>
      <c r="D242" s="1" t="s">
        <v>19</v>
      </c>
      <c r="E242" s="44">
        <v>0.65</v>
      </c>
      <c r="F242" s="44">
        <v>0.65</v>
      </c>
      <c r="G242" s="44">
        <v>0.65</v>
      </c>
      <c r="H242" s="44">
        <v>0.65</v>
      </c>
      <c r="I242" s="44">
        <v>0.65</v>
      </c>
      <c r="J242" s="44">
        <v>0.65</v>
      </c>
      <c r="K242" s="44">
        <v>0.65</v>
      </c>
      <c r="L242" s="44">
        <v>0.65</v>
      </c>
      <c r="M242" s="44">
        <v>0.65</v>
      </c>
    </row>
    <row r="243" spans="1:13" x14ac:dyDescent="0.25">
      <c r="A243" s="325"/>
      <c r="B243" s="328"/>
      <c r="C243" s="21" t="s">
        <v>29</v>
      </c>
      <c r="D243" s="1" t="s">
        <v>4</v>
      </c>
      <c r="E243" s="44">
        <v>20</v>
      </c>
      <c r="F243" s="44">
        <v>20</v>
      </c>
      <c r="G243" s="44">
        <v>20</v>
      </c>
      <c r="H243" s="44">
        <v>20</v>
      </c>
      <c r="I243" s="44">
        <v>20</v>
      </c>
      <c r="J243" s="44">
        <v>20</v>
      </c>
      <c r="K243" s="44">
        <v>20</v>
      </c>
      <c r="L243" s="44">
        <v>20</v>
      </c>
      <c r="M243" s="44">
        <v>20</v>
      </c>
    </row>
    <row r="244" spans="1:13" x14ac:dyDescent="0.25">
      <c r="A244" s="325"/>
      <c r="B244" s="328"/>
      <c r="C244" s="21" t="s">
        <v>30</v>
      </c>
      <c r="D244" s="1" t="s">
        <v>6</v>
      </c>
      <c r="E244" s="46">
        <v>778.63646317000416</v>
      </c>
      <c r="F244" s="46">
        <v>556.01242307421592</v>
      </c>
      <c r="G244" s="46">
        <v>433.81353547553391</v>
      </c>
      <c r="H244" s="46">
        <v>433.81353547553391</v>
      </c>
      <c r="I244" s="46">
        <v>433.81353547553391</v>
      </c>
      <c r="J244" s="46">
        <v>433.81353547553391</v>
      </c>
      <c r="K244" s="46">
        <v>1125.1890967142162</v>
      </c>
      <c r="L244" s="46">
        <v>978.8877535076831</v>
      </c>
      <c r="M244" s="46">
        <v>860.49325281850611</v>
      </c>
    </row>
    <row r="245" spans="1:13" x14ac:dyDescent="0.25">
      <c r="A245" s="325"/>
      <c r="B245" s="328"/>
      <c r="C245" s="21" t="s">
        <v>174</v>
      </c>
      <c r="D245" s="1" t="s">
        <v>19</v>
      </c>
      <c r="E245" s="47">
        <v>0</v>
      </c>
      <c r="F245" s="47">
        <v>0</v>
      </c>
      <c r="G245" s="47">
        <v>0</v>
      </c>
      <c r="H245" s="47">
        <v>0</v>
      </c>
      <c r="I245" s="47">
        <v>0</v>
      </c>
      <c r="J245" s="47">
        <v>0</v>
      </c>
      <c r="K245" s="47">
        <v>0</v>
      </c>
      <c r="L245" s="47">
        <v>0</v>
      </c>
      <c r="M245" s="47">
        <v>0</v>
      </c>
    </row>
    <row r="246" spans="1:13" x14ac:dyDescent="0.25">
      <c r="A246" s="325"/>
      <c r="B246" s="328"/>
      <c r="C246" s="21" t="s">
        <v>113</v>
      </c>
      <c r="D246" s="1" t="s">
        <v>8</v>
      </c>
      <c r="E246" s="44"/>
      <c r="F246" s="44"/>
      <c r="G246" s="44"/>
      <c r="H246" s="44"/>
      <c r="I246" s="44"/>
      <c r="J246" s="44"/>
      <c r="K246" s="44"/>
      <c r="L246" s="44"/>
      <c r="M246" s="44"/>
    </row>
    <row r="247" spans="1:13" x14ac:dyDescent="0.25">
      <c r="A247" s="325"/>
      <c r="B247" s="328"/>
      <c r="C247" s="21" t="s">
        <v>114</v>
      </c>
      <c r="D247" s="1" t="s">
        <v>9</v>
      </c>
      <c r="E247" s="44"/>
      <c r="F247" s="44"/>
      <c r="G247" s="44"/>
      <c r="H247" s="44"/>
      <c r="I247" s="44"/>
      <c r="J247" s="44"/>
      <c r="K247" s="44"/>
      <c r="L247" s="44"/>
      <c r="M247" s="44"/>
    </row>
    <row r="248" spans="1:13" x14ac:dyDescent="0.25">
      <c r="A248" s="325"/>
      <c r="B248" s="328"/>
      <c r="C248" s="21" t="s">
        <v>115</v>
      </c>
      <c r="D248" s="1" t="s">
        <v>10</v>
      </c>
      <c r="E248" s="46">
        <v>0</v>
      </c>
      <c r="F248" s="46">
        <v>0</v>
      </c>
      <c r="G248" s="46">
        <v>0</v>
      </c>
      <c r="H248" s="46">
        <v>0</v>
      </c>
      <c r="I248" s="46">
        <v>0</v>
      </c>
      <c r="J248" s="46">
        <v>0</v>
      </c>
      <c r="K248" s="46">
        <v>2.0349999999999999E-3</v>
      </c>
      <c r="L248" s="46">
        <v>2.0349999999999999E-3</v>
      </c>
      <c r="M248" s="46">
        <v>2.0349999999999999E-3</v>
      </c>
    </row>
    <row r="249" spans="1:13" ht="18.75" x14ac:dyDescent="0.25">
      <c r="A249" s="325"/>
      <c r="B249" s="328"/>
      <c r="C249" s="22" t="s">
        <v>116</v>
      </c>
      <c r="D249" s="23" t="s">
        <v>17</v>
      </c>
      <c r="E249" s="46">
        <v>0</v>
      </c>
      <c r="F249" s="46">
        <v>0</v>
      </c>
      <c r="G249" s="46">
        <v>0</v>
      </c>
      <c r="H249" s="46">
        <v>0</v>
      </c>
      <c r="I249" s="46">
        <v>0</v>
      </c>
      <c r="J249" s="46">
        <v>0</v>
      </c>
      <c r="K249" s="46">
        <v>0</v>
      </c>
      <c r="L249" s="46">
        <v>0</v>
      </c>
      <c r="M249" s="46">
        <v>0</v>
      </c>
    </row>
    <row r="250" spans="1:13" x14ac:dyDescent="0.25">
      <c r="A250" s="325"/>
      <c r="B250" s="328"/>
      <c r="C250" s="22" t="s">
        <v>31</v>
      </c>
      <c r="D250" s="23" t="s">
        <v>10</v>
      </c>
      <c r="E250" s="46">
        <v>0</v>
      </c>
      <c r="F250" s="46">
        <v>0</v>
      </c>
      <c r="G250" s="46">
        <v>0</v>
      </c>
      <c r="H250" s="46">
        <v>0</v>
      </c>
      <c r="I250" s="46">
        <v>0</v>
      </c>
      <c r="J250" s="46">
        <v>0</v>
      </c>
      <c r="K250" s="46">
        <v>0</v>
      </c>
      <c r="L250" s="46">
        <v>0</v>
      </c>
      <c r="M250" s="46">
        <v>0</v>
      </c>
    </row>
    <row r="251" spans="1:13" x14ac:dyDescent="0.25">
      <c r="A251" s="325"/>
      <c r="B251" s="328"/>
      <c r="C251" s="21" t="s">
        <v>32</v>
      </c>
      <c r="D251" s="2" t="s">
        <v>19</v>
      </c>
      <c r="E251" s="44">
        <v>3.4299999999999997</v>
      </c>
      <c r="F251" s="44">
        <v>3.4299999999999997</v>
      </c>
      <c r="G251" s="44">
        <v>3.4299999999999997</v>
      </c>
      <c r="H251" s="44">
        <v>3.4299999999999997</v>
      </c>
      <c r="I251" s="44">
        <v>3.4299999999999997</v>
      </c>
      <c r="J251" s="44">
        <v>3.4299999999999997</v>
      </c>
      <c r="K251" s="44">
        <v>3.4299999999999997</v>
      </c>
      <c r="L251" s="44">
        <v>3.4299999999999997</v>
      </c>
      <c r="M251" s="44">
        <v>3.4299999999999997</v>
      </c>
    </row>
    <row r="252" spans="1:13" x14ac:dyDescent="0.25">
      <c r="A252" s="325"/>
      <c r="B252" s="328"/>
      <c r="C252" s="21" t="s">
        <v>33</v>
      </c>
      <c r="D252" s="2" t="s">
        <v>14</v>
      </c>
      <c r="E252" s="44"/>
      <c r="F252" s="44"/>
      <c r="G252" s="44"/>
      <c r="H252" s="44"/>
      <c r="I252" s="44"/>
      <c r="J252" s="44"/>
      <c r="K252" s="44"/>
      <c r="L252" s="44"/>
      <c r="M252" s="44"/>
    </row>
    <row r="253" spans="1:13" x14ac:dyDescent="0.25">
      <c r="A253" s="325"/>
      <c r="B253" s="328"/>
      <c r="C253" s="21" t="s">
        <v>34</v>
      </c>
      <c r="D253" s="2" t="s">
        <v>4</v>
      </c>
      <c r="E253" s="44"/>
      <c r="F253" s="44"/>
      <c r="G253" s="44"/>
      <c r="H253" s="44"/>
      <c r="I253" s="44"/>
      <c r="J253" s="44"/>
      <c r="K253" s="44"/>
      <c r="L253" s="44"/>
      <c r="M253" s="44"/>
    </row>
    <row r="254" spans="1:13" x14ac:dyDescent="0.25">
      <c r="A254" s="325"/>
      <c r="B254" s="328"/>
      <c r="C254" s="21" t="s">
        <v>125</v>
      </c>
      <c r="D254" s="1" t="s">
        <v>19</v>
      </c>
      <c r="E254" s="51">
        <v>0.546875</v>
      </c>
      <c r="F254" s="51">
        <v>0.546875</v>
      </c>
      <c r="G254" s="51">
        <v>0.54687499999999989</v>
      </c>
      <c r="H254" s="51">
        <v>0.546875</v>
      </c>
      <c r="I254" s="51">
        <v>0.546875</v>
      </c>
      <c r="J254" s="51">
        <v>0.546875</v>
      </c>
      <c r="K254" s="51">
        <v>0.546875</v>
      </c>
      <c r="L254" s="51">
        <v>0.546875</v>
      </c>
      <c r="M254" s="51">
        <v>0.546875</v>
      </c>
    </row>
    <row r="255" spans="1:13" x14ac:dyDescent="0.25">
      <c r="A255" s="325"/>
      <c r="B255" s="328"/>
      <c r="C255" s="21" t="s">
        <v>126</v>
      </c>
      <c r="D255" s="1" t="s">
        <v>19</v>
      </c>
      <c r="E255" s="44">
        <v>0.64</v>
      </c>
      <c r="F255" s="44">
        <v>0.64</v>
      </c>
      <c r="G255" s="44">
        <v>0.64</v>
      </c>
      <c r="H255" s="44">
        <v>0.64</v>
      </c>
      <c r="I255" s="44">
        <v>0.64</v>
      </c>
      <c r="J255" s="44">
        <v>0.64</v>
      </c>
      <c r="K255" s="44">
        <v>0.64</v>
      </c>
      <c r="L255" s="44">
        <v>0.64</v>
      </c>
      <c r="M255" s="44">
        <v>0.64</v>
      </c>
    </row>
    <row r="256" spans="1:13" x14ac:dyDescent="0.25">
      <c r="A256" s="325"/>
      <c r="B256" s="328"/>
      <c r="C256" s="24" t="s">
        <v>127</v>
      </c>
      <c r="D256" s="1" t="s">
        <v>4</v>
      </c>
      <c r="E256" s="44">
        <v>20</v>
      </c>
      <c r="F256" s="44">
        <v>20</v>
      </c>
      <c r="G256" s="44">
        <v>20</v>
      </c>
      <c r="H256" s="44">
        <v>20</v>
      </c>
      <c r="I256" s="44">
        <v>20</v>
      </c>
      <c r="J256" s="44">
        <v>20</v>
      </c>
      <c r="K256" s="44">
        <v>20</v>
      </c>
      <c r="L256" s="44">
        <v>20</v>
      </c>
      <c r="M256" s="44">
        <v>20</v>
      </c>
    </row>
    <row r="257" spans="1:13" x14ac:dyDescent="0.25">
      <c r="A257" s="325"/>
      <c r="B257" s="328"/>
      <c r="C257" s="24" t="s">
        <v>128</v>
      </c>
      <c r="D257" s="1" t="s">
        <v>6</v>
      </c>
      <c r="E257" s="52">
        <v>867.98928801546379</v>
      </c>
      <c r="F257" s="52">
        <v>844.84087352724589</v>
      </c>
      <c r="G257" s="52">
        <v>783.11176822533128</v>
      </c>
      <c r="H257" s="52">
        <v>698.23424843519865</v>
      </c>
      <c r="I257" s="52">
        <v>582.49217599410895</v>
      </c>
      <c r="J257" s="52">
        <v>496.07142857142856</v>
      </c>
      <c r="K257" s="52">
        <v>496.07142857142856</v>
      </c>
      <c r="L257" s="52">
        <v>496.07142857142856</v>
      </c>
      <c r="M257" s="52">
        <v>496.07142857142856</v>
      </c>
    </row>
    <row r="258" spans="1:13" x14ac:dyDescent="0.25">
      <c r="A258" s="325"/>
      <c r="B258" s="328"/>
      <c r="C258" s="24" t="s">
        <v>179</v>
      </c>
      <c r="D258" s="1" t="s">
        <v>19</v>
      </c>
      <c r="E258" s="47">
        <v>0</v>
      </c>
      <c r="F258" s="47">
        <v>0</v>
      </c>
      <c r="G258" s="47">
        <v>0</v>
      </c>
      <c r="H258" s="47">
        <v>0</v>
      </c>
      <c r="I258" s="47">
        <v>0</v>
      </c>
      <c r="J258" s="47">
        <v>0</v>
      </c>
      <c r="K258" s="47">
        <v>0</v>
      </c>
      <c r="L258" s="47">
        <v>0</v>
      </c>
      <c r="M258" s="47">
        <v>0</v>
      </c>
    </row>
    <row r="259" spans="1:13" x14ac:dyDescent="0.25">
      <c r="A259" s="325"/>
      <c r="B259" s="328"/>
      <c r="C259" s="21" t="s">
        <v>129</v>
      </c>
      <c r="D259" s="1" t="s">
        <v>8</v>
      </c>
      <c r="E259" s="46">
        <v>50.989543446244483</v>
      </c>
      <c r="F259" s="46">
        <v>67.502798232695142</v>
      </c>
      <c r="G259" s="46">
        <v>111.53814432989691</v>
      </c>
      <c r="H259" s="46">
        <v>172.08674521354934</v>
      </c>
      <c r="I259" s="46">
        <v>254.65301914580263</v>
      </c>
      <c r="J259" s="46">
        <v>419.78556701030925</v>
      </c>
      <c r="K259" s="46">
        <v>584.91811487481596</v>
      </c>
      <c r="L259" s="46">
        <v>584.91811487481596</v>
      </c>
      <c r="M259" s="46">
        <v>584.91811487481596</v>
      </c>
    </row>
    <row r="260" spans="1:13" x14ac:dyDescent="0.25">
      <c r="A260" s="325"/>
      <c r="B260" s="328"/>
      <c r="C260" s="21" t="s">
        <v>130</v>
      </c>
      <c r="D260" s="1" t="s">
        <v>9</v>
      </c>
      <c r="E260" s="44"/>
      <c r="F260" s="44"/>
      <c r="G260" s="44"/>
      <c r="H260" s="44"/>
      <c r="I260" s="44"/>
      <c r="J260" s="44"/>
      <c r="K260" s="44"/>
      <c r="L260" s="44"/>
      <c r="M260" s="44"/>
    </row>
    <row r="261" spans="1:13" x14ac:dyDescent="0.25">
      <c r="A261" s="325"/>
      <c r="B261" s="328"/>
      <c r="C261" s="21" t="s">
        <v>131</v>
      </c>
      <c r="D261" s="1" t="s">
        <v>10</v>
      </c>
      <c r="E261" s="44"/>
      <c r="F261" s="44"/>
      <c r="G261" s="44"/>
      <c r="H261" s="44"/>
      <c r="I261" s="44"/>
      <c r="J261" s="44"/>
      <c r="K261" s="44"/>
      <c r="L261" s="44"/>
      <c r="M261" s="44"/>
    </row>
    <row r="262" spans="1:13" ht="18.75" x14ac:dyDescent="0.25">
      <c r="A262" s="326"/>
      <c r="B262" s="329"/>
      <c r="C262" s="53" t="s">
        <v>132</v>
      </c>
      <c r="D262" s="23" t="s">
        <v>17</v>
      </c>
      <c r="E262" s="44"/>
      <c r="F262" s="44"/>
      <c r="G262" s="44"/>
      <c r="H262" s="44"/>
      <c r="I262" s="44"/>
      <c r="J262" s="44"/>
      <c r="K262" s="44"/>
      <c r="L262" s="44"/>
      <c r="M262" s="44"/>
    </row>
    <row r="263" spans="1:13" x14ac:dyDescent="0.25">
      <c r="A263" s="306">
        <v>16</v>
      </c>
      <c r="B263" s="323" t="s">
        <v>156</v>
      </c>
      <c r="C263" s="21" t="s">
        <v>101</v>
      </c>
      <c r="D263" s="1" t="s">
        <v>4</v>
      </c>
      <c r="E263" s="44">
        <v>40</v>
      </c>
      <c r="F263" s="44">
        <v>40</v>
      </c>
      <c r="G263" s="44">
        <v>40</v>
      </c>
      <c r="H263" s="44">
        <v>40</v>
      </c>
      <c r="I263" s="44">
        <v>40</v>
      </c>
      <c r="J263" s="44">
        <v>40</v>
      </c>
      <c r="K263" s="44">
        <v>40</v>
      </c>
      <c r="L263" s="44">
        <v>40</v>
      </c>
      <c r="M263" s="44">
        <v>40</v>
      </c>
    </row>
    <row r="264" spans="1:13" x14ac:dyDescent="0.25">
      <c r="A264" s="306"/>
      <c r="B264" s="323"/>
      <c r="C264" s="21" t="s">
        <v>5</v>
      </c>
      <c r="D264" s="1" t="s">
        <v>6</v>
      </c>
      <c r="E264" s="46">
        <v>300</v>
      </c>
      <c r="F264" s="46">
        <v>183.33333333333334</v>
      </c>
      <c r="G264" s="46">
        <v>100</v>
      </c>
      <c r="H264" s="46">
        <v>76</v>
      </c>
      <c r="I264" s="46">
        <v>60</v>
      </c>
      <c r="J264" s="46">
        <v>42.857142857142854</v>
      </c>
      <c r="K264" s="46">
        <v>27.058823529411764</v>
      </c>
      <c r="L264" s="46">
        <v>18.421052631578949</v>
      </c>
      <c r="M264" s="46">
        <v>13.75</v>
      </c>
    </row>
    <row r="265" spans="1:13" x14ac:dyDescent="0.25">
      <c r="A265" s="306"/>
      <c r="B265" s="323"/>
      <c r="C265" s="21" t="s">
        <v>172</v>
      </c>
      <c r="D265" s="1" t="s">
        <v>19</v>
      </c>
      <c r="E265" s="47">
        <v>0</v>
      </c>
      <c r="F265" s="47">
        <v>0</v>
      </c>
      <c r="G265" s="47">
        <v>0</v>
      </c>
      <c r="H265" s="47">
        <v>0</v>
      </c>
      <c r="I265" s="47">
        <v>0</v>
      </c>
      <c r="J265" s="47">
        <v>0</v>
      </c>
      <c r="K265" s="47">
        <v>0</v>
      </c>
      <c r="L265" s="47">
        <v>0</v>
      </c>
      <c r="M265" s="47">
        <v>0</v>
      </c>
    </row>
    <row r="266" spans="1:13" x14ac:dyDescent="0.25">
      <c r="A266" s="306"/>
      <c r="B266" s="323"/>
      <c r="C266" s="21" t="s">
        <v>102</v>
      </c>
      <c r="D266" s="1" t="s">
        <v>8</v>
      </c>
      <c r="E266" s="46">
        <v>0</v>
      </c>
      <c r="F266" s="46">
        <v>0</v>
      </c>
      <c r="G266" s="46">
        <v>0</v>
      </c>
      <c r="H266" s="46">
        <v>0</v>
      </c>
      <c r="I266" s="46">
        <v>0</v>
      </c>
      <c r="J266" s="46">
        <v>0</v>
      </c>
      <c r="K266" s="46">
        <v>0</v>
      </c>
      <c r="L266" s="46">
        <v>0</v>
      </c>
      <c r="M266" s="46">
        <v>0</v>
      </c>
    </row>
    <row r="267" spans="1:13" x14ac:dyDescent="0.25">
      <c r="A267" s="306"/>
      <c r="B267" s="323"/>
      <c r="C267" s="21" t="s">
        <v>103</v>
      </c>
      <c r="D267" s="1" t="s">
        <v>9</v>
      </c>
      <c r="E267" s="44"/>
      <c r="F267" s="44"/>
      <c r="G267" s="44"/>
      <c r="H267" s="44"/>
      <c r="I267" s="44"/>
      <c r="J267" s="44"/>
      <c r="K267" s="44"/>
      <c r="L267" s="44"/>
      <c r="M267" s="44"/>
    </row>
    <row r="268" spans="1:13" x14ac:dyDescent="0.25">
      <c r="A268" s="306"/>
      <c r="B268" s="323"/>
      <c r="C268" s="21" t="s">
        <v>104</v>
      </c>
      <c r="D268" s="1" t="s">
        <v>10</v>
      </c>
      <c r="E268" s="44"/>
      <c r="F268" s="44"/>
      <c r="G268" s="44"/>
      <c r="H268" s="44"/>
      <c r="I268" s="44"/>
      <c r="J268" s="44"/>
      <c r="K268" s="44"/>
      <c r="L268" s="44"/>
      <c r="M268" s="44"/>
    </row>
    <row r="269" spans="1:13" x14ac:dyDescent="0.25">
      <c r="A269" s="306"/>
      <c r="B269" s="323"/>
      <c r="C269" s="22" t="s">
        <v>11</v>
      </c>
      <c r="D269" s="23" t="s">
        <v>10</v>
      </c>
      <c r="E269" s="44"/>
      <c r="F269" s="44"/>
      <c r="G269" s="44"/>
      <c r="H269" s="44"/>
      <c r="I269" s="44"/>
      <c r="J269" s="44"/>
      <c r="K269" s="44"/>
      <c r="L269" s="44"/>
      <c r="M269" s="44"/>
    </row>
    <row r="270" spans="1:13" x14ac:dyDescent="0.25">
      <c r="A270" s="306"/>
      <c r="B270" s="323"/>
      <c r="C270" s="21" t="s">
        <v>12</v>
      </c>
      <c r="D270" s="1" t="s">
        <v>7</v>
      </c>
      <c r="E270" s="47">
        <v>1</v>
      </c>
      <c r="F270" s="47">
        <v>1</v>
      </c>
      <c r="G270" s="47">
        <v>1</v>
      </c>
      <c r="H270" s="47">
        <v>1</v>
      </c>
      <c r="I270" s="47">
        <v>1</v>
      </c>
      <c r="J270" s="47">
        <v>1</v>
      </c>
      <c r="K270" s="47">
        <v>1</v>
      </c>
      <c r="L270" s="47">
        <v>1</v>
      </c>
      <c r="M270" s="47">
        <v>1</v>
      </c>
    </row>
    <row r="271" spans="1:13" x14ac:dyDescent="0.25">
      <c r="A271" s="306"/>
      <c r="B271" s="323"/>
      <c r="C271" s="21" t="s">
        <v>13</v>
      </c>
      <c r="D271" s="1" t="s">
        <v>14</v>
      </c>
      <c r="E271" s="46">
        <v>31017</v>
      </c>
      <c r="F271" s="46">
        <v>31902</v>
      </c>
      <c r="G271" s="46">
        <v>34262</v>
      </c>
      <c r="H271" s="46">
        <v>37507</v>
      </c>
      <c r="I271" s="46">
        <v>41932</v>
      </c>
      <c r="J271" s="46">
        <v>50782</v>
      </c>
      <c r="K271" s="46">
        <v>80282</v>
      </c>
      <c r="L271" s="46">
        <v>151952</v>
      </c>
      <c r="M271" s="46">
        <v>292470.28399999999</v>
      </c>
    </row>
    <row r="272" spans="1:13" x14ac:dyDescent="0.25">
      <c r="A272" s="306"/>
      <c r="B272" s="323"/>
      <c r="C272" s="21" t="s">
        <v>15</v>
      </c>
      <c r="D272" s="1" t="s">
        <v>4</v>
      </c>
      <c r="E272" s="44">
        <v>40</v>
      </c>
      <c r="F272" s="44">
        <v>40</v>
      </c>
      <c r="G272" s="44">
        <v>40</v>
      </c>
      <c r="H272" s="44">
        <v>40</v>
      </c>
      <c r="I272" s="44">
        <v>40</v>
      </c>
      <c r="J272" s="44">
        <v>40</v>
      </c>
      <c r="K272" s="44">
        <v>40</v>
      </c>
      <c r="L272" s="44">
        <v>40</v>
      </c>
      <c r="M272" s="44">
        <v>40</v>
      </c>
    </row>
    <row r="273" spans="1:13" x14ac:dyDescent="0.25">
      <c r="A273" s="306">
        <v>17</v>
      </c>
      <c r="B273" s="323" t="s">
        <v>157</v>
      </c>
      <c r="C273" s="21" t="s">
        <v>101</v>
      </c>
      <c r="D273" s="1" t="s">
        <v>4</v>
      </c>
      <c r="E273" s="44">
        <v>40</v>
      </c>
      <c r="F273" s="44">
        <v>40</v>
      </c>
      <c r="G273" s="44">
        <v>40</v>
      </c>
      <c r="H273" s="44">
        <v>40</v>
      </c>
      <c r="I273" s="44">
        <v>40</v>
      </c>
      <c r="J273" s="44">
        <v>40</v>
      </c>
      <c r="K273" s="44">
        <v>40</v>
      </c>
      <c r="L273" s="44">
        <v>40</v>
      </c>
      <c r="M273" s="44">
        <v>40</v>
      </c>
    </row>
    <row r="274" spans="1:13" x14ac:dyDescent="0.25">
      <c r="A274" s="306"/>
      <c r="B274" s="323"/>
      <c r="C274" s="21" t="s">
        <v>5</v>
      </c>
      <c r="D274" s="1" t="s">
        <v>6</v>
      </c>
      <c r="E274" s="44"/>
      <c r="F274" s="44"/>
      <c r="G274" s="44"/>
      <c r="H274" s="44"/>
      <c r="I274" s="44"/>
      <c r="J274" s="44"/>
      <c r="K274" s="44"/>
      <c r="L274" s="44"/>
      <c r="M274" s="44"/>
    </row>
    <row r="275" spans="1:13" x14ac:dyDescent="0.25">
      <c r="A275" s="306"/>
      <c r="B275" s="323"/>
      <c r="C275" s="21" t="s">
        <v>172</v>
      </c>
      <c r="D275" s="1" t="s">
        <v>19</v>
      </c>
      <c r="E275" s="47">
        <v>0</v>
      </c>
      <c r="F275" s="47">
        <v>0</v>
      </c>
      <c r="G275" s="47">
        <v>0</v>
      </c>
      <c r="H275" s="47">
        <v>0</v>
      </c>
      <c r="I275" s="47">
        <v>0</v>
      </c>
      <c r="J275" s="47">
        <v>0</v>
      </c>
      <c r="K275" s="47">
        <v>0</v>
      </c>
      <c r="L275" s="47">
        <v>0</v>
      </c>
      <c r="M275" s="47">
        <v>0</v>
      </c>
    </row>
    <row r="276" spans="1:13" x14ac:dyDescent="0.25">
      <c r="A276" s="306"/>
      <c r="B276" s="323"/>
      <c r="C276" s="21" t="s">
        <v>102</v>
      </c>
      <c r="D276" s="1" t="s">
        <v>8</v>
      </c>
      <c r="E276" s="46">
        <v>0</v>
      </c>
      <c r="F276" s="46">
        <v>0</v>
      </c>
      <c r="G276" s="46">
        <v>0</v>
      </c>
      <c r="H276" s="46">
        <v>0</v>
      </c>
      <c r="I276" s="46">
        <v>0</v>
      </c>
      <c r="J276" s="46">
        <v>0</v>
      </c>
      <c r="K276" s="46">
        <v>0</v>
      </c>
      <c r="L276" s="46">
        <v>0</v>
      </c>
      <c r="M276" s="46">
        <v>0</v>
      </c>
    </row>
    <row r="277" spans="1:13" x14ac:dyDescent="0.25">
      <c r="A277" s="306"/>
      <c r="B277" s="323"/>
      <c r="C277" s="21" t="s">
        <v>103</v>
      </c>
      <c r="D277" s="1" t="s">
        <v>9</v>
      </c>
      <c r="E277" s="44"/>
      <c r="F277" s="44"/>
      <c r="G277" s="44"/>
      <c r="H277" s="44"/>
      <c r="I277" s="44"/>
      <c r="J277" s="44"/>
      <c r="K277" s="44"/>
      <c r="L277" s="44"/>
      <c r="M277" s="44"/>
    </row>
    <row r="278" spans="1:13" x14ac:dyDescent="0.25">
      <c r="A278" s="306"/>
      <c r="B278" s="323"/>
      <c r="C278" s="21" t="s">
        <v>104</v>
      </c>
      <c r="D278" s="1" t="s">
        <v>10</v>
      </c>
      <c r="E278" s="44"/>
      <c r="F278" s="44"/>
      <c r="G278" s="44"/>
      <c r="H278" s="44"/>
      <c r="I278" s="44"/>
      <c r="J278" s="44"/>
      <c r="K278" s="44"/>
      <c r="L278" s="44"/>
      <c r="M278" s="44"/>
    </row>
    <row r="279" spans="1:13" x14ac:dyDescent="0.25">
      <c r="A279" s="306"/>
      <c r="B279" s="323"/>
      <c r="C279" s="22" t="s">
        <v>11</v>
      </c>
      <c r="D279" s="23" t="s">
        <v>10</v>
      </c>
      <c r="E279" s="44"/>
      <c r="F279" s="44"/>
      <c r="G279" s="44"/>
      <c r="H279" s="44"/>
      <c r="I279" s="44"/>
      <c r="J279" s="44"/>
      <c r="K279" s="44"/>
      <c r="L279" s="44"/>
      <c r="M279" s="44"/>
    </row>
    <row r="280" spans="1:13" x14ac:dyDescent="0.25">
      <c r="A280" s="306"/>
      <c r="B280" s="323"/>
      <c r="C280" s="21" t="s">
        <v>12</v>
      </c>
      <c r="D280" s="1" t="s">
        <v>7</v>
      </c>
      <c r="E280" s="47">
        <v>1</v>
      </c>
      <c r="F280" s="47">
        <v>1</v>
      </c>
      <c r="G280" s="47">
        <v>1</v>
      </c>
      <c r="H280" s="47">
        <v>1</v>
      </c>
      <c r="I280" s="47">
        <v>1</v>
      </c>
      <c r="J280" s="47">
        <v>1</v>
      </c>
      <c r="K280" s="47">
        <v>1</v>
      </c>
      <c r="L280" s="47">
        <v>1</v>
      </c>
      <c r="M280" s="47">
        <v>1</v>
      </c>
    </row>
    <row r="281" spans="1:13" x14ac:dyDescent="0.25">
      <c r="A281" s="306"/>
      <c r="B281" s="323"/>
      <c r="C281" s="21" t="s">
        <v>13</v>
      </c>
      <c r="D281" s="1" t="s">
        <v>14</v>
      </c>
      <c r="E281" s="46">
        <v>92256.599999999991</v>
      </c>
      <c r="F281" s="46">
        <v>92691.599999999991</v>
      </c>
      <c r="G281" s="46">
        <v>93851.599999999991</v>
      </c>
      <c r="H281" s="46">
        <v>95446.599999999991</v>
      </c>
      <c r="I281" s="46">
        <v>97621.599999999991</v>
      </c>
      <c r="J281" s="46">
        <v>101971.59999999999</v>
      </c>
      <c r="K281" s="46">
        <v>116471.59999999999</v>
      </c>
      <c r="L281" s="46">
        <v>146921.59999999998</v>
      </c>
      <c r="M281" s="46">
        <v>207821.59999999998</v>
      </c>
    </row>
    <row r="282" spans="1:13" x14ac:dyDescent="0.25">
      <c r="A282" s="306"/>
      <c r="B282" s="323"/>
      <c r="C282" s="21" t="s">
        <v>15</v>
      </c>
      <c r="D282" s="1" t="s">
        <v>4</v>
      </c>
      <c r="E282" s="46">
        <v>40</v>
      </c>
      <c r="F282" s="46">
        <v>40</v>
      </c>
      <c r="G282" s="46">
        <v>40</v>
      </c>
      <c r="H282" s="46">
        <v>40</v>
      </c>
      <c r="I282" s="46">
        <v>40</v>
      </c>
      <c r="J282" s="46">
        <v>40</v>
      </c>
      <c r="K282" s="46">
        <v>40</v>
      </c>
      <c r="L282" s="46">
        <v>40</v>
      </c>
      <c r="M282" s="46">
        <v>40</v>
      </c>
    </row>
  </sheetData>
  <sheetProtection algorithmName="SHA-512" hashValue="5gt5SFZ4grfbs2HtkNWyqyCAOfqDml/uEk2mzLaErX2eSiRJfCJUeMIYFAydelfbFqTa5i1qqg2erOq+Nl6j0Q==" saltValue="S6JvrwXCFR3q3pGXxKWVbw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22">
    <tabColor theme="9" tint="-0.249977111117893"/>
  </sheetPr>
  <dimension ref="A1:O282"/>
  <sheetViews>
    <sheetView zoomScale="85" zoomScaleNormal="85" workbookViewId="0">
      <pane ySplit="1" topLeftCell="A158" activePane="bottomLeft" state="frozen"/>
      <selection activeCell="F118" sqref="F118"/>
      <selection pane="bottomLeft" activeCell="E2" sqref="E2:M282"/>
    </sheetView>
  </sheetViews>
  <sheetFormatPr baseColWidth="10" defaultColWidth="10.85546875" defaultRowHeight="15" x14ac:dyDescent="0.25"/>
  <cols>
    <col min="1" max="1" width="4.7109375" style="30" customWidth="1"/>
    <col min="2" max="2" width="20.140625" style="30" bestFit="1" customWidth="1"/>
    <col min="3" max="3" width="45.42578125" style="26" customWidth="1"/>
    <col min="4" max="4" width="12.140625" style="27" customWidth="1"/>
    <col min="5" max="12" width="12.28515625" style="54" bestFit="1" customWidth="1"/>
    <col min="13" max="13" width="13.42578125" style="54" bestFit="1" customWidth="1"/>
    <col min="14" max="14" width="15" style="30" customWidth="1"/>
    <col min="15" max="16384" width="10.85546875" style="30"/>
  </cols>
  <sheetData>
    <row r="1" spans="1:14" ht="15.75" x14ac:dyDescent="0.25">
      <c r="A1" s="40"/>
      <c r="B1" s="41" t="s">
        <v>0</v>
      </c>
      <c r="C1" s="28" t="s">
        <v>1</v>
      </c>
      <c r="D1" s="29" t="s">
        <v>2</v>
      </c>
      <c r="E1" s="42">
        <v>15</v>
      </c>
      <c r="F1" s="43">
        <v>30</v>
      </c>
      <c r="G1" s="43">
        <v>70</v>
      </c>
      <c r="H1" s="43">
        <v>125</v>
      </c>
      <c r="I1" s="43">
        <v>200</v>
      </c>
      <c r="J1" s="43">
        <v>350</v>
      </c>
      <c r="K1" s="43">
        <v>850</v>
      </c>
      <c r="L1" s="43">
        <v>1900</v>
      </c>
      <c r="M1" s="43">
        <v>4000</v>
      </c>
    </row>
    <row r="2" spans="1:14" x14ac:dyDescent="0.25">
      <c r="A2" s="306">
        <v>1</v>
      </c>
      <c r="B2" s="322" t="s">
        <v>3</v>
      </c>
      <c r="C2" s="21" t="s">
        <v>101</v>
      </c>
      <c r="D2" s="1" t="s">
        <v>4</v>
      </c>
      <c r="E2" s="44">
        <v>20</v>
      </c>
      <c r="F2" s="44">
        <v>20</v>
      </c>
      <c r="G2" s="44">
        <v>20</v>
      </c>
      <c r="H2" s="44">
        <v>20</v>
      </c>
      <c r="I2" s="44">
        <v>20</v>
      </c>
      <c r="J2" s="44">
        <v>20</v>
      </c>
      <c r="K2" s="44">
        <v>20</v>
      </c>
      <c r="L2" s="44">
        <v>20</v>
      </c>
      <c r="M2" s="44">
        <v>20</v>
      </c>
      <c r="N2" s="45"/>
    </row>
    <row r="3" spans="1:14" x14ac:dyDescent="0.25">
      <c r="A3" s="306"/>
      <c r="B3" s="322"/>
      <c r="C3" s="21" t="s">
        <v>5</v>
      </c>
      <c r="D3" s="1" t="s">
        <v>6</v>
      </c>
      <c r="E3" s="46">
        <v>192.56641637688614</v>
      </c>
      <c r="F3" s="46">
        <v>163.18945257039451</v>
      </c>
      <c r="G3" s="46">
        <v>127.27927465146402</v>
      </c>
      <c r="H3" s="46">
        <v>102.70540718565383</v>
      </c>
      <c r="I3" s="46">
        <v>107.31263157894738</v>
      </c>
      <c r="J3" s="46">
        <v>107.00631578947369</v>
      </c>
      <c r="K3" s="46">
        <v>105.98526315789475</v>
      </c>
      <c r="L3" s="46">
        <v>103.84105263157896</v>
      </c>
      <c r="M3" s="46">
        <v>99.55263157894737</v>
      </c>
      <c r="N3" s="45"/>
    </row>
    <row r="4" spans="1:14" x14ac:dyDescent="0.25">
      <c r="A4" s="306"/>
      <c r="B4" s="322"/>
      <c r="C4" s="21" t="s">
        <v>172</v>
      </c>
      <c r="D4" s="1" t="s">
        <v>19</v>
      </c>
      <c r="E4" s="47">
        <v>0</v>
      </c>
      <c r="F4" s="47">
        <v>0</v>
      </c>
      <c r="G4" s="47">
        <v>0</v>
      </c>
      <c r="H4" s="47">
        <v>0</v>
      </c>
      <c r="I4" s="47">
        <v>0</v>
      </c>
      <c r="J4" s="47">
        <v>0</v>
      </c>
      <c r="K4" s="47">
        <v>0</v>
      </c>
      <c r="L4" s="47">
        <v>0</v>
      </c>
      <c r="M4" s="47">
        <v>0</v>
      </c>
      <c r="N4" s="45"/>
    </row>
    <row r="5" spans="1:14" x14ac:dyDescent="0.25">
      <c r="A5" s="306"/>
      <c r="B5" s="322"/>
      <c r="C5" s="21" t="s">
        <v>102</v>
      </c>
      <c r="D5" s="1" t="s">
        <v>8</v>
      </c>
      <c r="E5" s="44"/>
      <c r="F5" s="44"/>
      <c r="G5" s="44"/>
      <c r="H5" s="44"/>
      <c r="I5" s="44"/>
      <c r="J5" s="44"/>
      <c r="K5" s="44"/>
      <c r="L5" s="44"/>
      <c r="M5" s="44"/>
      <c r="N5" s="45"/>
    </row>
    <row r="6" spans="1:14" x14ac:dyDescent="0.25">
      <c r="A6" s="306"/>
      <c r="B6" s="322"/>
      <c r="C6" s="21" t="s">
        <v>103</v>
      </c>
      <c r="D6" s="1" t="s">
        <v>9</v>
      </c>
      <c r="E6" s="46">
        <v>5.7769924913065838</v>
      </c>
      <c r="F6" s="46">
        <v>4.8956835771118348</v>
      </c>
      <c r="G6" s="46">
        <v>3.8183782395439203</v>
      </c>
      <c r="H6" s="46">
        <v>3.0811622155696146</v>
      </c>
      <c r="I6" s="46">
        <v>2.0378947368421052</v>
      </c>
      <c r="J6" s="46">
        <v>2.0189473684210526</v>
      </c>
      <c r="K6" s="46">
        <v>1.9557894736842103</v>
      </c>
      <c r="L6" s="46">
        <v>1.8231578947368419</v>
      </c>
      <c r="M6" s="46">
        <v>1.557894736842105</v>
      </c>
      <c r="N6" s="45"/>
    </row>
    <row r="7" spans="1:14" x14ac:dyDescent="0.25">
      <c r="A7" s="306"/>
      <c r="B7" s="322"/>
      <c r="C7" s="21" t="s">
        <v>104</v>
      </c>
      <c r="D7" s="1" t="s">
        <v>10</v>
      </c>
      <c r="E7" s="46">
        <v>0</v>
      </c>
      <c r="F7" s="46">
        <v>0</v>
      </c>
      <c r="G7" s="46">
        <v>0</v>
      </c>
      <c r="H7" s="46">
        <v>0</v>
      </c>
      <c r="I7" s="46">
        <v>0</v>
      </c>
      <c r="J7" s="46">
        <v>0</v>
      </c>
      <c r="K7" s="46">
        <v>1.7051368421052632E-3</v>
      </c>
      <c r="L7" s="46">
        <v>1.5645473684210527E-3</v>
      </c>
      <c r="M7" s="46">
        <v>1.2833684210526316E-3</v>
      </c>
      <c r="N7" s="45"/>
    </row>
    <row r="8" spans="1:14" x14ac:dyDescent="0.25">
      <c r="A8" s="306"/>
      <c r="B8" s="322"/>
      <c r="C8" s="22" t="s">
        <v>11</v>
      </c>
      <c r="D8" s="23" t="s">
        <v>10</v>
      </c>
      <c r="E8" s="46">
        <v>0</v>
      </c>
      <c r="F8" s="44"/>
      <c r="G8" s="44"/>
      <c r="H8" s="44"/>
      <c r="I8" s="44"/>
      <c r="J8" s="44"/>
      <c r="K8" s="44"/>
      <c r="L8" s="44"/>
      <c r="M8" s="44"/>
      <c r="N8" s="45"/>
    </row>
    <row r="9" spans="1:14" x14ac:dyDescent="0.25">
      <c r="A9" s="306"/>
      <c r="B9" s="322"/>
      <c r="C9" s="21" t="s">
        <v>12</v>
      </c>
      <c r="D9" s="1" t="s">
        <v>7</v>
      </c>
      <c r="E9" s="47">
        <v>0.99749999999999994</v>
      </c>
      <c r="F9" s="47">
        <v>0.99749999999999994</v>
      </c>
      <c r="G9" s="47">
        <v>0.99749999999999994</v>
      </c>
      <c r="H9" s="47">
        <v>0.99749999999999994</v>
      </c>
      <c r="I9" s="47">
        <v>0.99749999999999994</v>
      </c>
      <c r="J9" s="47">
        <v>0.99749999999999994</v>
      </c>
      <c r="K9" s="47">
        <v>0.999</v>
      </c>
      <c r="L9" s="47">
        <v>0.999</v>
      </c>
      <c r="M9" s="47">
        <v>0.999</v>
      </c>
      <c r="N9" s="45"/>
    </row>
    <row r="10" spans="1:14" x14ac:dyDescent="0.25">
      <c r="A10" s="306"/>
      <c r="B10" s="322"/>
      <c r="C10" s="21" t="s">
        <v>13</v>
      </c>
      <c r="D10" s="1" t="s">
        <v>14</v>
      </c>
      <c r="E10" s="46">
        <v>1524.6</v>
      </c>
      <c r="F10" s="46">
        <v>1749.6</v>
      </c>
      <c r="G10" s="46">
        <v>2349.6</v>
      </c>
      <c r="H10" s="46">
        <v>3174.6</v>
      </c>
      <c r="I10" s="46">
        <v>4299.6000000000004</v>
      </c>
      <c r="J10" s="46">
        <v>14213</v>
      </c>
      <c r="K10" s="46">
        <v>21713</v>
      </c>
      <c r="L10" s="46">
        <v>37463</v>
      </c>
      <c r="M10" s="46">
        <v>68963</v>
      </c>
      <c r="N10" s="45"/>
    </row>
    <row r="11" spans="1:14" x14ac:dyDescent="0.25">
      <c r="A11" s="306"/>
      <c r="B11" s="322"/>
      <c r="C11" s="21" t="s">
        <v>15</v>
      </c>
      <c r="D11" s="1" t="s">
        <v>4</v>
      </c>
      <c r="E11" s="44">
        <v>40</v>
      </c>
      <c r="F11" s="44">
        <v>40</v>
      </c>
      <c r="G11" s="44">
        <v>40</v>
      </c>
      <c r="H11" s="44">
        <v>40</v>
      </c>
      <c r="I11" s="44">
        <v>40</v>
      </c>
      <c r="J11" s="44">
        <v>40</v>
      </c>
      <c r="K11" s="44">
        <v>40</v>
      </c>
      <c r="L11" s="44">
        <v>40</v>
      </c>
      <c r="M11" s="44">
        <v>40</v>
      </c>
      <c r="N11" s="45"/>
    </row>
    <row r="12" spans="1:14" x14ac:dyDescent="0.25">
      <c r="A12" s="306">
        <v>2</v>
      </c>
      <c r="B12" s="322" t="s">
        <v>16</v>
      </c>
      <c r="C12" s="21" t="s">
        <v>101</v>
      </c>
      <c r="D12" s="1" t="s">
        <v>4</v>
      </c>
      <c r="E12" s="44">
        <v>20</v>
      </c>
      <c r="F12" s="44">
        <v>20</v>
      </c>
      <c r="G12" s="44">
        <v>20</v>
      </c>
      <c r="H12" s="44">
        <v>20</v>
      </c>
      <c r="I12" s="44">
        <v>20</v>
      </c>
      <c r="J12" s="44">
        <v>20</v>
      </c>
      <c r="K12" s="44">
        <v>20</v>
      </c>
      <c r="L12" s="44">
        <v>20</v>
      </c>
      <c r="M12" s="44">
        <v>20</v>
      </c>
      <c r="N12" s="45"/>
    </row>
    <row r="13" spans="1:14" x14ac:dyDescent="0.25">
      <c r="A13" s="306"/>
      <c r="B13" s="322"/>
      <c r="C13" s="21" t="s">
        <v>5</v>
      </c>
      <c r="D13" s="1" t="s">
        <v>6</v>
      </c>
      <c r="E13" s="46">
        <v>494.71174673968642</v>
      </c>
      <c r="F13" s="46">
        <v>312.36296273633667</v>
      </c>
      <c r="G13" s="46">
        <v>178.05603719956605</v>
      </c>
      <c r="H13" s="46">
        <v>121.20304082376755</v>
      </c>
      <c r="I13" s="46">
        <v>109.6</v>
      </c>
      <c r="J13" s="46">
        <v>109.6</v>
      </c>
      <c r="K13" s="46">
        <v>171.91447304854711</v>
      </c>
      <c r="L13" s="46">
        <v>255.68869759648467</v>
      </c>
      <c r="M13" s="46">
        <v>423.23714669235983</v>
      </c>
      <c r="N13" s="45"/>
    </row>
    <row r="14" spans="1:14" x14ac:dyDescent="0.25">
      <c r="A14" s="306"/>
      <c r="B14" s="322"/>
      <c r="C14" s="21" t="s">
        <v>172</v>
      </c>
      <c r="D14" s="1" t="s">
        <v>19</v>
      </c>
      <c r="E14" s="47">
        <v>0</v>
      </c>
      <c r="F14" s="47">
        <v>0</v>
      </c>
      <c r="G14" s="47">
        <v>0</v>
      </c>
      <c r="H14" s="47">
        <v>0</v>
      </c>
      <c r="I14" s="47">
        <v>0</v>
      </c>
      <c r="J14" s="47">
        <v>0</v>
      </c>
      <c r="K14" s="47">
        <v>0</v>
      </c>
      <c r="L14" s="47">
        <v>0</v>
      </c>
      <c r="M14" s="47">
        <v>0</v>
      </c>
      <c r="N14" s="45"/>
    </row>
    <row r="15" spans="1:14" x14ac:dyDescent="0.25">
      <c r="A15" s="306"/>
      <c r="B15" s="322"/>
      <c r="C15" s="21" t="s">
        <v>102</v>
      </c>
      <c r="D15" s="1" t="s">
        <v>8</v>
      </c>
      <c r="E15" s="44"/>
      <c r="F15" s="44"/>
      <c r="G15" s="44"/>
      <c r="H15" s="44"/>
      <c r="I15" s="44"/>
      <c r="J15" s="44"/>
      <c r="K15" s="44"/>
      <c r="L15" s="44"/>
      <c r="M15" s="44"/>
      <c r="N15" s="45"/>
    </row>
    <row r="16" spans="1:14" x14ac:dyDescent="0.25">
      <c r="A16" s="306"/>
      <c r="B16" s="322"/>
      <c r="C16" s="21" t="s">
        <v>103</v>
      </c>
      <c r="D16" s="1" t="s">
        <v>9</v>
      </c>
      <c r="E16" s="46">
        <v>29.682704804381178</v>
      </c>
      <c r="F16" s="46">
        <v>18.741777764180195</v>
      </c>
      <c r="G16" s="46">
        <v>10.683362231973959</v>
      </c>
      <c r="H16" s="46">
        <v>7.2721824494260519</v>
      </c>
      <c r="I16" s="46">
        <v>6.8624146125191272</v>
      </c>
      <c r="J16" s="46">
        <v>6.8624146125191272</v>
      </c>
      <c r="K16" s="46">
        <v>6.5392098262047078</v>
      </c>
      <c r="L16" s="46">
        <v>6.0171097867737213</v>
      </c>
      <c r="M16" s="46">
        <v>4.9729097079117501</v>
      </c>
      <c r="N16" s="45"/>
    </row>
    <row r="17" spans="1:14" x14ac:dyDescent="0.25">
      <c r="A17" s="306"/>
      <c r="B17" s="322"/>
      <c r="C17" s="21" t="s">
        <v>104</v>
      </c>
      <c r="D17" s="1" t="s">
        <v>10</v>
      </c>
      <c r="E17" s="46">
        <v>0</v>
      </c>
      <c r="F17" s="46">
        <v>0</v>
      </c>
      <c r="G17" s="46">
        <v>0</v>
      </c>
      <c r="H17" s="46">
        <v>0</v>
      </c>
      <c r="I17" s="46">
        <v>0</v>
      </c>
      <c r="J17" s="46">
        <v>0</v>
      </c>
      <c r="K17" s="46">
        <v>2.4763769947298963E-3</v>
      </c>
      <c r="L17" s="46">
        <v>2.4763769947298963E-3</v>
      </c>
      <c r="M17" s="46">
        <v>2.4763769947298963E-3</v>
      </c>
      <c r="N17" s="45"/>
    </row>
    <row r="18" spans="1:14" x14ac:dyDescent="0.25">
      <c r="A18" s="306"/>
      <c r="B18" s="322"/>
      <c r="C18" s="22" t="s">
        <v>11</v>
      </c>
      <c r="D18" s="23" t="s">
        <v>10</v>
      </c>
      <c r="E18" s="46">
        <v>0</v>
      </c>
      <c r="F18" s="46">
        <v>0</v>
      </c>
      <c r="G18" s="46">
        <v>0</v>
      </c>
      <c r="H18" s="46">
        <v>0</v>
      </c>
      <c r="I18" s="46">
        <v>0</v>
      </c>
      <c r="J18" s="46">
        <v>0</v>
      </c>
      <c r="K18" s="46">
        <v>0</v>
      </c>
      <c r="L18" s="46">
        <v>0</v>
      </c>
      <c r="M18" s="46">
        <v>0</v>
      </c>
      <c r="N18" s="45"/>
    </row>
    <row r="19" spans="1:14" x14ac:dyDescent="0.25">
      <c r="A19" s="306"/>
      <c r="B19" s="322"/>
      <c r="C19" s="21" t="s">
        <v>12</v>
      </c>
      <c r="D19" s="1" t="s">
        <v>7</v>
      </c>
      <c r="E19" s="47">
        <v>0.87200000000000033</v>
      </c>
      <c r="F19" s="47">
        <v>0.87200000000000033</v>
      </c>
      <c r="G19" s="47">
        <v>0.87200000000000033</v>
      </c>
      <c r="H19" s="47">
        <v>0.87200000000000033</v>
      </c>
      <c r="I19" s="47">
        <v>0.87200000000000033</v>
      </c>
      <c r="J19" s="47">
        <v>0.87200000000000033</v>
      </c>
      <c r="K19" s="47">
        <v>0.87200000000000033</v>
      </c>
      <c r="L19" s="47">
        <v>0.95516666666666661</v>
      </c>
      <c r="M19" s="47">
        <v>0.95516666666666661</v>
      </c>
      <c r="N19" s="45"/>
    </row>
    <row r="20" spans="1:14" x14ac:dyDescent="0.25">
      <c r="A20" s="306"/>
      <c r="B20" s="322"/>
      <c r="C20" s="21" t="s">
        <v>13</v>
      </c>
      <c r="D20" s="1" t="s">
        <v>14</v>
      </c>
      <c r="E20" s="44"/>
      <c r="F20" s="44"/>
      <c r="G20" s="44"/>
      <c r="H20" s="44"/>
      <c r="I20" s="44"/>
      <c r="J20" s="44"/>
      <c r="K20" s="44"/>
      <c r="L20" s="44"/>
      <c r="M20" s="44"/>
      <c r="N20" s="45"/>
    </row>
    <row r="21" spans="1:14" x14ac:dyDescent="0.25">
      <c r="A21" s="306"/>
      <c r="B21" s="322"/>
      <c r="C21" s="21" t="s">
        <v>15</v>
      </c>
      <c r="D21" s="1" t="s">
        <v>4</v>
      </c>
      <c r="E21" s="44"/>
      <c r="F21" s="44"/>
      <c r="G21" s="44"/>
      <c r="H21" s="44"/>
      <c r="I21" s="44"/>
      <c r="J21" s="44"/>
      <c r="K21" s="44"/>
      <c r="L21" s="44"/>
      <c r="M21" s="44"/>
      <c r="N21" s="45"/>
    </row>
    <row r="22" spans="1:14" ht="14.45" customHeight="1" x14ac:dyDescent="0.25">
      <c r="A22" s="306">
        <v>3</v>
      </c>
      <c r="B22" s="323" t="s">
        <v>144</v>
      </c>
      <c r="C22" s="21" t="s">
        <v>101</v>
      </c>
      <c r="D22" s="1" t="s">
        <v>4</v>
      </c>
      <c r="E22" s="44">
        <v>20</v>
      </c>
      <c r="F22" s="44">
        <v>20</v>
      </c>
      <c r="G22" s="44">
        <v>20</v>
      </c>
      <c r="H22" s="44">
        <v>20</v>
      </c>
      <c r="I22" s="44">
        <v>20</v>
      </c>
      <c r="J22" s="44">
        <v>20</v>
      </c>
      <c r="K22" s="44">
        <v>20</v>
      </c>
      <c r="L22" s="44">
        <v>20</v>
      </c>
      <c r="M22" s="44">
        <v>20</v>
      </c>
      <c r="N22" s="45"/>
    </row>
    <row r="23" spans="1:14" x14ac:dyDescent="0.25">
      <c r="A23" s="306"/>
      <c r="B23" s="323"/>
      <c r="C23" s="21" t="s">
        <v>5</v>
      </c>
      <c r="D23" s="1" t="s">
        <v>6</v>
      </c>
      <c r="E23" s="46">
        <v>756.50213541090761</v>
      </c>
      <c r="F23" s="46">
        <v>540.20663720034383</v>
      </c>
      <c r="G23" s="46">
        <v>421.48150193390472</v>
      </c>
      <c r="H23" s="46">
        <v>421.48150193390472</v>
      </c>
      <c r="I23" s="46">
        <v>421.48150193390472</v>
      </c>
      <c r="J23" s="46">
        <v>421.48150193390472</v>
      </c>
      <c r="K23" s="46">
        <v>1120.903443434433</v>
      </c>
      <c r="L23" s="46">
        <v>975.21226311391229</v>
      </c>
      <c r="M23" s="46">
        <v>857.30536609258718</v>
      </c>
      <c r="N23" s="45"/>
    </row>
    <row r="24" spans="1:14" x14ac:dyDescent="0.25">
      <c r="A24" s="306"/>
      <c r="B24" s="323"/>
      <c r="C24" s="21" t="s">
        <v>172</v>
      </c>
      <c r="D24" s="1" t="s">
        <v>19</v>
      </c>
      <c r="E24" s="47">
        <v>0</v>
      </c>
      <c r="F24" s="47">
        <v>0</v>
      </c>
      <c r="G24" s="47">
        <v>0</v>
      </c>
      <c r="H24" s="47">
        <v>0</v>
      </c>
      <c r="I24" s="47">
        <v>0</v>
      </c>
      <c r="J24" s="47">
        <v>0</v>
      </c>
      <c r="K24" s="47">
        <v>0</v>
      </c>
      <c r="L24" s="47">
        <v>0</v>
      </c>
      <c r="M24" s="47">
        <v>0</v>
      </c>
      <c r="N24" s="45"/>
    </row>
    <row r="25" spans="1:14" x14ac:dyDescent="0.25">
      <c r="A25" s="306"/>
      <c r="B25" s="323"/>
      <c r="C25" s="21" t="s">
        <v>102</v>
      </c>
      <c r="D25" s="1" t="s">
        <v>8</v>
      </c>
      <c r="E25" s="44"/>
      <c r="F25" s="44"/>
      <c r="G25" s="44"/>
      <c r="H25" s="44"/>
      <c r="I25" s="44"/>
      <c r="J25" s="44"/>
      <c r="K25" s="44"/>
      <c r="L25" s="44"/>
      <c r="M25" s="44"/>
      <c r="N25" s="45"/>
    </row>
    <row r="26" spans="1:14" x14ac:dyDescent="0.25">
      <c r="A26" s="306"/>
      <c r="B26" s="323"/>
      <c r="C26" s="21" t="s">
        <v>103</v>
      </c>
      <c r="D26" s="1" t="s">
        <v>9</v>
      </c>
      <c r="E26" s="46">
        <v>11.347532031163613</v>
      </c>
      <c r="F26" s="46">
        <v>8.103099558005157</v>
      </c>
      <c r="G26" s="46">
        <v>6.3222225290085703</v>
      </c>
      <c r="H26" s="46">
        <v>6.3222225290085703</v>
      </c>
      <c r="I26" s="46">
        <v>6.3222225290085703</v>
      </c>
      <c r="J26" s="46">
        <v>6.3222225290085703</v>
      </c>
      <c r="K26" s="46">
        <v>1.538</v>
      </c>
      <c r="L26" s="46">
        <v>1.538</v>
      </c>
      <c r="M26" s="46">
        <v>1.538</v>
      </c>
      <c r="N26" s="45"/>
    </row>
    <row r="27" spans="1:14" x14ac:dyDescent="0.25">
      <c r="A27" s="306"/>
      <c r="B27" s="323"/>
      <c r="C27" s="21" t="s">
        <v>104</v>
      </c>
      <c r="D27" s="1" t="s">
        <v>10</v>
      </c>
      <c r="E27" s="46">
        <v>0</v>
      </c>
      <c r="F27" s="46">
        <v>0</v>
      </c>
      <c r="G27" s="46">
        <v>0</v>
      </c>
      <c r="H27" s="46">
        <v>0</v>
      </c>
      <c r="I27" s="46">
        <v>0</v>
      </c>
      <c r="J27" s="46">
        <v>0</v>
      </c>
      <c r="K27" s="46">
        <v>2.0100000000000001E-3</v>
      </c>
      <c r="L27" s="46">
        <v>2.0100000000000001E-3</v>
      </c>
      <c r="M27" s="46">
        <v>2.0100000000000001E-3</v>
      </c>
      <c r="N27" s="45"/>
    </row>
    <row r="28" spans="1:14" ht="18.75" x14ac:dyDescent="0.25">
      <c r="A28" s="306"/>
      <c r="B28" s="323"/>
      <c r="C28" s="22" t="s">
        <v>105</v>
      </c>
      <c r="D28" s="23" t="s">
        <v>17</v>
      </c>
      <c r="E28" s="46">
        <v>0</v>
      </c>
      <c r="F28" s="46">
        <v>0</v>
      </c>
      <c r="G28" s="46">
        <v>0</v>
      </c>
      <c r="H28" s="46">
        <v>0</v>
      </c>
      <c r="I28" s="46">
        <v>0</v>
      </c>
      <c r="J28" s="46">
        <v>0</v>
      </c>
      <c r="K28" s="46">
        <v>0</v>
      </c>
      <c r="L28" s="46">
        <v>0</v>
      </c>
      <c r="M28" s="46">
        <v>0</v>
      </c>
      <c r="N28" s="45"/>
    </row>
    <row r="29" spans="1:14" x14ac:dyDescent="0.25">
      <c r="A29" s="306"/>
      <c r="B29" s="323"/>
      <c r="C29" s="22" t="s">
        <v>11</v>
      </c>
      <c r="D29" s="23" t="s">
        <v>10</v>
      </c>
      <c r="E29" s="46">
        <v>0</v>
      </c>
      <c r="F29" s="46">
        <v>0</v>
      </c>
      <c r="G29" s="46">
        <v>0</v>
      </c>
      <c r="H29" s="46">
        <v>0</v>
      </c>
      <c r="I29" s="46">
        <v>0</v>
      </c>
      <c r="J29" s="46">
        <v>0</v>
      </c>
      <c r="K29" s="46">
        <v>0</v>
      </c>
      <c r="L29" s="46">
        <v>0</v>
      </c>
      <c r="M29" s="46">
        <v>0</v>
      </c>
      <c r="N29" s="45"/>
    </row>
    <row r="30" spans="1:14" x14ac:dyDescent="0.25">
      <c r="A30" s="306"/>
      <c r="B30" s="323"/>
      <c r="C30" s="21" t="s">
        <v>18</v>
      </c>
      <c r="D30" s="2" t="s">
        <v>19</v>
      </c>
      <c r="E30" s="44">
        <v>3.98</v>
      </c>
      <c r="F30" s="44">
        <v>3.98</v>
      </c>
      <c r="G30" s="44">
        <v>3.98</v>
      </c>
      <c r="H30" s="44">
        <v>3.98</v>
      </c>
      <c r="I30" s="44">
        <v>3.98</v>
      </c>
      <c r="J30" s="44">
        <v>3.98</v>
      </c>
      <c r="K30" s="44">
        <v>3.98</v>
      </c>
      <c r="L30" s="44">
        <v>3.98</v>
      </c>
      <c r="M30" s="44">
        <v>3.98</v>
      </c>
      <c r="N30" s="45"/>
    </row>
    <row r="31" spans="1:14" x14ac:dyDescent="0.25">
      <c r="A31" s="306"/>
      <c r="B31" s="323"/>
      <c r="C31" s="21" t="s">
        <v>13</v>
      </c>
      <c r="D31" s="1" t="s">
        <v>14</v>
      </c>
      <c r="E31" s="44"/>
      <c r="F31" s="44"/>
      <c r="G31" s="44"/>
      <c r="H31" s="44"/>
      <c r="I31" s="44"/>
      <c r="J31" s="44"/>
      <c r="K31" s="44"/>
      <c r="L31" s="44"/>
      <c r="M31" s="44"/>
      <c r="N31" s="45"/>
    </row>
    <row r="32" spans="1:14" x14ac:dyDescent="0.25">
      <c r="A32" s="306"/>
      <c r="B32" s="323"/>
      <c r="C32" s="21" t="s">
        <v>15</v>
      </c>
      <c r="D32" s="1" t="s">
        <v>4</v>
      </c>
      <c r="E32" s="44"/>
      <c r="F32" s="44"/>
      <c r="G32" s="44"/>
      <c r="H32" s="44"/>
      <c r="I32" s="44"/>
      <c r="J32" s="44"/>
      <c r="K32" s="44"/>
      <c r="L32" s="44"/>
      <c r="M32" s="44"/>
      <c r="N32" s="45"/>
    </row>
    <row r="33" spans="1:14" ht="14.45" customHeight="1" x14ac:dyDescent="0.25">
      <c r="A33" s="306">
        <v>4</v>
      </c>
      <c r="B33" s="323" t="s">
        <v>145</v>
      </c>
      <c r="C33" s="21" t="s">
        <v>101</v>
      </c>
      <c r="D33" s="1" t="s">
        <v>4</v>
      </c>
      <c r="E33" s="44">
        <v>20</v>
      </c>
      <c r="F33" s="44">
        <v>20</v>
      </c>
      <c r="G33" s="44">
        <v>20</v>
      </c>
      <c r="H33" s="44">
        <v>20</v>
      </c>
      <c r="I33" s="44">
        <v>20</v>
      </c>
      <c r="J33" s="44">
        <v>20</v>
      </c>
      <c r="K33" s="44">
        <v>20</v>
      </c>
      <c r="L33" s="44">
        <v>20</v>
      </c>
      <c r="M33" s="44">
        <v>20</v>
      </c>
      <c r="N33" s="45"/>
    </row>
    <row r="34" spans="1:14" x14ac:dyDescent="0.25">
      <c r="A34" s="306"/>
      <c r="B34" s="323"/>
      <c r="C34" s="21" t="s">
        <v>5</v>
      </c>
      <c r="D34" s="1" t="s">
        <v>6</v>
      </c>
      <c r="E34" s="46">
        <v>756.50213541090761</v>
      </c>
      <c r="F34" s="46">
        <v>540.20663720034383</v>
      </c>
      <c r="G34" s="46">
        <v>421.48150193390472</v>
      </c>
      <c r="H34" s="46">
        <v>421.48150193390472</v>
      </c>
      <c r="I34" s="46">
        <v>421.48150193390472</v>
      </c>
      <c r="J34" s="46">
        <v>421.48150193390472</v>
      </c>
      <c r="K34" s="46">
        <v>1120.903443434433</v>
      </c>
      <c r="L34" s="46">
        <v>975.21226311391229</v>
      </c>
      <c r="M34" s="46">
        <v>857.30536609258718</v>
      </c>
      <c r="N34" s="45"/>
    </row>
    <row r="35" spans="1:14" x14ac:dyDescent="0.25">
      <c r="A35" s="306"/>
      <c r="B35" s="323"/>
      <c r="C35" s="21" t="s">
        <v>172</v>
      </c>
      <c r="D35" s="1" t="s">
        <v>19</v>
      </c>
      <c r="E35" s="47">
        <v>0</v>
      </c>
      <c r="F35" s="47">
        <v>0</v>
      </c>
      <c r="G35" s="47">
        <v>0</v>
      </c>
      <c r="H35" s="47">
        <v>0</v>
      </c>
      <c r="I35" s="47">
        <v>0</v>
      </c>
      <c r="J35" s="47">
        <v>0</v>
      </c>
      <c r="K35" s="47">
        <v>0</v>
      </c>
      <c r="L35" s="47">
        <v>0</v>
      </c>
      <c r="M35" s="47">
        <v>0</v>
      </c>
      <c r="N35" s="45"/>
    </row>
    <row r="36" spans="1:14" x14ac:dyDescent="0.25">
      <c r="A36" s="306"/>
      <c r="B36" s="323"/>
      <c r="C36" s="21" t="s">
        <v>102</v>
      </c>
      <c r="D36" s="1" t="s">
        <v>8</v>
      </c>
      <c r="E36" s="44"/>
      <c r="F36" s="44"/>
      <c r="G36" s="44"/>
      <c r="H36" s="44"/>
      <c r="I36" s="44"/>
      <c r="J36" s="44"/>
      <c r="K36" s="44"/>
      <c r="L36" s="44"/>
      <c r="M36" s="44"/>
      <c r="N36" s="45"/>
    </row>
    <row r="37" spans="1:14" x14ac:dyDescent="0.25">
      <c r="A37" s="306"/>
      <c r="B37" s="323"/>
      <c r="C37" s="21" t="s">
        <v>103</v>
      </c>
      <c r="D37" s="1" t="s">
        <v>9</v>
      </c>
      <c r="E37" s="46">
        <v>11.347532031163613</v>
      </c>
      <c r="F37" s="46">
        <v>8.103099558005157</v>
      </c>
      <c r="G37" s="46">
        <v>6.3222225290085703</v>
      </c>
      <c r="H37" s="46">
        <v>6.3222225290085703</v>
      </c>
      <c r="I37" s="46">
        <v>6.3222225290085703</v>
      </c>
      <c r="J37" s="46">
        <v>6.3222225290085703</v>
      </c>
      <c r="K37" s="46">
        <v>1.538</v>
      </c>
      <c r="L37" s="46">
        <v>1.538</v>
      </c>
      <c r="M37" s="46">
        <v>1.538</v>
      </c>
      <c r="N37" s="45"/>
    </row>
    <row r="38" spans="1:14" x14ac:dyDescent="0.25">
      <c r="A38" s="306"/>
      <c r="B38" s="323"/>
      <c r="C38" s="21" t="s">
        <v>104</v>
      </c>
      <c r="D38" s="1" t="s">
        <v>10</v>
      </c>
      <c r="E38" s="46">
        <v>0</v>
      </c>
      <c r="F38" s="46">
        <v>0</v>
      </c>
      <c r="G38" s="46">
        <v>0</v>
      </c>
      <c r="H38" s="46">
        <v>0</v>
      </c>
      <c r="I38" s="46">
        <v>0</v>
      </c>
      <c r="J38" s="46">
        <v>0</v>
      </c>
      <c r="K38" s="46">
        <v>2.0100000000000001E-3</v>
      </c>
      <c r="L38" s="46">
        <v>2.0100000000000001E-3</v>
      </c>
      <c r="M38" s="46">
        <v>2.0100000000000001E-3</v>
      </c>
      <c r="N38" s="45"/>
    </row>
    <row r="39" spans="1:14" ht="18.75" x14ac:dyDescent="0.25">
      <c r="A39" s="306"/>
      <c r="B39" s="323"/>
      <c r="C39" s="22" t="s">
        <v>105</v>
      </c>
      <c r="D39" s="23" t="s">
        <v>17</v>
      </c>
      <c r="E39" s="46">
        <v>0</v>
      </c>
      <c r="F39" s="46">
        <v>0</v>
      </c>
      <c r="G39" s="46">
        <v>0</v>
      </c>
      <c r="H39" s="46">
        <v>0</v>
      </c>
      <c r="I39" s="46">
        <v>0</v>
      </c>
      <c r="J39" s="46">
        <v>0</v>
      </c>
      <c r="K39" s="46">
        <v>0</v>
      </c>
      <c r="L39" s="46">
        <v>0</v>
      </c>
      <c r="M39" s="46">
        <v>0</v>
      </c>
      <c r="N39" s="45"/>
    </row>
    <row r="40" spans="1:14" x14ac:dyDescent="0.25">
      <c r="A40" s="306"/>
      <c r="B40" s="323"/>
      <c r="C40" s="22" t="s">
        <v>11</v>
      </c>
      <c r="D40" s="23" t="s">
        <v>10</v>
      </c>
      <c r="E40" s="46">
        <v>0</v>
      </c>
      <c r="F40" s="46">
        <v>0</v>
      </c>
      <c r="G40" s="46">
        <v>0</v>
      </c>
      <c r="H40" s="46">
        <v>0</v>
      </c>
      <c r="I40" s="46">
        <v>0</v>
      </c>
      <c r="J40" s="46">
        <v>0</v>
      </c>
      <c r="K40" s="46">
        <v>0</v>
      </c>
      <c r="L40" s="46">
        <v>0</v>
      </c>
      <c r="M40" s="46">
        <v>0</v>
      </c>
      <c r="N40" s="45"/>
    </row>
    <row r="41" spans="1:14" x14ac:dyDescent="0.25">
      <c r="A41" s="306"/>
      <c r="B41" s="323"/>
      <c r="C41" s="21" t="s">
        <v>18</v>
      </c>
      <c r="D41" s="2" t="s">
        <v>19</v>
      </c>
      <c r="E41" s="44">
        <v>3.73</v>
      </c>
      <c r="F41" s="44">
        <v>3.73</v>
      </c>
      <c r="G41" s="44">
        <v>3.73</v>
      </c>
      <c r="H41" s="44">
        <v>3.73</v>
      </c>
      <c r="I41" s="44">
        <v>3.73</v>
      </c>
      <c r="J41" s="44">
        <v>3.73</v>
      </c>
      <c r="K41" s="44">
        <v>3.73</v>
      </c>
      <c r="L41" s="44">
        <v>3.73</v>
      </c>
      <c r="M41" s="44">
        <v>3.73</v>
      </c>
      <c r="N41" s="45"/>
    </row>
    <row r="42" spans="1:14" x14ac:dyDescent="0.25">
      <c r="A42" s="306"/>
      <c r="B42" s="323"/>
      <c r="C42" s="21" t="s">
        <v>13</v>
      </c>
      <c r="D42" s="1" t="s">
        <v>14</v>
      </c>
      <c r="E42" s="44"/>
      <c r="F42" s="44"/>
      <c r="G42" s="44"/>
      <c r="H42" s="44"/>
      <c r="I42" s="44"/>
      <c r="J42" s="44"/>
      <c r="K42" s="44"/>
      <c r="L42" s="44"/>
      <c r="M42" s="44"/>
      <c r="N42" s="45"/>
    </row>
    <row r="43" spans="1:14" x14ac:dyDescent="0.25">
      <c r="A43" s="306"/>
      <c r="B43" s="323"/>
      <c r="C43" s="21" t="s">
        <v>15</v>
      </c>
      <c r="D43" s="1" t="s">
        <v>4</v>
      </c>
      <c r="E43" s="44"/>
      <c r="F43" s="44"/>
      <c r="G43" s="44"/>
      <c r="H43" s="44"/>
      <c r="I43" s="44"/>
      <c r="J43" s="44"/>
      <c r="K43" s="44"/>
      <c r="L43" s="44"/>
      <c r="M43" s="44"/>
      <c r="N43" s="45"/>
    </row>
    <row r="44" spans="1:14" ht="14.45" customHeight="1" x14ac:dyDescent="0.25">
      <c r="A44" s="306">
        <v>5</v>
      </c>
      <c r="B44" s="323" t="s">
        <v>146</v>
      </c>
      <c r="C44" s="21" t="s">
        <v>101</v>
      </c>
      <c r="D44" s="1" t="s">
        <v>4</v>
      </c>
      <c r="E44" s="44">
        <v>20</v>
      </c>
      <c r="F44" s="44">
        <v>20</v>
      </c>
      <c r="G44" s="44">
        <v>20</v>
      </c>
      <c r="H44" s="44">
        <v>20</v>
      </c>
      <c r="I44" s="44">
        <v>20</v>
      </c>
      <c r="J44" s="44">
        <v>20</v>
      </c>
      <c r="K44" s="44">
        <v>20</v>
      </c>
      <c r="L44" s="44">
        <v>20</v>
      </c>
      <c r="M44" s="44">
        <v>20</v>
      </c>
      <c r="N44" s="45"/>
    </row>
    <row r="45" spans="1:14" x14ac:dyDescent="0.25">
      <c r="A45" s="306"/>
      <c r="B45" s="323"/>
      <c r="C45" s="21" t="s">
        <v>20</v>
      </c>
      <c r="D45" s="1" t="s">
        <v>6</v>
      </c>
      <c r="E45" s="46">
        <v>756.50213541090761</v>
      </c>
      <c r="F45" s="46">
        <v>540.20663720034383</v>
      </c>
      <c r="G45" s="46">
        <v>421.48150193390472</v>
      </c>
      <c r="H45" s="46">
        <v>421.48150193390472</v>
      </c>
      <c r="I45" s="46">
        <v>421.48150193390472</v>
      </c>
      <c r="J45" s="46">
        <v>421.48150193390472</v>
      </c>
      <c r="K45" s="46">
        <v>1120.903443434433</v>
      </c>
      <c r="L45" s="46">
        <v>975.21226311391229</v>
      </c>
      <c r="M45" s="46">
        <v>857.30536609258718</v>
      </c>
      <c r="N45" s="45"/>
    </row>
    <row r="46" spans="1:14" x14ac:dyDescent="0.25">
      <c r="A46" s="306"/>
      <c r="B46" s="323"/>
      <c r="C46" s="21" t="s">
        <v>172</v>
      </c>
      <c r="D46" s="1" t="s">
        <v>19</v>
      </c>
      <c r="E46" s="47">
        <v>0</v>
      </c>
      <c r="F46" s="47">
        <v>0</v>
      </c>
      <c r="G46" s="47">
        <v>0</v>
      </c>
      <c r="H46" s="47">
        <v>0</v>
      </c>
      <c r="I46" s="47">
        <v>0</v>
      </c>
      <c r="J46" s="47">
        <v>0</v>
      </c>
      <c r="K46" s="47">
        <v>0</v>
      </c>
      <c r="L46" s="47">
        <v>0</v>
      </c>
      <c r="M46" s="47">
        <v>0</v>
      </c>
      <c r="N46" s="45"/>
    </row>
    <row r="47" spans="1:14" x14ac:dyDescent="0.25">
      <c r="A47" s="306"/>
      <c r="B47" s="323"/>
      <c r="C47" s="21" t="s">
        <v>102</v>
      </c>
      <c r="D47" s="1" t="s">
        <v>8</v>
      </c>
      <c r="E47" s="44"/>
      <c r="F47" s="44"/>
      <c r="G47" s="44"/>
      <c r="H47" s="44"/>
      <c r="I47" s="44"/>
      <c r="J47" s="44"/>
      <c r="K47" s="44"/>
      <c r="L47" s="44"/>
      <c r="M47" s="44"/>
      <c r="N47" s="45"/>
    </row>
    <row r="48" spans="1:14" x14ac:dyDescent="0.25">
      <c r="A48" s="306"/>
      <c r="B48" s="323"/>
      <c r="C48" s="21" t="s">
        <v>103</v>
      </c>
      <c r="D48" s="1" t="s">
        <v>9</v>
      </c>
      <c r="E48" s="46">
        <v>11.347532031163613</v>
      </c>
      <c r="F48" s="46">
        <v>8.103099558005157</v>
      </c>
      <c r="G48" s="46">
        <v>6.3222225290085703</v>
      </c>
      <c r="H48" s="46">
        <v>6.3222225290085703</v>
      </c>
      <c r="I48" s="46">
        <v>6.3222225290085703</v>
      </c>
      <c r="J48" s="46">
        <v>6.3222225290085703</v>
      </c>
      <c r="K48" s="46">
        <v>1.538</v>
      </c>
      <c r="L48" s="46">
        <v>1.538</v>
      </c>
      <c r="M48" s="46">
        <v>1.538</v>
      </c>
      <c r="N48" s="45"/>
    </row>
    <row r="49" spans="1:14" x14ac:dyDescent="0.25">
      <c r="A49" s="306"/>
      <c r="B49" s="323"/>
      <c r="C49" s="21" t="s">
        <v>104</v>
      </c>
      <c r="D49" s="1" t="s">
        <v>10</v>
      </c>
      <c r="E49" s="46">
        <v>0</v>
      </c>
      <c r="F49" s="46">
        <v>0</v>
      </c>
      <c r="G49" s="46">
        <v>0</v>
      </c>
      <c r="H49" s="46">
        <v>0</v>
      </c>
      <c r="I49" s="46">
        <v>0</v>
      </c>
      <c r="J49" s="46">
        <v>0</v>
      </c>
      <c r="K49" s="46">
        <v>2.0100000000000001E-3</v>
      </c>
      <c r="L49" s="46">
        <v>2.0100000000000001E-3</v>
      </c>
      <c r="M49" s="46">
        <v>2.0100000000000001E-3</v>
      </c>
      <c r="N49" s="45"/>
    </row>
    <row r="50" spans="1:14" ht="18.75" x14ac:dyDescent="0.25">
      <c r="A50" s="306"/>
      <c r="B50" s="323"/>
      <c r="C50" s="22" t="s">
        <v>105</v>
      </c>
      <c r="D50" s="23" t="s">
        <v>17</v>
      </c>
      <c r="E50" s="46">
        <v>0</v>
      </c>
      <c r="F50" s="46">
        <v>0</v>
      </c>
      <c r="G50" s="46">
        <v>0</v>
      </c>
      <c r="H50" s="46">
        <v>0</v>
      </c>
      <c r="I50" s="46">
        <v>0</v>
      </c>
      <c r="J50" s="46">
        <v>0</v>
      </c>
      <c r="K50" s="46">
        <v>0</v>
      </c>
      <c r="L50" s="46">
        <v>0</v>
      </c>
      <c r="M50" s="46">
        <v>0</v>
      </c>
      <c r="N50" s="45"/>
    </row>
    <row r="51" spans="1:14" x14ac:dyDescent="0.25">
      <c r="A51" s="306"/>
      <c r="B51" s="323"/>
      <c r="C51" s="22" t="s">
        <v>11</v>
      </c>
      <c r="D51" s="23" t="s">
        <v>10</v>
      </c>
      <c r="E51" s="46">
        <v>0</v>
      </c>
      <c r="F51" s="46">
        <v>0</v>
      </c>
      <c r="G51" s="46">
        <v>0</v>
      </c>
      <c r="H51" s="46">
        <v>0</v>
      </c>
      <c r="I51" s="46">
        <v>0</v>
      </c>
      <c r="J51" s="46">
        <v>0</v>
      </c>
      <c r="K51" s="46">
        <v>0</v>
      </c>
      <c r="L51" s="46">
        <v>0</v>
      </c>
      <c r="M51" s="46">
        <v>0</v>
      </c>
      <c r="N51" s="45"/>
    </row>
    <row r="52" spans="1:14" x14ac:dyDescent="0.25">
      <c r="A52" s="306"/>
      <c r="B52" s="323"/>
      <c r="C52" s="21" t="s">
        <v>18</v>
      </c>
      <c r="D52" s="2" t="s">
        <v>19</v>
      </c>
      <c r="E52" s="44">
        <v>3.48</v>
      </c>
      <c r="F52" s="44">
        <v>3.48</v>
      </c>
      <c r="G52" s="44">
        <v>3.48</v>
      </c>
      <c r="H52" s="44">
        <v>3.48</v>
      </c>
      <c r="I52" s="44">
        <v>3.48</v>
      </c>
      <c r="J52" s="44">
        <v>3.48</v>
      </c>
      <c r="K52" s="44">
        <v>3.48</v>
      </c>
      <c r="L52" s="44">
        <v>3.48</v>
      </c>
      <c r="M52" s="44">
        <v>3.48</v>
      </c>
      <c r="N52" s="45"/>
    </row>
    <row r="53" spans="1:14" x14ac:dyDescent="0.25">
      <c r="A53" s="306"/>
      <c r="B53" s="323"/>
      <c r="C53" s="21" t="s">
        <v>13</v>
      </c>
      <c r="D53" s="2" t="s">
        <v>14</v>
      </c>
      <c r="E53" s="44"/>
      <c r="F53" s="44"/>
      <c r="G53" s="44"/>
      <c r="H53" s="44"/>
      <c r="I53" s="44"/>
      <c r="J53" s="44"/>
      <c r="K53" s="44"/>
      <c r="L53" s="44"/>
      <c r="M53" s="44"/>
      <c r="N53" s="45"/>
    </row>
    <row r="54" spans="1:14" x14ac:dyDescent="0.25">
      <c r="A54" s="306"/>
      <c r="B54" s="323"/>
      <c r="C54" s="21" t="s">
        <v>15</v>
      </c>
      <c r="D54" s="2" t="s">
        <v>4</v>
      </c>
      <c r="E54" s="44"/>
      <c r="F54" s="44"/>
      <c r="G54" s="44"/>
      <c r="H54" s="44"/>
      <c r="I54" s="44"/>
      <c r="J54" s="44"/>
      <c r="K54" s="44"/>
      <c r="L54" s="44"/>
      <c r="M54" s="44"/>
      <c r="N54" s="45"/>
    </row>
    <row r="55" spans="1:14" ht="14.45" customHeight="1" x14ac:dyDescent="0.25">
      <c r="A55" s="306">
        <v>6</v>
      </c>
      <c r="B55" s="323" t="s">
        <v>147</v>
      </c>
      <c r="C55" s="21" t="s">
        <v>101</v>
      </c>
      <c r="D55" s="1" t="s">
        <v>4</v>
      </c>
      <c r="E55" s="44">
        <v>20</v>
      </c>
      <c r="F55" s="44">
        <v>20</v>
      </c>
      <c r="G55" s="44">
        <v>20</v>
      </c>
      <c r="H55" s="44">
        <v>20</v>
      </c>
      <c r="I55" s="44">
        <v>20</v>
      </c>
      <c r="J55" s="44">
        <v>20</v>
      </c>
      <c r="K55" s="44">
        <v>20</v>
      </c>
      <c r="L55" s="44">
        <v>20</v>
      </c>
      <c r="M55" s="44">
        <v>20</v>
      </c>
      <c r="N55" s="45"/>
    </row>
    <row r="56" spans="1:14" x14ac:dyDescent="0.25">
      <c r="A56" s="306"/>
      <c r="B56" s="323"/>
      <c r="C56" s="21" t="s">
        <v>20</v>
      </c>
      <c r="D56" s="1" t="s">
        <v>6</v>
      </c>
      <c r="E56" s="46">
        <v>690.37350466796431</v>
      </c>
      <c r="F56" s="46">
        <v>482.27864832153284</v>
      </c>
      <c r="G56" s="46">
        <v>370.24487330434692</v>
      </c>
      <c r="H56" s="46">
        <v>370.24487330434692</v>
      </c>
      <c r="I56" s="46">
        <v>370.24487330434692</v>
      </c>
      <c r="J56" s="46">
        <v>370.24487330434692</v>
      </c>
      <c r="K56" s="46">
        <v>566.30399999999997</v>
      </c>
      <c r="L56" s="46">
        <v>566.30399999999997</v>
      </c>
      <c r="M56" s="46">
        <v>566.30399999999997</v>
      </c>
      <c r="N56" s="45"/>
    </row>
    <row r="57" spans="1:14" x14ac:dyDescent="0.25">
      <c r="A57" s="306"/>
      <c r="B57" s="323"/>
      <c r="C57" s="21" t="s">
        <v>172</v>
      </c>
      <c r="D57" s="1" t="s">
        <v>19</v>
      </c>
      <c r="E57" s="47">
        <v>0</v>
      </c>
      <c r="F57" s="47">
        <v>0</v>
      </c>
      <c r="G57" s="47">
        <v>0</v>
      </c>
      <c r="H57" s="47">
        <v>0</v>
      </c>
      <c r="I57" s="47">
        <v>0</v>
      </c>
      <c r="J57" s="47">
        <v>0</v>
      </c>
      <c r="K57" s="47">
        <v>0</v>
      </c>
      <c r="L57" s="47">
        <v>0</v>
      </c>
      <c r="M57" s="47">
        <v>0</v>
      </c>
      <c r="N57" s="45"/>
    </row>
    <row r="58" spans="1:14" x14ac:dyDescent="0.25">
      <c r="A58" s="306"/>
      <c r="B58" s="323"/>
      <c r="C58" s="21" t="s">
        <v>102</v>
      </c>
      <c r="D58" s="1" t="s">
        <v>8</v>
      </c>
      <c r="E58" s="44"/>
      <c r="F58" s="44"/>
      <c r="G58" s="44"/>
      <c r="H58" s="44"/>
      <c r="I58" s="44"/>
      <c r="J58" s="44"/>
      <c r="K58" s="44"/>
      <c r="L58" s="44"/>
      <c r="M58" s="44"/>
      <c r="N58" s="45"/>
    </row>
    <row r="59" spans="1:14" x14ac:dyDescent="0.25">
      <c r="A59" s="306"/>
      <c r="B59" s="323"/>
      <c r="C59" s="21" t="s">
        <v>103</v>
      </c>
      <c r="D59" s="1" t="s">
        <v>9</v>
      </c>
      <c r="E59" s="46">
        <v>10.355602570019464</v>
      </c>
      <c r="F59" s="46">
        <v>7.234179724822992</v>
      </c>
      <c r="G59" s="46">
        <v>5.5536730995652039</v>
      </c>
      <c r="H59" s="46">
        <v>5.5536730995652039</v>
      </c>
      <c r="I59" s="46">
        <v>5.5536730995652039</v>
      </c>
      <c r="J59" s="46">
        <v>5.5536730995652039</v>
      </c>
      <c r="K59" s="46">
        <v>1.538</v>
      </c>
      <c r="L59" s="46">
        <v>1.538</v>
      </c>
      <c r="M59" s="46">
        <v>1.538</v>
      </c>
      <c r="N59" s="45"/>
    </row>
    <row r="60" spans="1:14" x14ac:dyDescent="0.25">
      <c r="A60" s="306"/>
      <c r="B60" s="323"/>
      <c r="C60" s="21" t="s">
        <v>104</v>
      </c>
      <c r="D60" s="1" t="s">
        <v>10</v>
      </c>
      <c r="E60" s="46">
        <v>0</v>
      </c>
      <c r="F60" s="46">
        <v>0</v>
      </c>
      <c r="G60" s="46">
        <v>0</v>
      </c>
      <c r="H60" s="46">
        <v>0</v>
      </c>
      <c r="I60" s="46">
        <v>0</v>
      </c>
      <c r="J60" s="46">
        <v>0</v>
      </c>
      <c r="K60" s="46">
        <v>2.0100000000000001E-3</v>
      </c>
      <c r="L60" s="46">
        <v>2.0100000000000001E-3</v>
      </c>
      <c r="M60" s="46">
        <v>2.0100000000000001E-3</v>
      </c>
      <c r="N60" s="45"/>
    </row>
    <row r="61" spans="1:14" ht="18.75" x14ac:dyDescent="0.25">
      <c r="A61" s="306"/>
      <c r="B61" s="323"/>
      <c r="C61" s="22" t="s">
        <v>105</v>
      </c>
      <c r="D61" s="23" t="s">
        <v>17</v>
      </c>
      <c r="E61" s="46">
        <v>0</v>
      </c>
      <c r="F61" s="46">
        <v>0</v>
      </c>
      <c r="G61" s="46">
        <v>0</v>
      </c>
      <c r="H61" s="46">
        <v>0</v>
      </c>
      <c r="I61" s="46">
        <v>0</v>
      </c>
      <c r="J61" s="46">
        <v>0</v>
      </c>
      <c r="K61" s="46">
        <v>0</v>
      </c>
      <c r="L61" s="46">
        <v>0</v>
      </c>
      <c r="M61" s="46">
        <v>0</v>
      </c>
      <c r="N61" s="45"/>
    </row>
    <row r="62" spans="1:14" x14ac:dyDescent="0.25">
      <c r="A62" s="306"/>
      <c r="B62" s="323"/>
      <c r="C62" s="22" t="s">
        <v>11</v>
      </c>
      <c r="D62" s="23" t="s">
        <v>10</v>
      </c>
      <c r="E62" s="46">
        <v>0</v>
      </c>
      <c r="F62" s="46">
        <v>0</v>
      </c>
      <c r="G62" s="46">
        <v>0</v>
      </c>
      <c r="H62" s="46">
        <v>0</v>
      </c>
      <c r="I62" s="46">
        <v>0</v>
      </c>
      <c r="J62" s="46">
        <v>0</v>
      </c>
      <c r="K62" s="46">
        <v>0</v>
      </c>
      <c r="L62" s="46">
        <v>0</v>
      </c>
      <c r="M62" s="46">
        <v>0</v>
      </c>
      <c r="N62" s="45"/>
    </row>
    <row r="63" spans="1:14" x14ac:dyDescent="0.25">
      <c r="A63" s="306"/>
      <c r="B63" s="323"/>
      <c r="C63" s="21" t="s">
        <v>18</v>
      </c>
      <c r="D63" s="2" t="s">
        <v>19</v>
      </c>
      <c r="E63" s="44">
        <v>5.22</v>
      </c>
      <c r="F63" s="44">
        <v>5.22</v>
      </c>
      <c r="G63" s="44">
        <v>5.22</v>
      </c>
      <c r="H63" s="44">
        <v>5.22</v>
      </c>
      <c r="I63" s="44">
        <v>5.22</v>
      </c>
      <c r="J63" s="44">
        <v>5.22</v>
      </c>
      <c r="K63" s="44">
        <v>5.22</v>
      </c>
      <c r="L63" s="44">
        <v>5.22</v>
      </c>
      <c r="M63" s="44">
        <v>5.22</v>
      </c>
      <c r="N63" s="45"/>
    </row>
    <row r="64" spans="1:14" x14ac:dyDescent="0.25">
      <c r="A64" s="306"/>
      <c r="B64" s="323"/>
      <c r="C64" s="21" t="s">
        <v>13</v>
      </c>
      <c r="D64" s="1" t="s">
        <v>14</v>
      </c>
      <c r="E64" s="44"/>
      <c r="F64" s="44"/>
      <c r="G64" s="44"/>
      <c r="H64" s="44"/>
      <c r="I64" s="44"/>
      <c r="J64" s="44"/>
      <c r="K64" s="44"/>
      <c r="L64" s="44"/>
      <c r="M64" s="44"/>
      <c r="N64" s="45"/>
    </row>
    <row r="65" spans="1:14" x14ac:dyDescent="0.25">
      <c r="A65" s="306"/>
      <c r="B65" s="323"/>
      <c r="C65" s="21" t="s">
        <v>15</v>
      </c>
      <c r="D65" s="1" t="s">
        <v>4</v>
      </c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4" x14ac:dyDescent="0.25">
      <c r="A66" s="306"/>
      <c r="B66" s="323"/>
      <c r="C66" s="21" t="s">
        <v>106</v>
      </c>
      <c r="D66" s="1" t="s">
        <v>6</v>
      </c>
      <c r="E66" s="46">
        <v>3105.227139824588</v>
      </c>
      <c r="F66" s="46">
        <v>2124.7890355573581</v>
      </c>
      <c r="G66" s="46">
        <v>1336.2661902848918</v>
      </c>
      <c r="H66" s="46">
        <v>464.19686267796163</v>
      </c>
      <c r="I66" s="46">
        <v>316.51784616801797</v>
      </c>
      <c r="J66" s="46">
        <v>200.62554706645031</v>
      </c>
      <c r="K66" s="46">
        <v>97.370367192094207</v>
      </c>
      <c r="L66" s="46">
        <v>85.294657716252502</v>
      </c>
      <c r="M66" s="46">
        <v>85.294657716252502</v>
      </c>
      <c r="N66" s="45"/>
    </row>
    <row r="67" spans="1:14" x14ac:dyDescent="0.25">
      <c r="A67" s="306"/>
      <c r="B67" s="323"/>
      <c r="C67" s="21" t="s">
        <v>107</v>
      </c>
      <c r="D67" s="1" t="s">
        <v>4</v>
      </c>
      <c r="E67" s="44"/>
      <c r="F67" s="44"/>
      <c r="G67" s="44"/>
      <c r="H67" s="44"/>
      <c r="I67" s="44"/>
      <c r="J67" s="44"/>
      <c r="K67" s="44"/>
      <c r="L67" s="44"/>
      <c r="M67" s="44"/>
      <c r="N67" s="45"/>
    </row>
    <row r="68" spans="1:14" ht="14.45" customHeight="1" x14ac:dyDescent="0.25">
      <c r="A68" s="306">
        <v>7</v>
      </c>
      <c r="B68" s="323" t="s">
        <v>148</v>
      </c>
      <c r="C68" s="21" t="s">
        <v>101</v>
      </c>
      <c r="D68" s="1" t="s">
        <v>4</v>
      </c>
      <c r="E68" s="44">
        <v>20</v>
      </c>
      <c r="F68" s="44">
        <v>20</v>
      </c>
      <c r="G68" s="44">
        <v>20</v>
      </c>
      <c r="H68" s="44">
        <v>20</v>
      </c>
      <c r="I68" s="44">
        <v>20</v>
      </c>
      <c r="J68" s="44">
        <v>20</v>
      </c>
      <c r="K68" s="44">
        <v>20</v>
      </c>
      <c r="L68" s="44">
        <v>20</v>
      </c>
      <c r="M68" s="44">
        <v>20</v>
      </c>
      <c r="N68" s="45"/>
    </row>
    <row r="69" spans="1:14" x14ac:dyDescent="0.25">
      <c r="A69" s="306"/>
      <c r="B69" s="323"/>
      <c r="C69" s="21" t="s">
        <v>20</v>
      </c>
      <c r="D69" s="1" t="s">
        <v>6</v>
      </c>
      <c r="E69" s="46">
        <v>690.37350466796431</v>
      </c>
      <c r="F69" s="46">
        <v>482.27864832153284</v>
      </c>
      <c r="G69" s="46">
        <v>370.24487330434692</v>
      </c>
      <c r="H69" s="46">
        <v>370.24487330434692</v>
      </c>
      <c r="I69" s="46">
        <v>370.24487330434692</v>
      </c>
      <c r="J69" s="46">
        <v>370.24487330434692</v>
      </c>
      <c r="K69" s="46">
        <v>566.30399999999997</v>
      </c>
      <c r="L69" s="46">
        <v>566.30399999999997</v>
      </c>
      <c r="M69" s="46">
        <v>566.30399999999997</v>
      </c>
      <c r="N69" s="45"/>
    </row>
    <row r="70" spans="1:14" x14ac:dyDescent="0.25">
      <c r="A70" s="306"/>
      <c r="B70" s="323"/>
      <c r="C70" s="21" t="s">
        <v>172</v>
      </c>
      <c r="D70" s="1" t="s">
        <v>19</v>
      </c>
      <c r="E70" s="47">
        <v>0</v>
      </c>
      <c r="F70" s="47">
        <v>0</v>
      </c>
      <c r="G70" s="47">
        <v>0</v>
      </c>
      <c r="H70" s="47">
        <v>0</v>
      </c>
      <c r="I70" s="47">
        <v>0</v>
      </c>
      <c r="J70" s="47">
        <v>0</v>
      </c>
      <c r="K70" s="47">
        <v>0</v>
      </c>
      <c r="L70" s="47">
        <v>0</v>
      </c>
      <c r="M70" s="47">
        <v>0</v>
      </c>
      <c r="N70" s="45"/>
    </row>
    <row r="71" spans="1:14" x14ac:dyDescent="0.25">
      <c r="A71" s="306"/>
      <c r="B71" s="323"/>
      <c r="C71" s="21" t="s">
        <v>102</v>
      </c>
      <c r="D71" s="1" t="s">
        <v>8</v>
      </c>
      <c r="E71" s="44"/>
      <c r="F71" s="44"/>
      <c r="G71" s="44"/>
      <c r="H71" s="44"/>
      <c r="I71" s="44"/>
      <c r="J71" s="44"/>
      <c r="K71" s="44"/>
      <c r="L71" s="44"/>
      <c r="M71" s="44"/>
      <c r="N71" s="45"/>
    </row>
    <row r="72" spans="1:14" x14ac:dyDescent="0.25">
      <c r="A72" s="306"/>
      <c r="B72" s="323"/>
      <c r="C72" s="21" t="s">
        <v>103</v>
      </c>
      <c r="D72" s="1" t="s">
        <v>9</v>
      </c>
      <c r="E72" s="46">
        <v>10.355602570019464</v>
      </c>
      <c r="F72" s="46">
        <v>7.234179724822992</v>
      </c>
      <c r="G72" s="46">
        <v>5.5536730995652039</v>
      </c>
      <c r="H72" s="46">
        <v>5.5536730995652039</v>
      </c>
      <c r="I72" s="46">
        <v>5.5536730995652039</v>
      </c>
      <c r="J72" s="46">
        <v>5.5536730995652039</v>
      </c>
      <c r="K72" s="46">
        <v>1.538</v>
      </c>
      <c r="L72" s="46">
        <v>1.538</v>
      </c>
      <c r="M72" s="46">
        <v>1.538</v>
      </c>
      <c r="N72" s="45"/>
    </row>
    <row r="73" spans="1:14" x14ac:dyDescent="0.25">
      <c r="A73" s="306"/>
      <c r="B73" s="323"/>
      <c r="C73" s="21" t="s">
        <v>104</v>
      </c>
      <c r="D73" s="1" t="s">
        <v>10</v>
      </c>
      <c r="E73" s="46">
        <v>0</v>
      </c>
      <c r="F73" s="46">
        <v>0</v>
      </c>
      <c r="G73" s="46">
        <v>0</v>
      </c>
      <c r="H73" s="46">
        <v>0</v>
      </c>
      <c r="I73" s="46">
        <v>0</v>
      </c>
      <c r="J73" s="46">
        <v>0</v>
      </c>
      <c r="K73" s="46">
        <v>2.0100000000000001E-3</v>
      </c>
      <c r="L73" s="46">
        <v>2.0100000000000001E-3</v>
      </c>
      <c r="M73" s="46">
        <v>2.0100000000000001E-3</v>
      </c>
      <c r="N73" s="45"/>
    </row>
    <row r="74" spans="1:14" ht="18.75" x14ac:dyDescent="0.25">
      <c r="A74" s="306"/>
      <c r="B74" s="323"/>
      <c r="C74" s="22" t="s">
        <v>105</v>
      </c>
      <c r="D74" s="23" t="s">
        <v>17</v>
      </c>
      <c r="E74" s="46">
        <v>0</v>
      </c>
      <c r="F74" s="46">
        <v>0</v>
      </c>
      <c r="G74" s="46">
        <v>0</v>
      </c>
      <c r="H74" s="46">
        <v>0</v>
      </c>
      <c r="I74" s="46">
        <v>0</v>
      </c>
      <c r="J74" s="46">
        <v>0</v>
      </c>
      <c r="K74" s="46">
        <v>0</v>
      </c>
      <c r="L74" s="46">
        <v>0</v>
      </c>
      <c r="M74" s="46">
        <v>0</v>
      </c>
      <c r="N74" s="45"/>
    </row>
    <row r="75" spans="1:14" x14ac:dyDescent="0.25">
      <c r="A75" s="306"/>
      <c r="B75" s="323"/>
      <c r="C75" s="22" t="s">
        <v>11</v>
      </c>
      <c r="D75" s="23" t="s">
        <v>10</v>
      </c>
      <c r="E75" s="46">
        <v>0</v>
      </c>
      <c r="F75" s="46">
        <v>0</v>
      </c>
      <c r="G75" s="46">
        <v>0</v>
      </c>
      <c r="H75" s="46">
        <v>0</v>
      </c>
      <c r="I75" s="46">
        <v>0</v>
      </c>
      <c r="J75" s="46">
        <v>0</v>
      </c>
      <c r="K75" s="46">
        <v>0</v>
      </c>
      <c r="L75" s="46">
        <v>0</v>
      </c>
      <c r="M75" s="46">
        <v>0</v>
      </c>
      <c r="N75" s="45"/>
    </row>
    <row r="76" spans="1:14" x14ac:dyDescent="0.25">
      <c r="A76" s="306"/>
      <c r="B76" s="323"/>
      <c r="C76" s="21" t="s">
        <v>18</v>
      </c>
      <c r="D76" s="2" t="s">
        <v>19</v>
      </c>
      <c r="E76" s="44">
        <v>4.875</v>
      </c>
      <c r="F76" s="44">
        <v>4.875</v>
      </c>
      <c r="G76" s="44">
        <v>4.875</v>
      </c>
      <c r="H76" s="44">
        <v>4.875</v>
      </c>
      <c r="I76" s="44">
        <v>4.875</v>
      </c>
      <c r="J76" s="44">
        <v>4.875</v>
      </c>
      <c r="K76" s="44">
        <v>4.875</v>
      </c>
      <c r="L76" s="44">
        <v>4.875</v>
      </c>
      <c r="M76" s="44">
        <v>4.875</v>
      </c>
      <c r="N76" s="45"/>
    </row>
    <row r="77" spans="1:14" x14ac:dyDescent="0.25">
      <c r="A77" s="306"/>
      <c r="B77" s="323"/>
      <c r="C77" s="21" t="s">
        <v>13</v>
      </c>
      <c r="D77" s="1" t="s">
        <v>14</v>
      </c>
      <c r="E77" s="44"/>
      <c r="F77" s="44"/>
      <c r="G77" s="44"/>
      <c r="H77" s="44"/>
      <c r="I77" s="44"/>
      <c r="J77" s="44"/>
      <c r="K77" s="44"/>
      <c r="L77" s="44"/>
      <c r="M77" s="44"/>
      <c r="N77" s="45"/>
    </row>
    <row r="78" spans="1:14" x14ac:dyDescent="0.25">
      <c r="A78" s="306"/>
      <c r="B78" s="323"/>
      <c r="C78" s="21" t="s">
        <v>15</v>
      </c>
      <c r="D78" s="1" t="s">
        <v>4</v>
      </c>
      <c r="E78" s="44"/>
      <c r="F78" s="44"/>
      <c r="G78" s="44"/>
      <c r="H78" s="44"/>
      <c r="I78" s="44"/>
      <c r="J78" s="44"/>
      <c r="K78" s="44"/>
      <c r="L78" s="44"/>
      <c r="M78" s="44"/>
      <c r="N78" s="45"/>
    </row>
    <row r="79" spans="1:14" x14ac:dyDescent="0.25">
      <c r="A79" s="306"/>
      <c r="B79" s="323"/>
      <c r="C79" s="21" t="s">
        <v>106</v>
      </c>
      <c r="D79" s="1" t="s">
        <v>6</v>
      </c>
      <c r="E79" s="46">
        <v>3105.227139824588</v>
      </c>
      <c r="F79" s="46">
        <v>2124.7890355573581</v>
      </c>
      <c r="G79" s="46">
        <v>1336.2661902848918</v>
      </c>
      <c r="H79" s="46">
        <v>464.19686267796163</v>
      </c>
      <c r="I79" s="46">
        <v>316.51784616801797</v>
      </c>
      <c r="J79" s="46">
        <v>200.62554706645031</v>
      </c>
      <c r="K79" s="46">
        <v>97.370367192094207</v>
      </c>
      <c r="L79" s="46">
        <v>85.294657716252502</v>
      </c>
      <c r="M79" s="46">
        <v>85.294657716252502</v>
      </c>
      <c r="N79" s="45"/>
    </row>
    <row r="80" spans="1:14" x14ac:dyDescent="0.25">
      <c r="A80" s="306"/>
      <c r="B80" s="323"/>
      <c r="C80" s="21" t="s">
        <v>107</v>
      </c>
      <c r="D80" s="1" t="s">
        <v>4</v>
      </c>
      <c r="E80" s="44"/>
      <c r="F80" s="44"/>
      <c r="G80" s="44"/>
      <c r="H80" s="44"/>
      <c r="I80" s="44"/>
      <c r="J80" s="44"/>
      <c r="K80" s="44"/>
      <c r="L80" s="44"/>
      <c r="M80" s="44"/>
      <c r="N80" s="45"/>
    </row>
    <row r="81" spans="1:14" ht="14.45" customHeight="1" x14ac:dyDescent="0.25">
      <c r="A81" s="306">
        <v>8</v>
      </c>
      <c r="B81" s="323" t="s">
        <v>149</v>
      </c>
      <c r="C81" s="21" t="s">
        <v>101</v>
      </c>
      <c r="D81" s="1" t="s">
        <v>4</v>
      </c>
      <c r="E81" s="44">
        <v>20</v>
      </c>
      <c r="F81" s="44">
        <v>20</v>
      </c>
      <c r="G81" s="44">
        <v>20</v>
      </c>
      <c r="H81" s="44">
        <v>20</v>
      </c>
      <c r="I81" s="44">
        <v>20</v>
      </c>
      <c r="J81" s="44">
        <v>20</v>
      </c>
      <c r="K81" s="44">
        <v>20</v>
      </c>
      <c r="L81" s="44">
        <v>20</v>
      </c>
      <c r="M81" s="44">
        <v>20</v>
      </c>
      <c r="N81" s="45"/>
    </row>
    <row r="82" spans="1:14" x14ac:dyDescent="0.25">
      <c r="A82" s="306"/>
      <c r="B82" s="323"/>
      <c r="C82" s="21" t="s">
        <v>20</v>
      </c>
      <c r="D82" s="1" t="s">
        <v>6</v>
      </c>
      <c r="E82" s="46">
        <v>690.37350466796431</v>
      </c>
      <c r="F82" s="46">
        <v>482.27864832153284</v>
      </c>
      <c r="G82" s="46">
        <v>370.24487330434692</v>
      </c>
      <c r="H82" s="46">
        <v>370.24487330434692</v>
      </c>
      <c r="I82" s="46">
        <v>370.24487330434692</v>
      </c>
      <c r="J82" s="46">
        <v>370.24487330434692</v>
      </c>
      <c r="K82" s="46">
        <v>566.30399999999997</v>
      </c>
      <c r="L82" s="46">
        <v>566.30399999999997</v>
      </c>
      <c r="M82" s="46">
        <v>566.30399999999997</v>
      </c>
      <c r="N82" s="45"/>
    </row>
    <row r="83" spans="1:14" x14ac:dyDescent="0.25">
      <c r="A83" s="306"/>
      <c r="B83" s="323"/>
      <c r="C83" s="21" t="s">
        <v>172</v>
      </c>
      <c r="D83" s="1" t="s">
        <v>19</v>
      </c>
      <c r="E83" s="47">
        <v>0</v>
      </c>
      <c r="F83" s="47">
        <v>0</v>
      </c>
      <c r="G83" s="47">
        <v>0</v>
      </c>
      <c r="H83" s="47">
        <v>0</v>
      </c>
      <c r="I83" s="47">
        <v>0</v>
      </c>
      <c r="J83" s="47">
        <v>0</v>
      </c>
      <c r="K83" s="47">
        <v>0</v>
      </c>
      <c r="L83" s="47">
        <v>0</v>
      </c>
      <c r="M83" s="47">
        <v>0</v>
      </c>
      <c r="N83" s="45"/>
    </row>
    <row r="84" spans="1:14" x14ac:dyDescent="0.25">
      <c r="A84" s="306"/>
      <c r="B84" s="323"/>
      <c r="C84" s="21" t="s">
        <v>102</v>
      </c>
      <c r="D84" s="1" t="s">
        <v>8</v>
      </c>
      <c r="E84" s="44"/>
      <c r="F84" s="44"/>
      <c r="G84" s="44"/>
      <c r="H84" s="44"/>
      <c r="I84" s="44"/>
      <c r="J84" s="44"/>
      <c r="K84" s="44"/>
      <c r="L84" s="44"/>
      <c r="M84" s="44"/>
      <c r="N84" s="45"/>
    </row>
    <row r="85" spans="1:14" x14ac:dyDescent="0.25">
      <c r="A85" s="306"/>
      <c r="B85" s="323"/>
      <c r="C85" s="21" t="s">
        <v>103</v>
      </c>
      <c r="D85" s="1" t="s">
        <v>9</v>
      </c>
      <c r="E85" s="46">
        <v>10.355602570019464</v>
      </c>
      <c r="F85" s="46">
        <v>7.234179724822992</v>
      </c>
      <c r="G85" s="46">
        <v>5.5536730995652039</v>
      </c>
      <c r="H85" s="46">
        <v>5.5536730995652039</v>
      </c>
      <c r="I85" s="46">
        <v>5.5536730995652039</v>
      </c>
      <c r="J85" s="46">
        <v>5.5536730995652039</v>
      </c>
      <c r="K85" s="46">
        <v>1.538</v>
      </c>
      <c r="L85" s="46">
        <v>1.538</v>
      </c>
      <c r="M85" s="46">
        <v>1.538</v>
      </c>
      <c r="N85" s="45"/>
    </row>
    <row r="86" spans="1:14" x14ac:dyDescent="0.25">
      <c r="A86" s="306"/>
      <c r="B86" s="323"/>
      <c r="C86" s="21" t="s">
        <v>104</v>
      </c>
      <c r="D86" s="1" t="s">
        <v>10</v>
      </c>
      <c r="E86" s="46">
        <v>0</v>
      </c>
      <c r="F86" s="46">
        <v>0</v>
      </c>
      <c r="G86" s="46">
        <v>0</v>
      </c>
      <c r="H86" s="46">
        <v>0</v>
      </c>
      <c r="I86" s="46">
        <v>0</v>
      </c>
      <c r="J86" s="46">
        <v>0</v>
      </c>
      <c r="K86" s="46">
        <v>2.0100000000000001E-3</v>
      </c>
      <c r="L86" s="46">
        <v>2.0100000000000001E-3</v>
      </c>
      <c r="M86" s="46">
        <v>2.0100000000000001E-3</v>
      </c>
      <c r="N86" s="45"/>
    </row>
    <row r="87" spans="1:14" ht="18.75" x14ac:dyDescent="0.25">
      <c r="A87" s="306"/>
      <c r="B87" s="323"/>
      <c r="C87" s="22" t="s">
        <v>105</v>
      </c>
      <c r="D87" s="23" t="s">
        <v>17</v>
      </c>
      <c r="E87" s="46">
        <v>0</v>
      </c>
      <c r="F87" s="46">
        <v>0</v>
      </c>
      <c r="G87" s="46">
        <v>0</v>
      </c>
      <c r="H87" s="46">
        <v>0</v>
      </c>
      <c r="I87" s="46">
        <v>0</v>
      </c>
      <c r="J87" s="46">
        <v>0</v>
      </c>
      <c r="K87" s="46">
        <v>0</v>
      </c>
      <c r="L87" s="46">
        <v>0</v>
      </c>
      <c r="M87" s="46">
        <v>0</v>
      </c>
      <c r="N87" s="45"/>
    </row>
    <row r="88" spans="1:14" x14ac:dyDescent="0.25">
      <c r="A88" s="306"/>
      <c r="B88" s="323"/>
      <c r="C88" s="22" t="s">
        <v>11</v>
      </c>
      <c r="D88" s="23" t="s">
        <v>10</v>
      </c>
      <c r="E88" s="46">
        <v>0</v>
      </c>
      <c r="F88" s="46">
        <v>0</v>
      </c>
      <c r="G88" s="46">
        <v>0</v>
      </c>
      <c r="H88" s="46">
        <v>0</v>
      </c>
      <c r="I88" s="46">
        <v>0</v>
      </c>
      <c r="J88" s="46">
        <v>0</v>
      </c>
      <c r="K88" s="46">
        <v>0</v>
      </c>
      <c r="L88" s="46">
        <v>0</v>
      </c>
      <c r="M88" s="46">
        <v>0</v>
      </c>
      <c r="N88" s="45"/>
    </row>
    <row r="89" spans="1:14" x14ac:dyDescent="0.25">
      <c r="A89" s="306"/>
      <c r="B89" s="323"/>
      <c r="C89" s="21" t="s">
        <v>18</v>
      </c>
      <c r="D89" s="2" t="s">
        <v>19</v>
      </c>
      <c r="E89" s="44">
        <v>4.5299999999999994</v>
      </c>
      <c r="F89" s="44">
        <v>4.5299999999999994</v>
      </c>
      <c r="G89" s="44">
        <v>4.5299999999999994</v>
      </c>
      <c r="H89" s="44">
        <v>4.5299999999999994</v>
      </c>
      <c r="I89" s="44">
        <v>4.5299999999999994</v>
      </c>
      <c r="J89" s="44">
        <v>4.5299999999999994</v>
      </c>
      <c r="K89" s="44">
        <v>4.5299999999999994</v>
      </c>
      <c r="L89" s="44">
        <v>4.5299999999999994</v>
      </c>
      <c r="M89" s="44">
        <v>4.5299999999999994</v>
      </c>
      <c r="N89" s="45"/>
    </row>
    <row r="90" spans="1:14" x14ac:dyDescent="0.25">
      <c r="A90" s="306"/>
      <c r="B90" s="323"/>
      <c r="C90" s="21" t="s">
        <v>13</v>
      </c>
      <c r="D90" s="2" t="s">
        <v>14</v>
      </c>
      <c r="E90" s="44"/>
      <c r="F90" s="44"/>
      <c r="G90" s="44"/>
      <c r="H90" s="44"/>
      <c r="I90" s="44"/>
      <c r="J90" s="44"/>
      <c r="K90" s="44"/>
      <c r="L90" s="44"/>
      <c r="M90" s="44"/>
      <c r="N90" s="45"/>
    </row>
    <row r="91" spans="1:14" x14ac:dyDescent="0.25">
      <c r="A91" s="306"/>
      <c r="B91" s="323"/>
      <c r="C91" s="21" t="s">
        <v>15</v>
      </c>
      <c r="D91" s="1" t="s">
        <v>4</v>
      </c>
      <c r="E91" s="44"/>
      <c r="F91" s="44"/>
      <c r="G91" s="44"/>
      <c r="H91" s="44"/>
      <c r="I91" s="44"/>
      <c r="J91" s="44"/>
      <c r="K91" s="44"/>
      <c r="L91" s="44"/>
      <c r="M91" s="44"/>
      <c r="N91" s="45"/>
    </row>
    <row r="92" spans="1:14" x14ac:dyDescent="0.25">
      <c r="A92" s="306"/>
      <c r="B92" s="323"/>
      <c r="C92" s="21" t="s">
        <v>106</v>
      </c>
      <c r="D92" s="1" t="s">
        <v>6</v>
      </c>
      <c r="E92" s="46">
        <v>3105.227139824588</v>
      </c>
      <c r="F92" s="46">
        <v>2124.7890355573581</v>
      </c>
      <c r="G92" s="46">
        <v>1336.2661902848918</v>
      </c>
      <c r="H92" s="46">
        <v>464.19686267796163</v>
      </c>
      <c r="I92" s="46">
        <v>316.51784616801797</v>
      </c>
      <c r="J92" s="46">
        <v>200.62554706645031</v>
      </c>
      <c r="K92" s="46">
        <v>97.370367192094207</v>
      </c>
      <c r="L92" s="46">
        <v>85.294657716252502</v>
      </c>
      <c r="M92" s="46">
        <v>85.294657716252502</v>
      </c>
      <c r="N92" s="45"/>
    </row>
    <row r="93" spans="1:14" x14ac:dyDescent="0.25">
      <c r="A93" s="306"/>
      <c r="B93" s="323"/>
      <c r="C93" s="21" t="s">
        <v>107</v>
      </c>
      <c r="D93" s="1" t="s">
        <v>4</v>
      </c>
      <c r="E93" s="44"/>
      <c r="F93" s="44"/>
      <c r="G93" s="44"/>
      <c r="H93" s="44"/>
      <c r="I93" s="44"/>
      <c r="J93" s="44"/>
      <c r="K93" s="44"/>
      <c r="L93" s="44"/>
      <c r="M93" s="44"/>
      <c r="N93" s="45"/>
    </row>
    <row r="94" spans="1:14" ht="15" customHeight="1" x14ac:dyDescent="0.25">
      <c r="A94" s="306">
        <v>9</v>
      </c>
      <c r="B94" s="323" t="s">
        <v>108</v>
      </c>
      <c r="C94" s="21" t="s">
        <v>109</v>
      </c>
      <c r="D94" s="1" t="s">
        <v>19</v>
      </c>
      <c r="E94" s="44">
        <v>1</v>
      </c>
      <c r="F94" s="44">
        <v>1</v>
      </c>
      <c r="G94" s="44">
        <v>1</v>
      </c>
      <c r="H94" s="44">
        <v>1</v>
      </c>
      <c r="I94" s="44">
        <v>1</v>
      </c>
      <c r="J94" s="44">
        <v>1</v>
      </c>
      <c r="K94" s="44">
        <v>1</v>
      </c>
      <c r="L94" s="44">
        <v>1</v>
      </c>
      <c r="M94" s="44">
        <v>1</v>
      </c>
      <c r="N94" s="45"/>
    </row>
    <row r="95" spans="1:14" x14ac:dyDescent="0.25">
      <c r="A95" s="306"/>
      <c r="B95" s="323"/>
      <c r="C95" s="21" t="s">
        <v>21</v>
      </c>
      <c r="D95" s="1" t="s">
        <v>19</v>
      </c>
      <c r="E95" s="44">
        <v>0.35</v>
      </c>
      <c r="F95" s="44">
        <v>0.35</v>
      </c>
      <c r="G95" s="44">
        <v>0.35</v>
      </c>
      <c r="H95" s="44">
        <v>0.35</v>
      </c>
      <c r="I95" s="44">
        <v>0.35</v>
      </c>
      <c r="J95" s="44">
        <v>0.35</v>
      </c>
      <c r="K95" s="44">
        <v>0.35</v>
      </c>
      <c r="L95" s="44">
        <v>0.35</v>
      </c>
      <c r="M95" s="44">
        <v>0.35</v>
      </c>
      <c r="N95" s="45"/>
    </row>
    <row r="96" spans="1:14" x14ac:dyDescent="0.25">
      <c r="A96" s="306"/>
      <c r="B96" s="323"/>
      <c r="C96" s="21" t="s">
        <v>22</v>
      </c>
      <c r="D96" s="1" t="s">
        <v>4</v>
      </c>
      <c r="E96" s="44">
        <v>20</v>
      </c>
      <c r="F96" s="44">
        <v>20</v>
      </c>
      <c r="G96" s="44">
        <v>20</v>
      </c>
      <c r="H96" s="44">
        <v>20</v>
      </c>
      <c r="I96" s="44">
        <v>20</v>
      </c>
      <c r="J96" s="44">
        <v>20</v>
      </c>
      <c r="K96" s="44">
        <v>20</v>
      </c>
      <c r="L96" s="44">
        <v>20</v>
      </c>
      <c r="M96" s="44">
        <v>20</v>
      </c>
      <c r="N96" s="45"/>
    </row>
    <row r="97" spans="1:15" x14ac:dyDescent="0.25">
      <c r="A97" s="306"/>
      <c r="B97" s="323"/>
      <c r="C97" s="21" t="s">
        <v>23</v>
      </c>
      <c r="D97" s="1" t="s">
        <v>6</v>
      </c>
      <c r="E97" s="46">
        <v>192.56641637688614</v>
      </c>
      <c r="F97" s="46">
        <v>163.18945257039451</v>
      </c>
      <c r="G97" s="46">
        <v>127.27927465146402</v>
      </c>
      <c r="H97" s="46">
        <v>102.70540718565383</v>
      </c>
      <c r="I97" s="46">
        <v>107.31263157894738</v>
      </c>
      <c r="J97" s="46">
        <v>107.00631578947369</v>
      </c>
      <c r="K97" s="46">
        <v>105.98526315789475</v>
      </c>
      <c r="L97" s="46">
        <v>103.84105263157896</v>
      </c>
      <c r="M97" s="46">
        <v>99.55263157894737</v>
      </c>
      <c r="N97" s="45"/>
    </row>
    <row r="98" spans="1:15" x14ac:dyDescent="0.25">
      <c r="A98" s="306"/>
      <c r="B98" s="323"/>
      <c r="C98" s="21" t="s">
        <v>173</v>
      </c>
      <c r="D98" s="1" t="s">
        <v>19</v>
      </c>
      <c r="E98" s="47">
        <v>0</v>
      </c>
      <c r="F98" s="47">
        <v>0</v>
      </c>
      <c r="G98" s="47">
        <v>0</v>
      </c>
      <c r="H98" s="47">
        <v>0</v>
      </c>
      <c r="I98" s="47">
        <v>0</v>
      </c>
      <c r="J98" s="47">
        <v>0</v>
      </c>
      <c r="K98" s="47">
        <v>0</v>
      </c>
      <c r="L98" s="47">
        <v>0</v>
      </c>
      <c r="M98" s="47">
        <v>0</v>
      </c>
      <c r="N98" s="45"/>
    </row>
    <row r="99" spans="1:15" x14ac:dyDescent="0.25">
      <c r="A99" s="306"/>
      <c r="B99" s="323"/>
      <c r="C99" s="21" t="s">
        <v>110</v>
      </c>
      <c r="D99" s="1" t="s">
        <v>8</v>
      </c>
      <c r="E99" s="44"/>
      <c r="F99" s="44"/>
      <c r="G99" s="44"/>
      <c r="H99" s="44"/>
      <c r="I99" s="44"/>
      <c r="J99" s="44"/>
      <c r="K99" s="44"/>
      <c r="L99" s="44"/>
      <c r="M99" s="44"/>
      <c r="N99" s="45"/>
    </row>
    <row r="100" spans="1:15" x14ac:dyDescent="0.25">
      <c r="A100" s="306"/>
      <c r="B100" s="323"/>
      <c r="C100" s="21" t="s">
        <v>111</v>
      </c>
      <c r="D100" s="1" t="s">
        <v>9</v>
      </c>
      <c r="E100" s="46">
        <v>5.7769924913065838</v>
      </c>
      <c r="F100" s="46">
        <v>4.8956835771118348</v>
      </c>
      <c r="G100" s="46">
        <v>3.8183782395439203</v>
      </c>
      <c r="H100" s="46">
        <v>3.0811622155696146</v>
      </c>
      <c r="I100" s="46">
        <v>2.0378947368421052</v>
      </c>
      <c r="J100" s="46">
        <v>2.0189473684210526</v>
      </c>
      <c r="K100" s="46">
        <v>1.9557894736842103</v>
      </c>
      <c r="L100" s="46">
        <v>1.8231578947368419</v>
      </c>
      <c r="M100" s="46">
        <v>1.557894736842105</v>
      </c>
      <c r="N100" s="45"/>
    </row>
    <row r="101" spans="1:15" x14ac:dyDescent="0.25">
      <c r="A101" s="306"/>
      <c r="B101" s="323"/>
      <c r="C101" s="21" t="s">
        <v>35</v>
      </c>
      <c r="D101" s="1" t="s">
        <v>10</v>
      </c>
      <c r="E101" s="46">
        <v>0</v>
      </c>
      <c r="F101" s="46">
        <v>0</v>
      </c>
      <c r="G101" s="46">
        <v>0</v>
      </c>
      <c r="H101" s="46">
        <v>0</v>
      </c>
      <c r="I101" s="46">
        <v>0</v>
      </c>
      <c r="J101" s="46">
        <v>0</v>
      </c>
      <c r="K101" s="46">
        <v>1.7051368421052632E-3</v>
      </c>
      <c r="L101" s="46">
        <v>1.5645473684210527E-3</v>
      </c>
      <c r="M101" s="46">
        <v>1.2833684210526316E-3</v>
      </c>
      <c r="N101" s="45"/>
    </row>
    <row r="102" spans="1:15" x14ac:dyDescent="0.25">
      <c r="A102" s="306"/>
      <c r="B102" s="323"/>
      <c r="C102" s="22" t="s">
        <v>24</v>
      </c>
      <c r="D102" s="23" t="s">
        <v>10</v>
      </c>
      <c r="E102" s="47">
        <v>0</v>
      </c>
      <c r="F102" s="47">
        <v>0</v>
      </c>
      <c r="G102" s="47">
        <v>0</v>
      </c>
      <c r="H102" s="47">
        <v>0</v>
      </c>
      <c r="I102" s="47">
        <v>0</v>
      </c>
      <c r="J102" s="47">
        <v>0</v>
      </c>
      <c r="K102" s="47">
        <v>0</v>
      </c>
      <c r="L102" s="47">
        <v>0</v>
      </c>
      <c r="M102" s="47">
        <v>0</v>
      </c>
      <c r="N102" s="45"/>
    </row>
    <row r="103" spans="1:15" x14ac:dyDescent="0.25">
      <c r="A103" s="306"/>
      <c r="B103" s="323"/>
      <c r="C103" s="21" t="s">
        <v>25</v>
      </c>
      <c r="D103" s="1" t="s">
        <v>7</v>
      </c>
      <c r="E103" s="47">
        <v>0.99749999999999994</v>
      </c>
      <c r="F103" s="47">
        <v>0.99749999999999994</v>
      </c>
      <c r="G103" s="47">
        <v>0.99749999999999994</v>
      </c>
      <c r="H103" s="47">
        <v>0.99749999999999994</v>
      </c>
      <c r="I103" s="47">
        <v>0.99749999999999994</v>
      </c>
      <c r="J103" s="47">
        <v>0.99749999999999994</v>
      </c>
      <c r="K103" s="47">
        <v>0.999</v>
      </c>
      <c r="L103" s="47">
        <v>0.999</v>
      </c>
      <c r="M103" s="47">
        <v>0.999</v>
      </c>
      <c r="N103" s="45"/>
    </row>
    <row r="104" spans="1:15" x14ac:dyDescent="0.25">
      <c r="A104" s="306"/>
      <c r="B104" s="323"/>
      <c r="C104" s="21" t="s">
        <v>26</v>
      </c>
      <c r="D104" s="1" t="s">
        <v>14</v>
      </c>
      <c r="E104" s="46">
        <v>1524.6</v>
      </c>
      <c r="F104" s="46">
        <v>1749.6</v>
      </c>
      <c r="G104" s="46">
        <v>2349.6</v>
      </c>
      <c r="H104" s="46">
        <v>3174.6</v>
      </c>
      <c r="I104" s="46">
        <v>4299.6000000000004</v>
      </c>
      <c r="J104" s="46">
        <v>14213</v>
      </c>
      <c r="K104" s="46">
        <v>21713</v>
      </c>
      <c r="L104" s="46">
        <v>37463</v>
      </c>
      <c r="M104" s="46">
        <v>68963</v>
      </c>
      <c r="N104" s="45"/>
    </row>
    <row r="105" spans="1:15" x14ac:dyDescent="0.25">
      <c r="A105" s="306"/>
      <c r="B105" s="323"/>
      <c r="C105" s="21" t="s">
        <v>27</v>
      </c>
      <c r="D105" s="1" t="s">
        <v>4</v>
      </c>
      <c r="E105" s="44">
        <v>40</v>
      </c>
      <c r="F105" s="44">
        <v>40</v>
      </c>
      <c r="G105" s="44">
        <v>40</v>
      </c>
      <c r="H105" s="44">
        <v>40</v>
      </c>
      <c r="I105" s="44">
        <v>40</v>
      </c>
      <c r="J105" s="44">
        <v>40</v>
      </c>
      <c r="K105" s="44">
        <v>40</v>
      </c>
      <c r="L105" s="44">
        <v>40</v>
      </c>
      <c r="M105" s="44">
        <v>40</v>
      </c>
      <c r="N105" s="45"/>
    </row>
    <row r="106" spans="1:15" x14ac:dyDescent="0.25">
      <c r="A106" s="306"/>
      <c r="B106" s="323"/>
      <c r="C106" s="21" t="s">
        <v>112</v>
      </c>
      <c r="D106" s="1" t="s">
        <v>19</v>
      </c>
      <c r="E106" s="44">
        <v>0.5</v>
      </c>
      <c r="F106" s="44">
        <v>0.5</v>
      </c>
      <c r="G106" s="44">
        <v>0.5</v>
      </c>
      <c r="H106" s="44">
        <v>0.5</v>
      </c>
      <c r="I106" s="44">
        <v>0.5</v>
      </c>
      <c r="J106" s="44">
        <v>0.5</v>
      </c>
      <c r="K106" s="44">
        <v>0.5</v>
      </c>
      <c r="L106" s="44">
        <v>0.5</v>
      </c>
      <c r="M106" s="44">
        <v>0.5</v>
      </c>
      <c r="N106" s="45"/>
      <c r="O106" s="65"/>
    </row>
    <row r="107" spans="1:15" x14ac:dyDescent="0.25">
      <c r="A107" s="306"/>
      <c r="B107" s="323"/>
      <c r="C107" s="21" t="s">
        <v>28</v>
      </c>
      <c r="D107" s="1" t="s">
        <v>19</v>
      </c>
      <c r="E107" s="44">
        <v>1.3</v>
      </c>
      <c r="F107" s="44">
        <v>1.3</v>
      </c>
      <c r="G107" s="44">
        <v>1.3</v>
      </c>
      <c r="H107" s="44">
        <v>1.3</v>
      </c>
      <c r="I107" s="44">
        <v>1.3</v>
      </c>
      <c r="J107" s="44">
        <v>1.3</v>
      </c>
      <c r="K107" s="44">
        <v>1.3</v>
      </c>
      <c r="L107" s="44">
        <v>1.3</v>
      </c>
      <c r="M107" s="44">
        <v>1.3</v>
      </c>
      <c r="N107" s="45"/>
    </row>
    <row r="108" spans="1:15" x14ac:dyDescent="0.25">
      <c r="A108" s="306"/>
      <c r="B108" s="323"/>
      <c r="C108" s="21" t="s">
        <v>29</v>
      </c>
      <c r="D108" s="1" t="s">
        <v>4</v>
      </c>
      <c r="E108" s="44">
        <v>20</v>
      </c>
      <c r="F108" s="44">
        <v>20</v>
      </c>
      <c r="G108" s="44">
        <v>20</v>
      </c>
      <c r="H108" s="44">
        <v>20</v>
      </c>
      <c r="I108" s="44">
        <v>20</v>
      </c>
      <c r="J108" s="44">
        <v>20</v>
      </c>
      <c r="K108" s="44">
        <v>20</v>
      </c>
      <c r="L108" s="44">
        <v>20</v>
      </c>
      <c r="M108" s="44">
        <v>20</v>
      </c>
      <c r="N108" s="45"/>
    </row>
    <row r="109" spans="1:15" x14ac:dyDescent="0.25">
      <c r="A109" s="306"/>
      <c r="B109" s="323"/>
      <c r="C109" s="21" t="s">
        <v>30</v>
      </c>
      <c r="D109" s="1" t="s">
        <v>6</v>
      </c>
      <c r="E109" s="46">
        <v>1059.4010540988941</v>
      </c>
      <c r="F109" s="46">
        <v>756.50213541090761</v>
      </c>
      <c r="G109" s="46">
        <v>501.22759185375315</v>
      </c>
      <c r="H109" s="46">
        <v>421.48150193390472</v>
      </c>
      <c r="I109" s="46">
        <v>421.48150193390472</v>
      </c>
      <c r="J109" s="46">
        <v>421.48150193390472</v>
      </c>
      <c r="K109" s="46">
        <v>1263.7926377407807</v>
      </c>
      <c r="L109" s="46">
        <v>1099.5292106353315</v>
      </c>
      <c r="M109" s="46">
        <v>966.59191860788746</v>
      </c>
      <c r="N109" s="45"/>
    </row>
    <row r="110" spans="1:15" x14ac:dyDescent="0.25">
      <c r="A110" s="306"/>
      <c r="B110" s="323"/>
      <c r="C110" s="21" t="s">
        <v>174</v>
      </c>
      <c r="D110" s="1" t="s">
        <v>19</v>
      </c>
      <c r="E110" s="47">
        <v>0</v>
      </c>
      <c r="F110" s="47">
        <v>0</v>
      </c>
      <c r="G110" s="47">
        <v>0</v>
      </c>
      <c r="H110" s="47">
        <v>0</v>
      </c>
      <c r="I110" s="47">
        <v>0</v>
      </c>
      <c r="J110" s="47">
        <v>0</v>
      </c>
      <c r="K110" s="47">
        <v>0</v>
      </c>
      <c r="L110" s="47">
        <v>0</v>
      </c>
      <c r="M110" s="47">
        <v>0</v>
      </c>
      <c r="N110" s="45"/>
    </row>
    <row r="111" spans="1:15" x14ac:dyDescent="0.25">
      <c r="A111" s="306"/>
      <c r="B111" s="323"/>
      <c r="C111" s="21" t="s">
        <v>113</v>
      </c>
      <c r="D111" s="1" t="s">
        <v>8</v>
      </c>
      <c r="E111" s="44"/>
      <c r="F111" s="44"/>
      <c r="G111" s="44"/>
      <c r="H111" s="44"/>
      <c r="I111" s="44"/>
      <c r="J111" s="44"/>
      <c r="K111" s="44"/>
      <c r="L111" s="44"/>
      <c r="M111" s="44"/>
      <c r="N111" s="45"/>
    </row>
    <row r="112" spans="1:15" x14ac:dyDescent="0.25">
      <c r="A112" s="306"/>
      <c r="B112" s="323"/>
      <c r="C112" s="21" t="s">
        <v>114</v>
      </c>
      <c r="D112" s="1" t="s">
        <v>9</v>
      </c>
      <c r="E112" s="44"/>
      <c r="F112" s="44"/>
      <c r="G112" s="44"/>
      <c r="H112" s="44"/>
      <c r="I112" s="44"/>
      <c r="J112" s="44"/>
      <c r="K112" s="44"/>
      <c r="L112" s="44"/>
      <c r="M112" s="44"/>
      <c r="N112" s="45"/>
    </row>
    <row r="113" spans="1:15" x14ac:dyDescent="0.25">
      <c r="A113" s="306"/>
      <c r="B113" s="323"/>
      <c r="C113" s="21" t="s">
        <v>115</v>
      </c>
      <c r="D113" s="1" t="s">
        <v>10</v>
      </c>
      <c r="E113" s="46">
        <v>0</v>
      </c>
      <c r="F113" s="46">
        <v>0</v>
      </c>
      <c r="G113" s="46">
        <v>0</v>
      </c>
      <c r="H113" s="46">
        <v>0</v>
      </c>
      <c r="I113" s="46">
        <v>0</v>
      </c>
      <c r="J113" s="46">
        <v>0</v>
      </c>
      <c r="K113" s="46">
        <v>0</v>
      </c>
      <c r="L113" s="46">
        <v>2.0100000000000001E-3</v>
      </c>
      <c r="M113" s="46">
        <v>2.0100000000000001E-3</v>
      </c>
      <c r="N113" s="48"/>
      <c r="O113" s="49"/>
    </row>
    <row r="114" spans="1:15" ht="18.75" x14ac:dyDescent="0.25">
      <c r="A114" s="306"/>
      <c r="B114" s="323"/>
      <c r="C114" s="22" t="s">
        <v>116</v>
      </c>
      <c r="D114" s="23" t="s">
        <v>17</v>
      </c>
      <c r="E114" s="46">
        <v>0</v>
      </c>
      <c r="F114" s="46">
        <v>0</v>
      </c>
      <c r="G114" s="46">
        <v>0</v>
      </c>
      <c r="H114" s="46">
        <v>0</v>
      </c>
      <c r="I114" s="46">
        <v>0</v>
      </c>
      <c r="J114" s="46">
        <v>0</v>
      </c>
      <c r="K114" s="46">
        <v>0</v>
      </c>
      <c r="L114" s="46">
        <v>0</v>
      </c>
      <c r="M114" s="46">
        <v>0</v>
      </c>
      <c r="N114" s="45"/>
    </row>
    <row r="115" spans="1:15" x14ac:dyDescent="0.25">
      <c r="A115" s="306"/>
      <c r="B115" s="323"/>
      <c r="C115" s="22" t="s">
        <v>31</v>
      </c>
      <c r="D115" s="23" t="s">
        <v>10</v>
      </c>
      <c r="E115" s="46">
        <v>0</v>
      </c>
      <c r="F115" s="46">
        <v>0</v>
      </c>
      <c r="G115" s="46">
        <v>0</v>
      </c>
      <c r="H115" s="46">
        <v>0</v>
      </c>
      <c r="I115" s="46">
        <v>0</v>
      </c>
      <c r="J115" s="46">
        <v>0</v>
      </c>
      <c r="K115" s="46">
        <v>0</v>
      </c>
      <c r="L115" s="46">
        <v>0</v>
      </c>
      <c r="M115" s="46">
        <v>0</v>
      </c>
      <c r="N115" s="45"/>
    </row>
    <row r="116" spans="1:15" x14ac:dyDescent="0.25">
      <c r="A116" s="306"/>
      <c r="B116" s="323"/>
      <c r="C116" s="21" t="s">
        <v>32</v>
      </c>
      <c r="D116" s="2" t="s">
        <v>19</v>
      </c>
      <c r="E116" s="44">
        <v>3.48</v>
      </c>
      <c r="F116" s="44">
        <v>3.48</v>
      </c>
      <c r="G116" s="44">
        <v>3.48</v>
      </c>
      <c r="H116" s="44">
        <v>3.48</v>
      </c>
      <c r="I116" s="44">
        <v>3.48</v>
      </c>
      <c r="J116" s="44">
        <v>3.48</v>
      </c>
      <c r="K116" s="44">
        <v>3.48</v>
      </c>
      <c r="L116" s="44">
        <v>3.48</v>
      </c>
      <c r="M116" s="44">
        <v>3.48</v>
      </c>
      <c r="N116" s="45"/>
    </row>
    <row r="117" spans="1:15" x14ac:dyDescent="0.25">
      <c r="A117" s="306"/>
      <c r="B117" s="323"/>
      <c r="C117" s="21" t="s">
        <v>33</v>
      </c>
      <c r="D117" s="2" t="s">
        <v>14</v>
      </c>
      <c r="E117" s="44"/>
      <c r="F117" s="44"/>
      <c r="G117" s="44"/>
      <c r="H117" s="44"/>
      <c r="I117" s="44"/>
      <c r="J117" s="44"/>
      <c r="K117" s="44"/>
      <c r="L117" s="44"/>
      <c r="M117" s="44"/>
      <c r="N117" s="45"/>
    </row>
    <row r="118" spans="1:15" x14ac:dyDescent="0.25">
      <c r="A118" s="306"/>
      <c r="B118" s="323"/>
      <c r="C118" s="21" t="s">
        <v>34</v>
      </c>
      <c r="D118" s="2" t="s">
        <v>4</v>
      </c>
      <c r="E118" s="44"/>
      <c r="F118" s="44"/>
      <c r="G118" s="44"/>
      <c r="H118" s="44"/>
      <c r="I118" s="44"/>
      <c r="J118" s="44"/>
      <c r="K118" s="44"/>
      <c r="L118" s="44"/>
      <c r="M118" s="44"/>
      <c r="N118" s="45"/>
    </row>
    <row r="119" spans="1:15" ht="15" customHeight="1" x14ac:dyDescent="0.25">
      <c r="A119" s="306">
        <v>10</v>
      </c>
      <c r="B119" s="323" t="s">
        <v>175</v>
      </c>
      <c r="C119" s="21" t="s">
        <v>109</v>
      </c>
      <c r="D119" s="1" t="s">
        <v>19</v>
      </c>
      <c r="E119" s="44">
        <v>1</v>
      </c>
      <c r="F119" s="44">
        <v>1</v>
      </c>
      <c r="G119" s="44">
        <v>1</v>
      </c>
      <c r="H119" s="44">
        <v>1</v>
      </c>
      <c r="I119" s="44">
        <v>1</v>
      </c>
      <c r="J119" s="44">
        <v>1</v>
      </c>
      <c r="K119" s="44">
        <v>1</v>
      </c>
      <c r="L119" s="44">
        <v>1</v>
      </c>
      <c r="M119" s="44">
        <v>1</v>
      </c>
      <c r="N119" s="45"/>
    </row>
    <row r="120" spans="1:15" x14ac:dyDescent="0.25">
      <c r="A120" s="306"/>
      <c r="B120" s="323"/>
      <c r="C120" s="21" t="s">
        <v>21</v>
      </c>
      <c r="D120" s="1" t="s">
        <v>19</v>
      </c>
      <c r="E120" s="44">
        <v>0.35</v>
      </c>
      <c r="F120" s="44">
        <v>0.35</v>
      </c>
      <c r="G120" s="44">
        <v>0.35</v>
      </c>
      <c r="H120" s="44">
        <v>0.35</v>
      </c>
      <c r="I120" s="44">
        <v>0.35</v>
      </c>
      <c r="J120" s="44">
        <v>0.35</v>
      </c>
      <c r="K120" s="44">
        <v>0.35</v>
      </c>
      <c r="L120" s="44">
        <v>0.35</v>
      </c>
      <c r="M120" s="44">
        <v>0.35</v>
      </c>
      <c r="N120" s="45"/>
    </row>
    <row r="121" spans="1:15" x14ac:dyDescent="0.25">
      <c r="A121" s="306"/>
      <c r="B121" s="323"/>
      <c r="C121" s="21" t="s">
        <v>22</v>
      </c>
      <c r="D121" s="1" t="s">
        <v>4</v>
      </c>
      <c r="E121" s="44">
        <v>20</v>
      </c>
      <c r="F121" s="44">
        <v>20</v>
      </c>
      <c r="G121" s="44">
        <v>20</v>
      </c>
      <c r="H121" s="44">
        <v>20</v>
      </c>
      <c r="I121" s="44">
        <v>20</v>
      </c>
      <c r="J121" s="44">
        <v>20</v>
      </c>
      <c r="K121" s="44">
        <v>20</v>
      </c>
      <c r="L121" s="44">
        <v>20</v>
      </c>
      <c r="M121" s="44">
        <v>20</v>
      </c>
      <c r="N121" s="45"/>
    </row>
    <row r="122" spans="1:15" x14ac:dyDescent="0.25">
      <c r="A122" s="306"/>
      <c r="B122" s="323"/>
      <c r="C122" s="21" t="s">
        <v>23</v>
      </c>
      <c r="D122" s="1" t="s">
        <v>6</v>
      </c>
      <c r="E122" s="46">
        <v>192.56641637688614</v>
      </c>
      <c r="F122" s="46">
        <v>163.18945257039451</v>
      </c>
      <c r="G122" s="46">
        <v>127.27927465146402</v>
      </c>
      <c r="H122" s="46">
        <v>102.70540718565383</v>
      </c>
      <c r="I122" s="46">
        <v>107.31263157894738</v>
      </c>
      <c r="J122" s="46">
        <v>107.00631578947369</v>
      </c>
      <c r="K122" s="46">
        <v>105.98526315789475</v>
      </c>
      <c r="L122" s="46">
        <v>103.84105263157896</v>
      </c>
      <c r="M122" s="46">
        <v>99.55263157894737</v>
      </c>
      <c r="N122" s="45"/>
    </row>
    <row r="123" spans="1:15" x14ac:dyDescent="0.25">
      <c r="A123" s="306"/>
      <c r="B123" s="323"/>
      <c r="C123" s="21" t="s">
        <v>173</v>
      </c>
      <c r="D123" s="1" t="s">
        <v>19</v>
      </c>
      <c r="E123" s="47">
        <v>0</v>
      </c>
      <c r="F123" s="47">
        <v>0</v>
      </c>
      <c r="G123" s="47">
        <v>0</v>
      </c>
      <c r="H123" s="47">
        <v>0</v>
      </c>
      <c r="I123" s="47">
        <v>0</v>
      </c>
      <c r="J123" s="47">
        <v>0</v>
      </c>
      <c r="K123" s="47">
        <v>0</v>
      </c>
      <c r="L123" s="47">
        <v>0</v>
      </c>
      <c r="M123" s="47">
        <v>0</v>
      </c>
      <c r="N123" s="45"/>
    </row>
    <row r="124" spans="1:15" x14ac:dyDescent="0.25">
      <c r="A124" s="306"/>
      <c r="B124" s="323"/>
      <c r="C124" s="21" t="s">
        <v>110</v>
      </c>
      <c r="D124" s="1" t="s">
        <v>8</v>
      </c>
      <c r="E124" s="44"/>
      <c r="F124" s="44"/>
      <c r="G124" s="44"/>
      <c r="H124" s="44"/>
      <c r="I124" s="44"/>
      <c r="J124" s="44"/>
      <c r="K124" s="44"/>
      <c r="L124" s="44"/>
      <c r="M124" s="44"/>
      <c r="N124" s="45"/>
    </row>
    <row r="125" spans="1:15" x14ac:dyDescent="0.25">
      <c r="A125" s="306"/>
      <c r="B125" s="323"/>
      <c r="C125" s="21" t="s">
        <v>111</v>
      </c>
      <c r="D125" s="1" t="s">
        <v>9</v>
      </c>
      <c r="E125" s="46">
        <v>5.7769924913065838</v>
      </c>
      <c r="F125" s="46">
        <v>4.8956835771118348</v>
      </c>
      <c r="G125" s="46">
        <v>3.8183782395439203</v>
      </c>
      <c r="H125" s="46">
        <v>3.0811622155696146</v>
      </c>
      <c r="I125" s="46">
        <v>2.0378947368421052</v>
      </c>
      <c r="J125" s="46">
        <v>2.0189473684210526</v>
      </c>
      <c r="K125" s="46">
        <v>1.9557894736842103</v>
      </c>
      <c r="L125" s="46">
        <v>1.8231578947368419</v>
      </c>
      <c r="M125" s="46">
        <v>1.557894736842105</v>
      </c>
      <c r="N125" s="45"/>
    </row>
    <row r="126" spans="1:15" x14ac:dyDescent="0.25">
      <c r="A126" s="306"/>
      <c r="B126" s="323"/>
      <c r="C126" s="21" t="s">
        <v>35</v>
      </c>
      <c r="D126" s="1" t="s">
        <v>10</v>
      </c>
      <c r="E126" s="46">
        <v>0</v>
      </c>
      <c r="F126" s="46">
        <v>0</v>
      </c>
      <c r="G126" s="46">
        <v>0</v>
      </c>
      <c r="H126" s="46">
        <v>0</v>
      </c>
      <c r="I126" s="46">
        <v>0</v>
      </c>
      <c r="J126" s="46">
        <v>0</v>
      </c>
      <c r="K126" s="46">
        <v>1.7051368421052632E-3</v>
      </c>
      <c r="L126" s="46">
        <v>1.5645473684210527E-3</v>
      </c>
      <c r="M126" s="46">
        <v>1.2833684210526316E-3</v>
      </c>
      <c r="N126" s="45"/>
    </row>
    <row r="127" spans="1:15" x14ac:dyDescent="0.25">
      <c r="A127" s="306"/>
      <c r="B127" s="323"/>
      <c r="C127" s="22" t="s">
        <v>24</v>
      </c>
      <c r="D127" s="23" t="s">
        <v>10</v>
      </c>
      <c r="E127" s="46">
        <v>0</v>
      </c>
      <c r="F127" s="46">
        <v>0</v>
      </c>
      <c r="G127" s="46">
        <v>0</v>
      </c>
      <c r="H127" s="46">
        <v>0</v>
      </c>
      <c r="I127" s="46">
        <v>0</v>
      </c>
      <c r="J127" s="46">
        <v>0</v>
      </c>
      <c r="K127" s="46">
        <v>0</v>
      </c>
      <c r="L127" s="46">
        <v>0</v>
      </c>
      <c r="M127" s="46">
        <v>0</v>
      </c>
      <c r="N127" s="45"/>
    </row>
    <row r="128" spans="1:15" x14ac:dyDescent="0.25">
      <c r="A128" s="306"/>
      <c r="B128" s="323"/>
      <c r="C128" s="21" t="s">
        <v>25</v>
      </c>
      <c r="D128" s="1" t="s">
        <v>7</v>
      </c>
      <c r="E128" s="47">
        <v>0.99749999999999994</v>
      </c>
      <c r="F128" s="47">
        <v>0.99749999999999994</v>
      </c>
      <c r="G128" s="47">
        <v>0.99749999999999994</v>
      </c>
      <c r="H128" s="47">
        <v>0.99749999999999994</v>
      </c>
      <c r="I128" s="47">
        <v>0.99749999999999994</v>
      </c>
      <c r="J128" s="47">
        <v>0.99749999999999994</v>
      </c>
      <c r="K128" s="47">
        <v>0.999</v>
      </c>
      <c r="L128" s="47">
        <v>0.999</v>
      </c>
      <c r="M128" s="47">
        <v>0.999</v>
      </c>
      <c r="N128" s="45"/>
    </row>
    <row r="129" spans="1:14" x14ac:dyDescent="0.25">
      <c r="A129" s="306"/>
      <c r="B129" s="323"/>
      <c r="C129" s="21" t="s">
        <v>26</v>
      </c>
      <c r="D129" s="1" t="s">
        <v>14</v>
      </c>
      <c r="E129" s="46">
        <v>1524.6</v>
      </c>
      <c r="F129" s="46">
        <v>1749.6</v>
      </c>
      <c r="G129" s="46">
        <v>2349.6</v>
      </c>
      <c r="H129" s="46">
        <v>3174.6</v>
      </c>
      <c r="I129" s="46">
        <v>4299.6000000000004</v>
      </c>
      <c r="J129" s="46">
        <v>14213</v>
      </c>
      <c r="K129" s="46">
        <v>21713</v>
      </c>
      <c r="L129" s="46">
        <v>37463</v>
      </c>
      <c r="M129" s="46">
        <v>68963</v>
      </c>
      <c r="N129" s="45"/>
    </row>
    <row r="130" spans="1:14" x14ac:dyDescent="0.25">
      <c r="A130" s="306"/>
      <c r="B130" s="323"/>
      <c r="C130" s="21" t="s">
        <v>27</v>
      </c>
      <c r="D130" s="1" t="s">
        <v>4</v>
      </c>
      <c r="E130" s="44">
        <v>40</v>
      </c>
      <c r="F130" s="44">
        <v>40</v>
      </c>
      <c r="G130" s="44">
        <v>40</v>
      </c>
      <c r="H130" s="44">
        <v>40</v>
      </c>
      <c r="I130" s="44">
        <v>40</v>
      </c>
      <c r="J130" s="44">
        <v>40</v>
      </c>
      <c r="K130" s="44">
        <v>40</v>
      </c>
      <c r="L130" s="44">
        <v>40</v>
      </c>
      <c r="M130" s="44">
        <v>40</v>
      </c>
      <c r="N130" s="45"/>
    </row>
    <row r="131" spans="1:14" x14ac:dyDescent="0.25">
      <c r="A131" s="306"/>
      <c r="B131" s="323"/>
      <c r="C131" s="21" t="s">
        <v>117</v>
      </c>
      <c r="D131" s="1" t="s">
        <v>19</v>
      </c>
      <c r="E131" s="44">
        <v>0.35</v>
      </c>
      <c r="F131" s="44">
        <v>0.35</v>
      </c>
      <c r="G131" s="44">
        <v>0.35</v>
      </c>
      <c r="H131" s="44">
        <v>0.35</v>
      </c>
      <c r="I131" s="44">
        <v>0.35</v>
      </c>
      <c r="J131" s="44">
        <v>0.35</v>
      </c>
      <c r="K131" s="44">
        <v>0.35</v>
      </c>
      <c r="L131" s="44">
        <v>0.35</v>
      </c>
      <c r="M131" s="44">
        <v>0.35</v>
      </c>
      <c r="N131" s="45"/>
    </row>
    <row r="132" spans="1:14" x14ac:dyDescent="0.25">
      <c r="A132" s="306"/>
      <c r="B132" s="323"/>
      <c r="C132" s="21" t="s">
        <v>36</v>
      </c>
      <c r="D132" s="1" t="s">
        <v>19</v>
      </c>
      <c r="E132" s="44">
        <v>1.8571428571428572</v>
      </c>
      <c r="F132" s="44">
        <v>1.8571428571428572</v>
      </c>
      <c r="G132" s="44">
        <v>1.8571428571428572</v>
      </c>
      <c r="H132" s="44">
        <v>1.8571428571428572</v>
      </c>
      <c r="I132" s="44">
        <v>1.8571428571428572</v>
      </c>
      <c r="J132" s="44">
        <v>1.8571428571428572</v>
      </c>
      <c r="K132" s="44">
        <v>1.8571428571428572</v>
      </c>
      <c r="L132" s="44">
        <v>1.8571428571428572</v>
      </c>
      <c r="M132" s="44">
        <v>1.8571428571428572</v>
      </c>
      <c r="N132" s="45"/>
    </row>
    <row r="133" spans="1:14" x14ac:dyDescent="0.25">
      <c r="A133" s="306"/>
      <c r="B133" s="323"/>
      <c r="C133" s="21" t="s">
        <v>37</v>
      </c>
      <c r="D133" s="1" t="s">
        <v>4</v>
      </c>
      <c r="E133" s="44">
        <v>20</v>
      </c>
      <c r="F133" s="44">
        <v>20</v>
      </c>
      <c r="G133" s="44">
        <v>20</v>
      </c>
      <c r="H133" s="44">
        <v>20</v>
      </c>
      <c r="I133" s="44">
        <v>20</v>
      </c>
      <c r="J133" s="44">
        <v>20</v>
      </c>
      <c r="K133" s="44">
        <v>20</v>
      </c>
      <c r="L133" s="44">
        <v>20</v>
      </c>
      <c r="M133" s="44">
        <v>20</v>
      </c>
      <c r="N133" s="45"/>
    </row>
    <row r="134" spans="1:14" x14ac:dyDescent="0.25">
      <c r="A134" s="306"/>
      <c r="B134" s="323"/>
      <c r="C134" s="21" t="s">
        <v>38</v>
      </c>
      <c r="D134" s="1" t="s">
        <v>6</v>
      </c>
      <c r="E134" s="46">
        <v>6026.3877491334342</v>
      </c>
      <c r="F134" s="46">
        <v>4043.5340683802879</v>
      </c>
      <c r="G134" s="46">
        <v>2482.706791769042</v>
      </c>
      <c r="H134" s="46">
        <v>1970.6064607058622</v>
      </c>
      <c r="I134" s="46">
        <v>1675.7711440547848</v>
      </c>
      <c r="J134" s="46">
        <v>1316.9956928123304</v>
      </c>
      <c r="K134" s="46">
        <v>1036.1348879875416</v>
      </c>
      <c r="L134" s="46">
        <v>833.65074245015387</v>
      </c>
      <c r="M134" s="46">
        <v>681.69161459745465</v>
      </c>
      <c r="N134" s="45"/>
    </row>
    <row r="135" spans="1:14" x14ac:dyDescent="0.25">
      <c r="A135" s="306"/>
      <c r="B135" s="323"/>
      <c r="C135" s="21" t="s">
        <v>176</v>
      </c>
      <c r="D135" s="1" t="s">
        <v>19</v>
      </c>
      <c r="E135" s="47">
        <v>0</v>
      </c>
      <c r="F135" s="47">
        <v>0</v>
      </c>
      <c r="G135" s="47">
        <v>0</v>
      </c>
      <c r="H135" s="47">
        <v>0</v>
      </c>
      <c r="I135" s="47">
        <v>0</v>
      </c>
      <c r="J135" s="47">
        <v>0</v>
      </c>
      <c r="K135" s="47">
        <v>0</v>
      </c>
      <c r="L135" s="47">
        <v>0</v>
      </c>
      <c r="M135" s="47">
        <v>0</v>
      </c>
      <c r="N135" s="45"/>
    </row>
    <row r="136" spans="1:14" x14ac:dyDescent="0.25">
      <c r="A136" s="306"/>
      <c r="B136" s="323"/>
      <c r="C136" s="21" t="s">
        <v>118</v>
      </c>
      <c r="D136" s="1" t="s">
        <v>8</v>
      </c>
      <c r="E136" s="44"/>
      <c r="F136" s="44"/>
      <c r="G136" s="44"/>
      <c r="H136" s="44"/>
      <c r="I136" s="44"/>
      <c r="J136" s="44"/>
      <c r="K136" s="44"/>
      <c r="L136" s="44"/>
      <c r="M136" s="44"/>
      <c r="N136" s="45"/>
    </row>
    <row r="137" spans="1:14" x14ac:dyDescent="0.25">
      <c r="A137" s="306"/>
      <c r="B137" s="323"/>
      <c r="C137" s="21" t="s">
        <v>119</v>
      </c>
      <c r="D137" s="1" t="s">
        <v>9</v>
      </c>
      <c r="E137" s="44"/>
      <c r="F137" s="44"/>
      <c r="G137" s="44"/>
      <c r="H137" s="44"/>
      <c r="I137" s="44"/>
      <c r="J137" s="44"/>
      <c r="K137" s="44"/>
      <c r="L137" s="44"/>
      <c r="M137" s="44"/>
      <c r="N137" s="45"/>
    </row>
    <row r="138" spans="1:14" x14ac:dyDescent="0.25">
      <c r="A138" s="306"/>
      <c r="B138" s="323"/>
      <c r="C138" s="21" t="s">
        <v>39</v>
      </c>
      <c r="D138" s="1" t="s">
        <v>10</v>
      </c>
      <c r="E138" s="46">
        <v>5.4632155805897732E-2</v>
      </c>
      <c r="F138" s="46">
        <v>6.9225169277652349E-2</v>
      </c>
      <c r="G138" s="46">
        <v>5.5072970988733948E-2</v>
      </c>
      <c r="H138" s="46">
        <v>4.6604222305577481E-2</v>
      </c>
      <c r="I138" s="46">
        <v>4.0289223212275231E-2</v>
      </c>
      <c r="J138" s="46">
        <v>2.4583755873341454E-2</v>
      </c>
      <c r="K138" s="46">
        <v>1.9104989606490121E-2</v>
      </c>
      <c r="L138" s="46">
        <v>1.5182594783541725E-2</v>
      </c>
      <c r="M138" s="46">
        <v>1.3307545040231683E-2</v>
      </c>
      <c r="N138" s="45"/>
    </row>
    <row r="139" spans="1:14" x14ac:dyDescent="0.25">
      <c r="A139" s="306"/>
      <c r="B139" s="323"/>
      <c r="C139" s="22" t="s">
        <v>40</v>
      </c>
      <c r="D139" s="23" t="s">
        <v>10</v>
      </c>
      <c r="E139" s="46">
        <v>0</v>
      </c>
      <c r="F139" s="46">
        <v>0</v>
      </c>
      <c r="G139" s="46">
        <v>0</v>
      </c>
      <c r="H139" s="46">
        <v>0</v>
      </c>
      <c r="I139" s="46">
        <v>0</v>
      </c>
      <c r="J139" s="46">
        <v>0</v>
      </c>
      <c r="K139" s="46">
        <v>0</v>
      </c>
      <c r="L139" s="46">
        <v>0</v>
      </c>
      <c r="M139" s="46">
        <v>0</v>
      </c>
      <c r="N139" s="45"/>
    </row>
    <row r="140" spans="1:14" x14ac:dyDescent="0.25">
      <c r="A140" s="306"/>
      <c r="B140" s="323"/>
      <c r="C140" s="21" t="s">
        <v>41</v>
      </c>
      <c r="D140" s="1" t="s">
        <v>14</v>
      </c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1:14" x14ac:dyDescent="0.25">
      <c r="A141" s="306"/>
      <c r="B141" s="323"/>
      <c r="C141" s="21" t="s">
        <v>42</v>
      </c>
      <c r="D141" s="1" t="s">
        <v>4</v>
      </c>
      <c r="E141" s="44"/>
      <c r="F141" s="44"/>
      <c r="G141" s="44"/>
      <c r="H141" s="44"/>
      <c r="I141" s="44"/>
      <c r="J141" s="44"/>
      <c r="K141" s="44"/>
      <c r="L141" s="44"/>
      <c r="M141" s="44"/>
      <c r="N141" s="45"/>
    </row>
    <row r="142" spans="1:14" x14ac:dyDescent="0.25">
      <c r="A142" s="306"/>
      <c r="B142" s="323"/>
      <c r="C142" s="21" t="s">
        <v>43</v>
      </c>
      <c r="D142" s="1" t="s">
        <v>7</v>
      </c>
      <c r="E142" s="50">
        <v>0.25</v>
      </c>
      <c r="F142" s="50">
        <v>0.25</v>
      </c>
      <c r="G142" s="50">
        <v>0.25</v>
      </c>
      <c r="H142" s="50">
        <v>0.25</v>
      </c>
      <c r="I142" s="50">
        <v>0.25</v>
      </c>
      <c r="J142" s="50">
        <v>0.25</v>
      </c>
      <c r="K142" s="50">
        <v>0.25</v>
      </c>
      <c r="L142" s="50">
        <v>0.25</v>
      </c>
      <c r="M142" s="50">
        <v>0.25</v>
      </c>
      <c r="N142" s="45"/>
    </row>
    <row r="143" spans="1:14" x14ac:dyDescent="0.25">
      <c r="A143" s="306"/>
      <c r="B143" s="323"/>
      <c r="C143" s="24" t="s">
        <v>44</v>
      </c>
      <c r="D143" s="1" t="s">
        <v>7</v>
      </c>
      <c r="E143" s="47">
        <v>0.66625430833964439</v>
      </c>
      <c r="F143" s="47">
        <v>0.66367464936796561</v>
      </c>
      <c r="G143" s="47">
        <v>0.65679555877682227</v>
      </c>
      <c r="H143" s="47">
        <v>0.64733680921400016</v>
      </c>
      <c r="I143" s="47">
        <v>0.63443851435560639</v>
      </c>
      <c r="J143" s="47">
        <v>0.4680070358050421</v>
      </c>
      <c r="K143" s="47">
        <v>0.46713859851464173</v>
      </c>
      <c r="L143" s="47">
        <v>0.46531488020480088</v>
      </c>
      <c r="M143" s="47">
        <v>0.47</v>
      </c>
      <c r="N143" s="45"/>
    </row>
    <row r="144" spans="1:14" x14ac:dyDescent="0.25">
      <c r="A144" s="306"/>
      <c r="B144" s="323"/>
      <c r="C144" s="24" t="s">
        <v>45</v>
      </c>
      <c r="D144" s="1" t="s">
        <v>7</v>
      </c>
      <c r="E144" s="47">
        <v>0.25092243745356524</v>
      </c>
      <c r="F144" s="47">
        <v>0.25657675134016689</v>
      </c>
      <c r="G144" s="47">
        <v>0.27165492170443795</v>
      </c>
      <c r="H144" s="47">
        <v>0.29238740595531065</v>
      </c>
      <c r="I144" s="47">
        <v>0.32065897538831889</v>
      </c>
      <c r="J144" s="47">
        <v>0.41290384467151914</v>
      </c>
      <c r="K144" s="47">
        <v>0.41363974384019625</v>
      </c>
      <c r="L144" s="47">
        <v>0.41518513209441815</v>
      </c>
      <c r="M144" s="47">
        <v>0.41599999999999998</v>
      </c>
      <c r="N144" s="45"/>
    </row>
    <row r="145" spans="1:14" x14ac:dyDescent="0.25">
      <c r="A145" s="306"/>
      <c r="B145" s="323"/>
      <c r="C145" s="25" t="s">
        <v>120</v>
      </c>
      <c r="D145" s="23" t="s">
        <v>10</v>
      </c>
      <c r="E145" s="46">
        <v>0</v>
      </c>
      <c r="F145" s="46">
        <v>0</v>
      </c>
      <c r="G145" s="46">
        <v>0</v>
      </c>
      <c r="H145" s="46">
        <v>0</v>
      </c>
      <c r="I145" s="46">
        <v>0</v>
      </c>
      <c r="J145" s="46">
        <v>0</v>
      </c>
      <c r="K145" s="46">
        <v>0</v>
      </c>
      <c r="L145" s="46">
        <v>0</v>
      </c>
      <c r="M145" s="46">
        <v>0</v>
      </c>
      <c r="N145" s="45"/>
    </row>
    <row r="146" spans="1:14" x14ac:dyDescent="0.25">
      <c r="A146" s="306"/>
      <c r="B146" s="323"/>
      <c r="C146" s="25" t="s">
        <v>121</v>
      </c>
      <c r="D146" s="23" t="s">
        <v>122</v>
      </c>
      <c r="E146" s="46">
        <v>0</v>
      </c>
      <c r="F146" s="46">
        <v>0</v>
      </c>
      <c r="G146" s="46">
        <v>0</v>
      </c>
      <c r="H146" s="46">
        <v>0</v>
      </c>
      <c r="I146" s="46">
        <v>0</v>
      </c>
      <c r="J146" s="46">
        <v>0</v>
      </c>
      <c r="K146" s="46">
        <v>0</v>
      </c>
      <c r="L146" s="46">
        <v>0</v>
      </c>
      <c r="M146" s="46">
        <v>0</v>
      </c>
      <c r="N146" s="45"/>
    </row>
    <row r="147" spans="1:14" x14ac:dyDescent="0.25">
      <c r="A147" s="306"/>
      <c r="B147" s="323"/>
      <c r="C147" s="25" t="s">
        <v>123</v>
      </c>
      <c r="D147" s="23" t="s">
        <v>124</v>
      </c>
      <c r="E147" s="44">
        <v>0</v>
      </c>
      <c r="F147" s="44">
        <v>0</v>
      </c>
      <c r="G147" s="44">
        <v>0</v>
      </c>
      <c r="H147" s="44">
        <v>0</v>
      </c>
      <c r="I147" s="44">
        <v>0</v>
      </c>
      <c r="J147" s="44">
        <v>0</v>
      </c>
      <c r="K147" s="44">
        <v>0</v>
      </c>
      <c r="L147" s="44">
        <v>0</v>
      </c>
      <c r="M147" s="44">
        <v>0</v>
      </c>
      <c r="N147" s="45"/>
    </row>
    <row r="148" spans="1:14" ht="15" customHeight="1" x14ac:dyDescent="0.25">
      <c r="A148" s="306">
        <v>11</v>
      </c>
      <c r="B148" s="323" t="s">
        <v>177</v>
      </c>
      <c r="C148" s="21" t="s">
        <v>109</v>
      </c>
      <c r="D148" s="1" t="s">
        <v>19</v>
      </c>
      <c r="E148" s="44">
        <v>1</v>
      </c>
      <c r="F148" s="44">
        <v>1</v>
      </c>
      <c r="G148" s="44">
        <v>1</v>
      </c>
      <c r="H148" s="44">
        <v>1</v>
      </c>
      <c r="I148" s="44">
        <v>1</v>
      </c>
      <c r="J148" s="44">
        <v>1</v>
      </c>
      <c r="K148" s="44">
        <v>1</v>
      </c>
      <c r="L148" s="44">
        <v>1</v>
      </c>
      <c r="M148" s="44">
        <v>1</v>
      </c>
      <c r="N148" s="45"/>
    </row>
    <row r="149" spans="1:14" x14ac:dyDescent="0.25">
      <c r="A149" s="306"/>
      <c r="B149" s="323"/>
      <c r="C149" s="21" t="s">
        <v>21</v>
      </c>
      <c r="D149" s="1" t="s">
        <v>19</v>
      </c>
      <c r="E149" s="44">
        <v>0.35</v>
      </c>
      <c r="F149" s="44">
        <v>0.35</v>
      </c>
      <c r="G149" s="44">
        <v>0.35</v>
      </c>
      <c r="H149" s="44">
        <v>0.35</v>
      </c>
      <c r="I149" s="44">
        <v>0.35</v>
      </c>
      <c r="J149" s="44">
        <v>0.35</v>
      </c>
      <c r="K149" s="44">
        <v>0.35</v>
      </c>
      <c r="L149" s="44">
        <v>0.35</v>
      </c>
      <c r="M149" s="44">
        <v>0.35</v>
      </c>
      <c r="N149" s="45"/>
    </row>
    <row r="150" spans="1:14" x14ac:dyDescent="0.25">
      <c r="A150" s="306"/>
      <c r="B150" s="323"/>
      <c r="C150" s="21" t="s">
        <v>22</v>
      </c>
      <c r="D150" s="1" t="s">
        <v>4</v>
      </c>
      <c r="E150" s="44">
        <v>20</v>
      </c>
      <c r="F150" s="44">
        <v>20</v>
      </c>
      <c r="G150" s="44">
        <v>20</v>
      </c>
      <c r="H150" s="44">
        <v>20</v>
      </c>
      <c r="I150" s="44">
        <v>20</v>
      </c>
      <c r="J150" s="44">
        <v>20</v>
      </c>
      <c r="K150" s="44">
        <v>20</v>
      </c>
      <c r="L150" s="44">
        <v>20</v>
      </c>
      <c r="M150" s="44">
        <v>20</v>
      </c>
      <c r="N150" s="45"/>
    </row>
    <row r="151" spans="1:14" x14ac:dyDescent="0.25">
      <c r="A151" s="306"/>
      <c r="B151" s="323"/>
      <c r="C151" s="21" t="s">
        <v>23</v>
      </c>
      <c r="D151" s="1" t="s">
        <v>6</v>
      </c>
      <c r="E151" s="46">
        <v>192.56641637688614</v>
      </c>
      <c r="F151" s="46">
        <v>163.18945257039451</v>
      </c>
      <c r="G151" s="46">
        <v>127.27927465146402</v>
      </c>
      <c r="H151" s="46">
        <v>102.70540718565383</v>
      </c>
      <c r="I151" s="46">
        <v>107.31263157894738</v>
      </c>
      <c r="J151" s="46">
        <v>107.00631578947369</v>
      </c>
      <c r="K151" s="46">
        <v>105.98526315789475</v>
      </c>
      <c r="L151" s="46">
        <v>103.84105263157896</v>
      </c>
      <c r="M151" s="46">
        <v>99.55263157894737</v>
      </c>
      <c r="N151" s="45"/>
    </row>
    <row r="152" spans="1:14" x14ac:dyDescent="0.25">
      <c r="A152" s="306"/>
      <c r="B152" s="323"/>
      <c r="C152" s="21" t="s">
        <v>173</v>
      </c>
      <c r="D152" s="1" t="s">
        <v>19</v>
      </c>
      <c r="E152" s="47">
        <v>0</v>
      </c>
      <c r="F152" s="47">
        <v>0</v>
      </c>
      <c r="G152" s="47">
        <v>0</v>
      </c>
      <c r="H152" s="47">
        <v>0</v>
      </c>
      <c r="I152" s="47">
        <v>0</v>
      </c>
      <c r="J152" s="47">
        <v>0</v>
      </c>
      <c r="K152" s="47">
        <v>0</v>
      </c>
      <c r="L152" s="47">
        <v>0</v>
      </c>
      <c r="M152" s="47">
        <v>0</v>
      </c>
      <c r="N152" s="45"/>
    </row>
    <row r="153" spans="1:14" x14ac:dyDescent="0.25">
      <c r="A153" s="306"/>
      <c r="B153" s="323"/>
      <c r="C153" s="21" t="s">
        <v>110</v>
      </c>
      <c r="D153" s="1" t="s">
        <v>8</v>
      </c>
      <c r="E153" s="44"/>
      <c r="F153" s="44"/>
      <c r="G153" s="44"/>
      <c r="H153" s="44"/>
      <c r="I153" s="44"/>
      <c r="J153" s="44"/>
      <c r="K153" s="44"/>
      <c r="L153" s="44"/>
      <c r="M153" s="44"/>
      <c r="N153" s="45"/>
    </row>
    <row r="154" spans="1:14" x14ac:dyDescent="0.25">
      <c r="A154" s="306"/>
      <c r="B154" s="323"/>
      <c r="C154" s="21" t="s">
        <v>111</v>
      </c>
      <c r="D154" s="1" t="s">
        <v>9</v>
      </c>
      <c r="E154" s="46">
        <v>5.7769924913065838</v>
      </c>
      <c r="F154" s="46">
        <v>4.8956835771118348</v>
      </c>
      <c r="G154" s="46">
        <v>3.8183782395439203</v>
      </c>
      <c r="H154" s="46">
        <v>3.0811622155696146</v>
      </c>
      <c r="I154" s="46">
        <v>2.0378947368421052</v>
      </c>
      <c r="J154" s="46">
        <v>2.0189473684210526</v>
      </c>
      <c r="K154" s="46">
        <v>1.9557894736842103</v>
      </c>
      <c r="L154" s="46">
        <v>1.8231578947368419</v>
      </c>
      <c r="M154" s="46">
        <v>1.557894736842105</v>
      </c>
      <c r="N154" s="45"/>
    </row>
    <row r="155" spans="1:14" x14ac:dyDescent="0.25">
      <c r="A155" s="306"/>
      <c r="B155" s="323"/>
      <c r="C155" s="21" t="s">
        <v>35</v>
      </c>
      <c r="D155" s="1" t="s">
        <v>10</v>
      </c>
      <c r="E155" s="46">
        <v>0</v>
      </c>
      <c r="F155" s="46">
        <v>0</v>
      </c>
      <c r="G155" s="46">
        <v>0</v>
      </c>
      <c r="H155" s="46">
        <v>0</v>
      </c>
      <c r="I155" s="46">
        <v>0</v>
      </c>
      <c r="J155" s="46">
        <v>0</v>
      </c>
      <c r="K155" s="46">
        <v>1.7051368421052632E-3</v>
      </c>
      <c r="L155" s="46">
        <v>1.5645473684210527E-3</v>
      </c>
      <c r="M155" s="46">
        <v>1.2833684210526316E-3</v>
      </c>
      <c r="N155" s="45"/>
    </row>
    <row r="156" spans="1:14" x14ac:dyDescent="0.25">
      <c r="A156" s="306"/>
      <c r="B156" s="323"/>
      <c r="C156" s="22" t="s">
        <v>24</v>
      </c>
      <c r="D156" s="23" t="s">
        <v>10</v>
      </c>
      <c r="E156" s="46">
        <v>0</v>
      </c>
      <c r="F156" s="46">
        <v>0</v>
      </c>
      <c r="G156" s="46">
        <v>0</v>
      </c>
      <c r="H156" s="46">
        <v>0</v>
      </c>
      <c r="I156" s="46">
        <v>0</v>
      </c>
      <c r="J156" s="46">
        <v>0</v>
      </c>
      <c r="K156" s="46">
        <v>0</v>
      </c>
      <c r="L156" s="46">
        <v>0</v>
      </c>
      <c r="M156" s="46">
        <v>0</v>
      </c>
      <c r="N156" s="45"/>
    </row>
    <row r="157" spans="1:14" x14ac:dyDescent="0.25">
      <c r="A157" s="306"/>
      <c r="B157" s="323"/>
      <c r="C157" s="21" t="s">
        <v>25</v>
      </c>
      <c r="D157" s="1" t="s">
        <v>7</v>
      </c>
      <c r="E157" s="47">
        <v>0.99749999999999994</v>
      </c>
      <c r="F157" s="47">
        <v>0.99749999999999994</v>
      </c>
      <c r="G157" s="47">
        <v>0.99749999999999994</v>
      </c>
      <c r="H157" s="47">
        <v>0.99749999999999994</v>
      </c>
      <c r="I157" s="47">
        <v>0.99749999999999994</v>
      </c>
      <c r="J157" s="47">
        <v>0.99749999999999994</v>
      </c>
      <c r="K157" s="47">
        <v>0.999</v>
      </c>
      <c r="L157" s="47">
        <v>0.999</v>
      </c>
      <c r="M157" s="47">
        <v>0.999</v>
      </c>
      <c r="N157" s="45"/>
    </row>
    <row r="158" spans="1:14" x14ac:dyDescent="0.25">
      <c r="A158" s="306"/>
      <c r="B158" s="323"/>
      <c r="C158" s="21" t="s">
        <v>26</v>
      </c>
      <c r="D158" s="1" t="s">
        <v>14</v>
      </c>
      <c r="E158" s="46">
        <v>1524.6</v>
      </c>
      <c r="F158" s="46">
        <v>1749.6</v>
      </c>
      <c r="G158" s="46">
        <v>2349.6</v>
      </c>
      <c r="H158" s="46">
        <v>3174.6</v>
      </c>
      <c r="I158" s="46">
        <v>4299.6000000000004</v>
      </c>
      <c r="J158" s="46">
        <v>14213</v>
      </c>
      <c r="K158" s="46">
        <v>21713</v>
      </c>
      <c r="L158" s="46">
        <v>37463</v>
      </c>
      <c r="M158" s="46">
        <v>68963</v>
      </c>
      <c r="N158" s="45"/>
    </row>
    <row r="159" spans="1:14" x14ac:dyDescent="0.25">
      <c r="A159" s="306"/>
      <c r="B159" s="323"/>
      <c r="C159" s="21" t="s">
        <v>27</v>
      </c>
      <c r="D159" s="1" t="s">
        <v>4</v>
      </c>
      <c r="E159" s="44">
        <v>40</v>
      </c>
      <c r="F159" s="44">
        <v>40</v>
      </c>
      <c r="G159" s="44">
        <v>40</v>
      </c>
      <c r="H159" s="44">
        <v>40</v>
      </c>
      <c r="I159" s="44">
        <v>40</v>
      </c>
      <c r="J159" s="44">
        <v>40</v>
      </c>
      <c r="K159" s="44">
        <v>40</v>
      </c>
      <c r="L159" s="44">
        <v>40</v>
      </c>
      <c r="M159" s="44">
        <v>40</v>
      </c>
      <c r="N159" s="45"/>
    </row>
    <row r="160" spans="1:14" x14ac:dyDescent="0.25">
      <c r="A160" s="306"/>
      <c r="B160" s="323"/>
      <c r="C160" s="21" t="s">
        <v>117</v>
      </c>
      <c r="D160" s="1" t="s">
        <v>19</v>
      </c>
      <c r="E160" s="44">
        <v>0.35</v>
      </c>
      <c r="F160" s="44">
        <v>0.35</v>
      </c>
      <c r="G160" s="44">
        <v>0.35</v>
      </c>
      <c r="H160" s="44">
        <v>0.35</v>
      </c>
      <c r="I160" s="44">
        <v>0.35</v>
      </c>
      <c r="J160" s="44">
        <v>0.35</v>
      </c>
      <c r="K160" s="44">
        <v>0.35</v>
      </c>
      <c r="L160" s="44">
        <v>0.35</v>
      </c>
      <c r="M160" s="44">
        <v>0.35</v>
      </c>
      <c r="N160" s="45"/>
    </row>
    <row r="161" spans="1:14" x14ac:dyDescent="0.25">
      <c r="A161" s="306"/>
      <c r="B161" s="323"/>
      <c r="C161" s="21" t="s">
        <v>36</v>
      </c>
      <c r="D161" s="1" t="s">
        <v>19</v>
      </c>
      <c r="E161" s="44">
        <v>1.8571428571428572</v>
      </c>
      <c r="F161" s="44">
        <v>1.8571428571428572</v>
      </c>
      <c r="G161" s="44">
        <v>1.8571428571428572</v>
      </c>
      <c r="H161" s="44">
        <v>1.8571428571428572</v>
      </c>
      <c r="I161" s="44">
        <v>1.8571428571428572</v>
      </c>
      <c r="J161" s="44">
        <v>1.8571428571428572</v>
      </c>
      <c r="K161" s="44">
        <v>1.8571428571428572</v>
      </c>
      <c r="L161" s="44">
        <v>1.8571428571428572</v>
      </c>
      <c r="M161" s="44">
        <v>1.8571428571428572</v>
      </c>
      <c r="N161" s="45"/>
    </row>
    <row r="162" spans="1:14" x14ac:dyDescent="0.25">
      <c r="A162" s="306"/>
      <c r="B162" s="323"/>
      <c r="C162" s="21" t="s">
        <v>37</v>
      </c>
      <c r="D162" s="1" t="s">
        <v>4</v>
      </c>
      <c r="E162" s="44">
        <v>20</v>
      </c>
      <c r="F162" s="44">
        <v>20</v>
      </c>
      <c r="G162" s="44">
        <v>20</v>
      </c>
      <c r="H162" s="44">
        <v>20</v>
      </c>
      <c r="I162" s="44">
        <v>20</v>
      </c>
      <c r="J162" s="44">
        <v>20</v>
      </c>
      <c r="K162" s="44">
        <v>20</v>
      </c>
      <c r="L162" s="44">
        <v>20</v>
      </c>
      <c r="M162" s="44">
        <v>20</v>
      </c>
      <c r="N162" s="45"/>
    </row>
    <row r="163" spans="1:14" x14ac:dyDescent="0.25">
      <c r="A163" s="306"/>
      <c r="B163" s="323"/>
      <c r="C163" s="21" t="s">
        <v>38</v>
      </c>
      <c r="D163" s="1" t="s">
        <v>6</v>
      </c>
      <c r="E163" s="46">
        <v>6026.3877491334342</v>
      </c>
      <c r="F163" s="46">
        <v>4043.5340683802879</v>
      </c>
      <c r="G163" s="46">
        <v>2482.706791769042</v>
      </c>
      <c r="H163" s="46">
        <v>1970.6064607058622</v>
      </c>
      <c r="I163" s="46">
        <v>1675.7711440547848</v>
      </c>
      <c r="J163" s="46">
        <v>1316.9956928123304</v>
      </c>
      <c r="K163" s="46">
        <v>1036.1348879875416</v>
      </c>
      <c r="L163" s="46">
        <v>833.65074245015387</v>
      </c>
      <c r="M163" s="46">
        <v>681.69161459745465</v>
      </c>
      <c r="N163" s="45"/>
    </row>
    <row r="164" spans="1:14" x14ac:dyDescent="0.25">
      <c r="A164" s="306"/>
      <c r="B164" s="323"/>
      <c r="C164" s="21" t="s">
        <v>176</v>
      </c>
      <c r="D164" s="1" t="s">
        <v>19</v>
      </c>
      <c r="E164" s="47">
        <v>0</v>
      </c>
      <c r="F164" s="47">
        <v>0</v>
      </c>
      <c r="G164" s="47">
        <v>0</v>
      </c>
      <c r="H164" s="47">
        <v>0</v>
      </c>
      <c r="I164" s="47">
        <v>0</v>
      </c>
      <c r="J164" s="47">
        <v>0</v>
      </c>
      <c r="K164" s="47">
        <v>0</v>
      </c>
      <c r="L164" s="47">
        <v>0</v>
      </c>
      <c r="M164" s="47">
        <v>0</v>
      </c>
      <c r="N164" s="45"/>
    </row>
    <row r="165" spans="1:14" x14ac:dyDescent="0.25">
      <c r="A165" s="306"/>
      <c r="B165" s="323"/>
      <c r="C165" s="21" t="s">
        <v>118</v>
      </c>
      <c r="D165" s="1" t="s">
        <v>8</v>
      </c>
      <c r="E165" s="44"/>
      <c r="F165" s="44"/>
      <c r="G165" s="44"/>
      <c r="H165" s="44"/>
      <c r="I165" s="44"/>
      <c r="J165" s="44"/>
      <c r="K165" s="44"/>
      <c r="L165" s="44"/>
      <c r="M165" s="44"/>
      <c r="N165" s="45"/>
    </row>
    <row r="166" spans="1:14" x14ac:dyDescent="0.25">
      <c r="A166" s="306"/>
      <c r="B166" s="323"/>
      <c r="C166" s="21" t="s">
        <v>119</v>
      </c>
      <c r="D166" s="1" t="s">
        <v>9</v>
      </c>
      <c r="E166" s="44"/>
      <c r="F166" s="44"/>
      <c r="G166" s="44"/>
      <c r="H166" s="44"/>
      <c r="I166" s="44"/>
      <c r="J166" s="44"/>
      <c r="K166" s="44"/>
      <c r="L166" s="44"/>
      <c r="M166" s="44"/>
      <c r="N166" s="45"/>
    </row>
    <row r="167" spans="1:14" x14ac:dyDescent="0.25">
      <c r="A167" s="306"/>
      <c r="B167" s="323"/>
      <c r="C167" s="21" t="s">
        <v>39</v>
      </c>
      <c r="D167" s="1" t="s">
        <v>10</v>
      </c>
      <c r="E167" s="46">
        <v>5.4632155805897732E-2</v>
      </c>
      <c r="F167" s="46">
        <v>6.9225169277652349E-2</v>
      </c>
      <c r="G167" s="46">
        <v>5.5072970988733948E-2</v>
      </c>
      <c r="H167" s="46">
        <v>4.6604222305577481E-2</v>
      </c>
      <c r="I167" s="46">
        <v>4.0289223212275231E-2</v>
      </c>
      <c r="J167" s="46">
        <v>2.4583755873341454E-2</v>
      </c>
      <c r="K167" s="46">
        <v>1.9104989606490121E-2</v>
      </c>
      <c r="L167" s="46">
        <v>1.5182594783541725E-2</v>
      </c>
      <c r="M167" s="46">
        <v>1.3307545040231683E-2</v>
      </c>
      <c r="N167" s="45"/>
    </row>
    <row r="168" spans="1:14" x14ac:dyDescent="0.25">
      <c r="A168" s="306"/>
      <c r="B168" s="323"/>
      <c r="C168" s="22" t="s">
        <v>40</v>
      </c>
      <c r="D168" s="23" t="s">
        <v>10</v>
      </c>
      <c r="E168" s="46">
        <v>0</v>
      </c>
      <c r="F168" s="46">
        <v>0</v>
      </c>
      <c r="G168" s="46">
        <v>0</v>
      </c>
      <c r="H168" s="46">
        <v>0</v>
      </c>
      <c r="I168" s="46">
        <v>0</v>
      </c>
      <c r="J168" s="46">
        <v>0</v>
      </c>
      <c r="K168" s="46">
        <v>0</v>
      </c>
      <c r="L168" s="46">
        <v>0</v>
      </c>
      <c r="M168" s="46">
        <v>0</v>
      </c>
      <c r="N168" s="45"/>
    </row>
    <row r="169" spans="1:14" x14ac:dyDescent="0.25">
      <c r="A169" s="306"/>
      <c r="B169" s="323"/>
      <c r="C169" s="21" t="s">
        <v>41</v>
      </c>
      <c r="D169" s="1" t="s">
        <v>14</v>
      </c>
      <c r="E169" s="44"/>
      <c r="F169" s="44"/>
      <c r="G169" s="44"/>
      <c r="H169" s="44"/>
      <c r="I169" s="44"/>
      <c r="J169" s="44"/>
      <c r="K169" s="44"/>
      <c r="L169" s="44"/>
      <c r="M169" s="44"/>
      <c r="N169" s="45"/>
    </row>
    <row r="170" spans="1:14" x14ac:dyDescent="0.25">
      <c r="A170" s="306"/>
      <c r="B170" s="323"/>
      <c r="C170" s="21" t="s">
        <v>42</v>
      </c>
      <c r="D170" s="1" t="s">
        <v>4</v>
      </c>
      <c r="E170" s="44"/>
      <c r="F170" s="44"/>
      <c r="G170" s="44"/>
      <c r="H170" s="44"/>
      <c r="I170" s="44"/>
      <c r="J170" s="44"/>
      <c r="K170" s="44"/>
      <c r="L170" s="44"/>
      <c r="M170" s="44"/>
      <c r="N170" s="45"/>
    </row>
    <row r="171" spans="1:14" x14ac:dyDescent="0.25">
      <c r="A171" s="306"/>
      <c r="B171" s="323"/>
      <c r="C171" s="21" t="s">
        <v>43</v>
      </c>
      <c r="D171" s="1" t="s">
        <v>7</v>
      </c>
      <c r="E171" s="50">
        <v>0.5</v>
      </c>
      <c r="F171" s="50">
        <v>0.5</v>
      </c>
      <c r="G171" s="50">
        <v>0.5</v>
      </c>
      <c r="H171" s="50">
        <v>0.5</v>
      </c>
      <c r="I171" s="50">
        <v>0.5</v>
      </c>
      <c r="J171" s="50">
        <v>0.5</v>
      </c>
      <c r="K171" s="50">
        <v>0.5</v>
      </c>
      <c r="L171" s="50">
        <v>0.5</v>
      </c>
      <c r="M171" s="50">
        <v>0.5</v>
      </c>
      <c r="N171" s="45"/>
    </row>
    <row r="172" spans="1:14" ht="14.45" customHeight="1" x14ac:dyDescent="0.25">
      <c r="A172" s="306"/>
      <c r="B172" s="323"/>
      <c r="C172" s="24" t="s">
        <v>44</v>
      </c>
      <c r="D172" s="1" t="s">
        <v>7</v>
      </c>
      <c r="E172" s="47">
        <v>0.66625430833964439</v>
      </c>
      <c r="F172" s="47">
        <v>0.66367464936796561</v>
      </c>
      <c r="G172" s="47">
        <v>0.65679555877682227</v>
      </c>
      <c r="H172" s="47">
        <v>0.64733680921400016</v>
      </c>
      <c r="I172" s="47">
        <v>0.63443851435560639</v>
      </c>
      <c r="J172" s="47">
        <v>0.4680070358050421</v>
      </c>
      <c r="K172" s="47">
        <v>0.46713859851464173</v>
      </c>
      <c r="L172" s="47">
        <v>0.46531488020480088</v>
      </c>
      <c r="M172" s="47">
        <v>0.47</v>
      </c>
      <c r="N172" s="45"/>
    </row>
    <row r="173" spans="1:14" ht="14.45" customHeight="1" x14ac:dyDescent="0.25">
      <c r="A173" s="306"/>
      <c r="B173" s="323"/>
      <c r="C173" s="24" t="s">
        <v>45</v>
      </c>
      <c r="D173" s="1" t="s">
        <v>7</v>
      </c>
      <c r="E173" s="47">
        <v>0.25092243745356524</v>
      </c>
      <c r="F173" s="47">
        <v>0.25657675134016689</v>
      </c>
      <c r="G173" s="47">
        <v>0.27165492170443795</v>
      </c>
      <c r="H173" s="47">
        <v>0.29238740595531065</v>
      </c>
      <c r="I173" s="47">
        <v>0.32065897538831889</v>
      </c>
      <c r="J173" s="47">
        <v>0.41290384467151914</v>
      </c>
      <c r="K173" s="47">
        <v>0.41363974384019625</v>
      </c>
      <c r="L173" s="47">
        <v>0.41518513209441815</v>
      </c>
      <c r="M173" s="47">
        <v>0.41599999999999998</v>
      </c>
      <c r="N173" s="45"/>
    </row>
    <row r="174" spans="1:14" ht="14.45" customHeight="1" x14ac:dyDescent="0.25">
      <c r="A174" s="306"/>
      <c r="B174" s="323"/>
      <c r="C174" s="25" t="s">
        <v>120</v>
      </c>
      <c r="D174" s="23" t="s">
        <v>10</v>
      </c>
      <c r="E174" s="46">
        <v>0</v>
      </c>
      <c r="F174" s="46">
        <v>0</v>
      </c>
      <c r="G174" s="46">
        <v>0</v>
      </c>
      <c r="H174" s="46">
        <v>0</v>
      </c>
      <c r="I174" s="46">
        <v>0</v>
      </c>
      <c r="J174" s="46">
        <v>0</v>
      </c>
      <c r="K174" s="46">
        <v>0</v>
      </c>
      <c r="L174" s="46">
        <v>0</v>
      </c>
      <c r="M174" s="46">
        <v>0</v>
      </c>
      <c r="N174" s="45"/>
    </row>
    <row r="175" spans="1:14" ht="14.45" customHeight="1" x14ac:dyDescent="0.25">
      <c r="A175" s="306"/>
      <c r="B175" s="323"/>
      <c r="C175" s="25" t="s">
        <v>121</v>
      </c>
      <c r="D175" s="23" t="s">
        <v>122</v>
      </c>
      <c r="E175" s="46">
        <v>0</v>
      </c>
      <c r="F175" s="46">
        <v>0</v>
      </c>
      <c r="G175" s="46">
        <v>0</v>
      </c>
      <c r="H175" s="46">
        <v>0</v>
      </c>
      <c r="I175" s="46">
        <v>0</v>
      </c>
      <c r="J175" s="46">
        <v>0</v>
      </c>
      <c r="K175" s="46">
        <v>0</v>
      </c>
      <c r="L175" s="46">
        <v>0</v>
      </c>
      <c r="M175" s="46">
        <v>0</v>
      </c>
      <c r="N175" s="45"/>
    </row>
    <row r="176" spans="1:14" ht="14.45" customHeight="1" x14ac:dyDescent="0.25">
      <c r="A176" s="306"/>
      <c r="B176" s="323"/>
      <c r="C176" s="25" t="s">
        <v>123</v>
      </c>
      <c r="D176" s="23" t="s">
        <v>124</v>
      </c>
      <c r="E176" s="44">
        <v>0</v>
      </c>
      <c r="F176" s="44">
        <v>0</v>
      </c>
      <c r="G176" s="44">
        <v>0</v>
      </c>
      <c r="H176" s="44">
        <v>0</v>
      </c>
      <c r="I176" s="44">
        <v>0</v>
      </c>
      <c r="J176" s="44">
        <v>0</v>
      </c>
      <c r="K176" s="44">
        <v>0</v>
      </c>
      <c r="L176" s="44">
        <v>0</v>
      </c>
      <c r="M176" s="44">
        <v>0</v>
      </c>
      <c r="N176" s="45"/>
    </row>
    <row r="177" spans="1:14" ht="14.45" customHeight="1" x14ac:dyDescent="0.25">
      <c r="A177" s="306">
        <v>12</v>
      </c>
      <c r="B177" s="323" t="s">
        <v>178</v>
      </c>
      <c r="C177" s="21" t="s">
        <v>109</v>
      </c>
      <c r="D177" s="1" t="s">
        <v>19</v>
      </c>
      <c r="E177" s="51">
        <v>1</v>
      </c>
      <c r="F177" s="51">
        <v>1</v>
      </c>
      <c r="G177" s="51">
        <v>1</v>
      </c>
      <c r="H177" s="51">
        <v>1</v>
      </c>
      <c r="I177" s="51">
        <v>1</v>
      </c>
      <c r="J177" s="51">
        <v>1</v>
      </c>
      <c r="K177" s="51">
        <v>1</v>
      </c>
      <c r="L177" s="51">
        <v>1</v>
      </c>
      <c r="M177" s="51">
        <v>1</v>
      </c>
      <c r="N177" s="45"/>
    </row>
    <row r="178" spans="1:14" x14ac:dyDescent="0.25">
      <c r="A178" s="306"/>
      <c r="B178" s="323"/>
      <c r="C178" s="21" t="s">
        <v>21</v>
      </c>
      <c r="D178" s="1" t="s">
        <v>19</v>
      </c>
      <c r="E178" s="44">
        <v>0.8</v>
      </c>
      <c r="F178" s="44">
        <v>0.8</v>
      </c>
      <c r="G178" s="44">
        <v>0.8</v>
      </c>
      <c r="H178" s="44">
        <v>0.8</v>
      </c>
      <c r="I178" s="44">
        <v>0.8</v>
      </c>
      <c r="J178" s="44">
        <v>0.8</v>
      </c>
      <c r="K178" s="44">
        <v>0.8</v>
      </c>
      <c r="L178" s="44">
        <v>0.8</v>
      </c>
      <c r="M178" s="44">
        <v>0.8</v>
      </c>
      <c r="N178" s="45"/>
    </row>
    <row r="179" spans="1:14" x14ac:dyDescent="0.25">
      <c r="A179" s="306"/>
      <c r="B179" s="323"/>
      <c r="C179" s="21" t="s">
        <v>22</v>
      </c>
      <c r="D179" s="1" t="s">
        <v>4</v>
      </c>
      <c r="E179" s="44">
        <v>20</v>
      </c>
      <c r="F179" s="44">
        <v>20</v>
      </c>
      <c r="G179" s="44">
        <v>20</v>
      </c>
      <c r="H179" s="44">
        <v>20</v>
      </c>
      <c r="I179" s="44">
        <v>20</v>
      </c>
      <c r="J179" s="44">
        <v>20</v>
      </c>
      <c r="K179" s="44">
        <v>20</v>
      </c>
      <c r="L179" s="44">
        <v>20</v>
      </c>
      <c r="M179" s="44">
        <v>20</v>
      </c>
      <c r="N179" s="45"/>
    </row>
    <row r="180" spans="1:14" x14ac:dyDescent="0.25">
      <c r="A180" s="306"/>
      <c r="B180" s="323"/>
      <c r="C180" s="21" t="s">
        <v>23</v>
      </c>
      <c r="D180" s="1" t="s">
        <v>6</v>
      </c>
      <c r="E180" s="46">
        <v>192.56641637688614</v>
      </c>
      <c r="F180" s="46">
        <v>163.18945257039451</v>
      </c>
      <c r="G180" s="46">
        <v>127.27927465146402</v>
      </c>
      <c r="H180" s="46">
        <v>102.70540718565383</v>
      </c>
      <c r="I180" s="46">
        <v>107.31263157894738</v>
      </c>
      <c r="J180" s="46">
        <v>107.00631578947369</v>
      </c>
      <c r="K180" s="46">
        <v>105.98526315789475</v>
      </c>
      <c r="L180" s="46">
        <v>103.84105263157896</v>
      </c>
      <c r="M180" s="46">
        <v>99.55263157894737</v>
      </c>
      <c r="N180" s="45"/>
    </row>
    <row r="181" spans="1:14" ht="14.45" customHeight="1" x14ac:dyDescent="0.25">
      <c r="A181" s="306"/>
      <c r="B181" s="323"/>
      <c r="C181" s="21" t="s">
        <v>173</v>
      </c>
      <c r="D181" s="1" t="s">
        <v>19</v>
      </c>
      <c r="E181" s="47">
        <v>0</v>
      </c>
      <c r="F181" s="47">
        <v>0</v>
      </c>
      <c r="G181" s="47">
        <v>0</v>
      </c>
      <c r="H181" s="47">
        <v>0</v>
      </c>
      <c r="I181" s="47">
        <v>0</v>
      </c>
      <c r="J181" s="47">
        <v>0</v>
      </c>
      <c r="K181" s="47">
        <v>0</v>
      </c>
      <c r="L181" s="47">
        <v>0</v>
      </c>
      <c r="M181" s="47">
        <v>0</v>
      </c>
      <c r="N181" s="45"/>
    </row>
    <row r="182" spans="1:14" x14ac:dyDescent="0.25">
      <c r="A182" s="306"/>
      <c r="B182" s="323"/>
      <c r="C182" s="21" t="s">
        <v>110</v>
      </c>
      <c r="D182" s="1" t="s">
        <v>8</v>
      </c>
      <c r="E182" s="44"/>
      <c r="F182" s="44"/>
      <c r="G182" s="44"/>
      <c r="H182" s="44"/>
      <c r="I182" s="44"/>
      <c r="J182" s="44"/>
      <c r="K182" s="44"/>
      <c r="L182" s="44"/>
      <c r="M182" s="44"/>
      <c r="N182" s="45"/>
    </row>
    <row r="183" spans="1:14" x14ac:dyDescent="0.25">
      <c r="A183" s="306"/>
      <c r="B183" s="323"/>
      <c r="C183" s="21" t="s">
        <v>111</v>
      </c>
      <c r="D183" s="1" t="s">
        <v>9</v>
      </c>
      <c r="E183" s="46">
        <v>5.7769924913065838</v>
      </c>
      <c r="F183" s="46">
        <v>4.8956835771118348</v>
      </c>
      <c r="G183" s="46">
        <v>3.8183782395439203</v>
      </c>
      <c r="H183" s="46">
        <v>3.0811622155696146</v>
      </c>
      <c r="I183" s="46">
        <v>2.0378947368421052</v>
      </c>
      <c r="J183" s="46">
        <v>2.0189473684210526</v>
      </c>
      <c r="K183" s="46">
        <v>1.9557894736842103</v>
      </c>
      <c r="L183" s="46">
        <v>1.8231578947368419</v>
      </c>
      <c r="M183" s="46">
        <v>1.557894736842105</v>
      </c>
      <c r="N183" s="45"/>
    </row>
    <row r="184" spans="1:14" x14ac:dyDescent="0.25">
      <c r="A184" s="306"/>
      <c r="B184" s="323"/>
      <c r="C184" s="21" t="s">
        <v>35</v>
      </c>
      <c r="D184" s="1" t="s">
        <v>10</v>
      </c>
      <c r="E184" s="46">
        <v>0</v>
      </c>
      <c r="F184" s="46">
        <v>0</v>
      </c>
      <c r="G184" s="46">
        <v>0</v>
      </c>
      <c r="H184" s="46">
        <v>0</v>
      </c>
      <c r="I184" s="46">
        <v>0</v>
      </c>
      <c r="J184" s="46">
        <v>0</v>
      </c>
      <c r="K184" s="46">
        <v>1.7051368421052632E-3</v>
      </c>
      <c r="L184" s="46">
        <v>1.5645473684210527E-3</v>
      </c>
      <c r="M184" s="46">
        <v>1.2833684210526316E-3</v>
      </c>
      <c r="N184" s="45"/>
    </row>
    <row r="185" spans="1:14" x14ac:dyDescent="0.25">
      <c r="A185" s="306"/>
      <c r="B185" s="323"/>
      <c r="C185" s="22" t="s">
        <v>24</v>
      </c>
      <c r="D185" s="23" t="s">
        <v>10</v>
      </c>
      <c r="E185" s="46">
        <v>0</v>
      </c>
      <c r="F185" s="46">
        <v>0</v>
      </c>
      <c r="G185" s="46">
        <v>0</v>
      </c>
      <c r="H185" s="46">
        <v>0</v>
      </c>
      <c r="I185" s="46">
        <v>0</v>
      </c>
      <c r="J185" s="46">
        <v>0</v>
      </c>
      <c r="K185" s="46">
        <v>0</v>
      </c>
      <c r="L185" s="46">
        <v>0</v>
      </c>
      <c r="M185" s="46">
        <v>0</v>
      </c>
      <c r="N185" s="45"/>
    </row>
    <row r="186" spans="1:14" x14ac:dyDescent="0.25">
      <c r="A186" s="306"/>
      <c r="B186" s="323"/>
      <c r="C186" s="21" t="s">
        <v>25</v>
      </c>
      <c r="D186" s="1" t="s">
        <v>7</v>
      </c>
      <c r="E186" s="47">
        <v>0.99749999999999994</v>
      </c>
      <c r="F186" s="47">
        <v>0.99749999999999994</v>
      </c>
      <c r="G186" s="47">
        <v>0.99749999999999994</v>
      </c>
      <c r="H186" s="47">
        <v>0.99749999999999994</v>
      </c>
      <c r="I186" s="47">
        <v>0.99749999999999994</v>
      </c>
      <c r="J186" s="47">
        <v>0.99749999999999994</v>
      </c>
      <c r="K186" s="47">
        <v>0.999</v>
      </c>
      <c r="L186" s="47">
        <v>0.999</v>
      </c>
      <c r="M186" s="47">
        <v>0.999</v>
      </c>
      <c r="N186" s="45"/>
    </row>
    <row r="187" spans="1:14" x14ac:dyDescent="0.25">
      <c r="A187" s="306"/>
      <c r="B187" s="323"/>
      <c r="C187" s="21" t="s">
        <v>26</v>
      </c>
      <c r="D187" s="1" t="s">
        <v>14</v>
      </c>
      <c r="E187" s="46">
        <v>1524.6</v>
      </c>
      <c r="F187" s="46">
        <v>1749.6</v>
      </c>
      <c r="G187" s="46">
        <v>2349.6</v>
      </c>
      <c r="H187" s="46">
        <v>3174.6</v>
      </c>
      <c r="I187" s="46">
        <v>4299.6000000000004</v>
      </c>
      <c r="J187" s="46">
        <v>14213</v>
      </c>
      <c r="K187" s="46">
        <v>21713</v>
      </c>
      <c r="L187" s="46">
        <v>37463</v>
      </c>
      <c r="M187" s="46">
        <v>68963</v>
      </c>
      <c r="N187" s="45"/>
    </row>
    <row r="188" spans="1:14" x14ac:dyDescent="0.25">
      <c r="A188" s="306"/>
      <c r="B188" s="323"/>
      <c r="C188" s="21" t="s">
        <v>27</v>
      </c>
      <c r="D188" s="1" t="s">
        <v>4</v>
      </c>
      <c r="E188" s="44">
        <v>40</v>
      </c>
      <c r="F188" s="44">
        <v>40</v>
      </c>
      <c r="G188" s="44">
        <v>40</v>
      </c>
      <c r="H188" s="44">
        <v>40</v>
      </c>
      <c r="I188" s="44">
        <v>40</v>
      </c>
      <c r="J188" s="44">
        <v>40</v>
      </c>
      <c r="K188" s="44">
        <v>40</v>
      </c>
      <c r="L188" s="44">
        <v>40</v>
      </c>
      <c r="M188" s="44">
        <v>40</v>
      </c>
      <c r="N188" s="45"/>
    </row>
    <row r="189" spans="1:14" x14ac:dyDescent="0.25">
      <c r="A189" s="306"/>
      <c r="B189" s="323"/>
      <c r="C189" s="21" t="s">
        <v>125</v>
      </c>
      <c r="D189" s="1" t="s">
        <v>19</v>
      </c>
      <c r="E189" s="51">
        <v>0.3125</v>
      </c>
      <c r="F189" s="51">
        <v>0.3125</v>
      </c>
      <c r="G189" s="51">
        <v>0.3125</v>
      </c>
      <c r="H189" s="51">
        <v>0.3125</v>
      </c>
      <c r="I189" s="51">
        <v>0.3125</v>
      </c>
      <c r="J189" s="51">
        <v>0.3125</v>
      </c>
      <c r="K189" s="51">
        <v>0.3125</v>
      </c>
      <c r="L189" s="51">
        <v>0.3125</v>
      </c>
      <c r="M189" s="51">
        <v>0.3125</v>
      </c>
      <c r="N189" s="45"/>
    </row>
    <row r="190" spans="1:14" x14ac:dyDescent="0.25">
      <c r="A190" s="306"/>
      <c r="B190" s="323"/>
      <c r="C190" s="21" t="s">
        <v>126</v>
      </c>
      <c r="D190" s="1" t="s">
        <v>19</v>
      </c>
      <c r="E190" s="44">
        <v>0.64</v>
      </c>
      <c r="F190" s="44">
        <v>0.64</v>
      </c>
      <c r="G190" s="44">
        <v>0.64</v>
      </c>
      <c r="H190" s="44">
        <v>0.64</v>
      </c>
      <c r="I190" s="44">
        <v>0.64</v>
      </c>
      <c r="J190" s="44">
        <v>0.64</v>
      </c>
      <c r="K190" s="44">
        <v>0.64</v>
      </c>
      <c r="L190" s="44">
        <v>0.64</v>
      </c>
      <c r="M190" s="44">
        <v>0.64</v>
      </c>
      <c r="N190" s="45"/>
    </row>
    <row r="191" spans="1:14" ht="14.45" customHeight="1" x14ac:dyDescent="0.25">
      <c r="A191" s="306"/>
      <c r="B191" s="323"/>
      <c r="C191" s="24" t="s">
        <v>127</v>
      </c>
      <c r="D191" s="1" t="s">
        <v>4</v>
      </c>
      <c r="E191" s="44">
        <v>20</v>
      </c>
      <c r="F191" s="44">
        <v>20</v>
      </c>
      <c r="G191" s="44">
        <v>20</v>
      </c>
      <c r="H191" s="44">
        <v>20</v>
      </c>
      <c r="I191" s="44">
        <v>20</v>
      </c>
      <c r="J191" s="44">
        <v>20</v>
      </c>
      <c r="K191" s="44">
        <v>20</v>
      </c>
      <c r="L191" s="44">
        <v>20</v>
      </c>
      <c r="M191" s="44">
        <v>20</v>
      </c>
      <c r="N191" s="45"/>
    </row>
    <row r="192" spans="1:14" ht="14.45" customHeight="1" x14ac:dyDescent="0.25">
      <c r="A192" s="306"/>
      <c r="B192" s="323"/>
      <c r="C192" s="24" t="s">
        <v>128</v>
      </c>
      <c r="D192" s="1" t="s">
        <v>6</v>
      </c>
      <c r="E192" s="52">
        <v>855.32731520443224</v>
      </c>
      <c r="F192" s="46">
        <v>842.44893575987089</v>
      </c>
      <c r="G192" s="46">
        <v>808.10659057437408</v>
      </c>
      <c r="H192" s="46">
        <v>760.88586594431581</v>
      </c>
      <c r="I192" s="46">
        <v>696.49396872150919</v>
      </c>
      <c r="J192" s="46">
        <v>567.71017427589595</v>
      </c>
      <c r="K192" s="46">
        <v>483.57142857142856</v>
      </c>
      <c r="L192" s="46">
        <v>483.57142857142856</v>
      </c>
      <c r="M192" s="46">
        <v>483.57142857142856</v>
      </c>
      <c r="N192" s="45"/>
    </row>
    <row r="193" spans="1:14" ht="14.45" customHeight="1" x14ac:dyDescent="0.25">
      <c r="A193" s="306"/>
      <c r="B193" s="323"/>
      <c r="C193" s="21" t="s">
        <v>179</v>
      </c>
      <c r="D193" s="1" t="s">
        <v>19</v>
      </c>
      <c r="E193" s="47">
        <v>0</v>
      </c>
      <c r="F193" s="47">
        <v>0</v>
      </c>
      <c r="G193" s="47">
        <v>0</v>
      </c>
      <c r="H193" s="47">
        <v>0</v>
      </c>
      <c r="I193" s="47">
        <v>0</v>
      </c>
      <c r="J193" s="47">
        <v>0</v>
      </c>
      <c r="K193" s="47">
        <v>0</v>
      </c>
      <c r="L193" s="47">
        <v>0</v>
      </c>
      <c r="M193" s="47">
        <v>0</v>
      </c>
      <c r="N193" s="45"/>
    </row>
    <row r="194" spans="1:14" x14ac:dyDescent="0.25">
      <c r="A194" s="306"/>
      <c r="B194" s="323"/>
      <c r="C194" s="21" t="s">
        <v>129</v>
      </c>
      <c r="D194" s="1" t="s">
        <v>8</v>
      </c>
      <c r="E194" s="46">
        <v>49.290721649484539</v>
      </c>
      <c r="F194" s="46">
        <v>65.52783505154639</v>
      </c>
      <c r="G194" s="46">
        <v>108.82680412371134</v>
      </c>
      <c r="H194" s="46">
        <v>168.36288659793814</v>
      </c>
      <c r="I194" s="46">
        <v>249.54845360824743</v>
      </c>
      <c r="J194" s="46">
        <v>411.91958762886594</v>
      </c>
      <c r="K194" s="46">
        <v>574.29072164948457</v>
      </c>
      <c r="L194" s="46">
        <v>574.29072164948457</v>
      </c>
      <c r="M194" s="46">
        <v>574.29072164948457</v>
      </c>
      <c r="N194" s="45"/>
    </row>
    <row r="195" spans="1:14" x14ac:dyDescent="0.25">
      <c r="A195" s="306"/>
      <c r="B195" s="323"/>
      <c r="C195" s="21" t="s">
        <v>130</v>
      </c>
      <c r="D195" s="1" t="s">
        <v>9</v>
      </c>
      <c r="E195" s="44"/>
      <c r="F195" s="44"/>
      <c r="G195" s="44"/>
      <c r="H195" s="44"/>
      <c r="I195" s="44"/>
      <c r="J195" s="44"/>
      <c r="K195" s="44"/>
      <c r="L195" s="44"/>
      <c r="M195" s="44"/>
    </row>
    <row r="196" spans="1:14" x14ac:dyDescent="0.25">
      <c r="A196" s="306"/>
      <c r="B196" s="323"/>
      <c r="C196" s="21" t="s">
        <v>131</v>
      </c>
      <c r="D196" s="1" t="s">
        <v>10</v>
      </c>
      <c r="E196" s="44"/>
      <c r="F196" s="44"/>
      <c r="G196" s="44"/>
      <c r="H196" s="44"/>
      <c r="I196" s="44"/>
      <c r="J196" s="44"/>
      <c r="K196" s="44"/>
      <c r="L196" s="44"/>
      <c r="M196" s="44"/>
    </row>
    <row r="197" spans="1:14" ht="18.75" x14ac:dyDescent="0.25">
      <c r="A197" s="306"/>
      <c r="B197" s="323"/>
      <c r="C197" s="53" t="s">
        <v>132</v>
      </c>
      <c r="D197" s="23" t="s">
        <v>17</v>
      </c>
      <c r="E197" s="44"/>
      <c r="F197" s="44"/>
      <c r="G197" s="44"/>
      <c r="H197" s="44"/>
      <c r="I197" s="44"/>
      <c r="J197" s="44"/>
      <c r="K197" s="44"/>
      <c r="L197" s="44"/>
      <c r="M197" s="44"/>
    </row>
    <row r="198" spans="1:14" ht="14.45" customHeight="1" x14ac:dyDescent="0.25">
      <c r="A198" s="306">
        <v>13</v>
      </c>
      <c r="B198" s="323" t="s">
        <v>180</v>
      </c>
      <c r="C198" s="21" t="s">
        <v>109</v>
      </c>
      <c r="D198" s="1" t="s">
        <v>19</v>
      </c>
      <c r="E198" s="44">
        <v>1</v>
      </c>
      <c r="F198" s="44">
        <v>1</v>
      </c>
      <c r="G198" s="44">
        <v>1</v>
      </c>
      <c r="H198" s="44">
        <v>1</v>
      </c>
      <c r="I198" s="44">
        <v>1</v>
      </c>
      <c r="J198" s="44">
        <v>1</v>
      </c>
      <c r="K198" s="44">
        <v>1</v>
      </c>
      <c r="L198" s="44">
        <v>1</v>
      </c>
      <c r="M198" s="44">
        <v>1</v>
      </c>
    </row>
    <row r="199" spans="1:14" x14ac:dyDescent="0.25">
      <c r="A199" s="306"/>
      <c r="B199" s="323"/>
      <c r="C199" s="21" t="s">
        <v>21</v>
      </c>
      <c r="D199" s="1" t="s">
        <v>19</v>
      </c>
      <c r="E199" s="44">
        <v>0.65</v>
      </c>
      <c r="F199" s="44">
        <v>0.65</v>
      </c>
      <c r="G199" s="44">
        <v>0.65</v>
      </c>
      <c r="H199" s="44">
        <v>0.65</v>
      </c>
      <c r="I199" s="44">
        <v>0.65</v>
      </c>
      <c r="J199" s="44">
        <v>0.65</v>
      </c>
      <c r="K199" s="44">
        <v>0.65</v>
      </c>
      <c r="L199" s="44">
        <v>0.65</v>
      </c>
      <c r="M199" s="44">
        <v>0.65</v>
      </c>
    </row>
    <row r="200" spans="1:14" x14ac:dyDescent="0.25">
      <c r="A200" s="306"/>
      <c r="B200" s="323"/>
      <c r="C200" s="21" t="s">
        <v>22</v>
      </c>
      <c r="D200" s="1" t="s">
        <v>4</v>
      </c>
      <c r="E200" s="44">
        <v>20</v>
      </c>
      <c r="F200" s="44">
        <v>20</v>
      </c>
      <c r="G200" s="44">
        <v>20</v>
      </c>
      <c r="H200" s="44">
        <v>20</v>
      </c>
      <c r="I200" s="44">
        <v>20</v>
      </c>
      <c r="J200" s="44">
        <v>20</v>
      </c>
      <c r="K200" s="44">
        <v>20</v>
      </c>
      <c r="L200" s="44">
        <v>20</v>
      </c>
      <c r="M200" s="44">
        <v>20</v>
      </c>
    </row>
    <row r="201" spans="1:14" x14ac:dyDescent="0.25">
      <c r="A201" s="306"/>
      <c r="B201" s="323"/>
      <c r="C201" s="21" t="s">
        <v>23</v>
      </c>
      <c r="D201" s="1" t="s">
        <v>6</v>
      </c>
      <c r="E201" s="46">
        <v>192.56641637688614</v>
      </c>
      <c r="F201" s="46">
        <v>163.18945257039451</v>
      </c>
      <c r="G201" s="46">
        <v>127.27927465146402</v>
      </c>
      <c r="H201" s="46">
        <v>102.70540718565383</v>
      </c>
      <c r="I201" s="46">
        <v>107.31263157894738</v>
      </c>
      <c r="J201" s="46">
        <v>107.00631578947369</v>
      </c>
      <c r="K201" s="46">
        <v>105.98526315789475</v>
      </c>
      <c r="L201" s="46">
        <v>103.84105263157896</v>
      </c>
      <c r="M201" s="46">
        <v>99.55263157894737</v>
      </c>
    </row>
    <row r="202" spans="1:14" x14ac:dyDescent="0.25">
      <c r="A202" s="306"/>
      <c r="B202" s="323"/>
      <c r="C202" s="21" t="s">
        <v>173</v>
      </c>
      <c r="D202" s="1" t="s">
        <v>19</v>
      </c>
      <c r="E202" s="47">
        <v>0</v>
      </c>
      <c r="F202" s="47">
        <v>0</v>
      </c>
      <c r="G202" s="47">
        <v>0</v>
      </c>
      <c r="H202" s="47">
        <v>0</v>
      </c>
      <c r="I202" s="47">
        <v>0</v>
      </c>
      <c r="J202" s="47">
        <v>0</v>
      </c>
      <c r="K202" s="47">
        <v>0</v>
      </c>
      <c r="L202" s="47">
        <v>0</v>
      </c>
      <c r="M202" s="47">
        <v>0</v>
      </c>
    </row>
    <row r="203" spans="1:14" x14ac:dyDescent="0.25">
      <c r="A203" s="306"/>
      <c r="B203" s="323"/>
      <c r="C203" s="21" t="s">
        <v>110</v>
      </c>
      <c r="D203" s="1" t="s">
        <v>8</v>
      </c>
      <c r="E203" s="44"/>
      <c r="F203" s="44"/>
      <c r="G203" s="44"/>
      <c r="H203" s="44"/>
      <c r="I203" s="44"/>
      <c r="J203" s="44"/>
      <c r="K203" s="44"/>
      <c r="L203" s="44"/>
      <c r="M203" s="44"/>
    </row>
    <row r="204" spans="1:14" x14ac:dyDescent="0.25">
      <c r="A204" s="306"/>
      <c r="B204" s="323"/>
      <c r="C204" s="21" t="s">
        <v>111</v>
      </c>
      <c r="D204" s="1" t="s">
        <v>9</v>
      </c>
      <c r="E204" s="46">
        <v>5.7769924913065838</v>
      </c>
      <c r="F204" s="46">
        <v>4.8956835771118348</v>
      </c>
      <c r="G204" s="46">
        <v>3.8183782395439203</v>
      </c>
      <c r="H204" s="46">
        <v>3.0811622155696146</v>
      </c>
      <c r="I204" s="46">
        <v>2.0378947368421052</v>
      </c>
      <c r="J204" s="46">
        <v>2.0189473684210526</v>
      </c>
      <c r="K204" s="46">
        <v>1.9557894736842103</v>
      </c>
      <c r="L204" s="46">
        <v>1.8231578947368419</v>
      </c>
      <c r="M204" s="46">
        <v>1.557894736842105</v>
      </c>
    </row>
    <row r="205" spans="1:14" x14ac:dyDescent="0.25">
      <c r="A205" s="306"/>
      <c r="B205" s="323"/>
      <c r="C205" s="21" t="s">
        <v>35</v>
      </c>
      <c r="D205" s="1" t="s">
        <v>10</v>
      </c>
      <c r="E205" s="46">
        <v>0</v>
      </c>
      <c r="F205" s="46">
        <v>0</v>
      </c>
      <c r="G205" s="46">
        <v>0</v>
      </c>
      <c r="H205" s="46">
        <v>0</v>
      </c>
      <c r="I205" s="46">
        <v>0</v>
      </c>
      <c r="J205" s="46">
        <v>0</v>
      </c>
      <c r="K205" s="46">
        <v>1.7051368421052632E-3</v>
      </c>
      <c r="L205" s="46">
        <v>1.5645473684210527E-3</v>
      </c>
      <c r="M205" s="46">
        <v>1.2833684210526316E-3</v>
      </c>
    </row>
    <row r="206" spans="1:14" x14ac:dyDescent="0.25">
      <c r="A206" s="306"/>
      <c r="B206" s="323"/>
      <c r="C206" s="22" t="s">
        <v>24</v>
      </c>
      <c r="D206" s="23" t="s">
        <v>10</v>
      </c>
      <c r="E206" s="46">
        <v>0</v>
      </c>
      <c r="F206" s="46">
        <v>0</v>
      </c>
      <c r="G206" s="46">
        <v>0</v>
      </c>
      <c r="H206" s="46">
        <v>0</v>
      </c>
      <c r="I206" s="46">
        <v>0</v>
      </c>
      <c r="J206" s="46">
        <v>0</v>
      </c>
      <c r="K206" s="46">
        <v>0</v>
      </c>
      <c r="L206" s="46">
        <v>0</v>
      </c>
      <c r="M206" s="46">
        <v>0</v>
      </c>
    </row>
    <row r="207" spans="1:14" x14ac:dyDescent="0.25">
      <c r="A207" s="306"/>
      <c r="B207" s="323"/>
      <c r="C207" s="21" t="s">
        <v>25</v>
      </c>
      <c r="D207" s="1" t="s">
        <v>7</v>
      </c>
      <c r="E207" s="47">
        <v>0.99749999999999994</v>
      </c>
      <c r="F207" s="47">
        <v>0.99749999999999994</v>
      </c>
      <c r="G207" s="47">
        <v>0.99749999999999994</v>
      </c>
      <c r="H207" s="47">
        <v>0.99749999999999994</v>
      </c>
      <c r="I207" s="47">
        <v>0.99749999999999994</v>
      </c>
      <c r="J207" s="47">
        <v>0.99749999999999994</v>
      </c>
      <c r="K207" s="47">
        <v>0.999</v>
      </c>
      <c r="L207" s="47">
        <v>0.999</v>
      </c>
      <c r="M207" s="47">
        <v>0.999</v>
      </c>
    </row>
    <row r="208" spans="1:14" x14ac:dyDescent="0.25">
      <c r="A208" s="306"/>
      <c r="B208" s="323"/>
      <c r="C208" s="21" t="s">
        <v>26</v>
      </c>
      <c r="D208" s="1" t="s">
        <v>14</v>
      </c>
      <c r="E208" s="46">
        <v>1524.6</v>
      </c>
      <c r="F208" s="46">
        <v>1749.6</v>
      </c>
      <c r="G208" s="46">
        <v>2349.6</v>
      </c>
      <c r="H208" s="46">
        <v>3174.6</v>
      </c>
      <c r="I208" s="46">
        <v>4299.6000000000004</v>
      </c>
      <c r="J208" s="46">
        <v>14213</v>
      </c>
      <c r="K208" s="46">
        <v>21713</v>
      </c>
      <c r="L208" s="46">
        <v>37463</v>
      </c>
      <c r="M208" s="46">
        <v>68963</v>
      </c>
    </row>
    <row r="209" spans="1:13" x14ac:dyDescent="0.25">
      <c r="A209" s="306"/>
      <c r="B209" s="323"/>
      <c r="C209" s="21" t="s">
        <v>27</v>
      </c>
      <c r="D209" s="1" t="s">
        <v>4</v>
      </c>
      <c r="E209" s="44">
        <v>40</v>
      </c>
      <c r="F209" s="44">
        <v>40</v>
      </c>
      <c r="G209" s="44">
        <v>40</v>
      </c>
      <c r="H209" s="44">
        <v>40</v>
      </c>
      <c r="I209" s="44">
        <v>40</v>
      </c>
      <c r="J209" s="44">
        <v>40</v>
      </c>
      <c r="K209" s="44">
        <v>40</v>
      </c>
      <c r="L209" s="44">
        <v>40</v>
      </c>
      <c r="M209" s="44">
        <v>40</v>
      </c>
    </row>
    <row r="210" spans="1:13" x14ac:dyDescent="0.25">
      <c r="A210" s="306"/>
      <c r="B210" s="323"/>
      <c r="C210" s="21" t="s">
        <v>125</v>
      </c>
      <c r="D210" s="1" t="s">
        <v>19</v>
      </c>
      <c r="E210" s="51">
        <v>0.546875</v>
      </c>
      <c r="F210" s="51">
        <v>0.546875</v>
      </c>
      <c r="G210" s="51">
        <v>0.54687499999999989</v>
      </c>
      <c r="H210" s="51">
        <v>0.546875</v>
      </c>
      <c r="I210" s="51">
        <v>0.546875</v>
      </c>
      <c r="J210" s="51">
        <v>0.546875</v>
      </c>
      <c r="K210" s="51">
        <v>0.546875</v>
      </c>
      <c r="L210" s="51">
        <v>0.546875</v>
      </c>
      <c r="M210" s="51">
        <v>0.546875</v>
      </c>
    </row>
    <row r="211" spans="1:13" x14ac:dyDescent="0.25">
      <c r="A211" s="306"/>
      <c r="B211" s="323"/>
      <c r="C211" s="21" t="s">
        <v>126</v>
      </c>
      <c r="D211" s="1" t="s">
        <v>19</v>
      </c>
      <c r="E211" s="44">
        <v>0.64</v>
      </c>
      <c r="F211" s="44">
        <v>0.64</v>
      </c>
      <c r="G211" s="44">
        <v>0.64</v>
      </c>
      <c r="H211" s="44">
        <v>0.64</v>
      </c>
      <c r="I211" s="44">
        <v>0.64</v>
      </c>
      <c r="J211" s="44">
        <v>0.64</v>
      </c>
      <c r="K211" s="44">
        <v>0.64</v>
      </c>
      <c r="L211" s="44">
        <v>0.64</v>
      </c>
      <c r="M211" s="44">
        <v>0.64</v>
      </c>
    </row>
    <row r="212" spans="1:13" x14ac:dyDescent="0.25">
      <c r="A212" s="306"/>
      <c r="B212" s="323"/>
      <c r="C212" s="24" t="s">
        <v>127</v>
      </c>
      <c r="D212" s="1" t="s">
        <v>4</v>
      </c>
      <c r="E212" s="44">
        <v>20</v>
      </c>
      <c r="F212" s="44">
        <v>20</v>
      </c>
      <c r="G212" s="44">
        <v>20</v>
      </c>
      <c r="H212" s="44">
        <v>20</v>
      </c>
      <c r="I212" s="44">
        <v>20</v>
      </c>
      <c r="J212" s="44">
        <v>20</v>
      </c>
      <c r="K212" s="44">
        <v>20</v>
      </c>
      <c r="L212" s="44">
        <v>20</v>
      </c>
      <c r="M212" s="44">
        <v>20</v>
      </c>
    </row>
    <row r="213" spans="1:13" x14ac:dyDescent="0.25">
      <c r="A213" s="306"/>
      <c r="B213" s="323"/>
      <c r="C213" s="24" t="s">
        <v>128</v>
      </c>
      <c r="D213" s="1" t="s">
        <v>6</v>
      </c>
      <c r="E213" s="52">
        <v>845.66853062101131</v>
      </c>
      <c r="F213" s="46">
        <v>823.13136659302893</v>
      </c>
      <c r="G213" s="46">
        <v>763.03226251840942</v>
      </c>
      <c r="H213" s="46">
        <v>680.39599441580754</v>
      </c>
      <c r="I213" s="46">
        <v>567.71017427589595</v>
      </c>
      <c r="J213" s="46">
        <v>483.57142857142856</v>
      </c>
      <c r="K213" s="46">
        <v>483.57142857142856</v>
      </c>
      <c r="L213" s="46">
        <v>483.57142857142856</v>
      </c>
      <c r="M213" s="46">
        <v>483.57142857142856</v>
      </c>
    </row>
    <row r="214" spans="1:13" x14ac:dyDescent="0.25">
      <c r="A214" s="306"/>
      <c r="B214" s="323"/>
      <c r="C214" s="21" t="s">
        <v>179</v>
      </c>
      <c r="D214" s="1" t="s">
        <v>19</v>
      </c>
      <c r="E214" s="47">
        <v>0</v>
      </c>
      <c r="F214" s="47">
        <v>0</v>
      </c>
      <c r="G214" s="47">
        <v>0</v>
      </c>
      <c r="H214" s="47">
        <v>0</v>
      </c>
      <c r="I214" s="47">
        <v>0</v>
      </c>
      <c r="J214" s="47">
        <v>0</v>
      </c>
      <c r="K214" s="47">
        <v>0</v>
      </c>
      <c r="L214" s="47">
        <v>0</v>
      </c>
      <c r="M214" s="47">
        <v>0</v>
      </c>
    </row>
    <row r="215" spans="1:13" x14ac:dyDescent="0.25">
      <c r="A215" s="306"/>
      <c r="B215" s="323"/>
      <c r="C215" s="21" t="s">
        <v>129</v>
      </c>
      <c r="D215" s="1" t="s">
        <v>8</v>
      </c>
      <c r="E215" s="46">
        <v>49.290721649484539</v>
      </c>
      <c r="F215" s="46">
        <v>65.52783505154639</v>
      </c>
      <c r="G215" s="46">
        <v>108.82680412371134</v>
      </c>
      <c r="H215" s="46">
        <v>168.36288659793814</v>
      </c>
      <c r="I215" s="46">
        <v>249.54845360824743</v>
      </c>
      <c r="J215" s="46">
        <v>411.91958762886594</v>
      </c>
      <c r="K215" s="46">
        <v>574.29072164948457</v>
      </c>
      <c r="L215" s="46">
        <v>574.29072164948457</v>
      </c>
      <c r="M215" s="46">
        <v>574.29072164948457</v>
      </c>
    </row>
    <row r="216" spans="1:13" x14ac:dyDescent="0.25">
      <c r="A216" s="306"/>
      <c r="B216" s="323"/>
      <c r="C216" s="21" t="s">
        <v>130</v>
      </c>
      <c r="D216" s="1" t="s">
        <v>9</v>
      </c>
      <c r="E216" s="44"/>
      <c r="F216" s="44"/>
      <c r="G216" s="44"/>
      <c r="H216" s="44"/>
      <c r="I216" s="44"/>
      <c r="J216" s="44"/>
      <c r="K216" s="44"/>
      <c r="L216" s="44"/>
      <c r="M216" s="44"/>
    </row>
    <row r="217" spans="1:13" x14ac:dyDescent="0.25">
      <c r="A217" s="306"/>
      <c r="B217" s="323"/>
      <c r="C217" s="21" t="s">
        <v>131</v>
      </c>
      <c r="D217" s="1" t="s">
        <v>10</v>
      </c>
      <c r="E217" s="44"/>
      <c r="F217" s="44"/>
      <c r="G217" s="44"/>
      <c r="H217" s="44"/>
      <c r="I217" s="44"/>
      <c r="J217" s="44"/>
      <c r="K217" s="44"/>
      <c r="L217" s="44"/>
      <c r="M217" s="44"/>
    </row>
    <row r="218" spans="1:13" ht="18.75" x14ac:dyDescent="0.25">
      <c r="A218" s="306"/>
      <c r="B218" s="323"/>
      <c r="C218" s="53" t="s">
        <v>132</v>
      </c>
      <c r="D218" s="23" t="s">
        <v>17</v>
      </c>
      <c r="E218" s="44"/>
      <c r="F218" s="44"/>
      <c r="G218" s="44"/>
      <c r="H218" s="44"/>
      <c r="I218" s="44"/>
      <c r="J218" s="44"/>
      <c r="K218" s="44"/>
      <c r="L218" s="44"/>
      <c r="M218" s="44"/>
    </row>
    <row r="219" spans="1:13" x14ac:dyDescent="0.25">
      <c r="A219" s="324">
        <v>14</v>
      </c>
      <c r="B219" s="327" t="s">
        <v>181</v>
      </c>
      <c r="C219" s="21" t="s">
        <v>112</v>
      </c>
      <c r="D219" s="1" t="s">
        <v>19</v>
      </c>
      <c r="E219" s="51">
        <v>1</v>
      </c>
      <c r="F219" s="51">
        <v>1</v>
      </c>
      <c r="G219" s="51">
        <v>1</v>
      </c>
      <c r="H219" s="51">
        <v>1</v>
      </c>
      <c r="I219" s="51">
        <v>1</v>
      </c>
      <c r="J219" s="51">
        <v>1</v>
      </c>
      <c r="K219" s="51">
        <v>1</v>
      </c>
      <c r="L219" s="51">
        <v>1</v>
      </c>
      <c r="M219" s="51">
        <v>1</v>
      </c>
    </row>
    <row r="220" spans="1:13" x14ac:dyDescent="0.25">
      <c r="A220" s="325"/>
      <c r="B220" s="328"/>
      <c r="C220" s="21" t="s">
        <v>28</v>
      </c>
      <c r="D220" s="1" t="s">
        <v>19</v>
      </c>
      <c r="E220" s="44">
        <v>0.8</v>
      </c>
      <c r="F220" s="44">
        <v>0.8</v>
      </c>
      <c r="G220" s="44">
        <v>0.8</v>
      </c>
      <c r="H220" s="44">
        <v>0.8</v>
      </c>
      <c r="I220" s="44">
        <v>0.8</v>
      </c>
      <c r="J220" s="44">
        <v>0.8</v>
      </c>
      <c r="K220" s="44">
        <v>0.8</v>
      </c>
      <c r="L220" s="44">
        <v>0.8</v>
      </c>
      <c r="M220" s="44">
        <v>0.8</v>
      </c>
    </row>
    <row r="221" spans="1:13" x14ac:dyDescent="0.25">
      <c r="A221" s="325"/>
      <c r="B221" s="328"/>
      <c r="C221" s="21" t="s">
        <v>29</v>
      </c>
      <c r="D221" s="1" t="s">
        <v>4</v>
      </c>
      <c r="E221" s="44">
        <v>20</v>
      </c>
      <c r="F221" s="44">
        <v>20</v>
      </c>
      <c r="G221" s="44">
        <v>20</v>
      </c>
      <c r="H221" s="44">
        <v>20</v>
      </c>
      <c r="I221" s="44">
        <v>20</v>
      </c>
      <c r="J221" s="44">
        <v>20</v>
      </c>
      <c r="K221" s="44">
        <v>20</v>
      </c>
      <c r="L221" s="44">
        <v>20</v>
      </c>
      <c r="M221" s="44">
        <v>20</v>
      </c>
    </row>
    <row r="222" spans="1:13" x14ac:dyDescent="0.25">
      <c r="A222" s="325"/>
      <c r="B222" s="328"/>
      <c r="C222" s="21" t="s">
        <v>30</v>
      </c>
      <c r="D222" s="1" t="s">
        <v>6</v>
      </c>
      <c r="E222" s="46">
        <v>756.50213541090761</v>
      </c>
      <c r="F222" s="46">
        <v>540.20663720034383</v>
      </c>
      <c r="G222" s="46">
        <v>421.48150193390472</v>
      </c>
      <c r="H222" s="46">
        <v>421.48150193390472</v>
      </c>
      <c r="I222" s="46">
        <v>421.48150193390472</v>
      </c>
      <c r="J222" s="46">
        <v>421.48150193390472</v>
      </c>
      <c r="K222" s="46">
        <v>1120.903443434433</v>
      </c>
      <c r="L222" s="46">
        <v>975.21226311391229</v>
      </c>
      <c r="M222" s="46">
        <v>857.30536609258718</v>
      </c>
    </row>
    <row r="223" spans="1:13" x14ac:dyDescent="0.25">
      <c r="A223" s="325"/>
      <c r="B223" s="328"/>
      <c r="C223" s="21" t="s">
        <v>174</v>
      </c>
      <c r="D223" s="1" t="s">
        <v>19</v>
      </c>
      <c r="E223" s="47">
        <v>0</v>
      </c>
      <c r="F223" s="47">
        <v>0</v>
      </c>
      <c r="G223" s="47">
        <v>0</v>
      </c>
      <c r="H223" s="47">
        <v>0</v>
      </c>
      <c r="I223" s="47">
        <v>0</v>
      </c>
      <c r="J223" s="47">
        <v>0</v>
      </c>
      <c r="K223" s="47">
        <v>0</v>
      </c>
      <c r="L223" s="47">
        <v>0</v>
      </c>
      <c r="M223" s="47">
        <v>0</v>
      </c>
    </row>
    <row r="224" spans="1:13" x14ac:dyDescent="0.25">
      <c r="A224" s="325"/>
      <c r="B224" s="328"/>
      <c r="C224" s="21" t="s">
        <v>113</v>
      </c>
      <c r="D224" s="1" t="s">
        <v>8</v>
      </c>
      <c r="E224" s="44"/>
      <c r="F224" s="44"/>
      <c r="G224" s="44"/>
      <c r="H224" s="44"/>
      <c r="I224" s="44"/>
      <c r="J224" s="44"/>
      <c r="K224" s="44"/>
      <c r="L224" s="44"/>
      <c r="M224" s="44"/>
    </row>
    <row r="225" spans="1:13" x14ac:dyDescent="0.25">
      <c r="A225" s="325"/>
      <c r="B225" s="328"/>
      <c r="C225" s="21" t="s">
        <v>114</v>
      </c>
      <c r="D225" s="1" t="s">
        <v>9</v>
      </c>
      <c r="E225" s="44"/>
      <c r="F225" s="44"/>
      <c r="G225" s="44"/>
      <c r="H225" s="44"/>
      <c r="I225" s="44"/>
      <c r="J225" s="44"/>
      <c r="K225" s="44"/>
      <c r="L225" s="44"/>
      <c r="M225" s="44"/>
    </row>
    <row r="226" spans="1:13" x14ac:dyDescent="0.25">
      <c r="A226" s="325"/>
      <c r="B226" s="328"/>
      <c r="C226" s="21" t="s">
        <v>115</v>
      </c>
      <c r="D226" s="1" t="s">
        <v>10</v>
      </c>
      <c r="E226" s="46">
        <v>0</v>
      </c>
      <c r="F226" s="46">
        <v>0</v>
      </c>
      <c r="G226" s="46">
        <v>0</v>
      </c>
      <c r="H226" s="46">
        <v>0</v>
      </c>
      <c r="I226" s="46">
        <v>0</v>
      </c>
      <c r="J226" s="46">
        <v>0</v>
      </c>
      <c r="K226" s="46">
        <v>2.0100000000000001E-3</v>
      </c>
      <c r="L226" s="46">
        <v>2.0100000000000001E-3</v>
      </c>
      <c r="M226" s="46">
        <v>2.0100000000000001E-3</v>
      </c>
    </row>
    <row r="227" spans="1:13" ht="18.75" x14ac:dyDescent="0.25">
      <c r="A227" s="325"/>
      <c r="B227" s="328"/>
      <c r="C227" s="22" t="s">
        <v>116</v>
      </c>
      <c r="D227" s="23" t="s">
        <v>17</v>
      </c>
      <c r="E227" s="46">
        <v>0</v>
      </c>
      <c r="F227" s="46">
        <v>0</v>
      </c>
      <c r="G227" s="46">
        <v>0</v>
      </c>
      <c r="H227" s="46">
        <v>0</v>
      </c>
      <c r="I227" s="46">
        <v>0</v>
      </c>
      <c r="J227" s="46">
        <v>0</v>
      </c>
      <c r="K227" s="46">
        <v>0</v>
      </c>
      <c r="L227" s="46">
        <v>0</v>
      </c>
      <c r="M227" s="46">
        <v>0</v>
      </c>
    </row>
    <row r="228" spans="1:13" x14ac:dyDescent="0.25">
      <c r="A228" s="325"/>
      <c r="B228" s="328"/>
      <c r="C228" s="22" t="s">
        <v>31</v>
      </c>
      <c r="D228" s="23" t="s">
        <v>10</v>
      </c>
      <c r="E228" s="46">
        <v>0</v>
      </c>
      <c r="F228" s="46">
        <v>0</v>
      </c>
      <c r="G228" s="46">
        <v>0</v>
      </c>
      <c r="H228" s="46">
        <v>0</v>
      </c>
      <c r="I228" s="46">
        <v>0</v>
      </c>
      <c r="J228" s="46">
        <v>0</v>
      </c>
      <c r="K228" s="46">
        <v>0</v>
      </c>
      <c r="L228" s="46">
        <v>0</v>
      </c>
      <c r="M228" s="46">
        <v>0</v>
      </c>
    </row>
    <row r="229" spans="1:13" x14ac:dyDescent="0.25">
      <c r="A229" s="325"/>
      <c r="B229" s="328"/>
      <c r="C229" s="21" t="s">
        <v>32</v>
      </c>
      <c r="D229" s="2" t="s">
        <v>19</v>
      </c>
      <c r="E229" s="44">
        <v>3.48</v>
      </c>
      <c r="F229" s="44">
        <v>3.48</v>
      </c>
      <c r="G229" s="44">
        <v>3.48</v>
      </c>
      <c r="H229" s="44">
        <v>3.48</v>
      </c>
      <c r="I229" s="44">
        <v>3.48</v>
      </c>
      <c r="J229" s="44">
        <v>3.48</v>
      </c>
      <c r="K229" s="44">
        <v>3.48</v>
      </c>
      <c r="L229" s="44">
        <v>3.48</v>
      </c>
      <c r="M229" s="44">
        <v>3.48</v>
      </c>
    </row>
    <row r="230" spans="1:13" x14ac:dyDescent="0.25">
      <c r="A230" s="325"/>
      <c r="B230" s="328"/>
      <c r="C230" s="21" t="s">
        <v>33</v>
      </c>
      <c r="D230" s="2" t="s">
        <v>14</v>
      </c>
      <c r="E230" s="44"/>
      <c r="F230" s="44"/>
      <c r="G230" s="44"/>
      <c r="H230" s="44"/>
      <c r="I230" s="44"/>
      <c r="J230" s="44"/>
      <c r="K230" s="44"/>
      <c r="L230" s="44"/>
      <c r="M230" s="44"/>
    </row>
    <row r="231" spans="1:13" x14ac:dyDescent="0.25">
      <c r="A231" s="325"/>
      <c r="B231" s="328"/>
      <c r="C231" s="21" t="s">
        <v>34</v>
      </c>
      <c r="D231" s="2" t="s">
        <v>4</v>
      </c>
      <c r="E231" s="44"/>
      <c r="F231" s="44"/>
      <c r="G231" s="44"/>
      <c r="H231" s="44"/>
      <c r="I231" s="44"/>
      <c r="J231" s="44"/>
      <c r="K231" s="44"/>
      <c r="L231" s="44"/>
      <c r="M231" s="44"/>
    </row>
    <row r="232" spans="1:13" x14ac:dyDescent="0.25">
      <c r="A232" s="325"/>
      <c r="B232" s="328"/>
      <c r="C232" s="21" t="s">
        <v>125</v>
      </c>
      <c r="D232" s="1" t="s">
        <v>19</v>
      </c>
      <c r="E232" s="51">
        <v>0.3125</v>
      </c>
      <c r="F232" s="51">
        <v>0.3125</v>
      </c>
      <c r="G232" s="51">
        <v>0.3125</v>
      </c>
      <c r="H232" s="51">
        <v>0.3125</v>
      </c>
      <c r="I232" s="51">
        <v>0.3125</v>
      </c>
      <c r="J232" s="51">
        <v>0.3125</v>
      </c>
      <c r="K232" s="51">
        <v>0.3125</v>
      </c>
      <c r="L232" s="51">
        <v>0.3125</v>
      </c>
      <c r="M232" s="51">
        <v>0.3125</v>
      </c>
    </row>
    <row r="233" spans="1:13" x14ac:dyDescent="0.25">
      <c r="A233" s="325"/>
      <c r="B233" s="328"/>
      <c r="C233" s="21" t="s">
        <v>126</v>
      </c>
      <c r="D233" s="1" t="s">
        <v>19</v>
      </c>
      <c r="E233" s="44">
        <v>0.64</v>
      </c>
      <c r="F233" s="44">
        <v>0.64</v>
      </c>
      <c r="G233" s="44">
        <v>0.64</v>
      </c>
      <c r="H233" s="44">
        <v>0.64</v>
      </c>
      <c r="I233" s="44">
        <v>0.64</v>
      </c>
      <c r="J233" s="44">
        <v>0.64</v>
      </c>
      <c r="K233" s="44">
        <v>0.64</v>
      </c>
      <c r="L233" s="44">
        <v>0.64</v>
      </c>
      <c r="M233" s="44">
        <v>0.64</v>
      </c>
    </row>
    <row r="234" spans="1:13" x14ac:dyDescent="0.25">
      <c r="A234" s="325"/>
      <c r="B234" s="328"/>
      <c r="C234" s="24" t="s">
        <v>127</v>
      </c>
      <c r="D234" s="1" t="s">
        <v>4</v>
      </c>
      <c r="E234" s="44">
        <v>20</v>
      </c>
      <c r="F234" s="44">
        <v>20</v>
      </c>
      <c r="G234" s="44">
        <v>20</v>
      </c>
      <c r="H234" s="44">
        <v>20</v>
      </c>
      <c r="I234" s="44">
        <v>20</v>
      </c>
      <c r="J234" s="44">
        <v>20</v>
      </c>
      <c r="K234" s="44">
        <v>20</v>
      </c>
      <c r="L234" s="44">
        <v>20</v>
      </c>
      <c r="M234" s="44">
        <v>20</v>
      </c>
    </row>
    <row r="235" spans="1:13" x14ac:dyDescent="0.25">
      <c r="A235" s="325"/>
      <c r="B235" s="328"/>
      <c r="C235" s="24" t="s">
        <v>128</v>
      </c>
      <c r="D235" s="1" t="s">
        <v>6</v>
      </c>
      <c r="E235" s="52">
        <v>855.32731520443224</v>
      </c>
      <c r="F235" s="52">
        <v>842.44893575987089</v>
      </c>
      <c r="G235" s="52">
        <v>808.10659057437408</v>
      </c>
      <c r="H235" s="52">
        <v>760.88586594431581</v>
      </c>
      <c r="I235" s="52">
        <v>696.49396872150919</v>
      </c>
      <c r="J235" s="52">
        <v>567.71017427589595</v>
      </c>
      <c r="K235" s="52">
        <v>483.57142857142856</v>
      </c>
      <c r="L235" s="52">
        <v>483.57142857142856</v>
      </c>
      <c r="M235" s="52">
        <v>483.57142857142856</v>
      </c>
    </row>
    <row r="236" spans="1:13" x14ac:dyDescent="0.25">
      <c r="A236" s="325"/>
      <c r="B236" s="328"/>
      <c r="C236" s="24" t="s">
        <v>179</v>
      </c>
      <c r="D236" s="1" t="s">
        <v>19</v>
      </c>
      <c r="E236" s="47">
        <v>0</v>
      </c>
      <c r="F236" s="47">
        <v>0</v>
      </c>
      <c r="G236" s="47">
        <v>0</v>
      </c>
      <c r="H236" s="47">
        <v>0</v>
      </c>
      <c r="I236" s="47">
        <v>0</v>
      </c>
      <c r="J236" s="47">
        <v>0</v>
      </c>
      <c r="K236" s="47">
        <v>0</v>
      </c>
      <c r="L236" s="47">
        <v>0</v>
      </c>
      <c r="M236" s="47">
        <v>0</v>
      </c>
    </row>
    <row r="237" spans="1:13" x14ac:dyDescent="0.25">
      <c r="A237" s="325"/>
      <c r="B237" s="328"/>
      <c r="C237" s="21" t="s">
        <v>129</v>
      </c>
      <c r="D237" s="1" t="s">
        <v>8</v>
      </c>
      <c r="E237" s="46">
        <v>49.290721649484539</v>
      </c>
      <c r="F237" s="46">
        <v>65.52783505154639</v>
      </c>
      <c r="G237" s="46">
        <v>108.82680412371134</v>
      </c>
      <c r="H237" s="46">
        <v>168.36288659793814</v>
      </c>
      <c r="I237" s="46">
        <v>249.54845360824743</v>
      </c>
      <c r="J237" s="46">
        <v>411.91958762886594</v>
      </c>
      <c r="K237" s="46">
        <v>574.29072164948457</v>
      </c>
      <c r="L237" s="46">
        <v>574.29072164948457</v>
      </c>
      <c r="M237" s="46">
        <v>574.29072164948457</v>
      </c>
    </row>
    <row r="238" spans="1:13" x14ac:dyDescent="0.25">
      <c r="A238" s="325"/>
      <c r="B238" s="328"/>
      <c r="C238" s="21" t="s">
        <v>130</v>
      </c>
      <c r="D238" s="1" t="s">
        <v>9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1:13" x14ac:dyDescent="0.25">
      <c r="A239" s="325"/>
      <c r="B239" s="328"/>
      <c r="C239" s="21" t="s">
        <v>131</v>
      </c>
      <c r="D239" s="1" t="s">
        <v>10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1:13" ht="18.75" x14ac:dyDescent="0.25">
      <c r="A240" s="326"/>
      <c r="B240" s="329"/>
      <c r="C240" s="53" t="s">
        <v>132</v>
      </c>
      <c r="D240" s="23" t="s">
        <v>17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1:13" x14ac:dyDescent="0.25">
      <c r="A241" s="324">
        <v>15</v>
      </c>
      <c r="B241" s="327" t="s">
        <v>182</v>
      </c>
      <c r="C241" s="21" t="s">
        <v>112</v>
      </c>
      <c r="D241" s="1" t="s">
        <v>19</v>
      </c>
      <c r="E241" s="51">
        <v>1</v>
      </c>
      <c r="F241" s="51">
        <v>1</v>
      </c>
      <c r="G241" s="51">
        <v>1</v>
      </c>
      <c r="H241" s="51">
        <v>1</v>
      </c>
      <c r="I241" s="51">
        <v>1</v>
      </c>
      <c r="J241" s="51">
        <v>1</v>
      </c>
      <c r="K241" s="51">
        <v>1</v>
      </c>
      <c r="L241" s="51">
        <v>1</v>
      </c>
      <c r="M241" s="51">
        <v>1</v>
      </c>
    </row>
    <row r="242" spans="1:13" x14ac:dyDescent="0.25">
      <c r="A242" s="325"/>
      <c r="B242" s="328"/>
      <c r="C242" s="21" t="s">
        <v>28</v>
      </c>
      <c r="D242" s="1" t="s">
        <v>19</v>
      </c>
      <c r="E242" s="44">
        <v>0.65</v>
      </c>
      <c r="F242" s="44">
        <v>0.65</v>
      </c>
      <c r="G242" s="44">
        <v>0.65</v>
      </c>
      <c r="H242" s="44">
        <v>0.65</v>
      </c>
      <c r="I242" s="44">
        <v>0.65</v>
      </c>
      <c r="J242" s="44">
        <v>0.65</v>
      </c>
      <c r="K242" s="44">
        <v>0.65</v>
      </c>
      <c r="L242" s="44">
        <v>0.65</v>
      </c>
      <c r="M242" s="44">
        <v>0.65</v>
      </c>
    </row>
    <row r="243" spans="1:13" x14ac:dyDescent="0.25">
      <c r="A243" s="325"/>
      <c r="B243" s="328"/>
      <c r="C243" s="21" t="s">
        <v>29</v>
      </c>
      <c r="D243" s="1" t="s">
        <v>4</v>
      </c>
      <c r="E243" s="44">
        <v>20</v>
      </c>
      <c r="F243" s="44">
        <v>20</v>
      </c>
      <c r="G243" s="44">
        <v>20</v>
      </c>
      <c r="H243" s="44">
        <v>20</v>
      </c>
      <c r="I243" s="44">
        <v>20</v>
      </c>
      <c r="J243" s="44">
        <v>20</v>
      </c>
      <c r="K243" s="44">
        <v>20</v>
      </c>
      <c r="L243" s="44">
        <v>20</v>
      </c>
      <c r="M243" s="44">
        <v>20</v>
      </c>
    </row>
    <row r="244" spans="1:13" x14ac:dyDescent="0.25">
      <c r="A244" s="325"/>
      <c r="B244" s="328"/>
      <c r="C244" s="21" t="s">
        <v>30</v>
      </c>
      <c r="D244" s="1" t="s">
        <v>6</v>
      </c>
      <c r="E244" s="46">
        <v>756.50213541090761</v>
      </c>
      <c r="F244" s="46">
        <v>540.20663720034383</v>
      </c>
      <c r="G244" s="46">
        <v>421.48150193390472</v>
      </c>
      <c r="H244" s="46">
        <v>421.48150193390472</v>
      </c>
      <c r="I244" s="46">
        <v>421.48150193390472</v>
      </c>
      <c r="J244" s="46">
        <v>421.48150193390472</v>
      </c>
      <c r="K244" s="46">
        <v>1120.903443434433</v>
      </c>
      <c r="L244" s="46">
        <v>975.21226311391229</v>
      </c>
      <c r="M244" s="46">
        <v>857.30536609258718</v>
      </c>
    </row>
    <row r="245" spans="1:13" x14ac:dyDescent="0.25">
      <c r="A245" s="325"/>
      <c r="B245" s="328"/>
      <c r="C245" s="21" t="s">
        <v>174</v>
      </c>
      <c r="D245" s="1" t="s">
        <v>19</v>
      </c>
      <c r="E245" s="47">
        <v>0</v>
      </c>
      <c r="F245" s="47">
        <v>0</v>
      </c>
      <c r="G245" s="47">
        <v>0</v>
      </c>
      <c r="H245" s="47">
        <v>0</v>
      </c>
      <c r="I245" s="47">
        <v>0</v>
      </c>
      <c r="J245" s="47">
        <v>0</v>
      </c>
      <c r="K245" s="47">
        <v>0</v>
      </c>
      <c r="L245" s="47">
        <v>0</v>
      </c>
      <c r="M245" s="47">
        <v>0</v>
      </c>
    </row>
    <row r="246" spans="1:13" x14ac:dyDescent="0.25">
      <c r="A246" s="325"/>
      <c r="B246" s="328"/>
      <c r="C246" s="21" t="s">
        <v>113</v>
      </c>
      <c r="D246" s="1" t="s">
        <v>8</v>
      </c>
      <c r="E246" s="44"/>
      <c r="F246" s="44"/>
      <c r="G246" s="44"/>
      <c r="H246" s="44"/>
      <c r="I246" s="44"/>
      <c r="J246" s="44"/>
      <c r="K246" s="44"/>
      <c r="L246" s="44"/>
      <c r="M246" s="44"/>
    </row>
    <row r="247" spans="1:13" x14ac:dyDescent="0.25">
      <c r="A247" s="325"/>
      <c r="B247" s="328"/>
      <c r="C247" s="21" t="s">
        <v>114</v>
      </c>
      <c r="D247" s="1" t="s">
        <v>9</v>
      </c>
      <c r="E247" s="44"/>
      <c r="F247" s="44"/>
      <c r="G247" s="44"/>
      <c r="H247" s="44"/>
      <c r="I247" s="44"/>
      <c r="J247" s="44"/>
      <c r="K247" s="44"/>
      <c r="L247" s="44"/>
      <c r="M247" s="44"/>
    </row>
    <row r="248" spans="1:13" x14ac:dyDescent="0.25">
      <c r="A248" s="325"/>
      <c r="B248" s="328"/>
      <c r="C248" s="21" t="s">
        <v>115</v>
      </c>
      <c r="D248" s="1" t="s">
        <v>10</v>
      </c>
      <c r="E248" s="46">
        <v>0</v>
      </c>
      <c r="F248" s="46">
        <v>0</v>
      </c>
      <c r="G248" s="46">
        <v>0</v>
      </c>
      <c r="H248" s="46">
        <v>0</v>
      </c>
      <c r="I248" s="46">
        <v>0</v>
      </c>
      <c r="J248" s="46">
        <v>0</v>
      </c>
      <c r="K248" s="46">
        <v>2.0100000000000001E-3</v>
      </c>
      <c r="L248" s="46">
        <v>2.0100000000000001E-3</v>
      </c>
      <c r="M248" s="46">
        <v>2.0100000000000001E-3</v>
      </c>
    </row>
    <row r="249" spans="1:13" ht="18.75" x14ac:dyDescent="0.25">
      <c r="A249" s="325"/>
      <c r="B249" s="328"/>
      <c r="C249" s="22" t="s">
        <v>116</v>
      </c>
      <c r="D249" s="23" t="s">
        <v>17</v>
      </c>
      <c r="E249" s="46">
        <v>0</v>
      </c>
      <c r="F249" s="46">
        <v>0</v>
      </c>
      <c r="G249" s="46">
        <v>0</v>
      </c>
      <c r="H249" s="46">
        <v>0</v>
      </c>
      <c r="I249" s="46">
        <v>0</v>
      </c>
      <c r="J249" s="46">
        <v>0</v>
      </c>
      <c r="K249" s="46">
        <v>0</v>
      </c>
      <c r="L249" s="46">
        <v>0</v>
      </c>
      <c r="M249" s="46">
        <v>0</v>
      </c>
    </row>
    <row r="250" spans="1:13" x14ac:dyDescent="0.25">
      <c r="A250" s="325"/>
      <c r="B250" s="328"/>
      <c r="C250" s="22" t="s">
        <v>31</v>
      </c>
      <c r="D250" s="23" t="s">
        <v>10</v>
      </c>
      <c r="E250" s="46">
        <v>0</v>
      </c>
      <c r="F250" s="46">
        <v>0</v>
      </c>
      <c r="G250" s="46">
        <v>0</v>
      </c>
      <c r="H250" s="46">
        <v>0</v>
      </c>
      <c r="I250" s="46">
        <v>0</v>
      </c>
      <c r="J250" s="46">
        <v>0</v>
      </c>
      <c r="K250" s="46">
        <v>0</v>
      </c>
      <c r="L250" s="46">
        <v>0</v>
      </c>
      <c r="M250" s="46">
        <v>0</v>
      </c>
    </row>
    <row r="251" spans="1:13" x14ac:dyDescent="0.25">
      <c r="A251" s="325"/>
      <c r="B251" s="328"/>
      <c r="C251" s="21" t="s">
        <v>32</v>
      </c>
      <c r="D251" s="2" t="s">
        <v>19</v>
      </c>
      <c r="E251" s="44">
        <v>3.48</v>
      </c>
      <c r="F251" s="44">
        <v>3.48</v>
      </c>
      <c r="G251" s="44">
        <v>3.48</v>
      </c>
      <c r="H251" s="44">
        <v>3.48</v>
      </c>
      <c r="I251" s="44">
        <v>3.48</v>
      </c>
      <c r="J251" s="44">
        <v>3.48</v>
      </c>
      <c r="K251" s="44">
        <v>3.48</v>
      </c>
      <c r="L251" s="44">
        <v>3.48</v>
      </c>
      <c r="M251" s="44">
        <v>3.48</v>
      </c>
    </row>
    <row r="252" spans="1:13" x14ac:dyDescent="0.25">
      <c r="A252" s="325"/>
      <c r="B252" s="328"/>
      <c r="C252" s="21" t="s">
        <v>33</v>
      </c>
      <c r="D252" s="2" t="s">
        <v>14</v>
      </c>
      <c r="E252" s="44"/>
      <c r="F252" s="44"/>
      <c r="G252" s="44"/>
      <c r="H252" s="44"/>
      <c r="I252" s="44"/>
      <c r="J252" s="44"/>
      <c r="K252" s="44"/>
      <c r="L252" s="44"/>
      <c r="M252" s="44"/>
    </row>
    <row r="253" spans="1:13" x14ac:dyDescent="0.25">
      <c r="A253" s="325"/>
      <c r="B253" s="328"/>
      <c r="C253" s="21" t="s">
        <v>34</v>
      </c>
      <c r="D253" s="2" t="s">
        <v>4</v>
      </c>
      <c r="E253" s="44"/>
      <c r="F253" s="44"/>
      <c r="G253" s="44"/>
      <c r="H253" s="44"/>
      <c r="I253" s="44"/>
      <c r="J253" s="44"/>
      <c r="K253" s="44"/>
      <c r="L253" s="44"/>
      <c r="M253" s="44"/>
    </row>
    <row r="254" spans="1:13" x14ac:dyDescent="0.25">
      <c r="A254" s="325"/>
      <c r="B254" s="328"/>
      <c r="C254" s="21" t="s">
        <v>125</v>
      </c>
      <c r="D254" s="1" t="s">
        <v>19</v>
      </c>
      <c r="E254" s="51">
        <v>0.546875</v>
      </c>
      <c r="F254" s="51">
        <v>0.546875</v>
      </c>
      <c r="G254" s="51">
        <v>0.54687499999999989</v>
      </c>
      <c r="H254" s="51">
        <v>0.546875</v>
      </c>
      <c r="I254" s="51">
        <v>0.546875</v>
      </c>
      <c r="J254" s="51">
        <v>0.546875</v>
      </c>
      <c r="K254" s="51">
        <v>0.546875</v>
      </c>
      <c r="L254" s="51">
        <v>0.546875</v>
      </c>
      <c r="M254" s="51">
        <v>0.546875</v>
      </c>
    </row>
    <row r="255" spans="1:13" x14ac:dyDescent="0.25">
      <c r="A255" s="325"/>
      <c r="B255" s="328"/>
      <c r="C255" s="21" t="s">
        <v>126</v>
      </c>
      <c r="D255" s="1" t="s">
        <v>19</v>
      </c>
      <c r="E255" s="44">
        <v>0.64</v>
      </c>
      <c r="F255" s="44">
        <v>0.64</v>
      </c>
      <c r="G255" s="44">
        <v>0.64</v>
      </c>
      <c r="H255" s="44">
        <v>0.64</v>
      </c>
      <c r="I255" s="44">
        <v>0.64</v>
      </c>
      <c r="J255" s="44">
        <v>0.64</v>
      </c>
      <c r="K255" s="44">
        <v>0.64</v>
      </c>
      <c r="L255" s="44">
        <v>0.64</v>
      </c>
      <c r="M255" s="44">
        <v>0.64</v>
      </c>
    </row>
    <row r="256" spans="1:13" x14ac:dyDescent="0.25">
      <c r="A256" s="325"/>
      <c r="B256" s="328"/>
      <c r="C256" s="24" t="s">
        <v>127</v>
      </c>
      <c r="D256" s="1" t="s">
        <v>4</v>
      </c>
      <c r="E256" s="44">
        <v>20</v>
      </c>
      <c r="F256" s="44">
        <v>20</v>
      </c>
      <c r="G256" s="44">
        <v>20</v>
      </c>
      <c r="H256" s="44">
        <v>20</v>
      </c>
      <c r="I256" s="44">
        <v>20</v>
      </c>
      <c r="J256" s="44">
        <v>20</v>
      </c>
      <c r="K256" s="44">
        <v>20</v>
      </c>
      <c r="L256" s="44">
        <v>20</v>
      </c>
      <c r="M256" s="44">
        <v>20</v>
      </c>
    </row>
    <row r="257" spans="1:13" x14ac:dyDescent="0.25">
      <c r="A257" s="325"/>
      <c r="B257" s="328"/>
      <c r="C257" s="24" t="s">
        <v>128</v>
      </c>
      <c r="D257" s="1" t="s">
        <v>6</v>
      </c>
      <c r="E257" s="52">
        <v>845.66853062101131</v>
      </c>
      <c r="F257" s="52">
        <v>823.13136659302893</v>
      </c>
      <c r="G257" s="52">
        <v>763.03226251840942</v>
      </c>
      <c r="H257" s="52">
        <v>680.39599441580754</v>
      </c>
      <c r="I257" s="52">
        <v>567.71017427589595</v>
      </c>
      <c r="J257" s="52">
        <v>483.57142857142856</v>
      </c>
      <c r="K257" s="52">
        <v>483.57142857142856</v>
      </c>
      <c r="L257" s="52">
        <v>483.57142857142856</v>
      </c>
      <c r="M257" s="52">
        <v>483.57142857142856</v>
      </c>
    </row>
    <row r="258" spans="1:13" x14ac:dyDescent="0.25">
      <c r="A258" s="325"/>
      <c r="B258" s="328"/>
      <c r="C258" s="24" t="s">
        <v>179</v>
      </c>
      <c r="D258" s="1" t="s">
        <v>19</v>
      </c>
      <c r="E258" s="47">
        <v>0</v>
      </c>
      <c r="F258" s="47">
        <v>0</v>
      </c>
      <c r="G258" s="47">
        <v>0</v>
      </c>
      <c r="H258" s="47">
        <v>0</v>
      </c>
      <c r="I258" s="47">
        <v>0</v>
      </c>
      <c r="J258" s="47">
        <v>0</v>
      </c>
      <c r="K258" s="47">
        <v>0</v>
      </c>
      <c r="L258" s="47">
        <v>0</v>
      </c>
      <c r="M258" s="47">
        <v>0</v>
      </c>
    </row>
    <row r="259" spans="1:13" x14ac:dyDescent="0.25">
      <c r="A259" s="325"/>
      <c r="B259" s="328"/>
      <c r="C259" s="21" t="s">
        <v>129</v>
      </c>
      <c r="D259" s="1" t="s">
        <v>8</v>
      </c>
      <c r="E259" s="46">
        <v>49.290721649484539</v>
      </c>
      <c r="F259" s="46">
        <v>65.52783505154639</v>
      </c>
      <c r="G259" s="46">
        <v>108.82680412371134</v>
      </c>
      <c r="H259" s="46">
        <v>168.36288659793814</v>
      </c>
      <c r="I259" s="46">
        <v>249.54845360824743</v>
      </c>
      <c r="J259" s="46">
        <v>411.91958762886594</v>
      </c>
      <c r="K259" s="46">
        <v>574.29072164948457</v>
      </c>
      <c r="L259" s="46">
        <v>574.29072164948457</v>
      </c>
      <c r="M259" s="46">
        <v>574.29072164948457</v>
      </c>
    </row>
    <row r="260" spans="1:13" x14ac:dyDescent="0.25">
      <c r="A260" s="325"/>
      <c r="B260" s="328"/>
      <c r="C260" s="21" t="s">
        <v>130</v>
      </c>
      <c r="D260" s="1" t="s">
        <v>9</v>
      </c>
      <c r="E260" s="44"/>
      <c r="F260" s="44"/>
      <c r="G260" s="44"/>
      <c r="H260" s="44"/>
      <c r="I260" s="44"/>
      <c r="J260" s="44"/>
      <c r="K260" s="44"/>
      <c r="L260" s="44"/>
      <c r="M260" s="44"/>
    </row>
    <row r="261" spans="1:13" x14ac:dyDescent="0.25">
      <c r="A261" s="325"/>
      <c r="B261" s="328"/>
      <c r="C261" s="21" t="s">
        <v>131</v>
      </c>
      <c r="D261" s="1" t="s">
        <v>10</v>
      </c>
      <c r="E261" s="44"/>
      <c r="F261" s="44"/>
      <c r="G261" s="44"/>
      <c r="H261" s="44"/>
      <c r="I261" s="44"/>
      <c r="J261" s="44"/>
      <c r="K261" s="44"/>
      <c r="L261" s="44"/>
      <c r="M261" s="44"/>
    </row>
    <row r="262" spans="1:13" ht="18.75" x14ac:dyDescent="0.25">
      <c r="A262" s="326"/>
      <c r="B262" s="329"/>
      <c r="C262" s="53" t="s">
        <v>132</v>
      </c>
      <c r="D262" s="23" t="s">
        <v>17</v>
      </c>
      <c r="E262" s="44"/>
      <c r="F262" s="44"/>
      <c r="G262" s="44"/>
      <c r="H262" s="44"/>
      <c r="I262" s="44"/>
      <c r="J262" s="44"/>
      <c r="K262" s="44"/>
      <c r="L262" s="44"/>
      <c r="M262" s="44"/>
    </row>
    <row r="263" spans="1:13" x14ac:dyDescent="0.25">
      <c r="A263" s="306">
        <v>16</v>
      </c>
      <c r="B263" s="323" t="s">
        <v>156</v>
      </c>
      <c r="C263" s="21" t="s">
        <v>101</v>
      </c>
      <c r="D263" s="1" t="s">
        <v>4</v>
      </c>
      <c r="E263" s="44">
        <v>40</v>
      </c>
      <c r="F263" s="44">
        <v>40</v>
      </c>
      <c r="G263" s="44">
        <v>40</v>
      </c>
      <c r="H263" s="44">
        <v>40</v>
      </c>
      <c r="I263" s="44">
        <v>40</v>
      </c>
      <c r="J263" s="44">
        <v>40</v>
      </c>
      <c r="K263" s="44">
        <v>40</v>
      </c>
      <c r="L263" s="44">
        <v>40</v>
      </c>
      <c r="M263" s="44">
        <v>40</v>
      </c>
    </row>
    <row r="264" spans="1:13" x14ac:dyDescent="0.25">
      <c r="A264" s="306"/>
      <c r="B264" s="323"/>
      <c r="C264" s="21" t="s">
        <v>5</v>
      </c>
      <c r="D264" s="1" t="s">
        <v>6</v>
      </c>
      <c r="E264" s="46">
        <v>300</v>
      </c>
      <c r="F264" s="46">
        <v>183.33333333333334</v>
      </c>
      <c r="G264" s="46">
        <v>100</v>
      </c>
      <c r="H264" s="46">
        <v>76</v>
      </c>
      <c r="I264" s="46">
        <v>60</v>
      </c>
      <c r="J264" s="46">
        <v>42.857142857142854</v>
      </c>
      <c r="K264" s="46">
        <v>27.058823529411764</v>
      </c>
      <c r="L264" s="46">
        <v>18.421052631578949</v>
      </c>
      <c r="M264" s="46">
        <v>13.75</v>
      </c>
    </row>
    <row r="265" spans="1:13" x14ac:dyDescent="0.25">
      <c r="A265" s="306"/>
      <c r="B265" s="323"/>
      <c r="C265" s="21" t="s">
        <v>172</v>
      </c>
      <c r="D265" s="1" t="s">
        <v>19</v>
      </c>
      <c r="E265" s="47">
        <v>0</v>
      </c>
      <c r="F265" s="47">
        <v>0</v>
      </c>
      <c r="G265" s="47">
        <v>0</v>
      </c>
      <c r="H265" s="47">
        <v>0</v>
      </c>
      <c r="I265" s="47">
        <v>0</v>
      </c>
      <c r="J265" s="47">
        <v>0</v>
      </c>
      <c r="K265" s="47">
        <v>0</v>
      </c>
      <c r="L265" s="47">
        <v>0</v>
      </c>
      <c r="M265" s="47">
        <v>0</v>
      </c>
    </row>
    <row r="266" spans="1:13" x14ac:dyDescent="0.25">
      <c r="A266" s="306"/>
      <c r="B266" s="323"/>
      <c r="C266" s="21" t="s">
        <v>102</v>
      </c>
      <c r="D266" s="1" t="s">
        <v>8</v>
      </c>
      <c r="E266" s="46">
        <v>0</v>
      </c>
      <c r="F266" s="46">
        <v>0</v>
      </c>
      <c r="G266" s="46">
        <v>0</v>
      </c>
      <c r="H266" s="46">
        <v>0</v>
      </c>
      <c r="I266" s="46">
        <v>0</v>
      </c>
      <c r="J266" s="46">
        <v>0</v>
      </c>
      <c r="K266" s="46">
        <v>0</v>
      </c>
      <c r="L266" s="46">
        <v>0</v>
      </c>
      <c r="M266" s="46">
        <v>0</v>
      </c>
    </row>
    <row r="267" spans="1:13" x14ac:dyDescent="0.25">
      <c r="A267" s="306"/>
      <c r="B267" s="323"/>
      <c r="C267" s="21" t="s">
        <v>103</v>
      </c>
      <c r="D267" s="1" t="s">
        <v>9</v>
      </c>
      <c r="E267" s="44"/>
      <c r="F267" s="44"/>
      <c r="G267" s="44"/>
      <c r="H267" s="44"/>
      <c r="I267" s="44"/>
      <c r="J267" s="44"/>
      <c r="K267" s="44"/>
      <c r="L267" s="44"/>
      <c r="M267" s="44"/>
    </row>
    <row r="268" spans="1:13" x14ac:dyDescent="0.25">
      <c r="A268" s="306"/>
      <c r="B268" s="323"/>
      <c r="C268" s="21" t="s">
        <v>104</v>
      </c>
      <c r="D268" s="1" t="s">
        <v>10</v>
      </c>
      <c r="E268" s="44"/>
      <c r="F268" s="44"/>
      <c r="G268" s="44"/>
      <c r="H268" s="44"/>
      <c r="I268" s="44"/>
      <c r="J268" s="44"/>
      <c r="K268" s="44"/>
      <c r="L268" s="44"/>
      <c r="M268" s="44"/>
    </row>
    <row r="269" spans="1:13" x14ac:dyDescent="0.25">
      <c r="A269" s="306"/>
      <c r="B269" s="323"/>
      <c r="C269" s="22" t="s">
        <v>11</v>
      </c>
      <c r="D269" s="23" t="s">
        <v>10</v>
      </c>
      <c r="E269" s="44"/>
      <c r="F269" s="44"/>
      <c r="G269" s="44"/>
      <c r="H269" s="44"/>
      <c r="I269" s="44"/>
      <c r="J269" s="44"/>
      <c r="K269" s="44"/>
      <c r="L269" s="44"/>
      <c r="M269" s="44"/>
    </row>
    <row r="270" spans="1:13" x14ac:dyDescent="0.25">
      <c r="A270" s="306"/>
      <c r="B270" s="323"/>
      <c r="C270" s="21" t="s">
        <v>12</v>
      </c>
      <c r="D270" s="1" t="s">
        <v>7</v>
      </c>
      <c r="E270" s="47">
        <v>1</v>
      </c>
      <c r="F270" s="47">
        <v>1</v>
      </c>
      <c r="G270" s="47">
        <v>1</v>
      </c>
      <c r="H270" s="47">
        <v>1</v>
      </c>
      <c r="I270" s="47">
        <v>1</v>
      </c>
      <c r="J270" s="47">
        <v>1</v>
      </c>
      <c r="K270" s="47">
        <v>1</v>
      </c>
      <c r="L270" s="47">
        <v>1</v>
      </c>
      <c r="M270" s="47">
        <v>1</v>
      </c>
    </row>
    <row r="271" spans="1:13" x14ac:dyDescent="0.25">
      <c r="A271" s="306"/>
      <c r="B271" s="323"/>
      <c r="C271" s="21" t="s">
        <v>13</v>
      </c>
      <c r="D271" s="1" t="s">
        <v>14</v>
      </c>
      <c r="E271" s="46">
        <v>31017</v>
      </c>
      <c r="F271" s="46">
        <v>31902</v>
      </c>
      <c r="G271" s="46">
        <v>34262</v>
      </c>
      <c r="H271" s="46">
        <v>37507</v>
      </c>
      <c r="I271" s="46">
        <v>41932</v>
      </c>
      <c r="J271" s="46">
        <v>50782</v>
      </c>
      <c r="K271" s="46">
        <v>80282</v>
      </c>
      <c r="L271" s="46">
        <v>151952</v>
      </c>
      <c r="M271" s="46">
        <v>292470.28399999999</v>
      </c>
    </row>
    <row r="272" spans="1:13" x14ac:dyDescent="0.25">
      <c r="A272" s="306"/>
      <c r="B272" s="323"/>
      <c r="C272" s="21" t="s">
        <v>15</v>
      </c>
      <c r="D272" s="1" t="s">
        <v>4</v>
      </c>
      <c r="E272" s="44">
        <v>40</v>
      </c>
      <c r="F272" s="44">
        <v>40</v>
      </c>
      <c r="G272" s="44">
        <v>40</v>
      </c>
      <c r="H272" s="44">
        <v>40</v>
      </c>
      <c r="I272" s="44">
        <v>40</v>
      </c>
      <c r="J272" s="44">
        <v>40</v>
      </c>
      <c r="K272" s="44">
        <v>40</v>
      </c>
      <c r="L272" s="44">
        <v>40</v>
      </c>
      <c r="M272" s="44">
        <v>40</v>
      </c>
    </row>
    <row r="273" spans="1:13" x14ac:dyDescent="0.25">
      <c r="A273" s="306">
        <v>17</v>
      </c>
      <c r="B273" s="323" t="s">
        <v>157</v>
      </c>
      <c r="C273" s="21" t="s">
        <v>101</v>
      </c>
      <c r="D273" s="1" t="s">
        <v>4</v>
      </c>
      <c r="E273" s="44">
        <v>40</v>
      </c>
      <c r="F273" s="44">
        <v>40</v>
      </c>
      <c r="G273" s="44">
        <v>40</v>
      </c>
      <c r="H273" s="44">
        <v>40</v>
      </c>
      <c r="I273" s="44">
        <v>40</v>
      </c>
      <c r="J273" s="44">
        <v>40</v>
      </c>
      <c r="K273" s="44">
        <v>40</v>
      </c>
      <c r="L273" s="44">
        <v>40</v>
      </c>
      <c r="M273" s="44">
        <v>40</v>
      </c>
    </row>
    <row r="274" spans="1:13" x14ac:dyDescent="0.25">
      <c r="A274" s="306"/>
      <c r="B274" s="323"/>
      <c r="C274" s="21" t="s">
        <v>5</v>
      </c>
      <c r="D274" s="1" t="s">
        <v>6</v>
      </c>
      <c r="E274" s="44"/>
      <c r="F274" s="44"/>
      <c r="G274" s="44"/>
      <c r="H274" s="44"/>
      <c r="I274" s="44"/>
      <c r="J274" s="44"/>
      <c r="K274" s="44"/>
      <c r="L274" s="44"/>
      <c r="M274" s="44"/>
    </row>
    <row r="275" spans="1:13" x14ac:dyDescent="0.25">
      <c r="A275" s="306"/>
      <c r="B275" s="323"/>
      <c r="C275" s="21" t="s">
        <v>172</v>
      </c>
      <c r="D275" s="1" t="s">
        <v>19</v>
      </c>
      <c r="E275" s="47">
        <v>0</v>
      </c>
      <c r="F275" s="47">
        <v>0</v>
      </c>
      <c r="G275" s="47">
        <v>0</v>
      </c>
      <c r="H275" s="47">
        <v>0</v>
      </c>
      <c r="I275" s="47">
        <v>0</v>
      </c>
      <c r="J275" s="47">
        <v>0</v>
      </c>
      <c r="K275" s="47">
        <v>0</v>
      </c>
      <c r="L275" s="47">
        <v>0</v>
      </c>
      <c r="M275" s="47">
        <v>0</v>
      </c>
    </row>
    <row r="276" spans="1:13" x14ac:dyDescent="0.25">
      <c r="A276" s="306"/>
      <c r="B276" s="323"/>
      <c r="C276" s="21" t="s">
        <v>102</v>
      </c>
      <c r="D276" s="1" t="s">
        <v>8</v>
      </c>
      <c r="E276" s="46">
        <v>0</v>
      </c>
      <c r="F276" s="46">
        <v>0</v>
      </c>
      <c r="G276" s="46">
        <v>0</v>
      </c>
      <c r="H276" s="46">
        <v>0</v>
      </c>
      <c r="I276" s="46">
        <v>0</v>
      </c>
      <c r="J276" s="46">
        <v>0</v>
      </c>
      <c r="K276" s="46">
        <v>0</v>
      </c>
      <c r="L276" s="46">
        <v>0</v>
      </c>
      <c r="M276" s="46">
        <v>0</v>
      </c>
    </row>
    <row r="277" spans="1:13" x14ac:dyDescent="0.25">
      <c r="A277" s="306"/>
      <c r="B277" s="323"/>
      <c r="C277" s="21" t="s">
        <v>103</v>
      </c>
      <c r="D277" s="1" t="s">
        <v>9</v>
      </c>
      <c r="E277" s="44"/>
      <c r="F277" s="44"/>
      <c r="G277" s="44"/>
      <c r="H277" s="44"/>
      <c r="I277" s="44"/>
      <c r="J277" s="44"/>
      <c r="K277" s="44"/>
      <c r="L277" s="44"/>
      <c r="M277" s="44"/>
    </row>
    <row r="278" spans="1:13" x14ac:dyDescent="0.25">
      <c r="A278" s="306"/>
      <c r="B278" s="323"/>
      <c r="C278" s="21" t="s">
        <v>104</v>
      </c>
      <c r="D278" s="1" t="s">
        <v>10</v>
      </c>
      <c r="E278" s="44"/>
      <c r="F278" s="44"/>
      <c r="G278" s="44"/>
      <c r="H278" s="44"/>
      <c r="I278" s="44"/>
      <c r="J278" s="44"/>
      <c r="K278" s="44"/>
      <c r="L278" s="44"/>
      <c r="M278" s="44"/>
    </row>
    <row r="279" spans="1:13" x14ac:dyDescent="0.25">
      <c r="A279" s="306"/>
      <c r="B279" s="323"/>
      <c r="C279" s="22" t="s">
        <v>11</v>
      </c>
      <c r="D279" s="23" t="s">
        <v>10</v>
      </c>
      <c r="E279" s="44"/>
      <c r="F279" s="44"/>
      <c r="G279" s="44"/>
      <c r="H279" s="44"/>
      <c r="I279" s="44"/>
      <c r="J279" s="44"/>
      <c r="K279" s="44"/>
      <c r="L279" s="44"/>
      <c r="M279" s="44"/>
    </row>
    <row r="280" spans="1:13" x14ac:dyDescent="0.25">
      <c r="A280" s="306"/>
      <c r="B280" s="323"/>
      <c r="C280" s="21" t="s">
        <v>12</v>
      </c>
      <c r="D280" s="1" t="s">
        <v>7</v>
      </c>
      <c r="E280" s="47">
        <v>1</v>
      </c>
      <c r="F280" s="47">
        <v>1</v>
      </c>
      <c r="G280" s="47">
        <v>1</v>
      </c>
      <c r="H280" s="47">
        <v>1</v>
      </c>
      <c r="I280" s="47">
        <v>1</v>
      </c>
      <c r="J280" s="47">
        <v>1</v>
      </c>
      <c r="K280" s="47">
        <v>1</v>
      </c>
      <c r="L280" s="47">
        <v>1</v>
      </c>
      <c r="M280" s="47">
        <v>1</v>
      </c>
    </row>
    <row r="281" spans="1:13" x14ac:dyDescent="0.25">
      <c r="A281" s="306"/>
      <c r="B281" s="323"/>
      <c r="C281" s="21" t="s">
        <v>13</v>
      </c>
      <c r="D281" s="1" t="s">
        <v>14</v>
      </c>
      <c r="E281" s="46">
        <v>92256.599999999991</v>
      </c>
      <c r="F281" s="46">
        <v>92691.599999999991</v>
      </c>
      <c r="G281" s="46">
        <v>93851.599999999991</v>
      </c>
      <c r="H281" s="46">
        <v>95446.599999999991</v>
      </c>
      <c r="I281" s="46">
        <v>97621.599999999991</v>
      </c>
      <c r="J281" s="46">
        <v>101971.59999999999</v>
      </c>
      <c r="K281" s="46">
        <v>116471.59999999999</v>
      </c>
      <c r="L281" s="46">
        <v>146921.59999999998</v>
      </c>
      <c r="M281" s="46">
        <v>207821.59999999998</v>
      </c>
    </row>
    <row r="282" spans="1:13" x14ac:dyDescent="0.25">
      <c r="A282" s="306"/>
      <c r="B282" s="323"/>
      <c r="C282" s="21" t="s">
        <v>15</v>
      </c>
      <c r="D282" s="1" t="s">
        <v>4</v>
      </c>
      <c r="E282" s="46">
        <v>40</v>
      </c>
      <c r="F282" s="46">
        <v>40</v>
      </c>
      <c r="G282" s="46">
        <v>40</v>
      </c>
      <c r="H282" s="46">
        <v>40</v>
      </c>
      <c r="I282" s="46">
        <v>40</v>
      </c>
      <c r="J282" s="46">
        <v>40</v>
      </c>
      <c r="K282" s="46">
        <v>40</v>
      </c>
      <c r="L282" s="46">
        <v>40</v>
      </c>
      <c r="M282" s="46">
        <v>40</v>
      </c>
    </row>
  </sheetData>
  <sheetProtection algorithmName="SHA-512" hashValue="3cQ9qGmYQO9kcZV4QDPWj53MnzYuuVgY9tULhBoEcXcVKTYIJ5CC2Qfa+Jytb3Dd+OVcRDXOubt6Nr0+dgf4jA==" saltValue="F0f3qqSEQ8Qq4insk5/yGg==" spinCount="100000" sheet="1" objects="1" scenarios="1"/>
  <mergeCells count="34">
    <mergeCell ref="A263:A272"/>
    <mergeCell ref="B263:B272"/>
    <mergeCell ref="A273:A282"/>
    <mergeCell ref="B273:B282"/>
    <mergeCell ref="A198:A218"/>
    <mergeCell ref="B198:B218"/>
    <mergeCell ref="A219:A240"/>
    <mergeCell ref="B219:B240"/>
    <mergeCell ref="A241:A262"/>
    <mergeCell ref="B241:B262"/>
    <mergeCell ref="A119:A147"/>
    <mergeCell ref="B119:B147"/>
    <mergeCell ref="A148:A176"/>
    <mergeCell ref="B148:B176"/>
    <mergeCell ref="A177:A197"/>
    <mergeCell ref="B177:B197"/>
    <mergeCell ref="A68:A80"/>
    <mergeCell ref="B68:B80"/>
    <mergeCell ref="A81:A93"/>
    <mergeCell ref="B81:B93"/>
    <mergeCell ref="A94:A118"/>
    <mergeCell ref="B94:B118"/>
    <mergeCell ref="A33:A43"/>
    <mergeCell ref="B33:B43"/>
    <mergeCell ref="A44:A54"/>
    <mergeCell ref="B44:B54"/>
    <mergeCell ref="A55:A67"/>
    <mergeCell ref="B55:B67"/>
    <mergeCell ref="A2:A11"/>
    <mergeCell ref="B2:B11"/>
    <mergeCell ref="A12:A21"/>
    <mergeCell ref="B12:B21"/>
    <mergeCell ref="A22:A32"/>
    <mergeCell ref="B22:B32"/>
  </mergeCells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FCE0A51B1A38C4DB6A7C09A48AB5904" ma:contentTypeVersion="12" ma:contentTypeDescription="Ein neues Dokument erstellen." ma:contentTypeScope="" ma:versionID="df97ad6e5c38c09643d74c5429cc4d9c">
  <xsd:schema xmlns:xsd="http://www.w3.org/2001/XMLSchema" xmlns:xs="http://www.w3.org/2001/XMLSchema" xmlns:p="http://schemas.microsoft.com/office/2006/metadata/properties" xmlns:ns3="5a11d639-2e1e-40e7-a0b1-defbf932bb03" xmlns:ns4="60ee64fb-7066-4a95-98f1-734381c7d12d" targetNamespace="http://schemas.microsoft.com/office/2006/metadata/properties" ma:root="true" ma:fieldsID="f187c2a3a69a254794a4b6311af70966" ns3:_="" ns4:_="">
    <xsd:import namespace="5a11d639-2e1e-40e7-a0b1-defbf932bb03"/>
    <xsd:import namespace="60ee64fb-7066-4a95-98f1-734381c7d12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_activity" minOccurs="0"/>
                <xsd:element ref="ns4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11d639-2e1e-40e7-a0b1-defbf932bb0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Freigabehinweis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ee64fb-7066-4a95-98f1-734381c7d12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_activity" ma:index="18" nillable="true" ma:displayName="_activity" ma:hidden="true" ma:internalName="_activity">
      <xsd:simpleType>
        <xsd:restriction base="dms:Note"/>
      </xsd:simpleType>
    </xsd:element>
    <xsd:element name="MediaServiceObjectDetectorVersions" ma:index="1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0ee64fb-7066-4a95-98f1-734381c7d12d" xsi:nil="true"/>
  </documentManagement>
</p:properties>
</file>

<file path=customXml/itemProps1.xml><?xml version="1.0" encoding="utf-8"?>
<ds:datastoreItem xmlns:ds="http://schemas.openxmlformats.org/officeDocument/2006/customXml" ds:itemID="{5593E19F-7CF1-461F-9649-469FC01F3E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11d639-2e1e-40e7-a0b1-defbf932bb03"/>
    <ds:schemaRef ds:uri="60ee64fb-7066-4a95-98f1-734381c7d12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F637B39-4C91-4179-947B-93D325CD5AB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492F18-7B18-48F3-B4F0-4454212AE18D}">
  <ds:schemaRefs>
    <ds:schemaRef ds:uri="http://purl.org/dc/terms/"/>
    <ds:schemaRef ds:uri="http://schemas.microsoft.com/office/2006/documentManagement/types"/>
    <ds:schemaRef ds:uri="5a11d639-2e1e-40e7-a0b1-defbf932bb03"/>
    <ds:schemaRef ds:uri="http://purl.org/dc/elements/1.1/"/>
    <ds:schemaRef ds:uri="60ee64fb-7066-4a95-98f1-734381c7d12d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24</vt:i4>
      </vt:variant>
    </vt:vector>
  </HeadingPairs>
  <TitlesOfParts>
    <vt:vector size="24" baseType="lpstr">
      <vt:lpstr>Lies_Mich</vt:lpstr>
      <vt:lpstr>Dashboard</vt:lpstr>
      <vt:lpstr>Originalpreisannahmen</vt:lpstr>
      <vt:lpstr>Preisannahmen_Kopie</vt:lpstr>
      <vt:lpstr>Preisannahmen</vt:lpstr>
      <vt:lpstr>destatis_Daten_Kopie</vt:lpstr>
      <vt:lpstr>destatis-Daten</vt:lpstr>
      <vt:lpstr>Fernwärmepreise</vt:lpstr>
      <vt:lpstr>Wärmegestehungskosten</vt:lpstr>
      <vt:lpstr>Energieträgermatrix</vt:lpstr>
      <vt:lpstr>Inputparameter_2023</vt:lpstr>
      <vt:lpstr>Inputparameter_2028</vt:lpstr>
      <vt:lpstr>Inputparameter_2033</vt:lpstr>
      <vt:lpstr>Inputparameter_2038</vt:lpstr>
      <vt:lpstr>Inputparameter_2043</vt:lpstr>
      <vt:lpstr>Inputparameter_2048</vt:lpstr>
      <vt:lpstr>Inputparameter_Kopie</vt:lpstr>
      <vt:lpstr>Energieträger_Kopie</vt:lpstr>
      <vt:lpstr>Originalparameter_2023</vt:lpstr>
      <vt:lpstr>Originalparameter_2028</vt:lpstr>
      <vt:lpstr>Originalparameter_2033</vt:lpstr>
      <vt:lpstr>Originalparameter_2038</vt:lpstr>
      <vt:lpstr>Originalparameter_2043</vt:lpstr>
      <vt:lpstr>Originalparameter_2048</vt:lpstr>
    </vt:vector>
  </TitlesOfParts>
  <Company>Fraunhofer IFAM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Ansari, Esmail</dc:creator>
  <cp:lastModifiedBy>Ochoa Ferrino, Adrián</cp:lastModifiedBy>
  <dcterms:created xsi:type="dcterms:W3CDTF">2022-10-13T06:38:55Z</dcterms:created>
  <dcterms:modified xsi:type="dcterms:W3CDTF">2023-10-25T12:04:27Z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0x0101000FCE0A51B1A38C4DB6A7C09A48AB5904</vt:lpwstr>
  </property>
</Properties>
</file>