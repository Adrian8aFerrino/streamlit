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ochoa\Desktop\"/>
    </mc:Choice>
  </mc:AlternateContent>
  <xr:revisionPtr revIDLastSave="0" documentId="13_ncr:1_{9515012A-D9C5-4A41-9533-BF74A8362B68}" xr6:coauthVersionLast="47" xr6:coauthVersionMax="47" xr10:uidLastSave="{00000000-0000-0000-0000-000000000000}"/>
  <bookViews>
    <workbookView xWindow="-120" yWindow="-120" windowWidth="29040" windowHeight="15840" tabRatio="901" firstSheet="1" activeTab="1" xr2:uid="{00000000-000D-0000-FFFF-FFFF00000000}"/>
  </bookViews>
  <sheets>
    <sheet name="Lies_Mich" sheetId="45" r:id="rId1"/>
    <sheet name="Dashboard" sheetId="1" r:id="rId2"/>
    <sheet name="Originalpreisannahmen" sheetId="46" state="hidden" r:id="rId3"/>
    <sheet name="Preisannahmen" sheetId="8" r:id="rId4"/>
    <sheet name="destatis-Daten" sheetId="16" r:id="rId5"/>
    <sheet name="Fernwärmepreise" sheetId="44" r:id="rId6"/>
    <sheet name="Wärmegestehungskosten" sheetId="31" r:id="rId7"/>
    <sheet name="Energieträgermatrix" sheetId="27" r:id="rId8"/>
    <sheet name="Inputparameter_2023" sheetId="32" state="hidden" r:id="rId9"/>
    <sheet name="Inputparameter_2028" sheetId="33" state="hidden" r:id="rId10"/>
    <sheet name="Inputparameter_2033" sheetId="34" state="hidden" r:id="rId11"/>
    <sheet name="Inputparameter_2038" sheetId="35" state="hidden" r:id="rId12"/>
    <sheet name="Inputparameter_2043" sheetId="36" state="hidden" r:id="rId13"/>
    <sheet name="Inputparameter_2048" sheetId="37" state="hidden" r:id="rId14"/>
    <sheet name="Originalparameter_2023" sheetId="38" state="hidden" r:id="rId15"/>
    <sheet name="Originalparameter_2028" sheetId="39" state="hidden" r:id="rId16"/>
    <sheet name="Originalparameter_2033" sheetId="40" state="hidden" r:id="rId17"/>
    <sheet name="Originalparameter_2038" sheetId="41" state="hidden" r:id="rId18"/>
    <sheet name="Originalparameter_2043" sheetId="42" state="hidden" r:id="rId19"/>
    <sheet name="Originalparameter_2048" sheetId="43" state="hidden" r:id="rId20"/>
  </sheets>
  <externalReferences>
    <externalReference r:id="rId21"/>
    <externalReference r:id="rId22"/>
  </externalReferences>
  <definedNames>
    <definedName name="aa">#REF!</definedName>
    <definedName name="Årstal">#REF!</definedName>
    <definedName name="asdf">#REF!</definedName>
    <definedName name="asdfasfd">#REF!</definedName>
    <definedName name="b">#REF!</definedName>
    <definedName name="BTV11_15">'[1]arbejds ark LARGE New'!$K$33</definedName>
    <definedName name="bvcxx">#REF!</definedName>
    <definedName name="bvcxxx">#REF!</definedName>
    <definedName name="BVT17_15">'[1]arbejds ark LARGE New'!$S$67</definedName>
    <definedName name="d">#REF!</definedName>
    <definedName name="D€_DK€">'[2]Holzhackschnitzel-HKW Rechn.'!$K$2</definedName>
    <definedName name="ddd">#REF!</definedName>
    <definedName name="ddddd">#REF!</definedName>
    <definedName name="e">#REF!</definedName>
    <definedName name="Elpriser">#REF!</definedName>
    <definedName name="EUR16tilEUR15">'[1]22 Photovoltaics  LARGE Old'!$N$2</definedName>
    <definedName name="ewr">#REF!</definedName>
    <definedName name="f">#REF!</definedName>
    <definedName name="fds">#REF!</definedName>
    <definedName name="Gas_ex_app">#REF!</definedName>
    <definedName name="Gas_ex_single">#REF!</definedName>
    <definedName name="Gas_new_app">#REF!</definedName>
    <definedName name="Gas_new_single">#REF!</definedName>
    <definedName name="h">#REF!</definedName>
    <definedName name="Heat_production_capacity_for_one_unit__kW_h">#REF!</definedName>
    <definedName name="HP_ground_ex_app">#REF!</definedName>
    <definedName name="HP_ground_ex_single">#REF!</definedName>
    <definedName name="HP_ground_new_app">#REF!</definedName>
    <definedName name="HP_ground_new_single">#REF!</definedName>
    <definedName name="index">#REF!</definedName>
    <definedName name="Kategorier">#REF!</definedName>
    <definedName name="Oil_ex_app">#REF!</definedName>
    <definedName name="Oil_ex_single">#REF!</definedName>
    <definedName name="Oil_new_app">#REF!</definedName>
    <definedName name="Oil_new_single">#REF!</definedName>
    <definedName name="Olpriser">#REF!</definedName>
    <definedName name="qwer">#REF!</definedName>
    <definedName name="sadf">#REF!</definedName>
    <definedName name="Sheet">#REF!</definedName>
    <definedName name="sheet10">#REF!</definedName>
    <definedName name="sheet11">#REF!</definedName>
    <definedName name="sheet12">#REF!</definedName>
    <definedName name="sheet13">#REF!</definedName>
    <definedName name="sheet14">#REF!</definedName>
    <definedName name="sheet15">#REF!</definedName>
    <definedName name="sheet16">#REF!</definedName>
    <definedName name="sheet17">#REF!</definedName>
    <definedName name="sheet18">#REF!</definedName>
    <definedName name="sheet19">#REF!</definedName>
    <definedName name="sheet2">#REF!</definedName>
    <definedName name="sheet20">#REF!</definedName>
    <definedName name="sheet21">#REF!</definedName>
    <definedName name="sheet22">#REF!</definedName>
    <definedName name="sheet23">#REF!</definedName>
    <definedName name="sheet24">#REF!</definedName>
    <definedName name="sheet25">#REF!</definedName>
    <definedName name="sheet26">#REF!</definedName>
    <definedName name="sheet27">#REF!</definedName>
    <definedName name="sheet28">#REF!</definedName>
    <definedName name="sheet29">#REF!</definedName>
    <definedName name="sheet3">#REF!</definedName>
    <definedName name="sheet30">#REF!</definedName>
    <definedName name="sheet31">#REF!</definedName>
    <definedName name="sheet32">#REF!</definedName>
    <definedName name="sheet33">#REF!</definedName>
    <definedName name="sheet34">#REF!</definedName>
    <definedName name="sheet35">#REF!</definedName>
    <definedName name="sheet36">#REF!</definedName>
    <definedName name="sheet37">#REF!</definedName>
    <definedName name="sheet38">#REF!</definedName>
    <definedName name="sheet39">#REF!</definedName>
    <definedName name="sheet4">#REF!</definedName>
    <definedName name="sheet40">#REF!</definedName>
    <definedName name="sheet41">#REF!</definedName>
    <definedName name="sheet42">#REF!</definedName>
    <definedName name="sheet43">#REF!</definedName>
    <definedName name="sheet44">#REF!</definedName>
    <definedName name="sheet45">#REF!</definedName>
    <definedName name="sheet46">#REF!</definedName>
    <definedName name="sheet47">#REF!</definedName>
    <definedName name="sheet48">#REF!</definedName>
    <definedName name="sheet49">#REF!</definedName>
    <definedName name="sheet5">#REF!</definedName>
    <definedName name="sheet50">#REF!</definedName>
    <definedName name="sheet51">#REF!</definedName>
    <definedName name="sheet6">#REF!</definedName>
    <definedName name="sheet60">#REF!</definedName>
    <definedName name="sheet61">#REF!</definedName>
    <definedName name="sheet62">#REF!</definedName>
    <definedName name="sheet63">#REF!</definedName>
    <definedName name="sheet64">#REF!</definedName>
    <definedName name="sheet65">#REF!</definedName>
    <definedName name="sheet66">#REF!</definedName>
    <definedName name="sheet67">#REF!</definedName>
    <definedName name="sheet68">#REF!</definedName>
    <definedName name="sheet69">#REF!</definedName>
    <definedName name="sheet7">#REF!</definedName>
    <definedName name="sheet70">#REF!</definedName>
    <definedName name="sheet71">#REF!</definedName>
    <definedName name="sheet72">#REF!</definedName>
    <definedName name="sheet8">#REF!</definedName>
    <definedName name="sheet9">#REF!</definedName>
    <definedName name="Start14">#REF!</definedName>
    <definedName name="Start15">#REF!</definedName>
    <definedName name="Start16">#REF!</definedName>
    <definedName name="Start17">#REF!</definedName>
    <definedName name="Start18">#REF!</definedName>
    <definedName name="Start19">#REF!</definedName>
    <definedName name="Start2">#REF!</definedName>
    <definedName name="Start20">#REF!</definedName>
    <definedName name="Start21">#REF!</definedName>
    <definedName name="Start22">#REF!</definedName>
    <definedName name="Start23">#REF!</definedName>
    <definedName name="Start24">#REF!</definedName>
    <definedName name="Start25">#REF!</definedName>
    <definedName name="Start26">#REF!</definedName>
    <definedName name="Start27">#REF!</definedName>
    <definedName name="Start28">#REF!</definedName>
    <definedName name="Start29">#REF!</definedName>
    <definedName name="Start3">#REF!</definedName>
    <definedName name="Start30">#REF!</definedName>
    <definedName name="Start31">#REF!</definedName>
    <definedName name="Start32">#REF!</definedName>
    <definedName name="Start33">#REF!</definedName>
    <definedName name="Start34">#REF!</definedName>
    <definedName name="Start35">#REF!</definedName>
    <definedName name="Start36">#REF!</definedName>
    <definedName name="Start37">#REF!</definedName>
    <definedName name="Start38">#REF!</definedName>
    <definedName name="Start39">#REF!</definedName>
    <definedName name="Start4">#REF!</definedName>
    <definedName name="Start40">#REF!</definedName>
    <definedName name="Start41">#REF!</definedName>
    <definedName name="Start42">#REF!</definedName>
    <definedName name="Start43">#REF!</definedName>
    <definedName name="Start44">#REF!</definedName>
    <definedName name="Start45">#REF!</definedName>
    <definedName name="Start46">#REF!</definedName>
    <definedName name="Start47">#REF!</definedName>
    <definedName name="Varmebehov">#REF!</definedName>
    <definedName name="w">#REF!</definedName>
    <definedName name="werwer">#REF!</definedName>
    <definedName name="Wood_single_ex">#REF!</definedName>
    <definedName name="Wood_single_with">#REF!</definedName>
    <definedName name="www">#REF!</definedName>
    <definedName name="xcv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1" i="8" l="1"/>
  <c r="X10" i="8"/>
  <c r="X9" i="8"/>
  <c r="X8" i="8"/>
  <c r="R4" i="8"/>
  <c r="R5" i="8" s="1"/>
  <c r="R6" i="8" s="1"/>
  <c r="R7" i="8" s="1"/>
  <c r="R8" i="8" s="1"/>
  <c r="R9" i="8" s="1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R37" i="8" s="1"/>
  <c r="R38" i="8" s="1"/>
  <c r="R39" i="8" s="1"/>
  <c r="R40" i="8" s="1"/>
  <c r="R41" i="8" s="1"/>
  <c r="R42" i="8" s="1"/>
  <c r="R43" i="8" s="1"/>
  <c r="R44" i="8" s="1"/>
  <c r="R45" i="8" s="1"/>
  <c r="R46" i="8" s="1"/>
  <c r="R47" i="8" s="1"/>
  <c r="R48" i="8" s="1"/>
  <c r="R49" i="8" s="1"/>
  <c r="R50" i="8" s="1"/>
  <c r="Q4" i="8"/>
  <c r="Y8" i="8" s="1"/>
  <c r="P4" i="8"/>
  <c r="P5" i="8" s="1"/>
  <c r="P6" i="8" s="1"/>
  <c r="P7" i="8" s="1"/>
  <c r="P8" i="8" s="1"/>
  <c r="P9" i="8" s="1"/>
  <c r="P10" i="8" s="1"/>
  <c r="P11" i="8" s="1"/>
  <c r="P12" i="8" s="1"/>
  <c r="P13" i="8" s="1"/>
  <c r="P14" i="8" s="1"/>
  <c r="P15" i="8" s="1"/>
  <c r="P16" i="8" s="1"/>
  <c r="P17" i="8" s="1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O4" i="8"/>
  <c r="Y10" i="8" s="1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Q5" i="8" l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Q24" i="8" s="1"/>
  <c r="Q25" i="8" s="1"/>
  <c r="Q26" i="8" s="1"/>
  <c r="Q27" i="8" s="1"/>
  <c r="Q28" i="8" s="1"/>
  <c r="Q29" i="8" s="1"/>
  <c r="Q30" i="8" s="1"/>
  <c r="Q31" i="8" s="1"/>
  <c r="Q32" i="8" s="1"/>
  <c r="Q33" i="8" s="1"/>
  <c r="Q34" i="8" s="1"/>
  <c r="Q35" i="8" s="1"/>
  <c r="Q36" i="8" s="1"/>
  <c r="Q37" i="8" s="1"/>
  <c r="Q38" i="8" s="1"/>
  <c r="Q39" i="8" s="1"/>
  <c r="Q40" i="8" s="1"/>
  <c r="Q41" i="8" s="1"/>
  <c r="Q42" i="8" s="1"/>
  <c r="Q43" i="8" s="1"/>
  <c r="Q44" i="8" s="1"/>
  <c r="Q45" i="8" s="1"/>
  <c r="Q46" i="8" s="1"/>
  <c r="Q47" i="8" s="1"/>
  <c r="Q48" i="8" s="1"/>
  <c r="Q49" i="8" s="1"/>
  <c r="Q50" i="8" s="1"/>
  <c r="X11" i="46"/>
  <c r="X10" i="46"/>
  <c r="X9" i="46"/>
  <c r="X8" i="46"/>
  <c r="R4" i="46"/>
  <c r="R5" i="46" s="1"/>
  <c r="R6" i="46" s="1"/>
  <c r="R7" i="46" s="1"/>
  <c r="R8" i="46" s="1"/>
  <c r="R9" i="46" s="1"/>
  <c r="R10" i="46" s="1"/>
  <c r="R11" i="46" s="1"/>
  <c r="R12" i="46" s="1"/>
  <c r="R13" i="46" s="1"/>
  <c r="R14" i="46" s="1"/>
  <c r="R15" i="46" s="1"/>
  <c r="R16" i="46" s="1"/>
  <c r="R17" i="46" s="1"/>
  <c r="R18" i="46" s="1"/>
  <c r="R19" i="46" s="1"/>
  <c r="R20" i="46" s="1"/>
  <c r="R21" i="46" s="1"/>
  <c r="R22" i="46" s="1"/>
  <c r="R23" i="46" s="1"/>
  <c r="R24" i="46" s="1"/>
  <c r="R25" i="46" s="1"/>
  <c r="R26" i="46" s="1"/>
  <c r="R27" i="46" s="1"/>
  <c r="R28" i="46" s="1"/>
  <c r="R29" i="46" s="1"/>
  <c r="R30" i="46" s="1"/>
  <c r="R31" i="46" s="1"/>
  <c r="R32" i="46" s="1"/>
  <c r="R33" i="46" s="1"/>
  <c r="R34" i="46" s="1"/>
  <c r="R35" i="46" s="1"/>
  <c r="R36" i="46" s="1"/>
  <c r="R37" i="46" s="1"/>
  <c r="R38" i="46" s="1"/>
  <c r="R39" i="46" s="1"/>
  <c r="R40" i="46" s="1"/>
  <c r="R41" i="46" s="1"/>
  <c r="R42" i="46" s="1"/>
  <c r="R43" i="46" s="1"/>
  <c r="R44" i="46" s="1"/>
  <c r="R45" i="46" s="1"/>
  <c r="R46" i="46" s="1"/>
  <c r="R47" i="46" s="1"/>
  <c r="R48" i="46" s="1"/>
  <c r="R49" i="46" s="1"/>
  <c r="R50" i="46" s="1"/>
  <c r="Q4" i="46"/>
  <c r="P4" i="46"/>
  <c r="P5" i="46" s="1"/>
  <c r="P6" i="46" s="1"/>
  <c r="P7" i="46" s="1"/>
  <c r="P8" i="46" s="1"/>
  <c r="P9" i="46" s="1"/>
  <c r="P10" i="46" s="1"/>
  <c r="P11" i="46" s="1"/>
  <c r="P12" i="46" s="1"/>
  <c r="P13" i="46" s="1"/>
  <c r="P14" i="46" s="1"/>
  <c r="P15" i="46" s="1"/>
  <c r="P16" i="46" s="1"/>
  <c r="P17" i="46" s="1"/>
  <c r="P18" i="46" s="1"/>
  <c r="P19" i="46" s="1"/>
  <c r="P20" i="46" s="1"/>
  <c r="P21" i="46" s="1"/>
  <c r="P22" i="46" s="1"/>
  <c r="P23" i="46" s="1"/>
  <c r="P24" i="46" s="1"/>
  <c r="P25" i="46" s="1"/>
  <c r="P26" i="46" s="1"/>
  <c r="P27" i="46" s="1"/>
  <c r="P28" i="46" s="1"/>
  <c r="P29" i="46" s="1"/>
  <c r="P30" i="46" s="1"/>
  <c r="P31" i="46" s="1"/>
  <c r="P32" i="46" s="1"/>
  <c r="P33" i="46" s="1"/>
  <c r="P34" i="46" s="1"/>
  <c r="P35" i="46" s="1"/>
  <c r="P36" i="46" s="1"/>
  <c r="P37" i="46" s="1"/>
  <c r="P38" i="46" s="1"/>
  <c r="P39" i="46" s="1"/>
  <c r="P40" i="46" s="1"/>
  <c r="P41" i="46" s="1"/>
  <c r="P42" i="46" s="1"/>
  <c r="P43" i="46" s="1"/>
  <c r="P44" i="46" s="1"/>
  <c r="P45" i="46" s="1"/>
  <c r="P46" i="46" s="1"/>
  <c r="P47" i="46" s="1"/>
  <c r="P48" i="46" s="1"/>
  <c r="P49" i="46" s="1"/>
  <c r="P50" i="46" s="1"/>
  <c r="O4" i="46"/>
  <c r="Y10" i="46" s="1"/>
  <c r="O5" i="46" l="1"/>
  <c r="O6" i="46" s="1"/>
  <c r="O7" i="46" s="1"/>
  <c r="O8" i="46" s="1"/>
  <c r="O9" i="46" s="1"/>
  <c r="O10" i="46" s="1"/>
  <c r="O11" i="46" s="1"/>
  <c r="O12" i="46" s="1"/>
  <c r="O13" i="46" s="1"/>
  <c r="O14" i="46" s="1"/>
  <c r="O15" i="46" s="1"/>
  <c r="O16" i="46" s="1"/>
  <c r="O17" i="46" s="1"/>
  <c r="O18" i="46" s="1"/>
  <c r="O19" i="46" s="1"/>
  <c r="O20" i="46" s="1"/>
  <c r="O21" i="46" s="1"/>
  <c r="O22" i="46" s="1"/>
  <c r="O23" i="46" s="1"/>
  <c r="O24" i="46" s="1"/>
  <c r="O25" i="46" s="1"/>
  <c r="O26" i="46" s="1"/>
  <c r="O27" i="46" s="1"/>
  <c r="O28" i="46" s="1"/>
  <c r="O29" i="46" s="1"/>
  <c r="O30" i="46" s="1"/>
  <c r="O31" i="46" s="1"/>
  <c r="O32" i="46" s="1"/>
  <c r="O33" i="46" s="1"/>
  <c r="O34" i="46" s="1"/>
  <c r="O35" i="46" s="1"/>
  <c r="O36" i="46" s="1"/>
  <c r="O37" i="46" s="1"/>
  <c r="O38" i="46" s="1"/>
  <c r="O39" i="46" s="1"/>
  <c r="O40" i="46" s="1"/>
  <c r="O41" i="46" s="1"/>
  <c r="O42" i="46" s="1"/>
  <c r="O43" i="46" s="1"/>
  <c r="O44" i="46" s="1"/>
  <c r="O45" i="46" s="1"/>
  <c r="O46" i="46" s="1"/>
  <c r="O47" i="46" s="1"/>
  <c r="O48" i="46" s="1"/>
  <c r="O49" i="46" s="1"/>
  <c r="O50" i="46" s="1"/>
  <c r="Y8" i="46"/>
  <c r="Q5" i="46" s="1"/>
  <c r="Q6" i="46" s="1"/>
  <c r="Q7" i="46" s="1"/>
  <c r="Q8" i="46" s="1"/>
  <c r="Q9" i="46" s="1"/>
  <c r="Q10" i="46" s="1"/>
  <c r="Q11" i="46" s="1"/>
  <c r="Q12" i="46" s="1"/>
  <c r="Q13" i="46" s="1"/>
  <c r="Q14" i="46" s="1"/>
  <c r="Q15" i="46" s="1"/>
  <c r="Q16" i="46" s="1"/>
  <c r="Q17" i="46" s="1"/>
  <c r="Q18" i="46" s="1"/>
  <c r="Q19" i="46" s="1"/>
  <c r="Q20" i="46" s="1"/>
  <c r="Q21" i="46" s="1"/>
  <c r="Q22" i="46" s="1"/>
  <c r="Q23" i="46" s="1"/>
  <c r="Q24" i="46" s="1"/>
  <c r="Q25" i="46" s="1"/>
  <c r="Q26" i="46" s="1"/>
  <c r="Q27" i="46" s="1"/>
  <c r="Q28" i="46" s="1"/>
  <c r="Q29" i="46" s="1"/>
  <c r="Q30" i="46" s="1"/>
  <c r="Q31" i="46" s="1"/>
  <c r="Q32" i="46" s="1"/>
  <c r="Q33" i="46" s="1"/>
  <c r="Q34" i="46" s="1"/>
  <c r="Q35" i="46" s="1"/>
  <c r="Q36" i="46" s="1"/>
  <c r="Q37" i="46" s="1"/>
  <c r="Q38" i="46" s="1"/>
  <c r="Q39" i="46" s="1"/>
  <c r="Q40" i="46" s="1"/>
  <c r="Q41" i="46" s="1"/>
  <c r="Q42" i="46" s="1"/>
  <c r="Q43" i="46" s="1"/>
  <c r="Q44" i="46" s="1"/>
  <c r="Q45" i="46" s="1"/>
  <c r="Q46" i="46" s="1"/>
  <c r="Q47" i="46" s="1"/>
  <c r="Q48" i="46" s="1"/>
  <c r="Q49" i="46" s="1"/>
  <c r="Q50" i="46" s="1"/>
  <c r="I60" i="44" l="1"/>
  <c r="D55" i="44"/>
  <c r="I52" i="44"/>
  <c r="I51" i="44"/>
  <c r="I50" i="44"/>
  <c r="J49" i="44"/>
  <c r="D48" i="44"/>
  <c r="D44" i="44"/>
  <c r="H43" i="44"/>
  <c r="I42" i="44"/>
  <c r="J41" i="44"/>
  <c r="D40" i="44"/>
  <c r="K38" i="44"/>
  <c r="K63" i="44" s="1"/>
  <c r="J38" i="44"/>
  <c r="J67" i="44" s="1"/>
  <c r="J72" i="44" s="1"/>
  <c r="I38" i="44"/>
  <c r="I65" i="44" s="1"/>
  <c r="H38" i="44"/>
  <c r="H61" i="44" s="1"/>
  <c r="G38" i="44"/>
  <c r="G46" i="44" s="1"/>
  <c r="F38" i="44"/>
  <c r="F63" i="44" s="1"/>
  <c r="E38" i="44"/>
  <c r="E40" i="44" s="1"/>
  <c r="D38" i="44"/>
  <c r="D62" i="44" s="1"/>
  <c r="C38" i="44"/>
  <c r="C63" i="44" s="1"/>
  <c r="C45" i="44" l="1"/>
  <c r="K45" i="44"/>
  <c r="K56" i="44"/>
  <c r="C58" i="44"/>
  <c r="C59" i="44"/>
  <c r="D63" i="44"/>
  <c r="K64" i="44"/>
  <c r="C66" i="44"/>
  <c r="C67" i="44"/>
  <c r="J83" i="44"/>
  <c r="J79" i="44"/>
  <c r="J75" i="44"/>
  <c r="J71" i="44"/>
  <c r="D39" i="44"/>
  <c r="K40" i="44"/>
  <c r="K41" i="44"/>
  <c r="J42" i="44"/>
  <c r="I43" i="44"/>
  <c r="H44" i="44"/>
  <c r="G45" i="44"/>
  <c r="D47" i="44"/>
  <c r="K48" i="44"/>
  <c r="K49" i="44"/>
  <c r="J50" i="44"/>
  <c r="J51" i="44"/>
  <c r="C53" i="44"/>
  <c r="I55" i="44"/>
  <c r="C57" i="44"/>
  <c r="D58" i="44"/>
  <c r="I59" i="44"/>
  <c r="C61" i="44"/>
  <c r="I63" i="44"/>
  <c r="C65" i="44"/>
  <c r="D66" i="44"/>
  <c r="I67" i="44"/>
  <c r="J82" i="44"/>
  <c r="J78" i="44"/>
  <c r="J74" i="44"/>
  <c r="J70" i="44"/>
  <c r="I39" i="44"/>
  <c r="C41" i="44"/>
  <c r="C42" i="44"/>
  <c r="K42" i="44"/>
  <c r="J43" i="44"/>
  <c r="I44" i="44"/>
  <c r="H45" i="44"/>
  <c r="I47" i="44"/>
  <c r="C49" i="44"/>
  <c r="C50" i="44"/>
  <c r="K50" i="44"/>
  <c r="K51" i="44"/>
  <c r="I53" i="44"/>
  <c r="C56" i="44"/>
  <c r="D57" i="44"/>
  <c r="I58" i="44"/>
  <c r="K59" i="44"/>
  <c r="I61" i="44"/>
  <c r="C64" i="44"/>
  <c r="D65" i="44"/>
  <c r="I66" i="44"/>
  <c r="K67" i="44"/>
  <c r="J68" i="44"/>
  <c r="J81" i="44"/>
  <c r="J77" i="44"/>
  <c r="J73" i="44"/>
  <c r="J69" i="44"/>
  <c r="C40" i="44"/>
  <c r="D41" i="44"/>
  <c r="D42" i="44"/>
  <c r="C43" i="44"/>
  <c r="K43" i="44"/>
  <c r="J44" i="44"/>
  <c r="I45" i="44"/>
  <c r="C48" i="44"/>
  <c r="D49" i="44"/>
  <c r="D50" i="44"/>
  <c r="C51" i="44"/>
  <c r="D52" i="44"/>
  <c r="K53" i="44"/>
  <c r="D56" i="44"/>
  <c r="K57" i="44"/>
  <c r="K58" i="44"/>
  <c r="D60" i="44"/>
  <c r="K61" i="44"/>
  <c r="D64" i="44"/>
  <c r="K65" i="44"/>
  <c r="K66" i="44"/>
  <c r="J84" i="44"/>
  <c r="J80" i="44"/>
  <c r="J76" i="44"/>
  <c r="F39" i="44"/>
  <c r="F40" i="44"/>
  <c r="G47" i="44"/>
  <c r="F48" i="44"/>
  <c r="E49" i="44"/>
  <c r="J52" i="44"/>
  <c r="H54" i="44"/>
  <c r="G55" i="44"/>
  <c r="F56" i="44"/>
  <c r="E57" i="44"/>
  <c r="J60" i="44"/>
  <c r="H62" i="44"/>
  <c r="G63" i="44"/>
  <c r="F64" i="44"/>
  <c r="E65" i="44"/>
  <c r="H39" i="44"/>
  <c r="G40" i="44"/>
  <c r="F41" i="44"/>
  <c r="E42" i="44"/>
  <c r="D43" i="44"/>
  <c r="C44" i="44"/>
  <c r="K44" i="44"/>
  <c r="J45" i="44"/>
  <c r="I46" i="44"/>
  <c r="H47" i="44"/>
  <c r="G48" i="44"/>
  <c r="F49" i="44"/>
  <c r="E50" i="44"/>
  <c r="D51" i="44"/>
  <c r="C52" i="44"/>
  <c r="K52" i="44"/>
  <c r="J53" i="44"/>
  <c r="I54" i="44"/>
  <c r="H55" i="44"/>
  <c r="G56" i="44"/>
  <c r="F57" i="44"/>
  <c r="E58" i="44"/>
  <c r="D59" i="44"/>
  <c r="C60" i="44"/>
  <c r="K60" i="44"/>
  <c r="J61" i="44"/>
  <c r="I62" i="44"/>
  <c r="H63" i="44"/>
  <c r="G64" i="44"/>
  <c r="F65" i="44"/>
  <c r="E66" i="44"/>
  <c r="D67" i="44"/>
  <c r="E39" i="44"/>
  <c r="E47" i="44"/>
  <c r="F47" i="44"/>
  <c r="E48" i="44"/>
  <c r="J46" i="44"/>
  <c r="J54" i="44"/>
  <c r="H56" i="44"/>
  <c r="F58" i="44"/>
  <c r="G65" i="44"/>
  <c r="F66" i="44"/>
  <c r="J39" i="44"/>
  <c r="I40" i="44"/>
  <c r="H41" i="44"/>
  <c r="G42" i="44"/>
  <c r="F43" i="44"/>
  <c r="E44" i="44"/>
  <c r="D45" i="44"/>
  <c r="C46" i="44"/>
  <c r="K46" i="44"/>
  <c r="J47" i="44"/>
  <c r="I48" i="44"/>
  <c r="H49" i="44"/>
  <c r="G50" i="44"/>
  <c r="F51" i="44"/>
  <c r="E52" i="44"/>
  <c r="D53" i="44"/>
  <c r="C54" i="44"/>
  <c r="K54" i="44"/>
  <c r="J55" i="44"/>
  <c r="I56" i="44"/>
  <c r="H57" i="44"/>
  <c r="G58" i="44"/>
  <c r="F59" i="44"/>
  <c r="E60" i="44"/>
  <c r="D61" i="44"/>
  <c r="C62" i="44"/>
  <c r="K62" i="44"/>
  <c r="J63" i="44"/>
  <c r="I64" i="44"/>
  <c r="H65" i="44"/>
  <c r="G66" i="44"/>
  <c r="F67" i="44"/>
  <c r="F46" i="44"/>
  <c r="G39" i="44"/>
  <c r="E41" i="44"/>
  <c r="H46" i="44"/>
  <c r="H40" i="44"/>
  <c r="G41" i="44"/>
  <c r="F42" i="44"/>
  <c r="E43" i="44"/>
  <c r="H48" i="44"/>
  <c r="G49" i="44"/>
  <c r="F50" i="44"/>
  <c r="E51" i="44"/>
  <c r="G57" i="44"/>
  <c r="E59" i="44"/>
  <c r="J62" i="44"/>
  <c r="H64" i="44"/>
  <c r="E67" i="44"/>
  <c r="C39" i="44"/>
  <c r="K39" i="44"/>
  <c r="J40" i="44"/>
  <c r="I41" i="44"/>
  <c r="H42" i="44"/>
  <c r="G43" i="44"/>
  <c r="F44" i="44"/>
  <c r="E45" i="44"/>
  <c r="D46" i="44"/>
  <c r="C47" i="44"/>
  <c r="K47" i="44"/>
  <c r="J48" i="44"/>
  <c r="I49" i="44"/>
  <c r="H50" i="44"/>
  <c r="G51" i="44"/>
  <c r="F52" i="44"/>
  <c r="E53" i="44"/>
  <c r="D54" i="44"/>
  <c r="C55" i="44"/>
  <c r="K55" i="44"/>
  <c r="J56" i="44"/>
  <c r="I57" i="44"/>
  <c r="H58" i="44"/>
  <c r="G59" i="44"/>
  <c r="F60" i="44"/>
  <c r="E61" i="44"/>
  <c r="J64" i="44"/>
  <c r="H66" i="44"/>
  <c r="G67" i="44"/>
  <c r="G44" i="44"/>
  <c r="F45" i="44"/>
  <c r="E46" i="44"/>
  <c r="H51" i="44"/>
  <c r="G52" i="44"/>
  <c r="F53" i="44"/>
  <c r="E54" i="44"/>
  <c r="J57" i="44"/>
  <c r="H59" i="44"/>
  <c r="G60" i="44"/>
  <c r="F61" i="44"/>
  <c r="E62" i="44"/>
  <c r="J65" i="44"/>
  <c r="H67" i="44"/>
  <c r="H52" i="44"/>
  <c r="G53" i="44"/>
  <c r="F54" i="44"/>
  <c r="E55" i="44"/>
  <c r="J58" i="44"/>
  <c r="H60" i="44"/>
  <c r="G61" i="44"/>
  <c r="F62" i="44"/>
  <c r="E63" i="44"/>
  <c r="J66" i="44"/>
  <c r="H53" i="44"/>
  <c r="G54" i="44"/>
  <c r="F55" i="44"/>
  <c r="E56" i="44"/>
  <c r="J59" i="44"/>
  <c r="G62" i="44"/>
  <c r="E64" i="44"/>
  <c r="H70" i="44" l="1"/>
  <c r="H74" i="44"/>
  <c r="H78" i="44"/>
  <c r="H82" i="44"/>
  <c r="H71" i="44"/>
  <c r="H75" i="44"/>
  <c r="H79" i="44"/>
  <c r="H83" i="44"/>
  <c r="H72" i="44"/>
  <c r="H76" i="44"/>
  <c r="H80" i="44"/>
  <c r="H84" i="44"/>
  <c r="H69" i="44"/>
  <c r="H73" i="44"/>
  <c r="H77" i="44"/>
  <c r="H81" i="44"/>
  <c r="H68" i="44"/>
  <c r="F72" i="44"/>
  <c r="F76" i="44"/>
  <c r="F80" i="44"/>
  <c r="F84" i="44"/>
  <c r="F69" i="44"/>
  <c r="F73" i="44"/>
  <c r="F77" i="44"/>
  <c r="F81" i="44"/>
  <c r="F68" i="44"/>
  <c r="F70" i="44"/>
  <c r="F74" i="44"/>
  <c r="F78" i="44"/>
  <c r="F82" i="44"/>
  <c r="F71" i="44"/>
  <c r="F75" i="44"/>
  <c r="F79" i="44"/>
  <c r="F83" i="44"/>
  <c r="I71" i="44"/>
  <c r="I75" i="44"/>
  <c r="I79" i="44"/>
  <c r="I83" i="44"/>
  <c r="I72" i="44"/>
  <c r="I76" i="44"/>
  <c r="I80" i="44"/>
  <c r="I84" i="44"/>
  <c r="I69" i="44"/>
  <c r="I73" i="44"/>
  <c r="I77" i="44"/>
  <c r="I81" i="44"/>
  <c r="I68" i="44"/>
  <c r="I70" i="44"/>
  <c r="I74" i="44"/>
  <c r="I78" i="44"/>
  <c r="I82" i="44"/>
  <c r="E71" i="44"/>
  <c r="E75" i="44"/>
  <c r="E79" i="44"/>
  <c r="E83" i="44"/>
  <c r="E72" i="44"/>
  <c r="E76" i="44"/>
  <c r="E80" i="44"/>
  <c r="E84" i="44"/>
  <c r="E69" i="44"/>
  <c r="E73" i="44"/>
  <c r="E77" i="44"/>
  <c r="E81" i="44"/>
  <c r="E68" i="44"/>
  <c r="E70" i="44"/>
  <c r="E74" i="44"/>
  <c r="E78" i="44"/>
  <c r="E82" i="44"/>
  <c r="G69" i="44"/>
  <c r="G73" i="44"/>
  <c r="G77" i="44"/>
  <c r="G81" i="44"/>
  <c r="G68" i="44"/>
  <c r="G70" i="44"/>
  <c r="G74" i="44"/>
  <c r="G78" i="44"/>
  <c r="G82" i="44"/>
  <c r="G71" i="44"/>
  <c r="G75" i="44"/>
  <c r="G79" i="44"/>
  <c r="G83" i="44"/>
  <c r="G72" i="44"/>
  <c r="G76" i="44"/>
  <c r="G80" i="44"/>
  <c r="G84" i="44"/>
  <c r="D70" i="44"/>
  <c r="D74" i="44"/>
  <c r="D78" i="44"/>
  <c r="D82" i="44"/>
  <c r="D71" i="44"/>
  <c r="D75" i="44"/>
  <c r="D79" i="44"/>
  <c r="D83" i="44"/>
  <c r="D72" i="44"/>
  <c r="D76" i="44"/>
  <c r="D80" i="44"/>
  <c r="D84" i="44"/>
  <c r="D69" i="44"/>
  <c r="D73" i="44"/>
  <c r="D77" i="44"/>
  <c r="D81" i="44"/>
  <c r="D68" i="44"/>
  <c r="K69" i="44"/>
  <c r="K73" i="44"/>
  <c r="K77" i="44"/>
  <c r="K81" i="44"/>
  <c r="K68" i="44"/>
  <c r="K70" i="44"/>
  <c r="K74" i="44"/>
  <c r="K78" i="44"/>
  <c r="K82" i="44"/>
  <c r="K71" i="44"/>
  <c r="K75" i="44"/>
  <c r="K79" i="44"/>
  <c r="K83" i="44"/>
  <c r="K72" i="44"/>
  <c r="K76" i="44"/>
  <c r="K80" i="44"/>
  <c r="K84" i="44"/>
  <c r="C69" i="44"/>
  <c r="C73" i="44"/>
  <c r="C77" i="44"/>
  <c r="C81" i="44"/>
  <c r="C68" i="44"/>
  <c r="C70" i="44"/>
  <c r="C74" i="44"/>
  <c r="C78" i="44"/>
  <c r="C82" i="44"/>
  <c r="C71" i="44"/>
  <c r="C75" i="44"/>
  <c r="C79" i="44"/>
  <c r="C83" i="44"/>
  <c r="C72" i="44"/>
  <c r="C76" i="44"/>
  <c r="C80" i="44"/>
  <c r="C84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Ansari, Esmail</author>
  </authors>
  <commentList>
    <comment ref="Y7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Die Höhe des NE-Deckels kann hier beliebig vorgegeben werden.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Ansari, Esmail</author>
  </authors>
  <commentList>
    <comment ref="Y7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Die Höhe des NE-Deckels kann hier beliebig vorgegeben werden.</t>
        </r>
      </text>
    </comment>
  </commentList>
</comments>
</file>

<file path=xl/sharedStrings.xml><?xml version="1.0" encoding="utf-8"?>
<sst xmlns="http://schemas.openxmlformats.org/spreadsheetml/2006/main" count="7534" uniqueCount="320">
  <si>
    <t>Technologie</t>
  </si>
  <si>
    <t>Parametername</t>
  </si>
  <si>
    <t>Einheit</t>
  </si>
  <si>
    <t>Kessel Gas</t>
  </si>
  <si>
    <t>a</t>
  </si>
  <si>
    <t>spez. Investitionskosten</t>
  </si>
  <si>
    <t>€/kW</t>
  </si>
  <si>
    <t>%</t>
  </si>
  <si>
    <t>€/a</t>
  </si>
  <si>
    <t>€/kW*a</t>
  </si>
  <si>
    <t>€/kWh</t>
  </si>
  <si>
    <t>Förderung Betriebskosten</t>
  </si>
  <si>
    <t>Thermischer Wirkungsgrad</t>
  </si>
  <si>
    <t>Anschlusskosten</t>
  </si>
  <si>
    <t>€</t>
  </si>
  <si>
    <t>techn. Lebensdauer Anschluss</t>
  </si>
  <si>
    <t>Kessel Pellet</t>
  </si>
  <si>
    <r>
      <t>€/kWh</t>
    </r>
    <r>
      <rPr>
        <vertAlign val="subscript"/>
        <sz val="11"/>
        <rFont val="Arial"/>
        <family val="2"/>
      </rPr>
      <t>umw</t>
    </r>
  </si>
  <si>
    <t>Jahresarbeitszahl</t>
  </si>
  <si>
    <t>-</t>
  </si>
  <si>
    <t xml:space="preserve">spez. Investitionskosten </t>
  </si>
  <si>
    <t>Volllaststundenfaktor Gaskessel</t>
  </si>
  <si>
    <t>techn. Lebensdauer Gaskessel</t>
  </si>
  <si>
    <t>spez. Investitionskosten Gaskessel</t>
  </si>
  <si>
    <t>Förderung Betriebskosten Gaskessel</t>
  </si>
  <si>
    <t>Thermischer Wirkungsgrad Gaskessel</t>
  </si>
  <si>
    <t>Anschlusskosten Gaskessel</t>
  </si>
  <si>
    <t>techn. Lebensdauer Anschluss Gaskessel</t>
  </si>
  <si>
    <t>Volllaststundenfaktor Wärmepumpe</t>
  </si>
  <si>
    <t>techn. Lebensdauer Wärmepumpe</t>
  </si>
  <si>
    <t>spez. Investitionskosten Wärmepumpe</t>
  </si>
  <si>
    <t>Förderung Betriebskosten Wärmepumpe</t>
  </si>
  <si>
    <t>Jahresarbeitszahl Wärmepumpe</t>
  </si>
  <si>
    <t>Anschlusskosten Wärmepumpe</t>
  </si>
  <si>
    <t>techn. Lebensdauer Anschluss Wärmepumpe</t>
  </si>
  <si>
    <t>Variable Kosten Gaskessel</t>
  </si>
  <si>
    <t>Volllaststundenfaktor BHKW</t>
  </si>
  <si>
    <t>techn. Lebensdauer BHKW</t>
  </si>
  <si>
    <t>spez. Investitionskosten BHKW</t>
  </si>
  <si>
    <t>Variable Kosten BHKW</t>
  </si>
  <si>
    <t>Förderung Betriebskosten BHKW</t>
  </si>
  <si>
    <t>Anschlusskosten BHKW</t>
  </si>
  <si>
    <t>techn. Lebensdauer Anschluss BHKW</t>
  </si>
  <si>
    <t>Eigenstromverbrauch BHKW</t>
  </si>
  <si>
    <t>Thermischer Wirkungsgrad BHKW</t>
  </si>
  <si>
    <t>Elektrischer Wirkungsgrad BHKW</t>
  </si>
  <si>
    <t>Pelletkessel</t>
  </si>
  <si>
    <t>CO2</t>
  </si>
  <si>
    <t>Biomethan</t>
  </si>
  <si>
    <t>H2</t>
  </si>
  <si>
    <t>BEHG</t>
  </si>
  <si>
    <t>Beschreibung</t>
  </si>
  <si>
    <t>Mischgas</t>
  </si>
  <si>
    <t>Erdgas</t>
  </si>
  <si>
    <t>Commodities</t>
  </si>
  <si>
    <t>Einheiten</t>
  </si>
  <si>
    <t>GK</t>
  </si>
  <si>
    <t>PK</t>
  </si>
  <si>
    <t>Gaskessel (mit und ohne Anschlusskosten)</t>
  </si>
  <si>
    <t>Gaskessel</t>
  </si>
  <si>
    <t>Erdgas &amp; Biomethan &amp; H2</t>
  </si>
  <si>
    <t>Strom</t>
  </si>
  <si>
    <t xml:space="preserve">Mischgas </t>
  </si>
  <si>
    <t>Strom
(Base)</t>
  </si>
  <si>
    <t>Abschlag für Wärmepumpen-strompreis</t>
  </si>
  <si>
    <t>Durchschnittliche Netzkosten im Segment Haushalte</t>
  </si>
  <si>
    <t>Durchschnittliche Kosten für Steuern, Abgaben und Umlagen im Segment Haushalte</t>
  </si>
  <si>
    <t>€/MWh</t>
  </si>
  <si>
    <t>€/t CO2</t>
  </si>
  <si>
    <t>ct/kWh</t>
  </si>
  <si>
    <t>Jahr</t>
  </si>
  <si>
    <r>
      <rPr>
        <b/>
        <u/>
        <sz val="8"/>
        <color rgb="FFFF0000"/>
        <rFont val="Arial"/>
        <family val="2"/>
      </rPr>
      <t>Erdgaspreise</t>
    </r>
    <r>
      <rPr>
        <b/>
        <sz val="8"/>
        <color rgb="FFFF0000"/>
        <rFont val="Arial"/>
        <family val="2"/>
      </rPr>
      <t xml:space="preserve"> für Haushalte</t>
    </r>
  </si>
  <si>
    <r>
      <rPr>
        <b/>
        <u/>
        <sz val="8"/>
        <color rgb="FFFF0000"/>
        <rFont val="Arial"/>
        <family val="2"/>
      </rPr>
      <t>Erdgaspreise</t>
    </r>
    <r>
      <rPr>
        <b/>
        <sz val="8"/>
        <color rgb="FFFF0000"/>
        <rFont val="Arial"/>
        <family val="2"/>
      </rPr>
      <t xml:space="preserve"> für Nicht-Haushalte</t>
    </r>
  </si>
  <si>
    <r>
      <rPr>
        <b/>
        <u/>
        <sz val="8"/>
        <color rgb="FF002060"/>
        <rFont val="Arial"/>
        <family val="2"/>
      </rPr>
      <t>Strompreise</t>
    </r>
    <r>
      <rPr>
        <b/>
        <sz val="8"/>
        <color rgb="FF002060"/>
        <rFont val="Arial"/>
        <family val="2"/>
      </rPr>
      <t xml:space="preserve"> für Haushalte</t>
    </r>
  </si>
  <si>
    <r>
      <rPr>
        <b/>
        <u/>
        <sz val="8"/>
        <color rgb="FF002060"/>
        <rFont val="Arial"/>
        <family val="2"/>
      </rPr>
      <t>Strompreise</t>
    </r>
    <r>
      <rPr>
        <b/>
        <sz val="8"/>
        <color rgb="FF002060"/>
        <rFont val="Arial"/>
        <family val="2"/>
      </rPr>
      <t xml:space="preserve"> für Nicht-Haushalte</t>
    </r>
  </si>
  <si>
    <t>Jahresverbrauchsklassen</t>
  </si>
  <si>
    <t>Energie und Vertrieb</t>
  </si>
  <si>
    <t>Netzkosten</t>
  </si>
  <si>
    <t>Steuern, Abgaben und Umlagen</t>
  </si>
  <si>
    <t>EUR/KWh</t>
  </si>
  <si>
    <t>unter 5 600 KWh</t>
  </si>
  <si>
    <t>unter 278 MWh</t>
  </si>
  <si>
    <t>unter 1 000 KWh</t>
  </si>
  <si>
    <t>unter 20 MWh</t>
  </si>
  <si>
    <t>5 600 bis unter 55 600 kWh</t>
  </si>
  <si>
    <t>278 bis unter 2 778 MWh</t>
  </si>
  <si>
    <t>1 000 bis unter 2 500 KWh</t>
  </si>
  <si>
    <t>20 bis unter 500 MWh</t>
  </si>
  <si>
    <t xml:space="preserve">55 600 KWh und mehr </t>
  </si>
  <si>
    <t>2 778 bis unter 27 778 MWh</t>
  </si>
  <si>
    <t>2 500 bis unter 5 000 KWh</t>
  </si>
  <si>
    <t>500 bis unter 2 000 MWh</t>
  </si>
  <si>
    <t>Insgesamt</t>
  </si>
  <si>
    <t>27 778 bis unter 277 778 MWh</t>
  </si>
  <si>
    <t>5 000 bis unter 15 000 KWh</t>
  </si>
  <si>
    <t>2 000 bis unter 20 000 MWh</t>
  </si>
  <si>
    <t>277 778 bis unter  1 111 111 MWh</t>
  </si>
  <si>
    <t>15 000 KWh und mehr</t>
  </si>
  <si>
    <t>20 000 bis unter 70 000 MWh</t>
  </si>
  <si>
    <t xml:space="preserve">1 111 111 MWh un mehr </t>
  </si>
  <si>
    <t>70 000 bis unter 150 000 MWh</t>
  </si>
  <si>
    <t>150 000 MWh und mehr</t>
  </si>
  <si>
    <t>USD/t Pellet</t>
  </si>
  <si>
    <t>Pellet</t>
  </si>
  <si>
    <t>Reale Preise (Inflationsbereinigt, Referenzjahr 2020)</t>
  </si>
  <si>
    <t>techn. Lebensdauer</t>
  </si>
  <si>
    <t>jährliche Fixkosten</t>
  </si>
  <si>
    <t>spez. Jährliche Fixkosten</t>
  </si>
  <si>
    <t>Variable Kosten</t>
  </si>
  <si>
    <t>Förderung Umweltwärme</t>
  </si>
  <si>
    <t>spez. Investitionskosten Wärmequelle</t>
  </si>
  <si>
    <t>techn. Lebensdauer Wärmequelle</t>
  </si>
  <si>
    <t>Hybrid Luft-Wasser Wärmepumpe + Kessel Gas (Gaskessel, Wärmepumpe)</t>
  </si>
  <si>
    <t>Leistungsfaktor Gaskessel</t>
  </si>
  <si>
    <t>jährliche Fixkosten Gaskessel</t>
  </si>
  <si>
    <t>spez. Jährliche Fixkosten Gaskessel</t>
  </si>
  <si>
    <t>Leistungsfaktor Wärmepumpe</t>
  </si>
  <si>
    <t>jährliche Fixkosten Wärmepumpe</t>
  </si>
  <si>
    <t>spez. Jährliche Fixkosten Wärmepumpe</t>
  </si>
  <si>
    <t>Variable Kosten Wärmepumpe</t>
  </si>
  <si>
    <t>Förderung Umweltwärme Wärmepumpe</t>
  </si>
  <si>
    <t>Leistungsfaktor BHKW</t>
  </si>
  <si>
    <t>jährliche Fixkosten BHKW</t>
  </si>
  <si>
    <t>spez. Jährliche Fixkosten BHKW</t>
  </si>
  <si>
    <t>Vergütung für eingespeisten Strom BHKW</t>
  </si>
  <si>
    <t>Vergütung für selbstgenutzten Strom BHKW</t>
  </si>
  <si>
    <t>€/kWh_el</t>
  </si>
  <si>
    <t>Energiesteuer Rückerstattung BHKW</t>
  </si>
  <si>
    <t>€/kWh_chem</t>
  </si>
  <si>
    <t>Leistungsfaktor Solarthermie</t>
  </si>
  <si>
    <t>Volllaststundenfaktor Solarthermie</t>
  </si>
  <si>
    <t>techn. Lebensdauer Solarthermie</t>
  </si>
  <si>
    <t>spez. Investitionskosten Solarthermie</t>
  </si>
  <si>
    <t>jährliche Fixkosten Solarthermie</t>
  </si>
  <si>
    <t>spez. Jährliche Fixkosten Solarthermie</t>
  </si>
  <si>
    <t>Variable Kosten Solarthermie</t>
  </si>
  <si>
    <t>Förderung Betriebskosten Solarthermie</t>
  </si>
  <si>
    <t>Pellets</t>
  </si>
  <si>
    <t>Strom_WP</t>
  </si>
  <si>
    <t>Untergruppe</t>
  </si>
  <si>
    <t>Energieträger</t>
  </si>
  <si>
    <t>Hybrid Luft-Wasser Wärmepumpe + Kessel Gas</t>
  </si>
  <si>
    <t>Wärmepumpe</t>
  </si>
  <si>
    <t>BHKW</t>
  </si>
  <si>
    <t>Solarthermie</t>
  </si>
  <si>
    <t>None</t>
  </si>
  <si>
    <t>Normalstrom</t>
  </si>
  <si>
    <t>VLH</t>
  </si>
  <si>
    <t>Wärmepumpe Luft-Wasser &lt;75 kWh/m²a</t>
  </si>
  <si>
    <t>Wärmepumpe Luft-Wasser 75 - 130 kWh/m²a</t>
  </si>
  <si>
    <t>Wärmepumpe Luft-Wasser &gt;130 kWh/m²a</t>
  </si>
  <si>
    <t>Wärmepumpe Sole-Wasser &lt;75 kWh/m²a</t>
  </si>
  <si>
    <t>Wärmepumpe Sole-Wasser 75 - 130 kWh/m²a</t>
  </si>
  <si>
    <t>Wärmepumpe Sole-Wasser &gt;130 kWh/m²a</t>
  </si>
  <si>
    <t>Hybrid BHKW + Kessel Gas 25% Eigenstromquote</t>
  </si>
  <si>
    <t>Hybrid BHKW + Kessel Gas 50% Eigenstromquote</t>
  </si>
  <si>
    <t>Hybrid Solarthermie + Kessel Gas 20 % ST</t>
  </si>
  <si>
    <t>Hybrid Solarthermie + Kessel Gas 35 % ST</t>
  </si>
  <si>
    <t>Hybrid Solarthermie + Luft-Wasser Wärmepumpe 20 % ST</t>
  </si>
  <si>
    <t>Hybrid Solarthermie + Luft-Wasser Wärmepumpe 35 % ST</t>
  </si>
  <si>
    <t>Fernwärme Heizwasser</t>
  </si>
  <si>
    <t>Fernwärme Dampf</t>
  </si>
  <si>
    <t>Entwicklung der NE (HH)</t>
  </si>
  <si>
    <t>bis 2030</t>
  </si>
  <si>
    <t>ab 2030</t>
  </si>
  <si>
    <t>Gas</t>
  </si>
  <si>
    <t xml:space="preserve">Gas  </t>
  </si>
  <si>
    <t>ab 2023</t>
  </si>
  <si>
    <t>Jährl. Änd. Netzkosten</t>
  </si>
  <si>
    <t>Jährl. Änd. Nachfrage</t>
  </si>
  <si>
    <t>Jährl. Änd. Netzentgelte</t>
  </si>
  <si>
    <t>Entwicklung der Steuern, Abgaben und Umlagen (HH)</t>
  </si>
  <si>
    <t>MWSt Strom 2021</t>
  </si>
  <si>
    <t>MWSt Gas 2021</t>
  </si>
  <si>
    <t xml:space="preserve">EEG-Umlage </t>
  </si>
  <si>
    <t>[ct/kWh]</t>
  </si>
  <si>
    <t>Förderfaktor Investitionskosten</t>
  </si>
  <si>
    <t>Förderfaktor Investitionskosten Gaskessel</t>
  </si>
  <si>
    <t>Förderfaktor Investitionskosten Wärmepumpe</t>
  </si>
  <si>
    <t>Hybrid BHKW + Kessel Gas 25% Eigenstromquote (Gaskessel, BHKW)</t>
  </si>
  <si>
    <t>Förderfaktor Investitionskosten BHKW</t>
  </si>
  <si>
    <t>Hybrid BHKW + Kessel Gas 50% Eigenstromquote (Gaskessel, BHKW)</t>
  </si>
  <si>
    <t>Hybrid Solarthermie + Kessel Gas 20 % ST (Gaskessel, Solarthermie)</t>
  </si>
  <si>
    <t>Förderfaktor Investitionskosten Solarthermie</t>
  </si>
  <si>
    <t>Hybrid Solarthermie + Kessel Gas 35 % ST (Gaskessel, Solarthermie)</t>
  </si>
  <si>
    <t>Hybrid Solarthermie + Luft-Wasser Wärmepumpe 20 % ST (Wärmepumpe, Solarthermie)</t>
  </si>
  <si>
    <t>Hybrid Solarthermie + Luft-Wasser Wärmepumpe 35 % ST (Wärmepumpe, Solarthermie)</t>
  </si>
  <si>
    <t>LWWP</t>
  </si>
  <si>
    <t>SWWP</t>
  </si>
  <si>
    <t>GK + LWWP</t>
  </si>
  <si>
    <t>GK + ST</t>
  </si>
  <si>
    <t>LWWP + ST</t>
  </si>
  <si>
    <t>Luft-Wasser Wärmepumpe (Die Kosten werden für 3 Effizienzklassen berechnet)</t>
  </si>
  <si>
    <t>Sole-Wasser Wärmepumpe (Die Kosten werden für 3 Effizienzklassen mit und ohne Bohrung berechnet)</t>
  </si>
  <si>
    <t>Ein Hybridsystem bestehend aus einer BHKW-Anlage und einem Gaskessel. Dabei wird 65% des Wärmebedarfs über BHKW bereitgestellt. (Die Kosten werden für eine Eigenstromquote von 30 % und 50 % mit und ohne Anschlusskosten berechnet)</t>
  </si>
  <si>
    <t>Ein Hybridsystem bestehend aus einer Luft-Wasser Wärmepumpe und einem Gaskessel. Dabei wird 65% des Wärmebedarfs über Wärmepumpe bereitgestellt.
(Die Kosten werden mit und ohne Anschlusskosten für den Gaskessel berechnet)</t>
  </si>
  <si>
    <t>Ein Hybridsystem bestehend aus einer Solarthermie-Anlage und einem Gaskessel. (Die Kosten werden für einen solaren Deckungsgrad von 20 % und 35 % mit und ohne Anschlusskosten berechnet)</t>
  </si>
  <si>
    <t>Ein Hybridsystem bestehend aus einer Solarthermie-Anlage und einer Luft-Wasser Wärmepumpe. (Die Kosten werden für einen solaren Deckungsgrad von 20 % und 35 % berechnet)</t>
  </si>
  <si>
    <t>Technologien</t>
  </si>
  <si>
    <t>Fernwärme HW</t>
  </si>
  <si>
    <t>Fernwärme D</t>
  </si>
  <si>
    <t>Jahresgrundpreis [€/kW/a]</t>
  </si>
  <si>
    <t>Arbeitspreis inkl. Emissionspreis [ct/kWh]</t>
  </si>
  <si>
    <t>Messpreis [€/a]</t>
  </si>
  <si>
    <t>Zuschlag Fernablesung</t>
  </si>
  <si>
    <t>0-15 kW</t>
  </si>
  <si>
    <t>16-150 kW</t>
  </si>
  <si>
    <t>151-1200 kW</t>
  </si>
  <si>
    <t>ab 1201 kW</t>
  </si>
  <si>
    <t>0-300 MWh</t>
  </si>
  <si>
    <t>301-1500 MWh</t>
  </si>
  <si>
    <t>1501-3000 MWh</t>
  </si>
  <si>
    <t>ab 3001 MWh</t>
  </si>
  <si>
    <t>WZ bis max. QN 1,5</t>
  </si>
  <si>
    <t>WZ bis max. QN 2,5</t>
  </si>
  <si>
    <t>WZ bis max. QN 10</t>
  </si>
  <si>
    <t>WZ bis max. QN 60</t>
  </si>
  <si>
    <t>WZ &gt; QN 60</t>
  </si>
  <si>
    <t>&gt; 500 kW</t>
  </si>
  <si>
    <t>bis 80 kW</t>
  </si>
  <si>
    <t>bis 160 kW</t>
  </si>
  <si>
    <t>bis 750 kW</t>
  </si>
  <si>
    <t>bis 4900 kW</t>
  </si>
  <si>
    <t>&gt; 4900 kW</t>
  </si>
  <si>
    <t>VLS</t>
  </si>
  <si>
    <t>Leistungsklassen kW</t>
  </si>
  <si>
    <t>Leistung kW</t>
  </si>
  <si>
    <t>Mischpreise [EUR/kWh]</t>
  </si>
  <si>
    <r>
      <t xml:space="preserve">Verbrauch </t>
    </r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Wh/a</t>
    </r>
  </si>
  <si>
    <r>
      <t>+++++</t>
    </r>
    <r>
      <rPr>
        <b/>
        <u/>
        <sz val="11"/>
        <color rgb="FFFF0000"/>
        <rFont val="Calibri"/>
        <family val="2"/>
        <scheme val="minor"/>
      </rPr>
      <t xml:space="preserve"> </t>
    </r>
    <r>
      <rPr>
        <b/>
        <u/>
        <sz val="14"/>
        <color rgb="FFFF0000"/>
        <rFont val="Calibri"/>
        <family val="2"/>
        <scheme val="minor"/>
      </rPr>
      <t>Wichtig</t>
    </r>
    <r>
      <rPr>
        <b/>
        <u/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 xml:space="preserve">--&gt; Die Ordner des Dateipfads, in dem sich das Kostentool befindet darf keine Leer- oder Sonderzeichen enthalten!!! &lt;-- </t>
    </r>
    <r>
      <rPr>
        <b/>
        <u/>
        <sz val="14"/>
        <color rgb="FFFF0000"/>
        <rFont val="Calibri"/>
        <family val="2"/>
        <scheme val="minor"/>
      </rPr>
      <t>Wichtig</t>
    </r>
    <r>
      <rPr>
        <b/>
        <sz val="11"/>
        <color rgb="FFFF0000"/>
        <rFont val="Calibri"/>
        <family val="2"/>
        <scheme val="minor"/>
      </rPr>
      <t xml:space="preserve"> ++++ </t>
    </r>
  </si>
  <si>
    <t>Blatt: Dashboard</t>
  </si>
  <si>
    <t>Technologieübersicht</t>
  </si>
  <si>
    <t xml:space="preserve">Kurzbeschreibung und Übersicht der Erzeugungstechnologien </t>
  </si>
  <si>
    <t>Button "Berechnen"</t>
  </si>
  <si>
    <t>Berechnung der Wärmegestehungskosten (Laufzeit ca. 20 sek.)</t>
  </si>
  <si>
    <t>Button "Expertenmodus starten"</t>
  </si>
  <si>
    <t>Öffnet Arbeitsblätter zum Ändern der Technologieparameter</t>
  </si>
  <si>
    <t>Button "Expertenmodus beenden"</t>
  </si>
  <si>
    <t>Schließt Arbeitsblätter zum Ändern der Technologieparameter</t>
  </si>
  <si>
    <t>Button "Zurück zu Standardeinstellungen"</t>
  </si>
  <si>
    <t>Setzt alle Technologieparameter, Preise und Annahmen wieder auf Standardeinstellungen</t>
  </si>
  <si>
    <t>Blatt: destatis-Daten</t>
  </si>
  <si>
    <t>Im Blatt "destatis-Daten" können die folgenden Preisbestandteile (Gas und Strom) eingetragen werden:</t>
  </si>
  <si>
    <t>Energie und Vertrieb [EUR/MWh]:</t>
  </si>
  <si>
    <t xml:space="preserve">Diese Information wird lediglich zur Erstellung der Preisstruktur (Mischpreise für verschiedene Leistungsklassen) verwendet. Dabei wird angenommen, dass nur die größte Verbrauchsklasse zu dem Großhandelsmarktpreis (angegeben in den Energiezeitreihen) abschließen kann. </t>
  </si>
  <si>
    <t xml:space="preserve">Netzkosten [EUR/MWh]: </t>
  </si>
  <si>
    <t>Die Struktur der destatis-Daten für die Netzkosten wird eingelesen und für die Berechung der Netzkosten für die verschiedenen Leistungsklassen verwendet.</t>
  </si>
  <si>
    <t xml:space="preserve">Steuern, Umlagen und Abgaben (kurz SUA): </t>
  </si>
  <si>
    <t>Die Struktur der destatis-Daten für SUA wird eingelesen und für die Berechnung der SUA für die verschiedenen Leistungsklassen verwendet.</t>
  </si>
  <si>
    <t>Quelle:</t>
  </si>
  <si>
    <t>Preisbestandteile Gas Haushalte</t>
  </si>
  <si>
    <t>Preisbestandteile Gas nicht-Haushalte</t>
  </si>
  <si>
    <t>Preisbestandteile Strom Haushalte</t>
  </si>
  <si>
    <t>Preisbestandteile Strom nicht-Haushalte</t>
  </si>
  <si>
    <t xml:space="preserve">Aktualisierung der destatis-Daten: </t>
  </si>
  <si>
    <t>Die aktuellsten destatis-Daten sollten bei jeder Aktualisierung vom statistischen Bundesamt (oft Mitte des Jahres für das vergangene Jahr) im Blatt "destatis-Daten" in die dort vorgesehehenen Tabellen eingetragen werden. IFAM schlägt jedoch vor, Drei-Jahres-Mittelwerte (selbst) zu berechnen und sie dann in die Tabellen im Blatt "destatis-Daten" einzutragen, um mögliche Schwankungen zu vermeiden. Die destatis-Daten kann man auf den Webseiten oben sehr einfach als Excel herunterladen (zur Mittelwertbildung).</t>
  </si>
  <si>
    <t>Blatt: Preisannahmen</t>
  </si>
  <si>
    <t>Preiszeitreihen:</t>
  </si>
  <si>
    <t xml:space="preserve">  Die Preiszeitreihen können beliebig angepasst werden. Die angegebenen Einheiten müssen eingehalten werden.</t>
  </si>
  <si>
    <t>Mischgas:</t>
  </si>
  <si>
    <t xml:space="preserve">  Hier können die [prozentualen] Anteile eines Mischgases definiert werden. Die Summe der Anteile muss 1 ergeben.</t>
  </si>
  <si>
    <t>Abschlag für Wärmepumpenstrompreis:</t>
  </si>
  <si>
    <t xml:space="preserve">  In der Spalte M kann ein prozentualer Abschlag auf den Haushaltsstromtarif (als Mischpreis) angenommen werden. Eine Null bedeutet, dass es keinen preislichen Unterschied zwischen einem Wärmepumpentarif und einem normalen Haushaltsstromtarif gibt. </t>
  </si>
  <si>
    <t>Durchschnittliche Netzkosten im Segment Haushalte
 (Gas und Strom):</t>
  </si>
  <si>
    <t xml:space="preserve">  Die Netzkosten gemäß Angaben statistisches Bundesamt im Segment Haushalte, siehe unten "destatis-Daten". Zur Fortschreibung können eigene Annahmen getroffen werden- Default-Einstellung: konstante Fortschreibung  (parallel zu IEG-Annahmen).</t>
  </si>
  <si>
    <t>Durchschnittliche Kosten für Steuern, Abgaben und
 Umlagen im Segment Haushalte (Gas und Strom)</t>
  </si>
  <si>
    <t xml:space="preserve">  Summe der Steuern, Abgaben und Umlagen gemäß Angaben statistisches Bundesamt im Segment Haushalte, siehe unten "destatis-Daten". Zur Fortschreibung können eigene Annahmen getroffen werden. Default-Einstellung: konstante Fortschreibung  (parallel zu IEG-Annahmen).</t>
  </si>
  <si>
    <t xml:space="preserve"> - Die (Summe der) Steuern, Abgaben und Umlagen müssen um MWSt. bereinigt werden.</t>
  </si>
  <si>
    <t>Quelle Mwst. Gas:</t>
  </si>
  <si>
    <t>Gaspreis Entwicklung in Deutschland für Haushalte | BDEW</t>
  </si>
  <si>
    <t xml:space="preserve"> - Die (Summe der) Steuern, Abgaben und Umlagen ab 2022 wurden um die EEG-Umlage bereiningt.</t>
  </si>
  <si>
    <t>Quelle Mwst. Strom:</t>
  </si>
  <si>
    <t>Strompreis Entwicklung in Deutschland für Haushalte und Industrie | BDEW</t>
  </si>
  <si>
    <r>
      <rPr>
        <b/>
        <sz val="11"/>
        <rFont val="Calibri"/>
        <family val="2"/>
        <scheme val="minor"/>
      </rPr>
      <t xml:space="preserve">  </t>
    </r>
    <r>
      <rPr>
        <b/>
        <u/>
        <sz val="11"/>
        <rFont val="Calibri"/>
        <family val="2"/>
        <scheme val="minor"/>
      </rPr>
      <t>Beispiel</t>
    </r>
    <r>
      <rPr>
        <sz val="11"/>
        <rFont val="Calibri"/>
        <family val="2"/>
        <scheme val="minor"/>
      </rPr>
      <t xml:space="preserve"> für die Aktualisierung der durchschnittlichen Netzkosten sowie Steuern, Abgaben und Umlagen </t>
    </r>
    <r>
      <rPr>
        <u/>
        <sz val="11"/>
        <rFont val="Calibri"/>
        <family val="2"/>
        <scheme val="minor"/>
      </rPr>
      <t>im Blatt "Preisannahmen":</t>
    </r>
  </si>
  <si>
    <t>1) Die destatis-Tabellen im Blatt "destatis-Daten" gemäß Angaben oben (unter Aktualisierung der destatis-Daten) aktualisieren.</t>
  </si>
  <si>
    <t xml:space="preserve">2) In dem Beispiel unten wird die Aktualisierung der Annahmen zu Netzkosten, Steuern und Umlagen im Blatt "Preisannahmen" anhand der im Blatt "destatis-Daten" aktualisierten Tabellen erläutert:  </t>
  </si>
  <si>
    <t>die 3-Jahres-Mittelwerte (2019, 2020 und 2021) für:</t>
  </si>
  <si>
    <t>dort zu finden in der Zelle:</t>
  </si>
  <si>
    <r>
      <t xml:space="preserve">  werden kopiert in das Blatt Preisannahmen
 (</t>
    </r>
    <r>
      <rPr>
        <i/>
        <sz val="11"/>
        <rFont val="Calibri"/>
        <family val="2"/>
        <scheme val="minor"/>
      </rPr>
      <t>für das Jahr 2021</t>
    </r>
    <r>
      <rPr>
        <sz val="11"/>
        <rFont val="Calibri"/>
        <family val="2"/>
        <scheme val="minor"/>
      </rPr>
      <t>) in die Zellen:</t>
    </r>
  </si>
  <si>
    <t>aus dem Blatt 
"destatis-Daten":</t>
  </si>
  <si>
    <t>Durchschnittl. Netzkosten Gas im Segment Haushalte</t>
  </si>
  <si>
    <t>C8</t>
  </si>
  <si>
    <t>O5</t>
  </si>
  <si>
    <t>Durchschnittl. Kosten für Steuern, Abgaben und Umlagen Gas im Segment Haushalte</t>
  </si>
  <si>
    <t>D8</t>
  </si>
  <si>
    <t>P5</t>
  </si>
  <si>
    <t>Durchschnittl. Netzkosten Strom im Segment Haushalte</t>
  </si>
  <si>
    <t>M10</t>
  </si>
  <si>
    <t>Q5</t>
  </si>
  <si>
    <t>Durchschnittl. Kosten für Steuern, Abgaben und Umlagen Strom im Segment Haushalte</t>
  </si>
  <si>
    <t>N10</t>
  </si>
  <si>
    <t>R5</t>
  </si>
  <si>
    <t>Blatt destatis-Daten:</t>
  </si>
  <si>
    <t>Blatt Preisannahmen:</t>
  </si>
  <si>
    <t>--&gt;</t>
  </si>
  <si>
    <t>3) Die destatis-Werte im Blatt Preisannahmen müssen in ct/kWh umgerechnet werden.</t>
  </si>
  <si>
    <t>4) Die Mwst. müssen aus den destatis-Daten abgezogen werden. Die Quellen dazu sind im Blatt "Preisannahmen" gennant (siehe oben).</t>
  </si>
  <si>
    <t>Blatt: Wärmegestehungskosten Techn</t>
  </si>
  <si>
    <t>Wärmegestehungskosten der dezentralen Wärmeerzeugungstechnologien zum Kopieren in das Wärmemarkt-Simulationstool</t>
  </si>
  <si>
    <t>Blatt: Wärmegestehungskosten NW</t>
  </si>
  <si>
    <t>Wärmegestehungskosten der zentralen Wärmeerzeugungstechnologien</t>
  </si>
  <si>
    <t xml:space="preserve">Startjahr der Langfristpreisannahmen: </t>
  </si>
  <si>
    <t xml:space="preserve">Brent </t>
  </si>
  <si>
    <t>USD/Barrel</t>
  </si>
  <si>
    <t>Quelle MWSt Strom:</t>
  </si>
  <si>
    <t>Quelle MWSt Gas:</t>
  </si>
  <si>
    <r>
      <t xml:space="preserve">Maximum der NE </t>
    </r>
    <r>
      <rPr>
        <sz val="11"/>
        <color theme="1"/>
        <rFont val="Calibri"/>
        <family val="2"/>
        <scheme val="minor"/>
      </rPr>
      <t>[ct/kWh]</t>
    </r>
  </si>
  <si>
    <t>Maximum der NE [ct/kWh]</t>
  </si>
  <si>
    <t>Kessel Gas (Anschluss vorhanden)</t>
  </si>
  <si>
    <t>Wärmepumpe Sole-Wasser &lt;75 kWh/m²a (Wärmequelle vorhanden)</t>
  </si>
  <si>
    <t>Wärmepumpe Sole-Wasser 75 - 130 kWh/m²a (Wärmequelle vorhanden)</t>
  </si>
  <si>
    <t>Wärmepumpe Sole-Wasser &gt;130 kWh/m²a (Wärmequelle vorhanden)</t>
  </si>
  <si>
    <t>Hybrid Luft-Wasser Wärmepumpe + Kessel Gas (Anschluss vorhanden)</t>
  </si>
  <si>
    <t>Hybrid BHKW + Kessel Gas 25% Eigenstromquote (Anschluss vorhanden)</t>
  </si>
  <si>
    <t>Hybrid BHKW + Kessel Gas 50% Eigenstromquote (Anschluss vorhanden)</t>
  </si>
  <si>
    <t>Hybrid Solarthermie + Kessel Gas 20 % ST (Anschluss vorhanden)</t>
  </si>
  <si>
    <t>Hybrid Solarthermie + Kessel Gas 35 % ST (Anschluss vorhanden)</t>
  </si>
  <si>
    <t>Fernwärme Heizwasser (Anschluss vorhanden)</t>
  </si>
  <si>
    <t>Fernwärme Dampf (Anschluss vorhanden)</t>
  </si>
  <si>
    <t>Alle Preise in €/MWh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</si>
</sst>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-* #,##0.00\ _€_-;\-* #,##0.00\ _€_-;_-* &quot;-&quot;??\ _€_-;_-@_-"/>
    <numFmt numFmtId="167" formatCode="_-* #,##0.0000_-;\-* #,##0.0000_-;_-* &quot;-&quot;??_-;_-@_-"/>
    <numFmt numFmtId="168" formatCode="0.0000"/>
    <numFmt numFmtId="169" formatCode="0.00000"/>
    <numFmt numFmtId="170" formatCode="0.0%"/>
    <numFmt numFmtId="171" formatCode="_-* #,##0\ _€_-;\-* #,##0\ _€_-;_-* &quot;-&quot;??\ _€_-;_-@_-"/>
    <numFmt numFmtId="172" formatCode="0.0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FF0000"/>
      <name val="Arial"/>
      <family val="2"/>
    </font>
    <font>
      <b/>
      <u/>
      <sz val="8"/>
      <color rgb="FFFF0000"/>
      <name val="Arial"/>
      <family val="2"/>
    </font>
    <font>
      <b/>
      <sz val="8"/>
      <color rgb="FF002060"/>
      <name val="Arial"/>
      <family val="2"/>
    </font>
    <font>
      <b/>
      <u/>
      <sz val="8"/>
      <color rgb="FF002060"/>
      <name val="Arial"/>
      <family val="2"/>
    </font>
    <font>
      <b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gray0625"/>
    </fill>
    <fill>
      <patternFill patternType="solid">
        <fgColor theme="7" tint="0.79998168889431442"/>
        <bgColor indexed="64"/>
      </patternFill>
    </fill>
    <fill>
      <patternFill patternType="solid">
        <fgColor rgb="FFD7E1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7E1F0"/>
      </left>
      <right style="medium">
        <color rgb="FFFFFFFF"/>
      </right>
      <top style="medium">
        <color rgb="FFD7E1F0"/>
      </top>
      <bottom/>
      <diagonal/>
    </border>
    <border>
      <left style="medium">
        <color rgb="FFFFFFFF"/>
      </left>
      <right/>
      <top style="medium">
        <color rgb="FFD7E1F0"/>
      </top>
      <bottom style="medium">
        <color rgb="FFFFFFFF"/>
      </bottom>
      <diagonal/>
    </border>
    <border>
      <left/>
      <right/>
      <top style="medium">
        <color rgb="FFD7E1F0"/>
      </top>
      <bottom style="medium">
        <color rgb="FFFFFFFF"/>
      </bottom>
      <diagonal/>
    </border>
    <border>
      <left/>
      <right style="medium">
        <color rgb="FFD7E1F0"/>
      </right>
      <top style="medium">
        <color rgb="FFD7E1F0"/>
      </top>
      <bottom style="medium">
        <color rgb="FFFFFFFF"/>
      </bottom>
      <diagonal/>
    </border>
    <border>
      <left style="medium">
        <color rgb="FFD7E1F0"/>
      </left>
      <right style="medium">
        <color rgb="FFFFFFFF"/>
      </right>
      <top/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D7E1F0"/>
      </right>
      <top style="medium">
        <color rgb="FFFFFFFF"/>
      </top>
      <bottom style="medium">
        <color rgb="FFFFFFFF"/>
      </bottom>
      <diagonal/>
    </border>
    <border>
      <left style="medium">
        <color rgb="FFD7E1F0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D7E1F0"/>
      </left>
      <right/>
      <top style="medium">
        <color rgb="FFFFFFFF"/>
      </top>
      <bottom style="medium">
        <color rgb="FFFFFFF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0" fontId="3" fillId="2" borderId="1" applyNumberFormat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5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4" fontId="10" fillId="0" borderId="0" applyFont="0" applyFill="0" applyBorder="0" applyAlignment="0" applyProtection="0"/>
    <xf numFmtId="0" fontId="10" fillId="0" borderId="0"/>
  </cellStyleXfs>
  <cellXfs count="232">
    <xf numFmtId="0" fontId="0" fillId="0" borderId="0" xfId="0"/>
    <xf numFmtId="0" fontId="7" fillId="3" borderId="3" xfId="0" applyFont="1" applyFill="1" applyBorder="1" applyAlignment="1">
      <alignment horizontal="center" vertical="center"/>
    </xf>
    <xf numFmtId="0" fontId="7" fillId="3" borderId="3" xfId="0" quotePrefix="1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11" fillId="0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9" fontId="0" fillId="0" borderId="3" xfId="6" applyFont="1" applyBorder="1" applyAlignment="1">
      <alignment horizontal="center" vertical="center"/>
    </xf>
    <xf numFmtId="9" fontId="0" fillId="0" borderId="6" xfId="6" applyFont="1" applyBorder="1" applyAlignment="1">
      <alignment horizontal="center" vertical="center"/>
    </xf>
    <xf numFmtId="0" fontId="0" fillId="5" borderId="0" xfId="0" applyFill="1"/>
    <xf numFmtId="0" fontId="17" fillId="7" borderId="15" xfId="0" applyFont="1" applyFill="1" applyBorder="1" applyAlignment="1">
      <alignment horizontal="center" vertical="center" wrapText="1"/>
    </xf>
    <xf numFmtId="0" fontId="17" fillId="7" borderId="16" xfId="0" applyFont="1" applyFill="1" applyBorder="1" applyAlignment="1">
      <alignment horizontal="center" vertical="center" wrapText="1"/>
    </xf>
    <xf numFmtId="0" fontId="17" fillId="7" borderId="17" xfId="0" applyFont="1" applyFill="1" applyBorder="1" applyAlignment="1">
      <alignment horizontal="center" vertical="center" wrapText="1"/>
    </xf>
    <xf numFmtId="0" fontId="12" fillId="7" borderId="19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left" vertical="top"/>
    </xf>
    <xf numFmtId="0" fontId="18" fillId="0" borderId="0" xfId="7"/>
    <xf numFmtId="165" fontId="20" fillId="0" borderId="0" xfId="5" applyFont="1" applyFill="1" applyAlignment="1">
      <alignment vertical="center"/>
    </xf>
    <xf numFmtId="165" fontId="11" fillId="0" borderId="0" xfId="5" applyFont="1" applyFill="1" applyAlignment="1">
      <alignment vertical="center"/>
    </xf>
    <xf numFmtId="165" fontId="0" fillId="0" borderId="0" xfId="5" applyFont="1"/>
    <xf numFmtId="165" fontId="20" fillId="0" borderId="0" xfId="5" applyFont="1"/>
    <xf numFmtId="165" fontId="0" fillId="0" borderId="6" xfId="5" applyFont="1" applyBorder="1"/>
    <xf numFmtId="0" fontId="6" fillId="3" borderId="3" xfId="0" applyFont="1" applyFill="1" applyBorder="1" applyAlignment="1">
      <alignment vertical="center"/>
    </xf>
    <xf numFmtId="0" fontId="6" fillId="4" borderId="3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vertical="center" wrapText="1"/>
    </xf>
    <xf numFmtId="0" fontId="7" fillId="4" borderId="3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" fillId="6" borderId="3" xfId="0" applyFont="1" applyFill="1" applyBorder="1" applyAlignment="1">
      <alignment vertical="center"/>
    </xf>
    <xf numFmtId="0" fontId="1" fillId="0" borderId="3" xfId="0" applyFont="1" applyBorder="1" applyAlignment="1">
      <alignment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0" xfId="0"/>
    <xf numFmtId="0" fontId="11" fillId="0" borderId="3" xfId="0" applyFont="1" applyBorder="1" applyAlignment="1">
      <alignment horizontal="left"/>
    </xf>
    <xf numFmtId="0" fontId="11" fillId="0" borderId="3" xfId="0" applyFont="1" applyBorder="1"/>
    <xf numFmtId="0" fontId="0" fillId="0" borderId="3" xfId="0" applyBorder="1"/>
    <xf numFmtId="0" fontId="21" fillId="0" borderId="0" xfId="0" applyFo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5" applyFont="1" applyBorder="1" applyAlignment="1">
      <alignment horizontal="center"/>
    </xf>
    <xf numFmtId="170" fontId="0" fillId="0" borderId="3" xfId="6" applyNumberFormat="1" applyFont="1" applyBorder="1" applyAlignment="1">
      <alignment horizontal="center" vertical="center"/>
    </xf>
    <xf numFmtId="170" fontId="0" fillId="0" borderId="0" xfId="6" applyNumberFormat="1" applyFont="1" applyAlignment="1">
      <alignment horizontal="center" vertical="center"/>
    </xf>
    <xf numFmtId="0" fontId="0" fillId="0" borderId="3" xfId="0" applyBorder="1" applyAlignment="1"/>
    <xf numFmtId="0" fontId="0" fillId="0" borderId="0" xfId="0" applyBorder="1" applyAlignment="1">
      <alignment horizontal="left"/>
    </xf>
    <xf numFmtId="165" fontId="0" fillId="0" borderId="7" xfId="5" applyFont="1" applyBorder="1" applyAlignment="1">
      <alignment horizontal="center" vertical="center"/>
    </xf>
    <xf numFmtId="0" fontId="0" fillId="0" borderId="3" xfId="0" applyBorder="1" applyAlignment="1">
      <alignment vertical="center" textRotation="90"/>
    </xf>
    <xf numFmtId="0" fontId="1" fillId="0" borderId="3" xfId="0" applyFont="1" applyBorder="1" applyAlignment="1">
      <alignment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4" fontId="0" fillId="0" borderId="0" xfId="0" applyNumberFormat="1" applyFill="1"/>
    <xf numFmtId="0" fontId="9" fillId="0" borderId="0" xfId="0" applyFont="1"/>
    <xf numFmtId="4" fontId="0" fillId="0" borderId="0" xfId="8" applyNumberFormat="1" applyFont="1" applyFill="1"/>
    <xf numFmtId="4" fontId="0" fillId="0" borderId="0" xfId="6" applyNumberFormat="1" applyFont="1" applyFill="1"/>
    <xf numFmtId="9" fontId="9" fillId="0" borderId="0" xfId="6" applyFont="1"/>
    <xf numFmtId="9" fontId="0" fillId="0" borderId="0" xfId="6" applyFont="1"/>
    <xf numFmtId="4" fontId="1" fillId="0" borderId="0" xfId="6" applyNumberFormat="1" applyFont="1" applyFill="1"/>
    <xf numFmtId="4" fontId="9" fillId="0" borderId="0" xfId="0" applyNumberFormat="1" applyFont="1" applyFill="1"/>
    <xf numFmtId="4" fontId="9" fillId="0" borderId="0" xfId="8" applyNumberFormat="1" applyFont="1" applyFill="1"/>
    <xf numFmtId="0" fontId="7" fillId="4" borderId="3" xfId="0" applyFont="1" applyFill="1" applyBorder="1" applyAlignment="1">
      <alignment vertical="center"/>
    </xf>
    <xf numFmtId="0" fontId="0" fillId="0" borderId="0" xfId="0" applyFill="1"/>
    <xf numFmtId="0" fontId="1" fillId="6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0" fillId="0" borderId="3" xfId="0" applyBorder="1" applyAlignment="1">
      <alignment vertical="center"/>
    </xf>
    <xf numFmtId="0" fontId="23" fillId="0" borderId="3" xfId="0" applyFont="1" applyBorder="1"/>
    <xf numFmtId="0" fontId="0" fillId="0" borderId="4" xfId="0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center"/>
    </xf>
    <xf numFmtId="172" fontId="0" fillId="0" borderId="0" xfId="0" applyNumberFormat="1"/>
    <xf numFmtId="0" fontId="22" fillId="0" borderId="3" xfId="9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165" fontId="0" fillId="0" borderId="3" xfId="5" applyFont="1" applyBorder="1" applyAlignment="1">
      <alignment horizontal="center" vertical="center"/>
    </xf>
    <xf numFmtId="0" fontId="5" fillId="0" borderId="0" xfId="0" applyFont="1"/>
    <xf numFmtId="0" fontId="24" fillId="13" borderId="0" xfId="0" quotePrefix="1" applyFont="1" applyFill="1" applyAlignment="1"/>
    <xf numFmtId="0" fontId="24" fillId="0" borderId="0" xfId="0" quotePrefix="1" applyFont="1" applyFill="1" applyAlignment="1"/>
    <xf numFmtId="0" fontId="25" fillId="0" borderId="8" xfId="0" applyFont="1" applyBorder="1" applyAlignment="1">
      <alignment horizontal="left"/>
    </xf>
    <xf numFmtId="0" fontId="0" fillId="0" borderId="8" xfId="0" applyBorder="1"/>
    <xf numFmtId="0" fontId="1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left"/>
    </xf>
    <xf numFmtId="0" fontId="0" fillId="0" borderId="2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quotePrefix="1" applyFont="1" applyAlignment="1">
      <alignment horizontal="right" vertical="center"/>
    </xf>
    <xf numFmtId="0" fontId="18" fillId="0" borderId="0" xfId="7" applyAlignment="1">
      <alignment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27" fillId="0" borderId="0" xfId="7" applyFont="1" applyAlignment="1">
      <alignment vertical="center"/>
    </xf>
    <xf numFmtId="0" fontId="0" fillId="0" borderId="0" xfId="0" applyFill="1" applyAlignment="1">
      <alignment horizontal="right" vertical="center"/>
    </xf>
    <xf numFmtId="0" fontId="28" fillId="0" borderId="0" xfId="0" applyFont="1"/>
    <xf numFmtId="0" fontId="9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9" fillId="0" borderId="24" xfId="0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9" fillId="0" borderId="31" xfId="0" applyFont="1" applyBorder="1" applyAlignment="1">
      <alignment horizontal="center" vertical="center"/>
    </xf>
    <xf numFmtId="0" fontId="0" fillId="0" borderId="0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0" xfId="0" applyAlignment="1"/>
    <xf numFmtId="0" fontId="0" fillId="0" borderId="0" xfId="0" quotePrefix="1" applyAlignment="1">
      <alignment horizontal="center"/>
    </xf>
    <xf numFmtId="0" fontId="5" fillId="0" borderId="0" xfId="0" applyFont="1" applyAlignment="1">
      <alignment horizontal="left"/>
    </xf>
    <xf numFmtId="0" fontId="0" fillId="0" borderId="3" xfId="0" applyBorder="1" applyAlignment="1">
      <alignment horizontal="center" vertical="center" wrapText="1"/>
    </xf>
    <xf numFmtId="165" fontId="20" fillId="0" borderId="6" xfId="5" applyFont="1" applyFill="1" applyBorder="1" applyAlignment="1">
      <alignment vertical="center"/>
    </xf>
    <xf numFmtId="165" fontId="20" fillId="0" borderId="3" xfId="5" applyFont="1" applyFill="1" applyBorder="1" applyAlignment="1">
      <alignment vertical="center"/>
    </xf>
    <xf numFmtId="165" fontId="19" fillId="0" borderId="0" xfId="5" applyFont="1" applyFill="1" applyAlignment="1">
      <alignment horizontal="right" vertical="center"/>
    </xf>
    <xf numFmtId="0" fontId="27" fillId="0" borderId="0" xfId="7" applyFont="1"/>
    <xf numFmtId="165" fontId="0" fillId="0" borderId="6" xfId="5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5" fontId="1" fillId="0" borderId="3" xfId="5" applyFont="1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170" fontId="1" fillId="0" borderId="3" xfId="6" applyNumberFormat="1" applyFont="1" applyBorder="1" applyAlignment="1">
      <alignment horizontal="center" vertic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22" fillId="0" borderId="5" xfId="0" applyFont="1" applyBorder="1" applyAlignment="1">
      <alignment horizontal="center" vertical="top"/>
    </xf>
    <xf numFmtId="164" fontId="0" fillId="0" borderId="3" xfId="8" applyFont="1" applyBorder="1"/>
    <xf numFmtId="4" fontId="0" fillId="0" borderId="0" xfId="0" applyNumberFormat="1" applyFill="1" applyProtection="1">
      <protection locked="0"/>
    </xf>
    <xf numFmtId="4" fontId="0" fillId="0" borderId="0" xfId="8" applyNumberFormat="1" applyFont="1" applyFill="1" applyProtection="1">
      <protection locked="0"/>
    </xf>
    <xf numFmtId="4" fontId="0" fillId="0" borderId="0" xfId="6" applyNumberFormat="1" applyFont="1" applyFill="1" applyProtection="1">
      <protection locked="0"/>
    </xf>
    <xf numFmtId="4" fontId="1" fillId="0" borderId="0" xfId="6" applyNumberFormat="1" applyFont="1" applyFill="1" applyProtection="1">
      <protection locked="0"/>
    </xf>
    <xf numFmtId="4" fontId="9" fillId="0" borderId="0" xfId="0" applyNumberFormat="1" applyFont="1" applyFill="1" applyProtection="1">
      <protection locked="0"/>
    </xf>
    <xf numFmtId="4" fontId="9" fillId="0" borderId="0" xfId="8" applyNumberFormat="1" applyFont="1" applyFill="1" applyProtection="1">
      <protection locked="0"/>
    </xf>
    <xf numFmtId="0" fontId="5" fillId="0" borderId="23" xfId="0" applyFont="1" applyFill="1" applyBorder="1" applyAlignment="1" applyProtection="1">
      <alignment horizontal="center" vertical="center"/>
      <protection locked="0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165" fontId="0" fillId="0" borderId="6" xfId="5" applyFont="1" applyBorder="1" applyProtection="1">
      <protection locked="0"/>
    </xf>
    <xf numFmtId="165" fontId="0" fillId="0" borderId="3" xfId="5" applyFont="1" applyBorder="1" applyAlignment="1" applyProtection="1">
      <alignment horizontal="center"/>
      <protection locked="0"/>
    </xf>
    <xf numFmtId="165" fontId="0" fillId="0" borderId="3" xfId="5" applyFont="1" applyBorder="1" applyAlignment="1" applyProtection="1">
      <alignment horizontal="center" vertical="center"/>
      <protection locked="0"/>
    </xf>
    <xf numFmtId="9" fontId="0" fillId="0" borderId="3" xfId="6" applyFont="1" applyBorder="1" applyAlignment="1" applyProtection="1">
      <alignment horizontal="center" vertical="center"/>
      <protection locked="0"/>
    </xf>
    <xf numFmtId="9" fontId="0" fillId="0" borderId="6" xfId="6" applyFont="1" applyBorder="1" applyAlignment="1" applyProtection="1">
      <alignment horizontal="center" vertical="center"/>
      <protection locked="0"/>
    </xf>
    <xf numFmtId="165" fontId="0" fillId="0" borderId="6" xfId="5" applyFont="1" applyBorder="1" applyAlignment="1" applyProtection="1">
      <alignment horizontal="center" vertical="center"/>
      <protection locked="0"/>
    </xf>
    <xf numFmtId="165" fontId="0" fillId="0" borderId="7" xfId="5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170" fontId="0" fillId="0" borderId="3" xfId="6" applyNumberFormat="1" applyFont="1" applyBorder="1" applyAlignment="1" applyProtection="1">
      <alignment horizontal="center" vertical="center"/>
      <protection locked="0"/>
    </xf>
    <xf numFmtId="170" fontId="1" fillId="0" borderId="3" xfId="6" applyNumberFormat="1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3" xfId="0" applyBorder="1" applyProtection="1">
      <protection locked="0"/>
    </xf>
    <xf numFmtId="0" fontId="0" fillId="0" borderId="3" xfId="0" applyFill="1" applyBorder="1" applyProtection="1">
      <protection locked="0"/>
    </xf>
    <xf numFmtId="167" fontId="12" fillId="8" borderId="3" xfId="5" applyNumberFormat="1" applyFont="1" applyFill="1" applyBorder="1" applyAlignment="1" applyProtection="1">
      <alignment horizontal="center" vertical="center"/>
      <protection locked="0"/>
    </xf>
    <xf numFmtId="168" fontId="12" fillId="8" borderId="3" xfId="0" applyNumberFormat="1" applyFont="1" applyFill="1" applyBorder="1" applyAlignment="1" applyProtection="1">
      <alignment horizontal="center" vertical="center"/>
      <protection locked="0"/>
    </xf>
    <xf numFmtId="169" fontId="12" fillId="8" borderId="3" xfId="0" applyNumberFormat="1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1" fontId="23" fillId="0" borderId="3" xfId="0" quotePrefix="1" applyNumberFormat="1" applyFont="1" applyBorder="1" applyAlignment="1">
      <alignment horizontal="center"/>
    </xf>
    <xf numFmtId="2" fontId="0" fillId="9" borderId="3" xfId="0" applyNumberFormat="1" applyFill="1" applyBorder="1" applyAlignment="1" applyProtection="1">
      <alignment horizontal="center"/>
      <protection locked="0"/>
    </xf>
    <xf numFmtId="2" fontId="0" fillId="10" borderId="3" xfId="0" applyNumberFormat="1" applyFill="1" applyBorder="1" applyAlignment="1" applyProtection="1">
      <alignment horizontal="center"/>
      <protection locked="0"/>
    </xf>
    <xf numFmtId="0" fontId="0" fillId="11" borderId="3" xfId="0" applyFill="1" applyBorder="1" applyAlignment="1" applyProtection="1">
      <alignment horizontal="center"/>
      <protection locked="0"/>
    </xf>
    <xf numFmtId="0" fontId="0" fillId="12" borderId="3" xfId="0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  <protection locked="0"/>
    </xf>
    <xf numFmtId="171" fontId="22" fillId="0" borderId="2" xfId="3" applyNumberFormat="1" applyFont="1" applyBorder="1" applyAlignment="1">
      <alignment horizontal="center"/>
    </xf>
    <xf numFmtId="0" fontId="26" fillId="0" borderId="0" xfId="0" quotePrefix="1" applyFont="1" applyAlignment="1">
      <alignment horizontal="left" vertical="center"/>
    </xf>
    <xf numFmtId="0" fontId="24" fillId="13" borderId="0" xfId="0" quotePrefix="1" applyFont="1" applyFill="1" applyAlignment="1">
      <alignment horizontal="center" vertical="center"/>
    </xf>
    <xf numFmtId="0" fontId="0" fillId="0" borderId="0" xfId="0" quotePrefix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26" fillId="0" borderId="22" xfId="0" applyFont="1" applyBorder="1" applyAlignment="1">
      <alignment horizontal="left"/>
    </xf>
    <xf numFmtId="0" fontId="26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9" fillId="0" borderId="28" xfId="0" applyFont="1" applyBorder="1" applyAlignment="1">
      <alignment horizontal="right" vertical="center"/>
    </xf>
    <xf numFmtId="0" fontId="9" fillId="0" borderId="29" xfId="0" applyFont="1" applyBorder="1" applyAlignment="1">
      <alignment horizontal="left"/>
    </xf>
    <xf numFmtId="0" fontId="9" fillId="0" borderId="30" xfId="0" applyFont="1" applyBorder="1" applyAlignment="1">
      <alignment horizontal="left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24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1" fillId="6" borderId="3" xfId="0" applyFont="1" applyFill="1" applyBorder="1" applyAlignment="1">
      <alignment horizontal="left" vertical="center"/>
    </xf>
    <xf numFmtId="4" fontId="0" fillId="0" borderId="2" xfId="0" applyNumberFormat="1" applyFont="1" applyFill="1" applyBorder="1" applyAlignment="1">
      <alignment horizontal="center" vertical="center"/>
    </xf>
    <xf numFmtId="4" fontId="0" fillId="0" borderId="6" xfId="0" applyNumberFormat="1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5" fontId="1" fillId="0" borderId="2" xfId="5" applyFont="1" applyBorder="1" applyAlignment="1">
      <alignment horizontal="center" vertical="center"/>
    </xf>
    <xf numFmtId="165" fontId="1" fillId="0" borderId="6" xfId="5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" fontId="0" fillId="0" borderId="2" xfId="0" applyNumberFormat="1" applyFont="1" applyFill="1" applyBorder="1" applyAlignment="1" applyProtection="1">
      <alignment horizontal="center" vertical="center"/>
      <protection locked="0"/>
    </xf>
    <xf numFmtId="4" fontId="0" fillId="0" borderId="6" xfId="0" applyNumberFormat="1" applyFont="1" applyFill="1" applyBorder="1" applyAlignment="1" applyProtection="1">
      <alignment horizontal="center" vertical="center"/>
      <protection locked="0"/>
    </xf>
    <xf numFmtId="0" fontId="13" fillId="7" borderId="11" xfId="0" applyFont="1" applyFill="1" applyBorder="1" applyAlignment="1">
      <alignment horizontal="center" vertical="center" wrapText="1"/>
    </xf>
    <xf numFmtId="0" fontId="13" fillId="7" borderId="12" xfId="0" applyFont="1" applyFill="1" applyBorder="1" applyAlignment="1">
      <alignment horizontal="center" vertical="center" wrapText="1"/>
    </xf>
    <xf numFmtId="0" fontId="13" fillId="7" borderId="13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5" fillId="7" borderId="12" xfId="0" applyFont="1" applyFill="1" applyBorder="1" applyAlignment="1">
      <alignment horizontal="center" vertical="center" wrapText="1"/>
    </xf>
    <xf numFmtId="0" fontId="15" fillId="7" borderId="13" xfId="0" applyFont="1" applyFill="1" applyBorder="1" applyAlignment="1">
      <alignment horizontal="center" vertical="center" wrapText="1"/>
    </xf>
    <xf numFmtId="0" fontId="12" fillId="7" borderId="10" xfId="0" applyFont="1" applyFill="1" applyBorder="1" applyAlignment="1">
      <alignment horizontal="center" vertical="center" wrapText="1"/>
    </xf>
    <xf numFmtId="0" fontId="12" fillId="7" borderId="14" xfId="0" applyFont="1" applyFill="1" applyBorder="1" applyAlignment="1">
      <alignment horizontal="center" vertical="center" wrapText="1"/>
    </xf>
    <xf numFmtId="0" fontId="12" fillId="7" borderId="18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 vertical="center" textRotation="90"/>
    </xf>
    <xf numFmtId="0" fontId="23" fillId="0" borderId="4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14" borderId="2" xfId="0" applyFont="1" applyFill="1" applyBorder="1" applyAlignment="1">
      <alignment horizontal="center" vertical="center"/>
    </xf>
    <xf numFmtId="0" fontId="1" fillId="14" borderId="21" xfId="0" applyFont="1" applyFill="1" applyBorder="1" applyAlignment="1">
      <alignment horizontal="center" vertical="center"/>
    </xf>
    <xf numFmtId="0" fontId="1" fillId="14" borderId="6" xfId="0" applyFont="1" applyFill="1" applyBorder="1" applyAlignment="1">
      <alignment horizontal="center" vertical="center"/>
    </xf>
    <xf numFmtId="0" fontId="24" fillId="13" borderId="0" xfId="0" applyFont="1" applyFill="1" applyAlignment="1">
      <alignment horizontal="center"/>
    </xf>
    <xf numFmtId="0" fontId="0" fillId="0" borderId="3" xfId="0" applyBorder="1" applyAlignment="1">
      <alignment horizontal="left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21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</cellXfs>
  <cellStyles count="10">
    <cellStyle name="Eingabe 2" xfId="2" xr:uid="{00000000-0005-0000-0000-000000000000}"/>
    <cellStyle name="Komma" xfId="5" builtinId="3"/>
    <cellStyle name="Komma 4" xfId="3" xr:uid="{00000000-0005-0000-0000-000002000000}"/>
    <cellStyle name="Link" xfId="7" builtinId="8"/>
    <cellStyle name="Prozent" xfId="6" builtinId="5"/>
    <cellStyle name="Prozent 2" xfId="4" xr:uid="{00000000-0005-0000-0000-000005000000}"/>
    <cellStyle name="Standard" xfId="0" builtinId="0"/>
    <cellStyle name="Standard 3" xfId="9" xr:uid="{00000000-0005-0000-0000-000007000000}"/>
    <cellStyle name="Standard 4" xfId="1" xr:uid="{00000000-0005-0000-0000-000008000000}"/>
    <cellStyle name="Währung" xfId="8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Fernwärmepreise Mainova 2023</a:t>
            </a:r>
          </a:p>
          <a:p>
            <a:pPr>
              <a:defRPr/>
            </a:pPr>
            <a:r>
              <a:rPr lang="de-DE"/>
              <a:t>(Mischpreise</a:t>
            </a:r>
            <a:r>
              <a:rPr lang="de-DE" baseline="0"/>
              <a:t>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Fernwärmepreise!$C$37:$K$37</c:f>
              <c:numCache>
                <c:formatCode>General</c:formatCode>
                <c:ptCount val="9"/>
                <c:pt idx="0">
                  <c:v>15</c:v>
                </c:pt>
                <c:pt idx="1">
                  <c:v>30</c:v>
                </c:pt>
                <c:pt idx="2">
                  <c:v>70</c:v>
                </c:pt>
                <c:pt idx="3">
                  <c:v>125</c:v>
                </c:pt>
                <c:pt idx="4">
                  <c:v>200</c:v>
                </c:pt>
                <c:pt idx="5">
                  <c:v>350</c:v>
                </c:pt>
                <c:pt idx="6">
                  <c:v>850</c:v>
                </c:pt>
                <c:pt idx="7">
                  <c:v>1900</c:v>
                </c:pt>
                <c:pt idx="8">
                  <c:v>4000</c:v>
                </c:pt>
              </c:numCache>
            </c:numRef>
          </c:cat>
          <c:val>
            <c:numRef>
              <c:f>Fernwärmepreise!$C$40:$K$40</c:f>
              <c:numCache>
                <c:formatCode>_("€"* #,##0.00_);_("€"* \(#,##0.00\);_("€"* "-"??_);_(@_)</c:formatCode>
                <c:ptCount val="9"/>
                <c:pt idx="0">
                  <c:v>0.16911944444444446</c:v>
                </c:pt>
                <c:pt idx="1">
                  <c:v>0.17583055555555555</c:v>
                </c:pt>
                <c:pt idx="2">
                  <c:v>0.17498928571428571</c:v>
                </c:pt>
                <c:pt idx="3">
                  <c:v>0.17538746666666669</c:v>
                </c:pt>
                <c:pt idx="4">
                  <c:v>0.189719375</c:v>
                </c:pt>
                <c:pt idx="5">
                  <c:v>0.18788607142857142</c:v>
                </c:pt>
                <c:pt idx="6">
                  <c:v>0.18796146078431369</c:v>
                </c:pt>
                <c:pt idx="7">
                  <c:v>0.18852683771929823</c:v>
                </c:pt>
                <c:pt idx="8">
                  <c:v>0.16684212291666667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2-49E0-A94C-8521913A7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40127"/>
        <c:axId val="498640543"/>
      </c:lineChart>
      <c:catAx>
        <c:axId val="4986401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Leistungsklassen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8640543"/>
        <c:crosses val="autoZero"/>
        <c:auto val="1"/>
        <c:lblAlgn val="ctr"/>
        <c:lblOffset val="100"/>
        <c:noMultiLvlLbl val="0"/>
      </c:catAx>
      <c:valAx>
        <c:axId val="4986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EUR/kWh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864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40</xdr:row>
      <xdr:rowOff>6350</xdr:rowOff>
    </xdr:from>
    <xdr:to>
      <xdr:col>4</xdr:col>
      <xdr:colOff>1226532</xdr:colOff>
      <xdr:row>48</xdr:row>
      <xdr:rowOff>9150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7750" y="10699750"/>
          <a:ext cx="3398232" cy="14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1397001</xdr:colOff>
      <xdr:row>40</xdr:row>
      <xdr:rowOff>0</xdr:rowOff>
    </xdr:from>
    <xdr:to>
      <xdr:col>8</xdr:col>
      <xdr:colOff>86751</xdr:colOff>
      <xdr:row>47</xdr:row>
      <xdr:rowOff>150950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56451" y="10693400"/>
          <a:ext cx="4322200" cy="14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1130300</xdr:colOff>
      <xdr:row>16</xdr:row>
      <xdr:rowOff>38100</xdr:rowOff>
    </xdr:from>
    <xdr:to>
      <xdr:col>3</xdr:col>
      <xdr:colOff>609600</xdr:colOff>
      <xdr:row>19</xdr:row>
      <xdr:rowOff>152400</xdr:rowOff>
    </xdr:to>
    <xdr:sp macro="[0]!Berechnen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22400" y="4502150"/>
          <a:ext cx="1866900" cy="6667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/>
            <a:t>Berechnen</a:t>
          </a:r>
        </a:p>
      </xdr:txBody>
    </xdr:sp>
    <xdr:clientData/>
  </xdr:twoCellAnchor>
  <xdr:twoCellAnchor>
    <xdr:from>
      <xdr:col>5</xdr:col>
      <xdr:colOff>0</xdr:colOff>
      <xdr:row>14</xdr:row>
      <xdr:rowOff>19050</xdr:rowOff>
    </xdr:from>
    <xdr:to>
      <xdr:col>7</xdr:col>
      <xdr:colOff>298450</xdr:colOff>
      <xdr:row>17</xdr:row>
      <xdr:rowOff>133350</xdr:rowOff>
    </xdr:to>
    <xdr:sp macro="[0]!Expertenmodus_Ein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03700" y="4114800"/>
          <a:ext cx="1866900" cy="6667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Expertenmodus </a:t>
          </a:r>
        </a:p>
        <a:p>
          <a:pPr algn="ctr"/>
          <a:r>
            <a:rPr lang="de-DE" sz="1400" b="1"/>
            <a:t>starten</a:t>
          </a:r>
        </a:p>
      </xdr:txBody>
    </xdr:sp>
    <xdr:clientData/>
  </xdr:twoCellAnchor>
  <xdr:twoCellAnchor>
    <xdr:from>
      <xdr:col>5</xdr:col>
      <xdr:colOff>31750</xdr:colOff>
      <xdr:row>19</xdr:row>
      <xdr:rowOff>6350</xdr:rowOff>
    </xdr:from>
    <xdr:to>
      <xdr:col>7</xdr:col>
      <xdr:colOff>330200</xdr:colOff>
      <xdr:row>22</xdr:row>
      <xdr:rowOff>120650</xdr:rowOff>
    </xdr:to>
    <xdr:sp macro="[0]!Expertenmodus_Aus" textlink="">
      <xdr:nvSpPr>
        <xdr:cNvPr id="8" name="Abgerundetes Rechtec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35450" y="5022850"/>
          <a:ext cx="1866900" cy="6667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Expertenmodus </a:t>
          </a:r>
        </a:p>
        <a:p>
          <a:pPr algn="ctr"/>
          <a:r>
            <a:rPr lang="de-DE" sz="1400" b="1"/>
            <a:t>beenden</a:t>
          </a:r>
        </a:p>
      </xdr:txBody>
    </xdr:sp>
    <xdr:clientData/>
  </xdr:twoCellAnchor>
  <xdr:twoCellAnchor>
    <xdr:from>
      <xdr:col>7</xdr:col>
      <xdr:colOff>774700</xdr:colOff>
      <xdr:row>16</xdr:row>
      <xdr:rowOff>31750</xdr:rowOff>
    </xdr:from>
    <xdr:to>
      <xdr:col>7</xdr:col>
      <xdr:colOff>2692400</xdr:colOff>
      <xdr:row>19</xdr:row>
      <xdr:rowOff>146050</xdr:rowOff>
    </xdr:to>
    <xdr:sp macro="[0]!Zurücksetzen" textlink="">
      <xdr:nvSpPr>
        <xdr:cNvPr id="9" name="Abgerundetes Rechtec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546850" y="4495800"/>
          <a:ext cx="1917700" cy="6667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Zurück zur Standardeinstellungen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222250</xdr:colOff>
      <xdr:row>37</xdr:row>
      <xdr:rowOff>25400</xdr:rowOff>
    </xdr:from>
    <xdr:to>
      <xdr:col>17</xdr:col>
      <xdr:colOff>180975</xdr:colOff>
      <xdr:row>57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s.dk/0110_2014%20teknologikatalog%20opdat/Fase%203/PV%20HURTIG%20JAN2017/oktober%202017/Copy%20of%2020-23_electricity_generation_-_non-thermal_processes_solar%20PV%20_%20data%20sheet%20rin%2011ok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\\files.ifam.fraunhofer.de\nfspub.pc\Users\Hebisch\Documents\200%20Projekte\221%20DLV%20Technikkatalog\Holger%20-%20work\2.1%20Biomasse-%20Heiz(kraft)werke\2.1%20zentrale_W&#228;rmeversorgung_Biomasse_Heiz(kraft)werke_20211208_HHe___FORMELN.xlsx?D2D96CEA" TargetMode="External"/><Relationship Id="rId1" Type="http://schemas.openxmlformats.org/officeDocument/2006/relationships/externalLinkPath" Target="file:///\\D2D96CEA\2.1%20zentrale_W&#228;rmeversorgung_Biomasse_Heiz(kraft)werke_20211208_HHe___FORMEL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 Photovoltaics  LARGE Old"/>
      <sheetName val="arbejds ark LARGE New"/>
      <sheetName val="22 Photovoltaics  SMALL old "/>
      <sheetName val="fra leverandører"/>
      <sheetName val="22 Photovoltaics  LARGE new"/>
    </sheetNames>
    <sheetDataSet>
      <sheetData sheetId="0">
        <row r="2">
          <cell r="N2">
            <v>0.98501248959200671</v>
          </cell>
        </row>
      </sheetData>
      <sheetData sheetId="1">
        <row r="33">
          <cell r="K33">
            <v>1.0720000000000001</v>
          </cell>
        </row>
        <row r="67">
          <cell r="S67">
            <v>0.97574759572313619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lzhackschnitzel-HKW"/>
      <sheetName val="Holzpellets-HKW"/>
      <sheetName val="Stroh-HKW"/>
      <sheetName val="Holzhackschnitzel-HW"/>
      <sheetName val="Holzpellets-HW"/>
      <sheetName val="Stroh-HW"/>
      <sheetName val="Holzhackschnitzel_GHKW"/>
      <sheetName val="Pellets_GHKW"/>
      <sheetName val="Index "/>
      <sheetName val="Historie"/>
      <sheetName val="Holzhackschnitzel-HKW Rechn."/>
      <sheetName val="Holzhackschnitzel-HKW__ALT"/>
      <sheetName val="09a Wood Chips, Small"/>
      <sheetName val="Holzpellets-HKW Rechn."/>
      <sheetName val="Holzpellets-HKW__ALT"/>
      <sheetName val="09b Wood Pellets, Small"/>
      <sheetName val="Stroh-HKW Rechn."/>
      <sheetName val="Stroh-HKW__ALT"/>
      <sheetName val="09c Straw, Small"/>
      <sheetName val="Holzhackschnitzel-HW Rechn."/>
      <sheetName val="Holzhackschnitzel-HW__ALT"/>
      <sheetName val="09a Wood Chips HOP, small"/>
      <sheetName val="Holzpellets-HW Rechn."/>
      <sheetName val="Holzpellets-HW__ALT"/>
      <sheetName val="09b Wood Pellets HOP"/>
      <sheetName val="Stroh-HW Rechn."/>
      <sheetName val="Stroh-HW__ALT"/>
      <sheetName val="09c Straw HOP"/>
      <sheetName val="Holzhackschnitzel_GHKW Rechn."/>
      <sheetName val="Holzhackschnitzel_GHKW__ALT"/>
      <sheetName val="09a Wood Chips extract. plant"/>
      <sheetName val="Pellets_GHKW Rechn."/>
      <sheetName val="Pellets_GHKW__ALT"/>
      <sheetName val="09b Wood Pellets extract. plan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K2">
            <v>0.8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dew.de/service/daten-und-grafiken/bdew-strompreisanalyse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-genesis.destatis.de/genesis/online?sequenz=tabelleErgebnis&amp;selectionname=61243-0011&amp;language=de" TargetMode="External"/><Relationship Id="rId6" Type="http://schemas.openxmlformats.org/officeDocument/2006/relationships/hyperlink" Target="https://www-genesis.destatis.de/genesis/online?sequenz=tabelleErgebnis&amp;selectionname=61243-0006&amp;language=de" TargetMode="External"/><Relationship Id="rId5" Type="http://schemas.openxmlformats.org/officeDocument/2006/relationships/hyperlink" Target="https://www-genesis.destatis.de/genesis/online?sequenz=tabelleErgebnis&amp;selectionname=61243-0002&amp;language=de" TargetMode="External"/><Relationship Id="rId4" Type="http://schemas.openxmlformats.org/officeDocument/2006/relationships/hyperlink" Target="https://www-genesis.destatis.de/genesis/online?sequenz=tabelleErgebnis&amp;selectionname=61243-0015&amp;language=d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.bdew.de/service/daten-und-grafiken/bdew-strompreisanalyse/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.bdew.de/service/daten-und-grafiken/bdew-strompreisanalyse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-genesis.destatis.de/genesis/online?sequenz=tabelleErgebnis&amp;selectionname=61243-0002&amp;language=de" TargetMode="External"/><Relationship Id="rId2" Type="http://schemas.openxmlformats.org/officeDocument/2006/relationships/hyperlink" Target="https://www-genesis.destatis.de/genesis/online?sequenz=tabelleErgebnis&amp;selectionname=61243-0015&amp;language=de" TargetMode="External"/><Relationship Id="rId1" Type="http://schemas.openxmlformats.org/officeDocument/2006/relationships/hyperlink" Target="https://www-genesis.destatis.de/genesis/online?sequenz=tabelleErgebnis&amp;selectionname=61243-0011&amp;language=de" TargetMode="External"/><Relationship Id="rId4" Type="http://schemas.openxmlformats.org/officeDocument/2006/relationships/hyperlink" Target="https://www-genesis.destatis.de/genesis/online?sequenz=tabelleErgebnis&amp;selectionname=61243-0006&amp;language=d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rgb="FF7030A0"/>
  </sheetPr>
  <dimension ref="A1:BD61"/>
  <sheetViews>
    <sheetView workbookViewId="0">
      <selection activeCell="B15" sqref="B15:K15"/>
    </sheetView>
  </sheetViews>
  <sheetFormatPr baseColWidth="10" defaultColWidth="10.85546875" defaultRowHeight="15" x14ac:dyDescent="0.25"/>
  <cols>
    <col min="1" max="1" width="49.7109375" style="35" customWidth="1"/>
    <col min="2" max="4" width="10.85546875" style="35"/>
    <col min="5" max="5" width="41.85546875" style="35" customWidth="1"/>
    <col min="6" max="7" width="10.85546875" style="35"/>
    <col min="8" max="8" width="17" style="35" customWidth="1"/>
    <col min="9" max="16384" width="10.85546875" style="35"/>
  </cols>
  <sheetData>
    <row r="1" spans="1:20" ht="15.75" x14ac:dyDescent="0.25">
      <c r="A1" s="79"/>
    </row>
    <row r="2" spans="1:20" ht="18.75" x14ac:dyDescent="0.25">
      <c r="A2" s="157" t="s">
        <v>229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80"/>
      <c r="P2" s="80"/>
      <c r="Q2" s="81"/>
      <c r="R2" s="81"/>
      <c r="S2" s="81"/>
    </row>
    <row r="4" spans="1:20" ht="18.75" x14ac:dyDescent="0.3">
      <c r="A4" s="82" t="s">
        <v>230</v>
      </c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</row>
    <row r="5" spans="1:20" x14ac:dyDescent="0.25">
      <c r="A5" s="84" t="s">
        <v>231</v>
      </c>
      <c r="B5" s="85" t="s">
        <v>232</v>
      </c>
    </row>
    <row r="6" spans="1:20" x14ac:dyDescent="0.25">
      <c r="A6" s="86" t="s">
        <v>233</v>
      </c>
      <c r="B6" s="85" t="s">
        <v>234</v>
      </c>
    </row>
    <row r="7" spans="1:20" x14ac:dyDescent="0.25">
      <c r="A7" s="86" t="s">
        <v>235</v>
      </c>
      <c r="B7" s="85" t="s">
        <v>236</v>
      </c>
    </row>
    <row r="8" spans="1:20" x14ac:dyDescent="0.25">
      <c r="A8" s="86" t="s">
        <v>237</v>
      </c>
      <c r="B8" s="85" t="s">
        <v>238</v>
      </c>
    </row>
    <row r="9" spans="1:20" x14ac:dyDescent="0.25">
      <c r="A9" s="86" t="s">
        <v>239</v>
      </c>
      <c r="B9" s="85" t="s">
        <v>240</v>
      </c>
    </row>
    <row r="11" spans="1:20" ht="18.75" x14ac:dyDescent="0.3">
      <c r="A11" s="82" t="s">
        <v>241</v>
      </c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</row>
    <row r="12" spans="1:20" x14ac:dyDescent="0.25">
      <c r="B12" s="87" t="s">
        <v>242</v>
      </c>
    </row>
    <row r="13" spans="1:20" ht="35.1" customHeight="1" x14ac:dyDescent="0.25">
      <c r="A13" s="88" t="s">
        <v>243</v>
      </c>
      <c r="B13" s="158" t="s">
        <v>244</v>
      </c>
      <c r="C13" s="158"/>
      <c r="D13" s="158"/>
      <c r="E13" s="158"/>
      <c r="F13" s="158"/>
      <c r="G13" s="158"/>
      <c r="H13" s="158"/>
      <c r="I13" s="158"/>
      <c r="J13" s="158"/>
      <c r="K13" s="158"/>
    </row>
    <row r="14" spans="1:20" ht="21.6" customHeight="1" x14ac:dyDescent="0.25">
      <c r="A14" s="89" t="s">
        <v>245</v>
      </c>
      <c r="B14" s="158" t="s">
        <v>246</v>
      </c>
      <c r="C14" s="158"/>
      <c r="D14" s="158"/>
      <c r="E14" s="158"/>
      <c r="F14" s="158"/>
      <c r="G14" s="158"/>
      <c r="H14" s="158"/>
      <c r="I14" s="158"/>
      <c r="J14" s="158"/>
      <c r="K14" s="158"/>
    </row>
    <row r="15" spans="1:20" ht="21" customHeight="1" x14ac:dyDescent="0.25">
      <c r="A15" s="88" t="s">
        <v>247</v>
      </c>
      <c r="B15" s="158" t="s">
        <v>248</v>
      </c>
      <c r="C15" s="158"/>
      <c r="D15" s="158"/>
      <c r="E15" s="158"/>
      <c r="F15" s="158"/>
      <c r="G15" s="158"/>
      <c r="H15" s="158"/>
      <c r="I15" s="158"/>
      <c r="J15" s="158"/>
      <c r="K15" s="158"/>
    </row>
    <row r="16" spans="1:20" x14ac:dyDescent="0.25">
      <c r="B16" s="73" t="s">
        <v>249</v>
      </c>
      <c r="C16" s="90" t="s">
        <v>250</v>
      </c>
    </row>
    <row r="17" spans="1:20" x14ac:dyDescent="0.25">
      <c r="B17" s="73" t="s">
        <v>249</v>
      </c>
      <c r="C17" s="90" t="s">
        <v>251</v>
      </c>
    </row>
    <row r="18" spans="1:20" x14ac:dyDescent="0.25">
      <c r="B18" s="73" t="s">
        <v>249</v>
      </c>
      <c r="C18" s="90" t="s">
        <v>252</v>
      </c>
    </row>
    <row r="19" spans="1:20" x14ac:dyDescent="0.25">
      <c r="B19" s="73" t="s">
        <v>249</v>
      </c>
      <c r="C19" s="90" t="s">
        <v>253</v>
      </c>
    </row>
    <row r="20" spans="1:20" ht="65.099999999999994" customHeight="1" x14ac:dyDescent="0.25">
      <c r="A20" s="91" t="s">
        <v>254</v>
      </c>
      <c r="B20" s="159" t="s">
        <v>255</v>
      </c>
      <c r="C20" s="159"/>
      <c r="D20" s="159"/>
      <c r="E20" s="159"/>
      <c r="F20" s="159"/>
      <c r="G20" s="159"/>
      <c r="H20" s="159"/>
      <c r="I20" s="159"/>
      <c r="J20" s="159"/>
      <c r="K20" s="159"/>
    </row>
    <row r="21" spans="1:20" ht="18.75" x14ac:dyDescent="0.3">
      <c r="A21" s="82" t="s">
        <v>256</v>
      </c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</row>
    <row r="22" spans="1:20" ht="20.100000000000001" customHeight="1" x14ac:dyDescent="0.25">
      <c r="A22" s="88" t="s">
        <v>257</v>
      </c>
      <c r="B22" s="160" t="s">
        <v>258</v>
      </c>
      <c r="C22" s="160"/>
      <c r="D22" s="160"/>
      <c r="E22" s="160"/>
      <c r="F22" s="160"/>
      <c r="G22" s="160"/>
      <c r="H22" s="160"/>
      <c r="I22" s="160"/>
      <c r="J22" s="160"/>
      <c r="K22" s="160"/>
    </row>
    <row r="23" spans="1:20" ht="20.100000000000001" customHeight="1" x14ac:dyDescent="0.25">
      <c r="A23" s="88" t="s">
        <v>259</v>
      </c>
      <c r="B23" s="161" t="s">
        <v>260</v>
      </c>
      <c r="C23" s="161"/>
      <c r="D23" s="161"/>
      <c r="E23" s="161"/>
      <c r="F23" s="161"/>
      <c r="G23" s="161"/>
      <c r="H23" s="161"/>
      <c r="I23" s="161"/>
      <c r="J23" s="161"/>
      <c r="K23" s="161"/>
    </row>
    <row r="24" spans="1:20" ht="45.95" customHeight="1" x14ac:dyDescent="0.25">
      <c r="A24" s="88" t="s">
        <v>261</v>
      </c>
      <c r="B24" s="162" t="s">
        <v>262</v>
      </c>
      <c r="C24" s="162"/>
      <c r="D24" s="162"/>
      <c r="E24" s="162"/>
      <c r="F24" s="162"/>
      <c r="G24" s="162"/>
      <c r="H24" s="162"/>
      <c r="I24" s="162"/>
      <c r="J24" s="162"/>
      <c r="K24" s="162"/>
    </row>
    <row r="25" spans="1:20" ht="38.1" customHeight="1" x14ac:dyDescent="0.25">
      <c r="A25" s="92" t="s">
        <v>263</v>
      </c>
      <c r="B25" s="162" t="s">
        <v>264</v>
      </c>
      <c r="C25" s="162"/>
      <c r="D25" s="162"/>
      <c r="E25" s="162"/>
      <c r="F25" s="162"/>
      <c r="G25" s="162"/>
      <c r="H25" s="162"/>
      <c r="I25" s="162"/>
      <c r="J25" s="162"/>
      <c r="K25" s="162"/>
    </row>
    <row r="26" spans="1:20" ht="39.950000000000003" customHeight="1" x14ac:dyDescent="0.25">
      <c r="A26" s="92" t="s">
        <v>265</v>
      </c>
      <c r="B26" s="162" t="s">
        <v>266</v>
      </c>
      <c r="C26" s="162"/>
      <c r="D26" s="162"/>
      <c r="E26" s="162"/>
      <c r="F26" s="162"/>
      <c r="G26" s="162"/>
      <c r="H26" s="162"/>
      <c r="I26" s="162"/>
      <c r="J26" s="162"/>
      <c r="K26" s="162"/>
    </row>
    <row r="27" spans="1:20" ht="19.5" customHeight="1" x14ac:dyDescent="0.25">
      <c r="B27" s="156" t="s">
        <v>267</v>
      </c>
      <c r="C27" s="156"/>
      <c r="D27" s="156"/>
      <c r="E27" s="156"/>
      <c r="F27" s="156"/>
      <c r="G27" s="156"/>
      <c r="H27" s="156"/>
      <c r="I27" s="4"/>
      <c r="J27" s="93" t="s">
        <v>268</v>
      </c>
      <c r="K27" s="94" t="s">
        <v>269</v>
      </c>
      <c r="L27" s="4"/>
    </row>
    <row r="28" spans="1:20" x14ac:dyDescent="0.25">
      <c r="B28" s="156" t="s">
        <v>270</v>
      </c>
      <c r="C28" s="156"/>
      <c r="D28" s="156"/>
      <c r="E28" s="156"/>
      <c r="F28" s="156"/>
      <c r="G28" s="156"/>
      <c r="H28" s="156"/>
      <c r="I28" s="4"/>
      <c r="J28" s="95" t="s">
        <v>271</v>
      </c>
      <c r="K28" s="94" t="s">
        <v>272</v>
      </c>
      <c r="L28" s="4"/>
    </row>
    <row r="30" spans="1:20" ht="23.1" customHeight="1" x14ac:dyDescent="0.25">
      <c r="B30" s="170" t="s">
        <v>273</v>
      </c>
      <c r="C30" s="170"/>
      <c r="D30" s="170"/>
      <c r="E30" s="170"/>
      <c r="F30" s="170"/>
      <c r="G30" s="170"/>
      <c r="H30" s="170"/>
      <c r="I30" s="170"/>
      <c r="J30" s="96"/>
    </row>
    <row r="31" spans="1:20" ht="20.45" customHeight="1" x14ac:dyDescent="0.25">
      <c r="B31" s="97" t="s">
        <v>274</v>
      </c>
      <c r="C31" s="98"/>
      <c r="D31" s="98"/>
      <c r="E31" s="98"/>
      <c r="F31" s="98"/>
      <c r="G31" s="98"/>
      <c r="H31" s="98"/>
      <c r="I31" s="98"/>
      <c r="J31" s="98"/>
      <c r="K31" s="4"/>
    </row>
    <row r="32" spans="1:20" ht="33.950000000000003" customHeight="1" x14ac:dyDescent="0.25">
      <c r="B32" s="159" t="s">
        <v>275</v>
      </c>
      <c r="C32" s="159"/>
      <c r="D32" s="159"/>
      <c r="E32" s="159"/>
      <c r="F32" s="159"/>
      <c r="G32" s="159"/>
      <c r="H32" s="159"/>
      <c r="I32" s="159"/>
      <c r="J32" s="159"/>
      <c r="K32" s="159"/>
    </row>
    <row r="34" spans="1:16" ht="45.75" thickBot="1" x14ac:dyDescent="0.3">
      <c r="A34" s="54"/>
      <c r="B34" s="171" t="s">
        <v>276</v>
      </c>
      <c r="C34" s="172"/>
      <c r="D34" s="172"/>
      <c r="E34" s="173"/>
      <c r="F34" s="99" t="s">
        <v>277</v>
      </c>
      <c r="G34" s="174" t="s">
        <v>278</v>
      </c>
      <c r="H34" s="174"/>
      <c r="P34" s="100"/>
    </row>
    <row r="35" spans="1:16" ht="15.75" thickTop="1" x14ac:dyDescent="0.25">
      <c r="A35" s="163" t="s">
        <v>279</v>
      </c>
      <c r="B35" s="164" t="s">
        <v>280</v>
      </c>
      <c r="C35" s="165"/>
      <c r="D35" s="165"/>
      <c r="E35" s="165"/>
      <c r="F35" s="101" t="s">
        <v>281</v>
      </c>
      <c r="G35" s="166" t="s">
        <v>282</v>
      </c>
      <c r="H35" s="166"/>
      <c r="P35" s="102"/>
    </row>
    <row r="36" spans="1:16" x14ac:dyDescent="0.25">
      <c r="A36" s="163"/>
      <c r="B36" s="167" t="s">
        <v>283</v>
      </c>
      <c r="C36" s="168"/>
      <c r="D36" s="168"/>
      <c r="E36" s="168"/>
      <c r="F36" s="103" t="s">
        <v>284</v>
      </c>
      <c r="G36" s="169" t="s">
        <v>285</v>
      </c>
      <c r="H36" s="169"/>
    </row>
    <row r="37" spans="1:16" x14ac:dyDescent="0.25">
      <c r="A37" s="163"/>
      <c r="B37" s="167" t="s">
        <v>286</v>
      </c>
      <c r="C37" s="168"/>
      <c r="D37" s="168"/>
      <c r="E37" s="168"/>
      <c r="F37" s="103" t="s">
        <v>287</v>
      </c>
      <c r="G37" s="169" t="s">
        <v>288</v>
      </c>
      <c r="H37" s="169"/>
    </row>
    <row r="38" spans="1:16" x14ac:dyDescent="0.25">
      <c r="A38" s="54"/>
      <c r="B38" s="167" t="s">
        <v>289</v>
      </c>
      <c r="C38" s="168"/>
      <c r="D38" s="168"/>
      <c r="E38" s="168"/>
      <c r="F38" s="103" t="s">
        <v>290</v>
      </c>
      <c r="G38" s="169" t="s">
        <v>291</v>
      </c>
      <c r="H38" s="169"/>
    </row>
    <row r="40" spans="1:16" x14ac:dyDescent="0.25">
      <c r="D40" s="71" t="s">
        <v>292</v>
      </c>
      <c r="E40" s="104"/>
      <c r="F40" s="104" t="s">
        <v>293</v>
      </c>
      <c r="G40" s="104"/>
    </row>
    <row r="45" spans="1:16" x14ac:dyDescent="0.25">
      <c r="C45" s="105" t="s">
        <v>294</v>
      </c>
    </row>
    <row r="50" spans="1:56" ht="18.95" customHeight="1" x14ac:dyDescent="0.25">
      <c r="B50" s="97" t="s">
        <v>295</v>
      </c>
      <c r="C50" s="96"/>
    </row>
    <row r="51" spans="1:56" s="4" customFormat="1" ht="20.45" customHeight="1" x14ac:dyDescent="0.25">
      <c r="B51" s="97" t="s">
        <v>296</v>
      </c>
      <c r="C51" s="98"/>
    </row>
    <row r="53" spans="1:56" ht="18.75" x14ac:dyDescent="0.3">
      <c r="A53" s="82" t="s">
        <v>297</v>
      </c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</row>
    <row r="54" spans="1:56" x14ac:dyDescent="0.25">
      <c r="B54" s="85" t="s">
        <v>298</v>
      </c>
    </row>
    <row r="56" spans="1:56" ht="18.75" x14ac:dyDescent="0.3">
      <c r="A56" s="82" t="s">
        <v>299</v>
      </c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  <c r="AD56" s="83"/>
      <c r="AE56" s="83"/>
      <c r="AF56" s="83"/>
      <c r="AG56" s="83"/>
      <c r="AH56" s="83"/>
      <c r="AI56" s="83"/>
      <c r="AJ56" s="83"/>
      <c r="AK56" s="83"/>
      <c r="AL56" s="83"/>
      <c r="AM56" s="83"/>
      <c r="AN56" s="83"/>
      <c r="AO56" s="83"/>
      <c r="AP56" s="83"/>
      <c r="AQ56" s="83"/>
      <c r="AR56" s="83"/>
      <c r="AS56" s="83"/>
      <c r="AT56" s="83"/>
      <c r="AU56" s="83"/>
      <c r="AV56" s="83"/>
      <c r="AW56" s="83"/>
      <c r="AX56" s="83"/>
      <c r="AY56" s="83"/>
      <c r="AZ56" s="83"/>
      <c r="BA56" s="83"/>
      <c r="BB56" s="83"/>
      <c r="BC56" s="83"/>
      <c r="BD56" s="83"/>
    </row>
    <row r="57" spans="1:56" x14ac:dyDescent="0.25">
      <c r="B57" s="85" t="s">
        <v>300</v>
      </c>
    </row>
    <row r="61" spans="1:56" ht="15.75" x14ac:dyDescent="0.25">
      <c r="A61" s="106"/>
    </row>
  </sheetData>
  <mergeCells count="25">
    <mergeCell ref="B38:E38"/>
    <mergeCell ref="G38:H38"/>
    <mergeCell ref="B30:I30"/>
    <mergeCell ref="B32:K32"/>
    <mergeCell ref="B34:E34"/>
    <mergeCell ref="G34:H34"/>
    <mergeCell ref="A35:A37"/>
    <mergeCell ref="B35:E35"/>
    <mergeCell ref="G35:H35"/>
    <mergeCell ref="B36:E36"/>
    <mergeCell ref="G36:H36"/>
    <mergeCell ref="B37:E37"/>
    <mergeCell ref="G37:H37"/>
    <mergeCell ref="B28:H28"/>
    <mergeCell ref="A2:N2"/>
    <mergeCell ref="B13:K13"/>
    <mergeCell ref="B14:K14"/>
    <mergeCell ref="B15:K15"/>
    <mergeCell ref="B20:K20"/>
    <mergeCell ref="B22:K22"/>
    <mergeCell ref="B23:K23"/>
    <mergeCell ref="B24:K24"/>
    <mergeCell ref="B25:K25"/>
    <mergeCell ref="B26:K26"/>
    <mergeCell ref="B27:H27"/>
  </mergeCells>
  <hyperlinks>
    <hyperlink ref="C16" r:id="rId1" location="abreadcrumb" display="abreadcrumb" xr:uid="{00000000-0004-0000-0000-000000000000}"/>
    <hyperlink ref="K27" r:id="rId2" display="https://www.bdew.de/service/daten-und-grafiken/bdew-gaspreisanalyse/" xr:uid="{00000000-0004-0000-0000-000001000000}"/>
    <hyperlink ref="K28" r:id="rId3" display="https://www.bdew.de/service/daten-und-grafiken/bdew-strompreisanalyse/" xr:uid="{00000000-0004-0000-0000-000002000000}"/>
    <hyperlink ref="C17" r:id="rId4" location="abreadcrumb" display="https://www-genesis.destatis.de/genesis/online?sequenz=tabelleErgebnis&amp;selectionname=61243-0015&amp;language=de - abreadcrumb" xr:uid="{00000000-0004-0000-0000-000003000000}"/>
    <hyperlink ref="C18" r:id="rId5" location="abreadcrumb" display="https://www-genesis.destatis.de/genesis/online?sequenz=tabelleErgebnis&amp;selectionname=61243-0002&amp;language=de - abreadcrumb" xr:uid="{00000000-0004-0000-0000-000004000000}"/>
    <hyperlink ref="C19" r:id="rId6" location="abreadcrumb" display="https://www-genesis.destatis.de/genesis/online?sequenz=tabelleErgebnis&amp;selectionname=61243-0006&amp;language=de - abreadcrumb" xr:uid="{00000000-0004-0000-0000-000005000000}"/>
  </hyperlinks>
  <pageMargins left="0.7" right="0.7" top="0.78740157499999996" bottom="0.78740157499999996" header="0.3" footer="0.3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B3:Z12"/>
  <sheetViews>
    <sheetView tabSelected="1" workbookViewId="0">
      <selection activeCell="J10" sqref="J10"/>
    </sheetView>
  </sheetViews>
  <sheetFormatPr baseColWidth="10" defaultRowHeight="15" x14ac:dyDescent="0.25"/>
  <cols>
    <col min="1" max="1" width="4.140625" customWidth="1"/>
    <col min="2" max="2" width="23.28515625" customWidth="1"/>
    <col min="6" max="6" width="11.5703125" bestFit="1" customWidth="1"/>
    <col min="8" max="8" width="82.85546875" customWidth="1"/>
    <col min="9" max="9" width="12" bestFit="1" customWidth="1"/>
    <col min="10" max="10" width="11.42578125" customWidth="1"/>
  </cols>
  <sheetData>
    <row r="3" spans="2:26" x14ac:dyDescent="0.25">
      <c r="B3" s="32" t="s">
        <v>198</v>
      </c>
      <c r="C3" s="178" t="s">
        <v>51</v>
      </c>
      <c r="D3" s="178"/>
      <c r="E3" s="178"/>
      <c r="F3" s="178"/>
      <c r="G3" s="178"/>
      <c r="H3" s="178"/>
    </row>
    <row r="4" spans="2:26" s="65" customFormat="1" ht="30" customHeight="1" x14ac:dyDescent="0.25">
      <c r="B4" s="64" t="s">
        <v>56</v>
      </c>
      <c r="C4" s="175" t="s">
        <v>58</v>
      </c>
      <c r="D4" s="176"/>
      <c r="E4" s="176"/>
      <c r="F4" s="176"/>
      <c r="G4" s="176"/>
      <c r="H4" s="177"/>
      <c r="Y4" s="66"/>
      <c r="Z4" s="66"/>
    </row>
    <row r="5" spans="2:26" s="65" customFormat="1" ht="30" customHeight="1" x14ac:dyDescent="0.25">
      <c r="B5" s="64" t="s">
        <v>57</v>
      </c>
      <c r="C5" s="175" t="s">
        <v>46</v>
      </c>
      <c r="D5" s="176"/>
      <c r="E5" s="176"/>
      <c r="F5" s="176"/>
      <c r="G5" s="176"/>
      <c r="H5" s="177"/>
    </row>
    <row r="6" spans="2:26" s="65" customFormat="1" ht="30" customHeight="1" x14ac:dyDescent="0.25">
      <c r="B6" s="64" t="s">
        <v>187</v>
      </c>
      <c r="C6" s="175" t="s">
        <v>192</v>
      </c>
      <c r="D6" s="176"/>
      <c r="E6" s="176"/>
      <c r="F6" s="176"/>
      <c r="G6" s="176"/>
      <c r="H6" s="177"/>
    </row>
    <row r="7" spans="2:26" s="65" customFormat="1" ht="30" customHeight="1" x14ac:dyDescent="0.25">
      <c r="B7" s="64" t="s">
        <v>188</v>
      </c>
      <c r="C7" s="175" t="s">
        <v>193</v>
      </c>
      <c r="D7" s="176"/>
      <c r="E7" s="176"/>
      <c r="F7" s="176"/>
      <c r="G7" s="176"/>
      <c r="H7" s="177"/>
    </row>
    <row r="8" spans="2:26" s="65" customFormat="1" ht="30" customHeight="1" x14ac:dyDescent="0.25">
      <c r="B8" s="64" t="s">
        <v>143</v>
      </c>
      <c r="C8" s="175" t="s">
        <v>194</v>
      </c>
      <c r="D8" s="176"/>
      <c r="E8" s="176"/>
      <c r="F8" s="176"/>
      <c r="G8" s="176"/>
      <c r="H8" s="177"/>
    </row>
    <row r="9" spans="2:26" s="65" customFormat="1" ht="30" customHeight="1" x14ac:dyDescent="0.25">
      <c r="B9" s="64" t="s">
        <v>189</v>
      </c>
      <c r="C9" s="175" t="s">
        <v>195</v>
      </c>
      <c r="D9" s="176"/>
      <c r="E9" s="176"/>
      <c r="F9" s="176"/>
      <c r="G9" s="176"/>
      <c r="H9" s="177"/>
    </row>
    <row r="10" spans="2:26" s="65" customFormat="1" ht="30" customHeight="1" x14ac:dyDescent="0.25">
      <c r="B10" s="64" t="s">
        <v>190</v>
      </c>
      <c r="C10" s="175" t="s">
        <v>196</v>
      </c>
      <c r="D10" s="176"/>
      <c r="E10" s="176"/>
      <c r="F10" s="176"/>
      <c r="G10" s="176"/>
      <c r="H10" s="177"/>
    </row>
    <row r="11" spans="2:26" s="65" customFormat="1" ht="30" customHeight="1" x14ac:dyDescent="0.25">
      <c r="B11" s="64" t="s">
        <v>191</v>
      </c>
      <c r="C11" s="175" t="s">
        <v>197</v>
      </c>
      <c r="D11" s="176"/>
      <c r="E11" s="176"/>
      <c r="F11" s="176"/>
      <c r="G11" s="176"/>
      <c r="H11" s="177"/>
    </row>
    <row r="12" spans="2:26" x14ac:dyDescent="0.25">
      <c r="B12" s="35"/>
      <c r="C12" s="35"/>
      <c r="D12" s="35"/>
      <c r="E12" s="35"/>
      <c r="F12" s="35"/>
      <c r="G12" s="35"/>
      <c r="H12" s="35"/>
    </row>
  </sheetData>
  <mergeCells count="9">
    <mergeCell ref="C10:H10"/>
    <mergeCell ref="C11:H11"/>
    <mergeCell ref="C3:H3"/>
    <mergeCell ref="C6:H6"/>
    <mergeCell ref="C7:H7"/>
    <mergeCell ref="C8:H8"/>
    <mergeCell ref="C9:H9"/>
    <mergeCell ref="C4:H4"/>
    <mergeCell ref="C5:H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AY50"/>
  <sheetViews>
    <sheetView workbookViewId="0">
      <selection activeCell="W18" sqref="W18:W19"/>
    </sheetView>
  </sheetViews>
  <sheetFormatPr baseColWidth="10" defaultColWidth="10.85546875" defaultRowHeight="18.75" x14ac:dyDescent="0.25"/>
  <cols>
    <col min="1" max="1" width="11.85546875" style="35" bestFit="1" customWidth="1"/>
    <col min="2" max="2" width="11.85546875" style="35" customWidth="1"/>
    <col min="3" max="12" width="10.85546875" style="35"/>
    <col min="13" max="13" width="13.85546875" style="35" customWidth="1"/>
    <col min="14" max="14" width="2.5703125" style="35" customWidth="1"/>
    <col min="15" max="15" width="18.85546875" style="5" customWidth="1"/>
    <col min="16" max="16" width="20.85546875" style="5" bestFit="1" customWidth="1"/>
    <col min="17" max="17" width="18.5703125" style="5" customWidth="1"/>
    <col min="18" max="18" width="21.85546875" style="5" customWidth="1"/>
    <col min="19" max="19" width="4.140625" style="5" customWidth="1"/>
    <col min="20" max="20" width="21.85546875" style="5" bestFit="1" customWidth="1"/>
    <col min="21" max="21" width="12.28515625" style="5" customWidth="1"/>
    <col min="22" max="22" width="20.140625" style="5" bestFit="1" customWidth="1"/>
    <col min="23" max="23" width="19" style="5" bestFit="1" customWidth="1"/>
    <col min="24" max="24" width="21.42578125" style="5" bestFit="1" customWidth="1"/>
    <col min="25" max="25" width="23.42578125" style="5" bestFit="1" customWidth="1"/>
    <col min="26" max="26" width="16.140625" style="5" customWidth="1"/>
    <col min="27" max="27" width="21.28515625" style="5" customWidth="1"/>
    <col min="28" max="16384" width="10.85546875" style="35"/>
  </cols>
  <sheetData>
    <row r="1" spans="1:51" ht="30" customHeight="1" x14ac:dyDescent="0.25">
      <c r="C1" s="185" t="s">
        <v>104</v>
      </c>
      <c r="D1" s="185"/>
      <c r="E1" s="185"/>
      <c r="F1" s="185"/>
      <c r="G1" s="185"/>
      <c r="H1" s="185"/>
      <c r="O1" s="186" t="s">
        <v>60</v>
      </c>
      <c r="P1" s="186"/>
      <c r="Q1" s="186" t="s">
        <v>61</v>
      </c>
      <c r="R1" s="186"/>
      <c r="T1" s="35"/>
      <c r="U1" s="35"/>
      <c r="V1" s="35"/>
      <c r="W1" s="35"/>
    </row>
    <row r="2" spans="1:51" s="4" customFormat="1" ht="75" x14ac:dyDescent="0.25">
      <c r="A2" s="6" t="s">
        <v>54</v>
      </c>
      <c r="B2" s="7" t="s">
        <v>302</v>
      </c>
      <c r="C2" s="7" t="s">
        <v>103</v>
      </c>
      <c r="D2" s="7" t="s">
        <v>53</v>
      </c>
      <c r="E2" s="7" t="s">
        <v>48</v>
      </c>
      <c r="F2" s="7" t="s">
        <v>49</v>
      </c>
      <c r="G2" s="7" t="s">
        <v>47</v>
      </c>
      <c r="H2" s="7" t="s">
        <v>50</v>
      </c>
      <c r="I2" s="187" t="s">
        <v>62</v>
      </c>
      <c r="J2" s="188"/>
      <c r="K2" s="189"/>
      <c r="L2" s="8" t="s">
        <v>63</v>
      </c>
      <c r="M2" s="8" t="s">
        <v>64</v>
      </c>
      <c r="O2" s="8" t="s">
        <v>65</v>
      </c>
      <c r="P2" s="8" t="s">
        <v>66</v>
      </c>
      <c r="Q2" s="8" t="s">
        <v>65</v>
      </c>
      <c r="R2" s="8" t="s">
        <v>66</v>
      </c>
      <c r="S2" s="5"/>
      <c r="T2" s="5"/>
      <c r="U2" s="5"/>
      <c r="V2" s="5"/>
      <c r="W2" s="5"/>
      <c r="X2" s="5"/>
      <c r="Y2" s="5"/>
      <c r="Z2" s="5"/>
      <c r="AA2" s="5"/>
    </row>
    <row r="3" spans="1:51" ht="15" customHeight="1" thickBot="1" x14ac:dyDescent="0.3">
      <c r="A3" s="9" t="s">
        <v>55</v>
      </c>
      <c r="B3" s="9" t="s">
        <v>303</v>
      </c>
      <c r="C3" s="42" t="s">
        <v>102</v>
      </c>
      <c r="D3" s="42" t="s">
        <v>67</v>
      </c>
      <c r="E3" s="42" t="s">
        <v>67</v>
      </c>
      <c r="F3" s="41" t="s">
        <v>67</v>
      </c>
      <c r="G3" s="41" t="s">
        <v>68</v>
      </c>
      <c r="H3" s="41" t="s">
        <v>68</v>
      </c>
      <c r="I3" s="41" t="s">
        <v>53</v>
      </c>
      <c r="J3" s="41" t="s">
        <v>48</v>
      </c>
      <c r="K3" s="41" t="s">
        <v>49</v>
      </c>
      <c r="L3" s="41" t="s">
        <v>67</v>
      </c>
      <c r="M3" s="41" t="s">
        <v>7</v>
      </c>
      <c r="O3" s="41" t="s">
        <v>69</v>
      </c>
      <c r="P3" s="41" t="s">
        <v>69</v>
      </c>
      <c r="Q3" s="41" t="s">
        <v>69</v>
      </c>
      <c r="R3" s="41" t="s">
        <v>69</v>
      </c>
      <c r="T3" s="115" t="s">
        <v>174</v>
      </c>
      <c r="U3" s="42">
        <v>5</v>
      </c>
      <c r="V3" s="47" t="s">
        <v>175</v>
      </c>
      <c r="W3" s="20"/>
    </row>
    <row r="4" spans="1:51" ht="15" customHeight="1" x14ac:dyDescent="0.25">
      <c r="A4" s="10">
        <v>2021</v>
      </c>
      <c r="B4" s="108"/>
      <c r="C4" s="24">
        <v>202.36905531063138</v>
      </c>
      <c r="D4" s="24">
        <v>14.18375833333333</v>
      </c>
      <c r="E4" s="24">
        <v>59.801405438435687</v>
      </c>
      <c r="F4" s="43">
        <v>78.478131834506996</v>
      </c>
      <c r="G4" s="43">
        <v>51.626388655112066</v>
      </c>
      <c r="H4" s="78">
        <v>25</v>
      </c>
      <c r="I4" s="11">
        <v>0.25</v>
      </c>
      <c r="J4" s="11">
        <v>0.75</v>
      </c>
      <c r="K4" s="11">
        <v>0</v>
      </c>
      <c r="L4" s="43">
        <v>40.17</v>
      </c>
      <c r="M4" s="12">
        <v>0.2</v>
      </c>
      <c r="O4" s="43">
        <f>'destatis-Daten'!$C$8*100</f>
        <v>1.5333333333333332</v>
      </c>
      <c r="P4" s="43">
        <f>'destatis-Daten'!$D$8*100-U5</f>
        <v>0.61333333333333329</v>
      </c>
      <c r="Q4" s="43">
        <f>'destatis-Daten'!$M$10*100</f>
        <v>8.3633333333333333</v>
      </c>
      <c r="R4" s="43">
        <f>'destatis-Daten'!$N$10*100-U4</f>
        <v>10.93</v>
      </c>
      <c r="T4" s="115" t="s">
        <v>172</v>
      </c>
      <c r="U4" s="42">
        <v>5.13</v>
      </c>
      <c r="V4" s="47" t="s">
        <v>175</v>
      </c>
      <c r="W4" s="110" t="s">
        <v>304</v>
      </c>
      <c r="X4" s="111" t="s">
        <v>272</v>
      </c>
      <c r="Y4" s="20"/>
    </row>
    <row r="5" spans="1:51" x14ac:dyDescent="0.25">
      <c r="A5" s="10">
        <v>2022</v>
      </c>
      <c r="B5" s="109"/>
      <c r="C5" s="24">
        <v>300.69444444444446</v>
      </c>
      <c r="D5" s="24">
        <v>86.99</v>
      </c>
      <c r="E5" s="24">
        <v>69.28871096536281</v>
      </c>
      <c r="F5" s="78">
        <v>82.779922593545848</v>
      </c>
      <c r="G5" s="78">
        <v>71.255331298577772</v>
      </c>
      <c r="H5" s="78">
        <v>30</v>
      </c>
      <c r="I5" s="11">
        <v>0.25</v>
      </c>
      <c r="J5" s="11">
        <v>0.75</v>
      </c>
      <c r="K5" s="11">
        <v>0</v>
      </c>
      <c r="L5" s="78">
        <v>88.42</v>
      </c>
      <c r="M5" s="12">
        <v>0.2</v>
      </c>
      <c r="O5" s="78">
        <f>IF(O4*(1+$X$10)&gt;$Y$10,$Y$10,(O4*(1+$X$10)))</f>
        <v>1.5563333333333331</v>
      </c>
      <c r="P5" s="78">
        <f t="shared" ref="P5:P50" si="0">P4*(1+$V$15)</f>
        <v>0.61946666666666661</v>
      </c>
      <c r="Q5" s="78">
        <f>IF(Q4*(1+$X$8)&gt;$Y$8,$Y$8,Q4*(1+$X$8))</f>
        <v>8.5891433333333325</v>
      </c>
      <c r="R5" s="78">
        <f>(R4-U3)</f>
        <v>5.93</v>
      </c>
      <c r="T5" s="115" t="s">
        <v>173</v>
      </c>
      <c r="U5" s="42">
        <v>1.1299999999999999</v>
      </c>
      <c r="V5" s="47" t="s">
        <v>175</v>
      </c>
      <c r="W5" s="110" t="s">
        <v>305</v>
      </c>
      <c r="X5" s="94" t="s">
        <v>269</v>
      </c>
    </row>
    <row r="6" spans="1:51" x14ac:dyDescent="0.25">
      <c r="A6" s="10">
        <v>2023</v>
      </c>
      <c r="B6" s="109"/>
      <c r="C6" s="24">
        <v>348.329045865963</v>
      </c>
      <c r="D6" s="24">
        <v>127</v>
      </c>
      <c r="E6" s="112">
        <v>145.19999999999999</v>
      </c>
      <c r="F6" s="112">
        <v>84.959759732148513</v>
      </c>
      <c r="G6" s="112">
        <v>79.599999999999994</v>
      </c>
      <c r="H6" s="112">
        <v>35</v>
      </c>
      <c r="I6" s="11">
        <v>0.25</v>
      </c>
      <c r="J6" s="11">
        <v>0.75</v>
      </c>
      <c r="K6" s="11">
        <v>0</v>
      </c>
      <c r="L6" s="112">
        <v>366</v>
      </c>
      <c r="M6" s="12">
        <v>0.2</v>
      </c>
      <c r="O6" s="78">
        <f t="shared" ref="O6:O13" si="1">IF(O5*(1+$X$10)&gt;$Y$10,$Y$10,(O5*(1+$X$10)))</f>
        <v>1.5796783333333331</v>
      </c>
      <c r="P6" s="78">
        <f t="shared" si="0"/>
        <v>0.62566133333333329</v>
      </c>
      <c r="Q6" s="78">
        <f t="shared" ref="Q6:Q13" si="2">IF(Q5*(1+$X$8)&gt;$Y$8,$Y$8,Q5*(1+$X$8))</f>
        <v>8.821050203333332</v>
      </c>
      <c r="R6" s="112">
        <f t="shared" ref="R6:R50" si="3">R5*(1+$V$16)</f>
        <v>6.0189499999999994</v>
      </c>
      <c r="T6" s="20"/>
      <c r="U6" s="21"/>
    </row>
    <row r="7" spans="1:51" x14ac:dyDescent="0.25">
      <c r="A7" s="3">
        <v>2024</v>
      </c>
      <c r="B7" s="109"/>
      <c r="C7" s="24">
        <v>395.96364728748154</v>
      </c>
      <c r="D7" s="24">
        <v>102.75</v>
      </c>
      <c r="E7" s="112">
        <v>145.19999999999999</v>
      </c>
      <c r="F7" s="112">
        <v>82.849888480622624</v>
      </c>
      <c r="G7" s="112">
        <v>84</v>
      </c>
      <c r="H7" s="112">
        <v>45</v>
      </c>
      <c r="I7" s="12">
        <v>0.25</v>
      </c>
      <c r="J7" s="12">
        <v>0.75</v>
      </c>
      <c r="K7" s="12">
        <v>0</v>
      </c>
      <c r="L7" s="112">
        <v>251</v>
      </c>
      <c r="M7" s="12">
        <v>0.2</v>
      </c>
      <c r="O7" s="78">
        <f t="shared" si="1"/>
        <v>1.6033735083333329</v>
      </c>
      <c r="P7" s="78">
        <f t="shared" si="0"/>
        <v>0.63191794666666667</v>
      </c>
      <c r="Q7" s="78">
        <f t="shared" si="2"/>
        <v>9.059218558823332</v>
      </c>
      <c r="R7" s="112">
        <f t="shared" si="3"/>
        <v>6.1092342499999992</v>
      </c>
      <c r="T7" s="116" t="s">
        <v>162</v>
      </c>
      <c r="U7" s="46"/>
      <c r="V7" s="116" t="s">
        <v>168</v>
      </c>
      <c r="W7" s="116" t="s">
        <v>169</v>
      </c>
      <c r="X7" s="116" t="s">
        <v>170</v>
      </c>
      <c r="Y7" s="116" t="s">
        <v>307</v>
      </c>
    </row>
    <row r="8" spans="1:51" x14ac:dyDescent="0.25">
      <c r="A8" s="3">
        <v>2025</v>
      </c>
      <c r="B8" s="109"/>
      <c r="C8" s="24">
        <v>443.59824870900002</v>
      </c>
      <c r="D8" s="24">
        <v>74.400000000000006</v>
      </c>
      <c r="E8" s="112">
        <v>145.19999999999999</v>
      </c>
      <c r="F8" s="112">
        <v>85.369606062452206</v>
      </c>
      <c r="G8" s="112">
        <v>90</v>
      </c>
      <c r="H8" s="112">
        <v>55</v>
      </c>
      <c r="I8" s="12">
        <v>0.25</v>
      </c>
      <c r="J8" s="12">
        <v>0.75</v>
      </c>
      <c r="K8" s="12">
        <v>0</v>
      </c>
      <c r="L8" s="112">
        <v>177.6</v>
      </c>
      <c r="M8" s="12">
        <v>0.2</v>
      </c>
      <c r="O8" s="78">
        <f t="shared" si="1"/>
        <v>1.6274241109583327</v>
      </c>
      <c r="P8" s="78">
        <f t="shared" si="0"/>
        <v>0.63823712613333339</v>
      </c>
      <c r="Q8" s="78">
        <f t="shared" si="2"/>
        <v>9.3038174599115617</v>
      </c>
      <c r="R8" s="112">
        <f t="shared" si="3"/>
        <v>6.2008727637499987</v>
      </c>
      <c r="T8" s="190" t="s">
        <v>61</v>
      </c>
      <c r="U8" s="116" t="s">
        <v>163</v>
      </c>
      <c r="V8" s="44">
        <v>3.5000000000000003E-2</v>
      </c>
      <c r="W8" s="44">
        <v>8.0000000000000002E-3</v>
      </c>
      <c r="X8" s="117">
        <f>V8-W8</f>
        <v>2.7000000000000003E-2</v>
      </c>
      <c r="Y8" s="179">
        <f>2*$Q$4</f>
        <v>16.726666666666667</v>
      </c>
    </row>
    <row r="9" spans="1:51" x14ac:dyDescent="0.25">
      <c r="A9" s="3">
        <v>2026</v>
      </c>
      <c r="B9" s="109"/>
      <c r="C9" s="24">
        <v>472.58182667519998</v>
      </c>
      <c r="D9" s="24">
        <v>45.68</v>
      </c>
      <c r="E9" s="112">
        <v>145.19999999999999</v>
      </c>
      <c r="F9" s="112">
        <v>87.032916032785266</v>
      </c>
      <c r="G9" s="112">
        <v>96.5</v>
      </c>
      <c r="H9" s="112">
        <v>96.5</v>
      </c>
      <c r="I9" s="12">
        <v>0.25</v>
      </c>
      <c r="J9" s="12">
        <v>0.75</v>
      </c>
      <c r="K9" s="12">
        <v>0</v>
      </c>
      <c r="L9" s="112">
        <v>144.9</v>
      </c>
      <c r="M9" s="12">
        <v>0.2</v>
      </c>
      <c r="O9" s="78">
        <f t="shared" si="1"/>
        <v>1.6518354726227076</v>
      </c>
      <c r="P9" s="78">
        <f t="shared" si="0"/>
        <v>0.64461949739466673</v>
      </c>
      <c r="Q9" s="78">
        <f t="shared" si="2"/>
        <v>9.5550205313291734</v>
      </c>
      <c r="R9" s="112">
        <f t="shared" si="3"/>
        <v>6.2938858552062484</v>
      </c>
      <c r="T9" s="191"/>
      <c r="U9" s="116" t="s">
        <v>164</v>
      </c>
      <c r="V9" s="44">
        <v>3.5000000000000003E-2</v>
      </c>
      <c r="W9" s="44">
        <v>0.02</v>
      </c>
      <c r="X9" s="117">
        <f>V9-W9</f>
        <v>1.5000000000000003E-2</v>
      </c>
      <c r="Y9" s="180"/>
      <c r="Z9" s="20"/>
      <c r="AA9" s="20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51" x14ac:dyDescent="0.25">
      <c r="A10" s="3">
        <v>2027</v>
      </c>
      <c r="B10" s="109"/>
      <c r="C10" s="24">
        <v>501.56540464139994</v>
      </c>
      <c r="D10" s="24">
        <v>40</v>
      </c>
      <c r="E10" s="112">
        <v>145.19999999999999</v>
      </c>
      <c r="F10" s="112">
        <v>87.161122937857641</v>
      </c>
      <c r="G10" s="112">
        <v>120.37037037037038</v>
      </c>
      <c r="H10" s="112">
        <v>120.37037037037038</v>
      </c>
      <c r="I10" s="12">
        <v>0.25</v>
      </c>
      <c r="J10" s="12">
        <v>0.75</v>
      </c>
      <c r="K10" s="12">
        <v>0</v>
      </c>
      <c r="L10" s="112">
        <v>130</v>
      </c>
      <c r="M10" s="12">
        <v>0.2</v>
      </c>
      <c r="O10" s="78">
        <f t="shared" si="1"/>
        <v>1.676613004712048</v>
      </c>
      <c r="P10" s="78">
        <f t="shared" si="0"/>
        <v>0.65106569236861345</v>
      </c>
      <c r="Q10" s="78">
        <f t="shared" si="2"/>
        <v>9.8130060856750596</v>
      </c>
      <c r="R10" s="112">
        <f t="shared" si="3"/>
        <v>6.3882941430343418</v>
      </c>
      <c r="T10" s="192" t="s">
        <v>165</v>
      </c>
      <c r="U10" s="116" t="s">
        <v>163</v>
      </c>
      <c r="V10" s="44">
        <v>0</v>
      </c>
      <c r="W10" s="44">
        <v>-1.4999999999999999E-2</v>
      </c>
      <c r="X10" s="117">
        <f>V10-W10</f>
        <v>1.4999999999999999E-2</v>
      </c>
      <c r="Y10" s="179">
        <f>5*$O$4</f>
        <v>7.6666666666666661</v>
      </c>
    </row>
    <row r="11" spans="1:51" x14ac:dyDescent="0.25">
      <c r="A11" s="3">
        <v>2028</v>
      </c>
      <c r="B11" s="109"/>
      <c r="C11" s="24">
        <v>530.5489826075999</v>
      </c>
      <c r="D11" s="24">
        <v>37</v>
      </c>
      <c r="E11" s="112">
        <v>145.19999999999999</v>
      </c>
      <c r="F11" s="112">
        <v>87.456292424015899</v>
      </c>
      <c r="G11" s="112">
        <v>103.08972073677953</v>
      </c>
      <c r="H11" s="112">
        <v>103.08972073677953</v>
      </c>
      <c r="I11" s="12">
        <v>0.25</v>
      </c>
      <c r="J11" s="12">
        <v>0.75</v>
      </c>
      <c r="K11" s="12">
        <v>0</v>
      </c>
      <c r="L11" s="112">
        <v>115</v>
      </c>
      <c r="M11" s="12">
        <v>0.2</v>
      </c>
      <c r="O11" s="78">
        <f t="shared" si="1"/>
        <v>1.7017621997827286</v>
      </c>
      <c r="P11" s="78">
        <f t="shared" si="0"/>
        <v>0.65757634929229958</v>
      </c>
      <c r="Q11" s="78">
        <f t="shared" si="2"/>
        <v>10.077957249988286</v>
      </c>
      <c r="R11" s="112">
        <f t="shared" si="3"/>
        <v>6.4841185551798564</v>
      </c>
      <c r="T11" s="193"/>
      <c r="U11" s="116" t="s">
        <v>164</v>
      </c>
      <c r="V11" s="44">
        <v>3.5000000000000003E-2</v>
      </c>
      <c r="W11" s="44">
        <v>-0.03</v>
      </c>
      <c r="X11" s="117">
        <f>V11-W11</f>
        <v>6.5000000000000002E-2</v>
      </c>
      <c r="Y11" s="180"/>
      <c r="AQ11" s="35">
        <v>50</v>
      </c>
      <c r="AR11" s="35">
        <v>50</v>
      </c>
      <c r="AS11" s="35">
        <v>50</v>
      </c>
      <c r="AT11" s="35">
        <v>50</v>
      </c>
      <c r="AU11" s="35">
        <v>50</v>
      </c>
      <c r="AV11" s="35">
        <v>50</v>
      </c>
      <c r="AW11" s="35">
        <v>50</v>
      </c>
      <c r="AX11" s="35">
        <v>50</v>
      </c>
      <c r="AY11" s="35">
        <v>50</v>
      </c>
    </row>
    <row r="12" spans="1:51" x14ac:dyDescent="0.25">
      <c r="A12" s="3">
        <v>2029</v>
      </c>
      <c r="B12" s="109"/>
      <c r="C12" s="24">
        <v>559.53256057379986</v>
      </c>
      <c r="D12" s="24">
        <v>33</v>
      </c>
      <c r="E12" s="112">
        <v>145.19999999999999</v>
      </c>
      <c r="F12" s="112">
        <v>89.151878536272562</v>
      </c>
      <c r="G12" s="112">
        <v>93.68191721132898</v>
      </c>
      <c r="H12" s="112">
        <v>93.68191721132898</v>
      </c>
      <c r="I12" s="12">
        <v>0.25</v>
      </c>
      <c r="J12" s="12">
        <v>0.75</v>
      </c>
      <c r="K12" s="12">
        <v>0</v>
      </c>
      <c r="L12" s="112">
        <v>100</v>
      </c>
      <c r="M12" s="12">
        <v>0.2</v>
      </c>
      <c r="O12" s="78">
        <f t="shared" si="1"/>
        <v>1.7272886327794694</v>
      </c>
      <c r="P12" s="78">
        <f t="shared" si="0"/>
        <v>0.66415211278522257</v>
      </c>
      <c r="Q12" s="78">
        <f t="shared" si="2"/>
        <v>10.350062095737968</v>
      </c>
      <c r="R12" s="112">
        <f t="shared" si="3"/>
        <v>6.5813803335075534</v>
      </c>
      <c r="T12" s="6"/>
      <c r="U12" s="6"/>
      <c r="V12" s="45"/>
    </row>
    <row r="13" spans="1:51" ht="19.5" thickBot="1" x14ac:dyDescent="0.3">
      <c r="A13" s="3">
        <v>2030</v>
      </c>
      <c r="B13" s="109"/>
      <c r="C13" s="24">
        <v>588.51613854000004</v>
      </c>
      <c r="D13" s="24">
        <v>30</v>
      </c>
      <c r="E13" s="112">
        <v>145.19999999999999</v>
      </c>
      <c r="F13" s="112">
        <v>90.827566989782397</v>
      </c>
      <c r="G13" s="112">
        <v>85.165379283026311</v>
      </c>
      <c r="H13" s="112">
        <v>85.165379283026311</v>
      </c>
      <c r="I13" s="12">
        <v>0.25</v>
      </c>
      <c r="J13" s="12">
        <v>0.75</v>
      </c>
      <c r="K13" s="12">
        <v>0</v>
      </c>
      <c r="L13" s="112">
        <v>88</v>
      </c>
      <c r="M13" s="12">
        <v>0.2</v>
      </c>
      <c r="O13" s="48">
        <f t="shared" si="1"/>
        <v>1.7531979622711613</v>
      </c>
      <c r="P13" s="48">
        <f t="shared" si="0"/>
        <v>0.67079363391307478</v>
      </c>
      <c r="Q13" s="48">
        <f t="shared" si="2"/>
        <v>10.629513772322893</v>
      </c>
      <c r="R13" s="48">
        <f t="shared" si="3"/>
        <v>6.6801010385101662</v>
      </c>
      <c r="T13" s="6"/>
      <c r="U13" s="6"/>
      <c r="V13" s="6"/>
    </row>
    <row r="14" spans="1:51" x14ac:dyDescent="0.25">
      <c r="A14" s="3">
        <v>2031</v>
      </c>
      <c r="B14" s="109"/>
      <c r="C14" s="24">
        <v>623.35997551080004</v>
      </c>
      <c r="D14" s="24">
        <v>30</v>
      </c>
      <c r="E14" s="112">
        <v>145.19999999999999</v>
      </c>
      <c r="F14" s="112">
        <v>89.042043290299759</v>
      </c>
      <c r="G14" s="112">
        <v>86.626064567241002</v>
      </c>
      <c r="H14" s="112">
        <v>86.626064567241002</v>
      </c>
      <c r="I14" s="12">
        <v>0.25</v>
      </c>
      <c r="J14" s="12">
        <v>0.75</v>
      </c>
      <c r="K14" s="12">
        <v>0</v>
      </c>
      <c r="L14" s="112">
        <v>90</v>
      </c>
      <c r="M14" s="12">
        <v>0.2</v>
      </c>
      <c r="O14" s="112">
        <f>IF(O13*(1+$X$11)&gt;$Y$10,$Y$10,O13*(1+$X$11))</f>
        <v>1.8671558298187867</v>
      </c>
      <c r="P14" s="112">
        <f t="shared" si="0"/>
        <v>0.67750157025220559</v>
      </c>
      <c r="Q14" s="112">
        <f>IF(Q13*(1+$X$9)&gt;$Y$8,$Y$8,Q13*(1+$X$9))</f>
        <v>10.788956478907735</v>
      </c>
      <c r="R14" s="112">
        <f t="shared" si="3"/>
        <v>6.7803025540878181</v>
      </c>
      <c r="T14" s="194" t="s">
        <v>171</v>
      </c>
      <c r="U14" s="195"/>
      <c r="V14" s="196"/>
    </row>
    <row r="15" spans="1:51" x14ac:dyDescent="0.25">
      <c r="A15" s="3">
        <v>2032</v>
      </c>
      <c r="B15" s="109"/>
      <c r="C15" s="24">
        <v>658.20381248159993</v>
      </c>
      <c r="D15" s="24">
        <v>30</v>
      </c>
      <c r="E15" s="112">
        <v>145.19999999999999</v>
      </c>
      <c r="F15" s="112">
        <v>87.895766479011087</v>
      </c>
      <c r="G15" s="112">
        <v>91.008120419885103</v>
      </c>
      <c r="H15" s="112">
        <v>91.008120419885103</v>
      </c>
      <c r="I15" s="12">
        <v>0.25</v>
      </c>
      <c r="J15" s="12">
        <v>0.75</v>
      </c>
      <c r="K15" s="12">
        <v>0</v>
      </c>
      <c r="L15" s="112">
        <v>92</v>
      </c>
      <c r="M15" s="12">
        <v>0.2</v>
      </c>
      <c r="O15" s="112">
        <f t="shared" ref="O15:O50" si="4">IF(O14*(1+$X$11)&gt;$Y$10,$Y$10,O14*(1+$X$11))</f>
        <v>1.9885209587570076</v>
      </c>
      <c r="P15" s="78">
        <f t="shared" si="0"/>
        <v>0.68427658595472762</v>
      </c>
      <c r="Q15" s="112">
        <f t="shared" ref="Q15:Q50" si="5">IF(Q14*(1+$X$9)&gt;$Y$8,$Y$8,Q14*(1+$X$9))</f>
        <v>10.95079082609135</v>
      </c>
      <c r="R15" s="112">
        <f t="shared" si="3"/>
        <v>6.8820070923991343</v>
      </c>
      <c r="T15" s="116" t="s">
        <v>166</v>
      </c>
      <c r="U15" s="113" t="s">
        <v>167</v>
      </c>
      <c r="V15" s="44">
        <v>0.01</v>
      </c>
    </row>
    <row r="16" spans="1:51" x14ac:dyDescent="0.25">
      <c r="A16" s="3">
        <v>2033</v>
      </c>
      <c r="B16" s="109"/>
      <c r="C16" s="24">
        <v>693.04764945240004</v>
      </c>
      <c r="D16" s="24">
        <v>30</v>
      </c>
      <c r="E16" s="112">
        <v>145.19999999999999</v>
      </c>
      <c r="F16" s="112">
        <v>84.57865272027702</v>
      </c>
      <c r="G16" s="112">
        <v>93.929490988314498</v>
      </c>
      <c r="H16" s="112">
        <v>93.929490988314498</v>
      </c>
      <c r="I16" s="12">
        <v>0.25</v>
      </c>
      <c r="J16" s="12">
        <v>0.75</v>
      </c>
      <c r="K16" s="12">
        <v>0</v>
      </c>
      <c r="L16" s="112">
        <v>94</v>
      </c>
      <c r="M16" s="12">
        <v>0.2</v>
      </c>
      <c r="O16" s="112">
        <f t="shared" si="4"/>
        <v>2.1177748210762131</v>
      </c>
      <c r="P16" s="78">
        <f t="shared" si="0"/>
        <v>0.69111935181427486</v>
      </c>
      <c r="Q16" s="112">
        <f t="shared" si="5"/>
        <v>11.115052688482718</v>
      </c>
      <c r="R16" s="112">
        <f t="shared" si="3"/>
        <v>6.9852371987851205</v>
      </c>
      <c r="T16" s="116" t="s">
        <v>61</v>
      </c>
      <c r="U16" s="113" t="s">
        <v>167</v>
      </c>
      <c r="V16" s="44">
        <v>1.4999999999999999E-2</v>
      </c>
    </row>
    <row r="17" spans="1:24" x14ac:dyDescent="0.25">
      <c r="A17" s="3">
        <v>2034</v>
      </c>
      <c r="B17" s="109"/>
      <c r="C17" s="24">
        <v>727.89148642320004</v>
      </c>
      <c r="D17" s="24">
        <v>30</v>
      </c>
      <c r="E17" s="112">
        <v>145.19999999999999</v>
      </c>
      <c r="F17" s="112">
        <v>82.129084355335962</v>
      </c>
      <c r="G17" s="112">
        <v>96.850861556743922</v>
      </c>
      <c r="H17" s="112">
        <v>96.850861556743922</v>
      </c>
      <c r="I17" s="12">
        <v>0.25</v>
      </c>
      <c r="J17" s="12">
        <v>0.75</v>
      </c>
      <c r="K17" s="12">
        <v>0</v>
      </c>
      <c r="L17" s="112">
        <v>96</v>
      </c>
      <c r="M17" s="12">
        <v>0.2</v>
      </c>
      <c r="O17" s="112">
        <f t="shared" si="4"/>
        <v>2.2554301844461668</v>
      </c>
      <c r="P17" s="78">
        <f t="shared" si="0"/>
        <v>0.6980305453324176</v>
      </c>
      <c r="Q17" s="112">
        <f t="shared" si="5"/>
        <v>11.281778478809958</v>
      </c>
      <c r="R17" s="112">
        <f t="shared" si="3"/>
        <v>7.0900157567668964</v>
      </c>
      <c r="T17" s="23"/>
      <c r="U17" s="22"/>
    </row>
    <row r="18" spans="1:24" x14ac:dyDescent="0.25">
      <c r="A18" s="3">
        <v>2035</v>
      </c>
      <c r="B18" s="109"/>
      <c r="C18" s="24">
        <v>762.73532339400003</v>
      </c>
      <c r="D18" s="24">
        <v>30</v>
      </c>
      <c r="E18" s="112">
        <v>145.19999999999999</v>
      </c>
      <c r="F18" s="112">
        <v>79.663397593653329</v>
      </c>
      <c r="G18" s="112">
        <v>102.10932857991679</v>
      </c>
      <c r="H18" s="112">
        <v>102.10932857991679</v>
      </c>
      <c r="I18" s="12">
        <v>0</v>
      </c>
      <c r="J18" s="12">
        <v>0</v>
      </c>
      <c r="K18" s="12">
        <v>1</v>
      </c>
      <c r="L18" s="112">
        <v>99.6</v>
      </c>
      <c r="M18" s="12">
        <v>0.2</v>
      </c>
      <c r="O18" s="112">
        <f t="shared" si="4"/>
        <v>2.4020331464351674</v>
      </c>
      <c r="P18" s="78">
        <f t="shared" si="0"/>
        <v>0.70501085078574177</v>
      </c>
      <c r="Q18" s="112">
        <f t="shared" si="5"/>
        <v>11.451005155992107</v>
      </c>
      <c r="R18" s="112">
        <f t="shared" si="3"/>
        <v>7.1963659931183992</v>
      </c>
      <c r="T18" s="181" t="s">
        <v>301</v>
      </c>
      <c r="U18" s="182"/>
      <c r="V18" s="113" t="s">
        <v>165</v>
      </c>
      <c r="W18" s="114">
        <v>2027</v>
      </c>
    </row>
    <row r="19" spans="1:24" x14ac:dyDescent="0.25">
      <c r="A19" s="3">
        <v>2036</v>
      </c>
      <c r="B19" s="109"/>
      <c r="C19" s="24">
        <v>799.86390479820011</v>
      </c>
      <c r="D19" s="24">
        <v>30</v>
      </c>
      <c r="E19" s="112">
        <v>145.19999999999999</v>
      </c>
      <c r="F19" s="112">
        <v>79.118927060078235</v>
      </c>
      <c r="G19" s="112">
        <v>105.1726084373143</v>
      </c>
      <c r="H19" s="112">
        <v>105.1726084373143</v>
      </c>
      <c r="I19" s="12">
        <v>0</v>
      </c>
      <c r="J19" s="12">
        <v>0</v>
      </c>
      <c r="K19" s="12">
        <v>1</v>
      </c>
      <c r="L19" s="112">
        <v>99.6</v>
      </c>
      <c r="M19" s="12">
        <v>0.2</v>
      </c>
      <c r="O19" s="112">
        <f t="shared" si="4"/>
        <v>2.5581653009534531</v>
      </c>
      <c r="P19" s="78">
        <f t="shared" si="0"/>
        <v>0.71206095929359925</v>
      </c>
      <c r="Q19" s="112">
        <f t="shared" si="5"/>
        <v>11.622770233331988</v>
      </c>
      <c r="R19" s="112">
        <f t="shared" si="3"/>
        <v>7.3043114830151747</v>
      </c>
      <c r="T19" s="183"/>
      <c r="U19" s="184"/>
      <c r="V19" s="107" t="s">
        <v>61</v>
      </c>
      <c r="W19" s="114">
        <v>2027</v>
      </c>
      <c r="X19" s="35"/>
    </row>
    <row r="20" spans="1:24" x14ac:dyDescent="0.25">
      <c r="A20" s="3">
        <v>2037</v>
      </c>
      <c r="B20" s="109"/>
      <c r="C20" s="24">
        <v>836.9924862024003</v>
      </c>
      <c r="D20" s="24">
        <v>30</v>
      </c>
      <c r="E20" s="112">
        <v>145.19999999999999</v>
      </c>
      <c r="F20" s="112">
        <v>77.898792718991899</v>
      </c>
      <c r="G20" s="112">
        <v>108.32778669043373</v>
      </c>
      <c r="H20" s="112">
        <v>108.32778669043373</v>
      </c>
      <c r="I20" s="12">
        <v>0</v>
      </c>
      <c r="J20" s="12">
        <v>0</v>
      </c>
      <c r="K20" s="12">
        <v>1</v>
      </c>
      <c r="L20" s="112">
        <v>99.6</v>
      </c>
      <c r="M20" s="12">
        <v>0.2</v>
      </c>
      <c r="O20" s="112">
        <f t="shared" si="4"/>
        <v>2.7244460455154274</v>
      </c>
      <c r="P20" s="78">
        <f t="shared" si="0"/>
        <v>0.71918156888653528</v>
      </c>
      <c r="Q20" s="112">
        <f t="shared" si="5"/>
        <v>11.797111786831966</v>
      </c>
      <c r="R20" s="112">
        <f t="shared" si="3"/>
        <v>7.413876155260402</v>
      </c>
      <c r="T20" s="35"/>
      <c r="U20" s="35"/>
      <c r="V20" s="35"/>
      <c r="W20" s="35"/>
      <c r="X20" s="35"/>
    </row>
    <row r="21" spans="1:24" x14ac:dyDescent="0.25">
      <c r="A21" s="3">
        <v>2038</v>
      </c>
      <c r="B21" s="109"/>
      <c r="C21" s="24">
        <v>874.12106760660026</v>
      </c>
      <c r="D21" s="24">
        <v>30</v>
      </c>
      <c r="E21" s="112">
        <v>145.19999999999999</v>
      </c>
      <c r="F21" s="112">
        <v>75.856043015696542</v>
      </c>
      <c r="G21" s="112">
        <v>111.57762029114674</v>
      </c>
      <c r="H21" s="112">
        <v>111.57762029114674</v>
      </c>
      <c r="I21" s="12">
        <v>0</v>
      </c>
      <c r="J21" s="12">
        <v>0</v>
      </c>
      <c r="K21" s="12">
        <v>1</v>
      </c>
      <c r="L21" s="112">
        <v>99.6</v>
      </c>
      <c r="M21" s="12">
        <v>0.2</v>
      </c>
      <c r="O21" s="112">
        <f t="shared" si="4"/>
        <v>2.9015350384739298</v>
      </c>
      <c r="P21" s="78">
        <f t="shared" si="0"/>
        <v>0.72637338457540068</v>
      </c>
      <c r="Q21" s="112">
        <f t="shared" si="5"/>
        <v>11.974068463634444</v>
      </c>
      <c r="R21" s="112">
        <f t="shared" si="3"/>
        <v>7.5250842975893075</v>
      </c>
      <c r="T21" s="23"/>
      <c r="U21" s="22"/>
    </row>
    <row r="22" spans="1:24" x14ac:dyDescent="0.25">
      <c r="A22" s="3">
        <v>2039</v>
      </c>
      <c r="B22" s="109"/>
      <c r="C22" s="24">
        <v>911.24964901080034</v>
      </c>
      <c r="D22" s="24">
        <v>30</v>
      </c>
      <c r="E22" s="112">
        <v>145.19999999999999</v>
      </c>
      <c r="F22" s="112">
        <v>76.928505686263392</v>
      </c>
      <c r="G22" s="112">
        <v>114.92494889988114</v>
      </c>
      <c r="H22" s="112">
        <v>114.92494889988114</v>
      </c>
      <c r="I22" s="12">
        <v>0</v>
      </c>
      <c r="J22" s="12">
        <v>0</v>
      </c>
      <c r="K22" s="12">
        <v>1</v>
      </c>
      <c r="L22" s="112">
        <v>99.6</v>
      </c>
      <c r="M22" s="12">
        <v>0.2</v>
      </c>
      <c r="O22" s="112">
        <f t="shared" si="4"/>
        <v>3.0901348159747353</v>
      </c>
      <c r="P22" s="78">
        <f t="shared" si="0"/>
        <v>0.73363711842115464</v>
      </c>
      <c r="Q22" s="112">
        <f t="shared" si="5"/>
        <v>12.15367949058896</v>
      </c>
      <c r="R22" s="112">
        <f t="shared" si="3"/>
        <v>7.6379605620531468</v>
      </c>
      <c r="T22" s="23"/>
      <c r="U22" s="22"/>
    </row>
    <row r="23" spans="1:24" x14ac:dyDescent="0.25">
      <c r="A23" s="3">
        <v>2040</v>
      </c>
      <c r="B23" s="109"/>
      <c r="C23" s="24">
        <v>948.37823041499996</v>
      </c>
      <c r="D23" s="24">
        <v>30</v>
      </c>
      <c r="E23" s="112">
        <v>145.19999999999999</v>
      </c>
      <c r="F23" s="112">
        <v>76.176255323742211</v>
      </c>
      <c r="G23" s="112">
        <v>118.37269736687757</v>
      </c>
      <c r="H23" s="112">
        <v>118.37269736687757</v>
      </c>
      <c r="I23" s="12">
        <v>0</v>
      </c>
      <c r="J23" s="12">
        <v>0</v>
      </c>
      <c r="K23" s="12">
        <v>1</v>
      </c>
      <c r="L23" s="112">
        <v>99.6</v>
      </c>
      <c r="M23" s="12">
        <v>0.2</v>
      </c>
      <c r="O23" s="112">
        <f t="shared" si="4"/>
        <v>3.2909935790130929</v>
      </c>
      <c r="P23" s="78">
        <f t="shared" si="0"/>
        <v>0.74097348960536624</v>
      </c>
      <c r="Q23" s="112">
        <f t="shared" si="5"/>
        <v>12.335984682947792</v>
      </c>
      <c r="R23" s="112">
        <f t="shared" si="3"/>
        <v>7.752529970483943</v>
      </c>
      <c r="T23" s="23"/>
      <c r="U23" s="22"/>
    </row>
    <row r="24" spans="1:24" x14ac:dyDescent="0.25">
      <c r="A24" s="3">
        <v>2041</v>
      </c>
      <c r="B24" s="109"/>
      <c r="C24" s="24">
        <v>956.2642551693001</v>
      </c>
      <c r="D24" s="24">
        <v>29</v>
      </c>
      <c r="E24" s="112">
        <v>145.19999999999999</v>
      </c>
      <c r="F24" s="112">
        <v>73.04989018996072</v>
      </c>
      <c r="G24" s="112">
        <v>121.92387828788389</v>
      </c>
      <c r="H24" s="112">
        <v>121.92387828788389</v>
      </c>
      <c r="I24" s="12">
        <v>0</v>
      </c>
      <c r="J24" s="12">
        <v>0</v>
      </c>
      <c r="K24" s="12">
        <v>1</v>
      </c>
      <c r="L24" s="112">
        <v>99.6</v>
      </c>
      <c r="M24" s="12">
        <v>0.2</v>
      </c>
      <c r="O24" s="112">
        <f t="shared" si="4"/>
        <v>3.5049081616489439</v>
      </c>
      <c r="P24" s="78">
        <f t="shared" si="0"/>
        <v>0.74838322450141992</v>
      </c>
      <c r="Q24" s="112">
        <f t="shared" si="5"/>
        <v>12.521024453192007</v>
      </c>
      <c r="R24" s="112">
        <f t="shared" si="3"/>
        <v>7.8688179200412014</v>
      </c>
      <c r="T24" s="23"/>
      <c r="U24" s="22"/>
    </row>
    <row r="25" spans="1:24" x14ac:dyDescent="0.25">
      <c r="A25" s="3">
        <v>2042</v>
      </c>
      <c r="B25" s="109"/>
      <c r="C25" s="24">
        <v>964.15027992360024</v>
      </c>
      <c r="D25" s="24">
        <v>28</v>
      </c>
      <c r="E25" s="112">
        <v>145.19999999999999</v>
      </c>
      <c r="F25" s="112">
        <v>69.814649716905976</v>
      </c>
      <c r="G25" s="112">
        <v>125.58159463652041</v>
      </c>
      <c r="H25" s="112">
        <v>125.58159463652041</v>
      </c>
      <c r="I25" s="12">
        <v>0</v>
      </c>
      <c r="J25" s="12">
        <v>0</v>
      </c>
      <c r="K25" s="12">
        <v>1</v>
      </c>
      <c r="L25" s="112">
        <v>99.6</v>
      </c>
      <c r="M25" s="12">
        <v>0.2</v>
      </c>
      <c r="O25" s="112">
        <f t="shared" si="4"/>
        <v>3.7327271921561249</v>
      </c>
      <c r="P25" s="78">
        <f t="shared" si="0"/>
        <v>0.75586705674643417</v>
      </c>
      <c r="Q25" s="112">
        <f t="shared" si="5"/>
        <v>12.708839819989887</v>
      </c>
      <c r="R25" s="112">
        <f t="shared" si="3"/>
        <v>7.9868501888418191</v>
      </c>
      <c r="T25" s="23"/>
      <c r="U25" s="22"/>
    </row>
    <row r="26" spans="1:24" x14ac:dyDescent="0.25">
      <c r="A26" s="3">
        <v>2043</v>
      </c>
      <c r="B26" s="109"/>
      <c r="C26" s="24">
        <v>972.03630467790026</v>
      </c>
      <c r="D26" s="24">
        <v>27</v>
      </c>
      <c r="E26" s="112">
        <v>145.19999999999999</v>
      </c>
      <c r="F26" s="112">
        <v>67.186225809119023</v>
      </c>
      <c r="G26" s="112">
        <v>129.34904247561602</v>
      </c>
      <c r="H26" s="112">
        <v>129.34904247561602</v>
      </c>
      <c r="I26" s="12">
        <v>0</v>
      </c>
      <c r="J26" s="12">
        <v>0</v>
      </c>
      <c r="K26" s="12">
        <v>1</v>
      </c>
      <c r="L26" s="112">
        <v>99.6</v>
      </c>
      <c r="M26" s="12">
        <v>0.2</v>
      </c>
      <c r="O26" s="112">
        <f t="shared" si="4"/>
        <v>3.9753544596462729</v>
      </c>
      <c r="P26" s="78">
        <f t="shared" si="0"/>
        <v>0.76342572731389857</v>
      </c>
      <c r="Q26" s="112">
        <f t="shared" si="5"/>
        <v>12.899472417289735</v>
      </c>
      <c r="R26" s="112">
        <f t="shared" si="3"/>
        <v>8.1066529416744455</v>
      </c>
      <c r="T26" s="23"/>
      <c r="U26" s="22"/>
    </row>
    <row r="27" spans="1:24" x14ac:dyDescent="0.25">
      <c r="A27" s="3">
        <v>2044</v>
      </c>
      <c r="B27" s="109"/>
      <c r="C27" s="24">
        <v>979.9223294322004</v>
      </c>
      <c r="D27" s="24">
        <v>26</v>
      </c>
      <c r="E27" s="112">
        <v>145.19999999999999</v>
      </c>
      <c r="F27" s="112">
        <v>64.062712142877842</v>
      </c>
      <c r="G27" s="112">
        <v>133.22951374988449</v>
      </c>
      <c r="H27" s="112">
        <v>133.22951374988449</v>
      </c>
      <c r="I27" s="12">
        <v>0</v>
      </c>
      <c r="J27" s="12">
        <v>0</v>
      </c>
      <c r="K27" s="12">
        <v>1</v>
      </c>
      <c r="L27" s="112">
        <v>99.6</v>
      </c>
      <c r="M27" s="12">
        <v>0.2</v>
      </c>
      <c r="O27" s="112">
        <f t="shared" si="4"/>
        <v>4.2337524995232805</v>
      </c>
      <c r="P27" s="78">
        <f t="shared" si="0"/>
        <v>0.77105998458703762</v>
      </c>
      <c r="Q27" s="112">
        <f t="shared" si="5"/>
        <v>13.09296450354908</v>
      </c>
      <c r="R27" s="112">
        <f t="shared" si="3"/>
        <v>8.2282527357995612</v>
      </c>
      <c r="T27" s="23"/>
      <c r="U27" s="22"/>
    </row>
    <row r="28" spans="1:24" x14ac:dyDescent="0.25">
      <c r="A28" s="3">
        <v>2045</v>
      </c>
      <c r="B28" s="109"/>
      <c r="C28" s="24">
        <v>987.80835418650008</v>
      </c>
      <c r="D28" s="24">
        <v>25</v>
      </c>
      <c r="E28" s="112">
        <v>145.19999999999999</v>
      </c>
      <c r="F28" s="112">
        <v>63.233466559319417</v>
      </c>
      <c r="G28" s="112">
        <v>137.22639916238103</v>
      </c>
      <c r="H28" s="112">
        <v>137.22639916238103</v>
      </c>
      <c r="I28" s="12">
        <v>0</v>
      </c>
      <c r="J28" s="12">
        <v>0</v>
      </c>
      <c r="K28" s="12">
        <v>1</v>
      </c>
      <c r="L28" s="112">
        <v>99.6</v>
      </c>
      <c r="M28" s="12">
        <v>0.2</v>
      </c>
      <c r="O28" s="112">
        <f t="shared" si="4"/>
        <v>4.5089464119922935</v>
      </c>
      <c r="P28" s="78">
        <f t="shared" si="0"/>
        <v>0.77877058443290803</v>
      </c>
      <c r="Q28" s="112">
        <f t="shared" si="5"/>
        <v>13.289358971102315</v>
      </c>
      <c r="R28" s="112">
        <f t="shared" si="3"/>
        <v>8.3516765268365543</v>
      </c>
      <c r="T28" s="23"/>
      <c r="U28" s="22"/>
    </row>
    <row r="29" spans="1:24" x14ac:dyDescent="0.25">
      <c r="A29" s="3">
        <v>2046</v>
      </c>
      <c r="B29" s="109"/>
      <c r="C29" s="24">
        <v>988.52023413990014</v>
      </c>
      <c r="D29" s="24">
        <v>24</v>
      </c>
      <c r="E29" s="112">
        <v>145.19999999999999</v>
      </c>
      <c r="F29" s="112">
        <v>62.039481801846094</v>
      </c>
      <c r="G29" s="112">
        <v>141.34319113725246</v>
      </c>
      <c r="H29" s="112">
        <v>141.34319113725246</v>
      </c>
      <c r="I29" s="12">
        <v>0</v>
      </c>
      <c r="J29" s="12">
        <v>0</v>
      </c>
      <c r="K29" s="12">
        <v>1</v>
      </c>
      <c r="L29" s="112">
        <v>99.6</v>
      </c>
      <c r="M29" s="12">
        <v>0.2</v>
      </c>
      <c r="O29" s="112">
        <f t="shared" si="4"/>
        <v>4.8020279287717926</v>
      </c>
      <c r="P29" s="78">
        <f t="shared" si="0"/>
        <v>0.78655829027723712</v>
      </c>
      <c r="Q29" s="112">
        <f t="shared" si="5"/>
        <v>13.488699355668848</v>
      </c>
      <c r="R29" s="112">
        <f t="shared" si="3"/>
        <v>8.4769516747391016</v>
      </c>
      <c r="T29" s="23"/>
      <c r="U29" s="22"/>
    </row>
    <row r="30" spans="1:24" x14ac:dyDescent="0.25">
      <c r="A30" s="3">
        <v>2047</v>
      </c>
      <c r="B30" s="109"/>
      <c r="C30" s="24">
        <v>989.23211409330008</v>
      </c>
      <c r="D30" s="24">
        <v>23</v>
      </c>
      <c r="E30" s="112">
        <v>145.19999999999999</v>
      </c>
      <c r="F30" s="112">
        <v>59.789880133094933</v>
      </c>
      <c r="G30" s="112">
        <v>145.58348687137004</v>
      </c>
      <c r="H30" s="112">
        <v>145.58348687137004</v>
      </c>
      <c r="I30" s="12">
        <v>0</v>
      </c>
      <c r="J30" s="12">
        <v>0</v>
      </c>
      <c r="K30" s="12">
        <v>1</v>
      </c>
      <c r="L30" s="112">
        <v>99.6</v>
      </c>
      <c r="M30" s="12">
        <v>0.2</v>
      </c>
      <c r="O30" s="112">
        <f t="shared" si="4"/>
        <v>5.1141597441419586</v>
      </c>
      <c r="P30" s="78">
        <f t="shared" si="0"/>
        <v>0.79442387318000951</v>
      </c>
      <c r="Q30" s="112">
        <f t="shared" si="5"/>
        <v>13.691029846003879</v>
      </c>
      <c r="R30" s="112">
        <f t="shared" si="3"/>
        <v>8.6041059498601875</v>
      </c>
      <c r="T30" s="23"/>
      <c r="U30" s="22"/>
    </row>
    <row r="31" spans="1:24" x14ac:dyDescent="0.25">
      <c r="A31" s="3">
        <v>2048</v>
      </c>
      <c r="B31" s="109"/>
      <c r="C31" s="24">
        <v>989.94399404670014</v>
      </c>
      <c r="D31" s="24">
        <v>22</v>
      </c>
      <c r="E31" s="112">
        <v>145.19999999999999</v>
      </c>
      <c r="F31" s="112">
        <v>60.700500891293665</v>
      </c>
      <c r="G31" s="112">
        <v>149.95099147751114</v>
      </c>
      <c r="H31" s="112">
        <v>149.95099147751114</v>
      </c>
      <c r="I31" s="12">
        <v>0</v>
      </c>
      <c r="J31" s="12">
        <v>0</v>
      </c>
      <c r="K31" s="12">
        <v>1</v>
      </c>
      <c r="L31" s="112">
        <v>99.6</v>
      </c>
      <c r="M31" s="12">
        <v>0.2</v>
      </c>
      <c r="O31" s="112">
        <f t="shared" si="4"/>
        <v>5.4465801275111856</v>
      </c>
      <c r="P31" s="78">
        <f t="shared" si="0"/>
        <v>0.80236811191180957</v>
      </c>
      <c r="Q31" s="112">
        <f t="shared" si="5"/>
        <v>13.896395293693935</v>
      </c>
      <c r="R31" s="112">
        <f t="shared" si="3"/>
        <v>8.7331675391080896</v>
      </c>
      <c r="T31" s="23"/>
      <c r="U31" s="22"/>
    </row>
    <row r="32" spans="1:24" x14ac:dyDescent="0.25">
      <c r="A32" s="3">
        <v>2049</v>
      </c>
      <c r="B32" s="109"/>
      <c r="C32" s="24">
        <v>990.65587400010008</v>
      </c>
      <c r="D32" s="24">
        <v>21</v>
      </c>
      <c r="E32" s="112">
        <v>145.19999999999999</v>
      </c>
      <c r="F32" s="112">
        <v>56.761432889547287</v>
      </c>
      <c r="G32" s="112">
        <v>154.44952122183648</v>
      </c>
      <c r="H32" s="112">
        <v>154.44952122183648</v>
      </c>
      <c r="I32" s="12">
        <v>0</v>
      </c>
      <c r="J32" s="12">
        <v>0</v>
      </c>
      <c r="K32" s="12">
        <v>1</v>
      </c>
      <c r="L32" s="112">
        <v>99.6</v>
      </c>
      <c r="M32" s="12">
        <v>0.2</v>
      </c>
      <c r="O32" s="112">
        <f t="shared" si="4"/>
        <v>5.8006078357994122</v>
      </c>
      <c r="P32" s="78">
        <f t="shared" si="0"/>
        <v>0.81039179303092768</v>
      </c>
      <c r="Q32" s="112">
        <f t="shared" si="5"/>
        <v>14.104841223099342</v>
      </c>
      <c r="R32" s="112">
        <f t="shared" si="3"/>
        <v>8.8641650521947106</v>
      </c>
      <c r="T32" s="23"/>
      <c r="U32" s="22"/>
    </row>
    <row r="33" spans="1:21" x14ac:dyDescent="0.25">
      <c r="A33" s="3">
        <v>2050</v>
      </c>
      <c r="B33" s="109"/>
      <c r="C33" s="24">
        <v>991.36775395350014</v>
      </c>
      <c r="D33" s="24">
        <v>20</v>
      </c>
      <c r="E33" s="112">
        <v>145.19999999999999</v>
      </c>
      <c r="F33" s="112">
        <v>54.465934743655353</v>
      </c>
      <c r="G33" s="112">
        <v>159.08300685849156</v>
      </c>
      <c r="H33" s="112">
        <v>159.08300685849156</v>
      </c>
      <c r="I33" s="12">
        <v>0</v>
      </c>
      <c r="J33" s="12">
        <v>0</v>
      </c>
      <c r="K33" s="12">
        <v>1</v>
      </c>
      <c r="L33" s="112">
        <v>99.6</v>
      </c>
      <c r="M33" s="12">
        <v>0.2</v>
      </c>
      <c r="O33" s="112">
        <f t="shared" si="4"/>
        <v>6.177647345126374</v>
      </c>
      <c r="P33" s="78">
        <f t="shared" si="0"/>
        <v>0.81849571096123697</v>
      </c>
      <c r="Q33" s="112">
        <f t="shared" si="5"/>
        <v>14.316413841445831</v>
      </c>
      <c r="R33" s="112">
        <f t="shared" si="3"/>
        <v>8.9971275279776304</v>
      </c>
      <c r="T33" s="23"/>
      <c r="U33" s="22"/>
    </row>
    <row r="34" spans="1:21" x14ac:dyDescent="0.25">
      <c r="A34" s="3">
        <v>2051</v>
      </c>
      <c r="B34" s="109"/>
      <c r="C34" s="24">
        <v>991.36775395350014</v>
      </c>
      <c r="D34" s="24">
        <v>20</v>
      </c>
      <c r="E34" s="112">
        <v>145.19999999999999</v>
      </c>
      <c r="F34" s="112">
        <v>54.465934743655353</v>
      </c>
      <c r="G34" s="112">
        <v>159.08300685849156</v>
      </c>
      <c r="H34" s="112">
        <v>159.08300685849156</v>
      </c>
      <c r="I34" s="12">
        <v>0</v>
      </c>
      <c r="J34" s="12">
        <v>0</v>
      </c>
      <c r="K34" s="12">
        <v>1</v>
      </c>
      <c r="L34" s="112">
        <v>99.6</v>
      </c>
      <c r="M34" s="12">
        <v>0.2</v>
      </c>
      <c r="O34" s="112">
        <f t="shared" si="4"/>
        <v>6.5791944225595884</v>
      </c>
      <c r="P34" s="78">
        <f t="shared" si="0"/>
        <v>0.82668066807084939</v>
      </c>
      <c r="Q34" s="112">
        <f t="shared" si="5"/>
        <v>14.531160049067518</v>
      </c>
      <c r="R34" s="112">
        <f t="shared" si="3"/>
        <v>9.1320844408972945</v>
      </c>
      <c r="T34" s="23"/>
      <c r="U34" s="22"/>
    </row>
    <row r="35" spans="1:21" x14ac:dyDescent="0.25">
      <c r="A35" s="3">
        <v>2052</v>
      </c>
      <c r="B35" s="109"/>
      <c r="C35" s="24">
        <v>991.36775395350014</v>
      </c>
      <c r="D35" s="24">
        <v>20</v>
      </c>
      <c r="E35" s="112">
        <v>145.19999999999999</v>
      </c>
      <c r="F35" s="112">
        <v>54.465934743655353</v>
      </c>
      <c r="G35" s="112">
        <v>159.08300685849156</v>
      </c>
      <c r="H35" s="112">
        <v>159.08300685849156</v>
      </c>
      <c r="I35" s="12">
        <v>0</v>
      </c>
      <c r="J35" s="12">
        <v>0</v>
      </c>
      <c r="K35" s="12">
        <v>1</v>
      </c>
      <c r="L35" s="112">
        <v>99.6</v>
      </c>
      <c r="M35" s="12">
        <v>0.2</v>
      </c>
      <c r="O35" s="112">
        <f t="shared" si="4"/>
        <v>7.0068420600259609</v>
      </c>
      <c r="P35" s="78">
        <f t="shared" si="0"/>
        <v>0.83494747475155784</v>
      </c>
      <c r="Q35" s="112">
        <f t="shared" si="5"/>
        <v>14.749127449803529</v>
      </c>
      <c r="R35" s="112">
        <f t="shared" si="3"/>
        <v>9.2690657075107534</v>
      </c>
      <c r="T35" s="23"/>
      <c r="U35" s="22"/>
    </row>
    <row r="36" spans="1:21" x14ac:dyDescent="0.25">
      <c r="A36" s="3">
        <v>2053</v>
      </c>
      <c r="B36" s="109"/>
      <c r="C36" s="24">
        <v>991.36775395350014</v>
      </c>
      <c r="D36" s="24">
        <v>20</v>
      </c>
      <c r="E36" s="112">
        <v>145.19999999999999</v>
      </c>
      <c r="F36" s="112">
        <v>54.465934743655353</v>
      </c>
      <c r="G36" s="112">
        <v>159.08300685849156</v>
      </c>
      <c r="H36" s="112">
        <v>159.08300685849156</v>
      </c>
      <c r="I36" s="12">
        <v>0</v>
      </c>
      <c r="J36" s="12">
        <v>0</v>
      </c>
      <c r="K36" s="12">
        <v>1</v>
      </c>
      <c r="L36" s="112">
        <v>99.6</v>
      </c>
      <c r="M36" s="12">
        <v>0.2</v>
      </c>
      <c r="O36" s="112">
        <f t="shared" si="4"/>
        <v>7.4622867939276478</v>
      </c>
      <c r="P36" s="78">
        <f t="shared" si="0"/>
        <v>0.84329694949907341</v>
      </c>
      <c r="Q36" s="112">
        <f t="shared" si="5"/>
        <v>14.970364361550581</v>
      </c>
      <c r="R36" s="112">
        <f t="shared" si="3"/>
        <v>9.4081016931234132</v>
      </c>
      <c r="T36" s="23"/>
      <c r="U36" s="22"/>
    </row>
    <row r="37" spans="1:21" x14ac:dyDescent="0.25">
      <c r="A37" s="3">
        <v>2054</v>
      </c>
      <c r="B37" s="109"/>
      <c r="C37" s="24">
        <v>991.36775395350014</v>
      </c>
      <c r="D37" s="24">
        <v>20</v>
      </c>
      <c r="E37" s="112">
        <v>145.19999999999999</v>
      </c>
      <c r="F37" s="112">
        <v>54.465934743655353</v>
      </c>
      <c r="G37" s="112">
        <v>159.08300685849156</v>
      </c>
      <c r="H37" s="112">
        <v>159.08300685849156</v>
      </c>
      <c r="I37" s="12">
        <v>0</v>
      </c>
      <c r="J37" s="12">
        <v>0</v>
      </c>
      <c r="K37" s="12">
        <v>1</v>
      </c>
      <c r="L37" s="112">
        <v>99.6</v>
      </c>
      <c r="M37" s="12">
        <v>0.2</v>
      </c>
      <c r="O37" s="112">
        <f t="shared" si="4"/>
        <v>7.6666666666666661</v>
      </c>
      <c r="P37" s="78">
        <f t="shared" si="0"/>
        <v>0.85172991899406414</v>
      </c>
      <c r="Q37" s="112">
        <f t="shared" si="5"/>
        <v>15.194919826973839</v>
      </c>
      <c r="R37" s="112">
        <f t="shared" si="3"/>
        <v>9.5492232185202628</v>
      </c>
      <c r="T37" s="23"/>
      <c r="U37" s="22"/>
    </row>
    <row r="38" spans="1:21" x14ac:dyDescent="0.25">
      <c r="A38" s="3">
        <v>2055</v>
      </c>
      <c r="B38" s="109"/>
      <c r="C38" s="24">
        <v>991.36775395350014</v>
      </c>
      <c r="D38" s="24">
        <v>20</v>
      </c>
      <c r="E38" s="112">
        <v>145.19999999999999</v>
      </c>
      <c r="F38" s="112">
        <v>54.465934743655353</v>
      </c>
      <c r="G38" s="112">
        <v>159.08300685849156</v>
      </c>
      <c r="H38" s="112">
        <v>159.08300685849156</v>
      </c>
      <c r="I38" s="12">
        <v>0</v>
      </c>
      <c r="J38" s="12">
        <v>0</v>
      </c>
      <c r="K38" s="12">
        <v>1</v>
      </c>
      <c r="L38" s="112">
        <v>99.6</v>
      </c>
      <c r="M38" s="12">
        <v>0.2</v>
      </c>
      <c r="O38" s="112">
        <f t="shared" si="4"/>
        <v>7.6666666666666661</v>
      </c>
      <c r="P38" s="78">
        <f t="shared" si="0"/>
        <v>0.86024721818400474</v>
      </c>
      <c r="Q38" s="112">
        <f t="shared" si="5"/>
        <v>15.422843624378446</v>
      </c>
      <c r="R38" s="112">
        <f t="shared" si="3"/>
        <v>9.692461566798066</v>
      </c>
      <c r="T38" s="23"/>
      <c r="U38" s="22"/>
    </row>
    <row r="39" spans="1:21" x14ac:dyDescent="0.25">
      <c r="A39" s="3">
        <v>2056</v>
      </c>
      <c r="B39" s="109"/>
      <c r="C39" s="24">
        <v>991.36775395350014</v>
      </c>
      <c r="D39" s="24">
        <v>20</v>
      </c>
      <c r="E39" s="112">
        <v>145.19999999999999</v>
      </c>
      <c r="F39" s="112">
        <v>54.465934743655353</v>
      </c>
      <c r="G39" s="112">
        <v>159.08300685849156</v>
      </c>
      <c r="H39" s="112">
        <v>159.08300685849156</v>
      </c>
      <c r="I39" s="12">
        <v>0</v>
      </c>
      <c r="J39" s="12">
        <v>0</v>
      </c>
      <c r="K39" s="12">
        <v>1</v>
      </c>
      <c r="L39" s="112">
        <v>99.6</v>
      </c>
      <c r="M39" s="12">
        <v>0.2</v>
      </c>
      <c r="O39" s="112">
        <f t="shared" si="4"/>
        <v>7.6666666666666661</v>
      </c>
      <c r="P39" s="78">
        <f t="shared" si="0"/>
        <v>0.86884969036584481</v>
      </c>
      <c r="Q39" s="112">
        <f t="shared" si="5"/>
        <v>15.654186278744122</v>
      </c>
      <c r="R39" s="112">
        <f t="shared" si="3"/>
        <v>9.8378484903000363</v>
      </c>
      <c r="T39" s="23"/>
      <c r="U39" s="22"/>
    </row>
    <row r="40" spans="1:21" x14ac:dyDescent="0.25">
      <c r="A40" s="3">
        <v>2057</v>
      </c>
      <c r="B40" s="109"/>
      <c r="C40" s="24">
        <v>991.36775395350014</v>
      </c>
      <c r="D40" s="24">
        <v>20</v>
      </c>
      <c r="E40" s="112">
        <v>145.19999999999999</v>
      </c>
      <c r="F40" s="112">
        <v>54.465934743655353</v>
      </c>
      <c r="G40" s="112">
        <v>159.08300685849156</v>
      </c>
      <c r="H40" s="112">
        <v>159.08300685849156</v>
      </c>
      <c r="I40" s="12">
        <v>0</v>
      </c>
      <c r="J40" s="12">
        <v>0</v>
      </c>
      <c r="K40" s="12">
        <v>1</v>
      </c>
      <c r="L40" s="112">
        <v>99.6</v>
      </c>
      <c r="M40" s="12">
        <v>0.2</v>
      </c>
      <c r="O40" s="112">
        <f t="shared" si="4"/>
        <v>7.6666666666666661</v>
      </c>
      <c r="P40" s="78">
        <f t="shared" si="0"/>
        <v>0.87753818726950328</v>
      </c>
      <c r="Q40" s="112">
        <f t="shared" si="5"/>
        <v>15.888999072925282</v>
      </c>
      <c r="R40" s="112">
        <f t="shared" si="3"/>
        <v>9.9854162176545351</v>
      </c>
      <c r="T40" s="23"/>
      <c r="U40" s="22"/>
    </row>
    <row r="41" spans="1:21" x14ac:dyDescent="0.25">
      <c r="A41" s="3">
        <v>2058</v>
      </c>
      <c r="B41" s="109"/>
      <c r="C41" s="24">
        <v>991.36775395350014</v>
      </c>
      <c r="D41" s="24">
        <v>20</v>
      </c>
      <c r="E41" s="112">
        <v>145.19999999999999</v>
      </c>
      <c r="F41" s="112">
        <v>54.465934743655353</v>
      </c>
      <c r="G41" s="112">
        <v>159.08300685849156</v>
      </c>
      <c r="H41" s="112">
        <v>159.08300685849156</v>
      </c>
      <c r="I41" s="12">
        <v>0</v>
      </c>
      <c r="J41" s="12">
        <v>0</v>
      </c>
      <c r="K41" s="12">
        <v>1</v>
      </c>
      <c r="L41" s="112">
        <v>99.6</v>
      </c>
      <c r="M41" s="12">
        <v>0.2</v>
      </c>
      <c r="O41" s="112">
        <f t="shared" si="4"/>
        <v>7.6666666666666661</v>
      </c>
      <c r="P41" s="78">
        <f t="shared" si="0"/>
        <v>0.88631356914219828</v>
      </c>
      <c r="Q41" s="112">
        <f t="shared" si="5"/>
        <v>16.127334059019159</v>
      </c>
      <c r="R41" s="112">
        <f t="shared" si="3"/>
        <v>10.135197460919352</v>
      </c>
      <c r="T41" s="23"/>
      <c r="U41" s="22"/>
    </row>
    <row r="42" spans="1:21" x14ac:dyDescent="0.25">
      <c r="A42" s="3">
        <v>2059</v>
      </c>
      <c r="B42" s="109"/>
      <c r="C42" s="24">
        <v>991.36775395350014</v>
      </c>
      <c r="D42" s="24">
        <v>20</v>
      </c>
      <c r="E42" s="112">
        <v>145.19999999999999</v>
      </c>
      <c r="F42" s="112">
        <v>54.465934743655353</v>
      </c>
      <c r="G42" s="112">
        <v>159.08300685849156</v>
      </c>
      <c r="H42" s="112">
        <v>159.08300685849156</v>
      </c>
      <c r="I42" s="12">
        <v>0</v>
      </c>
      <c r="J42" s="12">
        <v>0</v>
      </c>
      <c r="K42" s="12">
        <v>1</v>
      </c>
      <c r="L42" s="112">
        <v>99.6</v>
      </c>
      <c r="M42" s="12">
        <v>0.2</v>
      </c>
      <c r="O42" s="112">
        <f t="shared" si="4"/>
        <v>7.6666666666666661</v>
      </c>
      <c r="P42" s="78">
        <f t="shared" si="0"/>
        <v>0.89517670483362022</v>
      </c>
      <c r="Q42" s="112">
        <f t="shared" si="5"/>
        <v>16.369244069904443</v>
      </c>
      <c r="R42" s="112">
        <f t="shared" si="3"/>
        <v>10.287225422833142</v>
      </c>
      <c r="T42" s="23"/>
      <c r="U42" s="22"/>
    </row>
    <row r="43" spans="1:21" x14ac:dyDescent="0.25">
      <c r="A43" s="3">
        <v>2060</v>
      </c>
      <c r="B43" s="109"/>
      <c r="C43" s="24">
        <v>991.36775395350014</v>
      </c>
      <c r="D43" s="24">
        <v>20</v>
      </c>
      <c r="E43" s="112">
        <v>145.19999999999999</v>
      </c>
      <c r="F43" s="112">
        <v>54.465934743655353</v>
      </c>
      <c r="G43" s="112">
        <v>159.08300685849156</v>
      </c>
      <c r="H43" s="112">
        <v>159.08300685849156</v>
      </c>
      <c r="I43" s="12">
        <v>0</v>
      </c>
      <c r="J43" s="12">
        <v>0</v>
      </c>
      <c r="K43" s="12">
        <v>1</v>
      </c>
      <c r="L43" s="112">
        <v>99.6</v>
      </c>
      <c r="M43" s="12">
        <v>0.2</v>
      </c>
      <c r="O43" s="112">
        <f t="shared" si="4"/>
        <v>7.6666666666666661</v>
      </c>
      <c r="P43" s="78">
        <f t="shared" si="0"/>
        <v>0.90412847188195644</v>
      </c>
      <c r="Q43" s="112">
        <f t="shared" si="5"/>
        <v>16.61478273095301</v>
      </c>
      <c r="R43" s="112">
        <f t="shared" si="3"/>
        <v>10.441533804175638</v>
      </c>
      <c r="T43" s="23"/>
      <c r="U43" s="22"/>
    </row>
    <row r="44" spans="1:21" x14ac:dyDescent="0.25">
      <c r="A44" s="3">
        <v>2061</v>
      </c>
      <c r="B44" s="109"/>
      <c r="C44" s="24">
        <v>991.36775395350014</v>
      </c>
      <c r="D44" s="24">
        <v>20</v>
      </c>
      <c r="E44" s="112">
        <v>145.19999999999999</v>
      </c>
      <c r="F44" s="112">
        <v>54.465934743655353</v>
      </c>
      <c r="G44" s="112">
        <v>159.08300685849156</v>
      </c>
      <c r="H44" s="112">
        <v>159.08300685849156</v>
      </c>
      <c r="I44" s="12">
        <v>0</v>
      </c>
      <c r="J44" s="12">
        <v>0</v>
      </c>
      <c r="K44" s="12">
        <v>1</v>
      </c>
      <c r="L44" s="112">
        <v>99.6</v>
      </c>
      <c r="M44" s="12">
        <v>0.2</v>
      </c>
      <c r="O44" s="112">
        <f t="shared" si="4"/>
        <v>7.6666666666666661</v>
      </c>
      <c r="P44" s="78">
        <f t="shared" si="0"/>
        <v>0.91316975660077604</v>
      </c>
      <c r="Q44" s="112">
        <f t="shared" si="5"/>
        <v>16.726666666666667</v>
      </c>
      <c r="R44" s="112">
        <f t="shared" si="3"/>
        <v>10.598156811238271</v>
      </c>
      <c r="T44" s="23"/>
      <c r="U44" s="22"/>
    </row>
    <row r="45" spans="1:21" x14ac:dyDescent="0.25">
      <c r="A45" s="3">
        <v>2062</v>
      </c>
      <c r="B45" s="109"/>
      <c r="C45" s="24">
        <v>991.36775395350014</v>
      </c>
      <c r="D45" s="24">
        <v>20</v>
      </c>
      <c r="E45" s="112">
        <v>145.19999999999999</v>
      </c>
      <c r="F45" s="112">
        <v>54.465934743655353</v>
      </c>
      <c r="G45" s="112">
        <v>159.08300685849156</v>
      </c>
      <c r="H45" s="112">
        <v>159.08300685849156</v>
      </c>
      <c r="I45" s="12">
        <v>0</v>
      </c>
      <c r="J45" s="12">
        <v>0</v>
      </c>
      <c r="K45" s="12">
        <v>1</v>
      </c>
      <c r="L45" s="112">
        <v>99.6</v>
      </c>
      <c r="M45" s="12">
        <v>0.2</v>
      </c>
      <c r="O45" s="112">
        <f t="shared" si="4"/>
        <v>7.6666666666666661</v>
      </c>
      <c r="P45" s="78">
        <f t="shared" si="0"/>
        <v>0.92230145416678377</v>
      </c>
      <c r="Q45" s="112">
        <f t="shared" si="5"/>
        <v>16.726666666666667</v>
      </c>
      <c r="R45" s="112">
        <f t="shared" si="3"/>
        <v>10.757129163406844</v>
      </c>
      <c r="T45" s="23"/>
      <c r="U45" s="22"/>
    </row>
    <row r="46" spans="1:21" x14ac:dyDescent="0.25">
      <c r="A46" s="3">
        <v>2063</v>
      </c>
      <c r="B46" s="109"/>
      <c r="C46" s="24">
        <v>991.36775395350014</v>
      </c>
      <c r="D46" s="24">
        <v>20</v>
      </c>
      <c r="E46" s="112">
        <v>145.19999999999999</v>
      </c>
      <c r="F46" s="112">
        <v>54.465934743655353</v>
      </c>
      <c r="G46" s="112">
        <v>159.08300685849156</v>
      </c>
      <c r="H46" s="112">
        <v>159.08300685849156</v>
      </c>
      <c r="I46" s="12">
        <v>0</v>
      </c>
      <c r="J46" s="12">
        <v>0</v>
      </c>
      <c r="K46" s="12">
        <v>1</v>
      </c>
      <c r="L46" s="112">
        <v>99.6</v>
      </c>
      <c r="M46" s="12">
        <v>0.2</v>
      </c>
      <c r="O46" s="112">
        <f t="shared" si="4"/>
        <v>7.6666666666666661</v>
      </c>
      <c r="P46" s="78">
        <f t="shared" si="0"/>
        <v>0.93152446870845163</v>
      </c>
      <c r="Q46" s="112">
        <f t="shared" si="5"/>
        <v>16.726666666666667</v>
      </c>
      <c r="R46" s="112">
        <f t="shared" si="3"/>
        <v>10.918486100857946</v>
      </c>
      <c r="T46" s="23"/>
      <c r="U46" s="22"/>
    </row>
    <row r="47" spans="1:21" x14ac:dyDescent="0.25">
      <c r="A47" s="3">
        <v>2064</v>
      </c>
      <c r="B47" s="109"/>
      <c r="C47" s="24">
        <v>991.36775395350014</v>
      </c>
      <c r="D47" s="24">
        <v>20</v>
      </c>
      <c r="E47" s="112">
        <v>145.19999999999999</v>
      </c>
      <c r="F47" s="112">
        <v>54.465934743655353</v>
      </c>
      <c r="G47" s="112">
        <v>159.08300685849156</v>
      </c>
      <c r="H47" s="112">
        <v>159.08300685849156</v>
      </c>
      <c r="I47" s="12">
        <v>0</v>
      </c>
      <c r="J47" s="12">
        <v>0</v>
      </c>
      <c r="K47" s="12">
        <v>1</v>
      </c>
      <c r="L47" s="112">
        <v>99.6</v>
      </c>
      <c r="M47" s="12">
        <v>0.2</v>
      </c>
      <c r="O47" s="112">
        <f t="shared" si="4"/>
        <v>7.6666666666666661</v>
      </c>
      <c r="P47" s="78">
        <f t="shared" si="0"/>
        <v>0.94083971339553618</v>
      </c>
      <c r="Q47" s="112">
        <f t="shared" si="5"/>
        <v>16.726666666666667</v>
      </c>
      <c r="R47" s="112">
        <f t="shared" si="3"/>
        <v>11.082263392370814</v>
      </c>
      <c r="T47" s="23"/>
      <c r="U47" s="22"/>
    </row>
    <row r="48" spans="1:21" x14ac:dyDescent="0.25">
      <c r="A48" s="3">
        <v>2065</v>
      </c>
      <c r="B48" s="109"/>
      <c r="C48" s="24">
        <v>991.36775395350014</v>
      </c>
      <c r="D48" s="24">
        <v>20</v>
      </c>
      <c r="E48" s="112">
        <v>145.19999999999999</v>
      </c>
      <c r="F48" s="112">
        <v>54.465934743655353</v>
      </c>
      <c r="G48" s="112">
        <v>159.08300685849156</v>
      </c>
      <c r="H48" s="112">
        <v>159.08300685849156</v>
      </c>
      <c r="I48" s="12">
        <v>0</v>
      </c>
      <c r="J48" s="12">
        <v>0</v>
      </c>
      <c r="K48" s="12">
        <v>1</v>
      </c>
      <c r="L48" s="112">
        <v>99.6</v>
      </c>
      <c r="M48" s="12">
        <v>0.2</v>
      </c>
      <c r="O48" s="112">
        <f t="shared" si="4"/>
        <v>7.6666666666666661</v>
      </c>
      <c r="P48" s="78">
        <f t="shared" si="0"/>
        <v>0.95024811052949154</v>
      </c>
      <c r="Q48" s="112">
        <f t="shared" si="5"/>
        <v>16.726666666666667</v>
      </c>
      <c r="R48" s="112">
        <f t="shared" si="3"/>
        <v>11.248497343256375</v>
      </c>
      <c r="T48" s="23"/>
      <c r="U48" s="22"/>
    </row>
    <row r="49" spans="1:18" x14ac:dyDescent="0.25">
      <c r="A49" s="3">
        <v>2066</v>
      </c>
      <c r="B49" s="109"/>
      <c r="C49" s="24">
        <v>991.36775395350014</v>
      </c>
      <c r="D49" s="24">
        <v>20</v>
      </c>
      <c r="E49" s="112">
        <v>145.19999999999999</v>
      </c>
      <c r="F49" s="112">
        <v>54.465934743655353</v>
      </c>
      <c r="G49" s="112">
        <v>159.08300685849156</v>
      </c>
      <c r="H49" s="112">
        <v>159.08300685849156</v>
      </c>
      <c r="I49" s="12">
        <v>0</v>
      </c>
      <c r="J49" s="12">
        <v>0</v>
      </c>
      <c r="K49" s="12">
        <v>1</v>
      </c>
      <c r="L49" s="112">
        <v>99.6</v>
      </c>
      <c r="M49" s="12">
        <v>0.2</v>
      </c>
      <c r="O49" s="112">
        <f t="shared" si="4"/>
        <v>7.6666666666666661</v>
      </c>
      <c r="P49" s="78">
        <f t="shared" si="0"/>
        <v>0.95975059163478649</v>
      </c>
      <c r="Q49" s="112">
        <f t="shared" si="5"/>
        <v>16.726666666666667</v>
      </c>
      <c r="R49" s="112">
        <f t="shared" si="3"/>
        <v>11.417224803405219</v>
      </c>
    </row>
    <row r="50" spans="1:18" x14ac:dyDescent="0.25">
      <c r="A50" s="3">
        <v>2067</v>
      </c>
      <c r="B50" s="38"/>
      <c r="C50" s="24">
        <v>991.36775395350014</v>
      </c>
      <c r="D50" s="24">
        <v>20</v>
      </c>
      <c r="E50" s="112">
        <v>145.19999999999999</v>
      </c>
      <c r="F50" s="112">
        <v>54.465934743655353</v>
      </c>
      <c r="G50" s="112">
        <v>159.08300685849156</v>
      </c>
      <c r="H50" s="112">
        <v>159.08300685849156</v>
      </c>
      <c r="I50" s="12">
        <v>0</v>
      </c>
      <c r="J50" s="12">
        <v>0</v>
      </c>
      <c r="K50" s="12">
        <v>1</v>
      </c>
      <c r="L50" s="112">
        <v>99.6</v>
      </c>
      <c r="M50" s="12">
        <v>0.2</v>
      </c>
      <c r="O50" s="112">
        <f t="shared" si="4"/>
        <v>7.6666666666666661</v>
      </c>
      <c r="P50" s="78">
        <f t="shared" si="0"/>
        <v>0.96934809755113438</v>
      </c>
      <c r="Q50" s="112">
        <f t="shared" si="5"/>
        <v>16.726666666666667</v>
      </c>
      <c r="R50" s="112">
        <f t="shared" si="3"/>
        <v>11.588483175456297</v>
      </c>
    </row>
  </sheetData>
  <sheetProtection algorithmName="SHA-512" hashValue="lSOkFod26Llthn+5qrpHyslpDmRmKhsMcdELb1W5gEVJGtYYegoj6jJAEy09olwFZ2Z7aCnAxd6tK+rIA0YUAg==" saltValue="C80DJmVP5HemQpop01n7Tg==" spinCount="100000" sheet="1" objects="1" scenarios="1"/>
  <mergeCells count="10">
    <mergeCell ref="Y8:Y9"/>
    <mergeCell ref="Y10:Y11"/>
    <mergeCell ref="T18:U19"/>
    <mergeCell ref="C1:H1"/>
    <mergeCell ref="O1:P1"/>
    <mergeCell ref="Q1:R1"/>
    <mergeCell ref="I2:K2"/>
    <mergeCell ref="T8:T9"/>
    <mergeCell ref="T10:T11"/>
    <mergeCell ref="T14:V14"/>
  </mergeCells>
  <hyperlinks>
    <hyperlink ref="X4" r:id="rId1" display="https://www.bdew.de/service/daten-und-grafiken/bdew-strompreisanalyse/" xr:uid="{00000000-0004-0000-0200-000000000000}"/>
    <hyperlink ref="X5" r:id="rId2" display="https://www.bdew.de/service/daten-und-grafiken/bdew-gaspreisanalyse/" xr:uid="{00000000-0004-0000-0200-000001000000}"/>
  </hyperlinks>
  <pageMargins left="0.7" right="0.7" top="0.78740157499999996" bottom="0.78740157499999996" header="0.3" footer="0.3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AY50"/>
  <sheetViews>
    <sheetView zoomScale="90" zoomScaleNormal="90" workbookViewId="0">
      <selection activeCell="A18" sqref="A18"/>
    </sheetView>
  </sheetViews>
  <sheetFormatPr baseColWidth="10" defaultColWidth="10.85546875" defaultRowHeight="18.75" x14ac:dyDescent="0.25"/>
  <cols>
    <col min="1" max="1" width="11.85546875" style="35" bestFit="1" customWidth="1"/>
    <col min="2" max="2" width="11.85546875" style="35" hidden="1" customWidth="1"/>
    <col min="3" max="12" width="10.85546875" style="35"/>
    <col min="13" max="13" width="13.85546875" style="35" customWidth="1"/>
    <col min="14" max="14" width="2.5703125" style="35" customWidth="1"/>
    <col min="15" max="15" width="18.85546875" style="5" customWidth="1"/>
    <col min="16" max="16" width="20.85546875" style="5" bestFit="1" customWidth="1"/>
    <col min="17" max="17" width="18.5703125" style="5" customWidth="1"/>
    <col min="18" max="18" width="21.85546875" style="5" customWidth="1"/>
    <col min="19" max="19" width="4.140625" style="5" customWidth="1"/>
    <col min="20" max="20" width="21.85546875" style="5" bestFit="1" customWidth="1"/>
    <col min="21" max="21" width="12.28515625" style="5" customWidth="1"/>
    <col min="22" max="22" width="20.140625" style="5" bestFit="1" customWidth="1"/>
    <col min="23" max="23" width="19" style="5" bestFit="1" customWidth="1"/>
    <col min="24" max="24" width="21.42578125" style="5" bestFit="1" customWidth="1"/>
    <col min="25" max="25" width="23.42578125" style="5" bestFit="1" customWidth="1"/>
    <col min="26" max="26" width="16.140625" style="5" customWidth="1"/>
    <col min="27" max="27" width="21.28515625" style="5" customWidth="1"/>
    <col min="28" max="16384" width="10.85546875" style="35"/>
  </cols>
  <sheetData>
    <row r="1" spans="1:51" ht="30" customHeight="1" x14ac:dyDescent="0.25">
      <c r="C1" s="185" t="s">
        <v>104</v>
      </c>
      <c r="D1" s="185"/>
      <c r="E1" s="185"/>
      <c r="F1" s="185"/>
      <c r="G1" s="185"/>
      <c r="H1" s="185"/>
      <c r="O1" s="186" t="s">
        <v>60</v>
      </c>
      <c r="P1" s="186"/>
      <c r="Q1" s="186" t="s">
        <v>61</v>
      </c>
      <c r="R1" s="186"/>
      <c r="T1" s="35"/>
      <c r="U1" s="35"/>
      <c r="V1" s="35"/>
      <c r="W1" s="35"/>
    </row>
    <row r="2" spans="1:51" s="4" customFormat="1" ht="75" x14ac:dyDescent="0.25">
      <c r="A2" s="6" t="s">
        <v>54</v>
      </c>
      <c r="B2" s="7" t="s">
        <v>302</v>
      </c>
      <c r="C2" s="7" t="s">
        <v>103</v>
      </c>
      <c r="D2" s="7" t="s">
        <v>53</v>
      </c>
      <c r="E2" s="7" t="s">
        <v>48</v>
      </c>
      <c r="F2" s="7" t="s">
        <v>49</v>
      </c>
      <c r="G2" s="7" t="s">
        <v>47</v>
      </c>
      <c r="H2" s="7" t="s">
        <v>50</v>
      </c>
      <c r="I2" s="187" t="s">
        <v>62</v>
      </c>
      <c r="J2" s="188"/>
      <c r="K2" s="189"/>
      <c r="L2" s="8" t="s">
        <v>63</v>
      </c>
      <c r="M2" s="8" t="s">
        <v>64</v>
      </c>
      <c r="O2" s="8" t="s">
        <v>65</v>
      </c>
      <c r="P2" s="8" t="s">
        <v>66</v>
      </c>
      <c r="Q2" s="8" t="s">
        <v>65</v>
      </c>
      <c r="R2" s="8" t="s">
        <v>66</v>
      </c>
      <c r="S2" s="5"/>
      <c r="T2" s="5"/>
      <c r="U2" s="5"/>
      <c r="V2" s="5"/>
      <c r="W2" s="5"/>
      <c r="X2" s="5"/>
      <c r="Y2" s="5"/>
      <c r="Z2" s="5"/>
      <c r="AA2" s="5"/>
    </row>
    <row r="3" spans="1:51" ht="15" customHeight="1" thickBot="1" x14ac:dyDescent="0.3">
      <c r="A3" s="9" t="s">
        <v>55</v>
      </c>
      <c r="B3" s="9" t="s">
        <v>303</v>
      </c>
      <c r="C3" s="42" t="s">
        <v>102</v>
      </c>
      <c r="D3" s="42" t="s">
        <v>67</v>
      </c>
      <c r="E3" s="42" t="s">
        <v>67</v>
      </c>
      <c r="F3" s="41" t="s">
        <v>67</v>
      </c>
      <c r="G3" s="41" t="s">
        <v>68</v>
      </c>
      <c r="H3" s="41" t="s">
        <v>68</v>
      </c>
      <c r="I3" s="41" t="s">
        <v>53</v>
      </c>
      <c r="J3" s="41" t="s">
        <v>48</v>
      </c>
      <c r="K3" s="41" t="s">
        <v>49</v>
      </c>
      <c r="L3" s="41" t="s">
        <v>67</v>
      </c>
      <c r="M3" s="41" t="s">
        <v>7</v>
      </c>
      <c r="O3" s="41" t="s">
        <v>69</v>
      </c>
      <c r="P3" s="41" t="s">
        <v>69</v>
      </c>
      <c r="Q3" s="41" t="s">
        <v>69</v>
      </c>
      <c r="R3" s="41" t="s">
        <v>69</v>
      </c>
      <c r="T3" s="115" t="s">
        <v>174</v>
      </c>
      <c r="U3" s="138">
        <v>5</v>
      </c>
      <c r="V3" s="47" t="s">
        <v>175</v>
      </c>
      <c r="W3" s="20"/>
    </row>
    <row r="4" spans="1:51" ht="15" customHeight="1" x14ac:dyDescent="0.25">
      <c r="A4" s="10">
        <v>2021</v>
      </c>
      <c r="B4" s="108"/>
      <c r="C4" s="131">
        <v>202.36905531063138</v>
      </c>
      <c r="D4" s="131">
        <v>14.18375833333333</v>
      </c>
      <c r="E4" s="131">
        <v>59.801405438435687</v>
      </c>
      <c r="F4" s="132">
        <v>78.478131834506996</v>
      </c>
      <c r="G4" s="132">
        <v>51.626388655112066</v>
      </c>
      <c r="H4" s="133">
        <v>25</v>
      </c>
      <c r="I4" s="134">
        <v>0.25</v>
      </c>
      <c r="J4" s="134">
        <v>0.75</v>
      </c>
      <c r="K4" s="134">
        <v>0</v>
      </c>
      <c r="L4" s="132">
        <v>40.17</v>
      </c>
      <c r="M4" s="135">
        <v>0.2</v>
      </c>
      <c r="O4" s="132">
        <f>'destatis-Daten'!$C$8*100</f>
        <v>1.5333333333333332</v>
      </c>
      <c r="P4" s="132">
        <f>'destatis-Daten'!$D$8*100-U5</f>
        <v>0.61333333333333329</v>
      </c>
      <c r="Q4" s="132">
        <f>'destatis-Daten'!$M$10*100</f>
        <v>8.3633333333333333</v>
      </c>
      <c r="R4" s="132">
        <f>'destatis-Daten'!$N$10*100-U4</f>
        <v>10.93</v>
      </c>
      <c r="T4" s="115" t="s">
        <v>172</v>
      </c>
      <c r="U4" s="138">
        <v>5.13</v>
      </c>
      <c r="V4" s="47" t="s">
        <v>175</v>
      </c>
      <c r="W4" s="110" t="s">
        <v>304</v>
      </c>
      <c r="X4" s="111" t="s">
        <v>272</v>
      </c>
      <c r="Y4" s="20"/>
    </row>
    <row r="5" spans="1:51" x14ac:dyDescent="0.25">
      <c r="A5" s="10">
        <v>2022</v>
      </c>
      <c r="B5" s="109"/>
      <c r="C5" s="131">
        <v>300.69444444444446</v>
      </c>
      <c r="D5" s="131">
        <v>86.99</v>
      </c>
      <c r="E5" s="131">
        <v>69.28871096536281</v>
      </c>
      <c r="F5" s="133">
        <v>82.779922593545848</v>
      </c>
      <c r="G5" s="133">
        <v>71.255331298577772</v>
      </c>
      <c r="H5" s="133">
        <v>30</v>
      </c>
      <c r="I5" s="134">
        <v>0.25</v>
      </c>
      <c r="J5" s="134">
        <v>0.75</v>
      </c>
      <c r="K5" s="134">
        <v>0</v>
      </c>
      <c r="L5" s="133">
        <v>88.42</v>
      </c>
      <c r="M5" s="135">
        <v>0.2</v>
      </c>
      <c r="O5" s="133">
        <f>IF(O4*(1+$X$10)&gt;$Y$10,$Y$10,(O4*(1+$X$10)))</f>
        <v>1.5563333333333331</v>
      </c>
      <c r="P5" s="133">
        <f t="shared" ref="P5:P50" si="0">P4*(1+$V$15)</f>
        <v>0.61946666666666661</v>
      </c>
      <c r="Q5" s="133">
        <f>IF(Q4*(1+$X$8)&gt;$Y$8,$Y$8,Q4*(1+$X$8))</f>
        <v>8.5891433333333325</v>
      </c>
      <c r="R5" s="133">
        <f>(R4-U3)</f>
        <v>5.93</v>
      </c>
      <c r="T5" s="115" t="s">
        <v>173</v>
      </c>
      <c r="U5" s="138">
        <v>1.1299999999999999</v>
      </c>
      <c r="V5" s="47" t="s">
        <v>175</v>
      </c>
      <c r="W5" s="110" t="s">
        <v>305</v>
      </c>
      <c r="X5" s="94" t="s">
        <v>269</v>
      </c>
    </row>
    <row r="6" spans="1:51" x14ac:dyDescent="0.25">
      <c r="A6" s="10">
        <v>2023</v>
      </c>
      <c r="B6" s="109"/>
      <c r="C6" s="131">
        <v>348.329045865963</v>
      </c>
      <c r="D6" s="131">
        <v>127</v>
      </c>
      <c r="E6" s="136">
        <v>145.19999999999999</v>
      </c>
      <c r="F6" s="136">
        <v>84.959759732148513</v>
      </c>
      <c r="G6" s="136">
        <v>79.599999999999994</v>
      </c>
      <c r="H6" s="136">
        <v>35</v>
      </c>
      <c r="I6" s="134">
        <v>0.25</v>
      </c>
      <c r="J6" s="134">
        <v>0.75</v>
      </c>
      <c r="K6" s="134">
        <v>0</v>
      </c>
      <c r="L6" s="136">
        <v>366</v>
      </c>
      <c r="M6" s="135">
        <v>0.2</v>
      </c>
      <c r="O6" s="133">
        <f t="shared" ref="O6:O13" si="1">IF(O5*(1+$X$10)&gt;$Y$10,$Y$10,(O5*(1+$X$10)))</f>
        <v>1.5796783333333331</v>
      </c>
      <c r="P6" s="133">
        <f t="shared" si="0"/>
        <v>0.62566133333333329</v>
      </c>
      <c r="Q6" s="133">
        <f t="shared" ref="Q6:Q13" si="2">IF(Q5*(1+$X$8)&gt;$Y$8,$Y$8,Q5*(1+$X$8))</f>
        <v>8.821050203333332</v>
      </c>
      <c r="R6" s="136">
        <f t="shared" ref="R6:R50" si="3">R5*(1+$V$16)</f>
        <v>6.0189499999999994</v>
      </c>
      <c r="T6" s="20"/>
      <c r="U6" s="21"/>
    </row>
    <row r="7" spans="1:51" x14ac:dyDescent="0.25">
      <c r="A7" s="3">
        <v>2024</v>
      </c>
      <c r="B7" s="109"/>
      <c r="C7" s="131">
        <v>395.96364728748154</v>
      </c>
      <c r="D7" s="131">
        <v>102.75</v>
      </c>
      <c r="E7" s="136">
        <v>145.19999999999999</v>
      </c>
      <c r="F7" s="136">
        <v>82.849888480622624</v>
      </c>
      <c r="G7" s="136">
        <v>84</v>
      </c>
      <c r="H7" s="136">
        <v>45</v>
      </c>
      <c r="I7" s="135">
        <v>0.25</v>
      </c>
      <c r="J7" s="135">
        <v>0.75</v>
      </c>
      <c r="K7" s="135">
        <v>0</v>
      </c>
      <c r="L7" s="136">
        <v>251</v>
      </c>
      <c r="M7" s="135">
        <v>0.2</v>
      </c>
      <c r="O7" s="133">
        <f t="shared" si="1"/>
        <v>1.6033735083333329</v>
      </c>
      <c r="P7" s="133">
        <f t="shared" si="0"/>
        <v>0.63191794666666667</v>
      </c>
      <c r="Q7" s="133">
        <f t="shared" si="2"/>
        <v>9.059218558823332</v>
      </c>
      <c r="R7" s="136">
        <f t="shared" si="3"/>
        <v>6.1092342499999992</v>
      </c>
      <c r="T7" s="116" t="s">
        <v>162</v>
      </c>
      <c r="U7" s="46"/>
      <c r="V7" s="116" t="s">
        <v>168</v>
      </c>
      <c r="W7" s="116" t="s">
        <v>169</v>
      </c>
      <c r="X7" s="116" t="s">
        <v>170</v>
      </c>
      <c r="Y7" s="116" t="s">
        <v>306</v>
      </c>
    </row>
    <row r="8" spans="1:51" x14ac:dyDescent="0.25">
      <c r="A8" s="3">
        <v>2025</v>
      </c>
      <c r="B8" s="109"/>
      <c r="C8" s="131">
        <v>443.59824870900002</v>
      </c>
      <c r="D8" s="131">
        <v>74.400000000000006</v>
      </c>
      <c r="E8" s="136">
        <v>145.19999999999999</v>
      </c>
      <c r="F8" s="136">
        <v>85.369606062452206</v>
      </c>
      <c r="G8" s="136">
        <v>90</v>
      </c>
      <c r="H8" s="136">
        <v>55</v>
      </c>
      <c r="I8" s="135">
        <v>0.25</v>
      </c>
      <c r="J8" s="135">
        <v>0.75</v>
      </c>
      <c r="K8" s="135">
        <v>0</v>
      </c>
      <c r="L8" s="136">
        <v>177.6</v>
      </c>
      <c r="M8" s="135">
        <v>0.2</v>
      </c>
      <c r="O8" s="133">
        <f t="shared" si="1"/>
        <v>1.6274241109583327</v>
      </c>
      <c r="P8" s="133">
        <f t="shared" si="0"/>
        <v>0.63823712613333339</v>
      </c>
      <c r="Q8" s="133">
        <f t="shared" si="2"/>
        <v>9.3038174599115617</v>
      </c>
      <c r="R8" s="136">
        <f t="shared" si="3"/>
        <v>6.2008727637499987</v>
      </c>
      <c r="T8" s="190" t="s">
        <v>61</v>
      </c>
      <c r="U8" s="116" t="s">
        <v>163</v>
      </c>
      <c r="V8" s="139">
        <v>3.5000000000000003E-2</v>
      </c>
      <c r="W8" s="139">
        <v>8.0000000000000002E-3</v>
      </c>
      <c r="X8" s="140">
        <f>V8-W8</f>
        <v>2.7000000000000003E-2</v>
      </c>
      <c r="Y8" s="197">
        <f>2*$Q$4</f>
        <v>16.726666666666667</v>
      </c>
    </row>
    <row r="9" spans="1:51" x14ac:dyDescent="0.25">
      <c r="A9" s="3">
        <v>2026</v>
      </c>
      <c r="B9" s="109"/>
      <c r="C9" s="131">
        <v>472.58182667519998</v>
      </c>
      <c r="D9" s="131">
        <v>45.68</v>
      </c>
      <c r="E9" s="136">
        <v>145.19999999999999</v>
      </c>
      <c r="F9" s="136">
        <v>87.032916032785266</v>
      </c>
      <c r="G9" s="136">
        <v>96.5</v>
      </c>
      <c r="H9" s="136">
        <v>96.5</v>
      </c>
      <c r="I9" s="135">
        <v>0.25</v>
      </c>
      <c r="J9" s="135">
        <v>0.75</v>
      </c>
      <c r="K9" s="135">
        <v>0</v>
      </c>
      <c r="L9" s="136">
        <v>144.9</v>
      </c>
      <c r="M9" s="135">
        <v>0.2</v>
      </c>
      <c r="O9" s="133">
        <f t="shared" si="1"/>
        <v>1.6518354726227076</v>
      </c>
      <c r="P9" s="133">
        <f t="shared" si="0"/>
        <v>0.64461949739466673</v>
      </c>
      <c r="Q9" s="133">
        <f t="shared" si="2"/>
        <v>9.5550205313291734</v>
      </c>
      <c r="R9" s="136">
        <f t="shared" si="3"/>
        <v>6.2938858552062484</v>
      </c>
      <c r="T9" s="191"/>
      <c r="U9" s="116" t="s">
        <v>164</v>
      </c>
      <c r="V9" s="139">
        <v>3.5000000000000003E-2</v>
      </c>
      <c r="W9" s="139">
        <v>0.02</v>
      </c>
      <c r="X9" s="140">
        <f>V9-W9</f>
        <v>1.5000000000000003E-2</v>
      </c>
      <c r="Y9" s="198"/>
      <c r="Z9" s="20"/>
      <c r="AA9" s="20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51" x14ac:dyDescent="0.25">
      <c r="A10" s="3">
        <v>2027</v>
      </c>
      <c r="B10" s="109"/>
      <c r="C10" s="131">
        <v>501.56540464139994</v>
      </c>
      <c r="D10" s="131">
        <v>40</v>
      </c>
      <c r="E10" s="136">
        <v>145.19999999999999</v>
      </c>
      <c r="F10" s="136">
        <v>87.161122937857641</v>
      </c>
      <c r="G10" s="136">
        <v>120.37037037037038</v>
      </c>
      <c r="H10" s="136">
        <v>120.37037037037038</v>
      </c>
      <c r="I10" s="135">
        <v>0.25</v>
      </c>
      <c r="J10" s="135">
        <v>0.75</v>
      </c>
      <c r="K10" s="135">
        <v>0</v>
      </c>
      <c r="L10" s="136">
        <v>130</v>
      </c>
      <c r="M10" s="135">
        <v>0.2</v>
      </c>
      <c r="O10" s="133">
        <f t="shared" si="1"/>
        <v>1.676613004712048</v>
      </c>
      <c r="P10" s="133">
        <f t="shared" si="0"/>
        <v>0.65106569236861345</v>
      </c>
      <c r="Q10" s="133">
        <f t="shared" si="2"/>
        <v>9.8130060856750596</v>
      </c>
      <c r="R10" s="136">
        <f t="shared" si="3"/>
        <v>6.3882941430343418</v>
      </c>
      <c r="T10" s="192" t="s">
        <v>165</v>
      </c>
      <c r="U10" s="116" t="s">
        <v>163</v>
      </c>
      <c r="V10" s="139">
        <v>0</v>
      </c>
      <c r="W10" s="139">
        <v>-1.4999999999999999E-2</v>
      </c>
      <c r="X10" s="140">
        <f>V10-W10</f>
        <v>1.4999999999999999E-2</v>
      </c>
      <c r="Y10" s="197">
        <f>5*$O$4</f>
        <v>7.6666666666666661</v>
      </c>
    </row>
    <row r="11" spans="1:51" x14ac:dyDescent="0.25">
      <c r="A11" s="3">
        <v>2028</v>
      </c>
      <c r="B11" s="109"/>
      <c r="C11" s="131">
        <v>530.5489826075999</v>
      </c>
      <c r="D11" s="131">
        <v>37</v>
      </c>
      <c r="E11" s="136">
        <v>145.19999999999999</v>
      </c>
      <c r="F11" s="136">
        <v>87.456292424015899</v>
      </c>
      <c r="G11" s="136">
        <v>103.08972073677953</v>
      </c>
      <c r="H11" s="136">
        <v>103.08972073677953</v>
      </c>
      <c r="I11" s="135">
        <v>0.25</v>
      </c>
      <c r="J11" s="135">
        <v>0.75</v>
      </c>
      <c r="K11" s="135">
        <v>0</v>
      </c>
      <c r="L11" s="136">
        <v>115</v>
      </c>
      <c r="M11" s="135">
        <v>0.2</v>
      </c>
      <c r="O11" s="133">
        <f t="shared" si="1"/>
        <v>1.7017621997827286</v>
      </c>
      <c r="P11" s="133">
        <f t="shared" si="0"/>
        <v>0.65757634929229958</v>
      </c>
      <c r="Q11" s="133">
        <f t="shared" si="2"/>
        <v>10.077957249988286</v>
      </c>
      <c r="R11" s="136">
        <f t="shared" si="3"/>
        <v>6.4841185551798564</v>
      </c>
      <c r="T11" s="193"/>
      <c r="U11" s="116" t="s">
        <v>164</v>
      </c>
      <c r="V11" s="139">
        <v>3.5000000000000003E-2</v>
      </c>
      <c r="W11" s="139">
        <v>-0.03</v>
      </c>
      <c r="X11" s="140">
        <f>V11-W11</f>
        <v>6.5000000000000002E-2</v>
      </c>
      <c r="Y11" s="198"/>
      <c r="AQ11" s="35">
        <v>50</v>
      </c>
      <c r="AR11" s="35">
        <v>50</v>
      </c>
      <c r="AS11" s="35">
        <v>50</v>
      </c>
      <c r="AT11" s="35">
        <v>50</v>
      </c>
      <c r="AU11" s="35">
        <v>50</v>
      </c>
      <c r="AV11" s="35">
        <v>50</v>
      </c>
      <c r="AW11" s="35">
        <v>50</v>
      </c>
      <c r="AX11" s="35">
        <v>50</v>
      </c>
      <c r="AY11" s="35">
        <v>50</v>
      </c>
    </row>
    <row r="12" spans="1:51" x14ac:dyDescent="0.25">
      <c r="A12" s="3">
        <v>2029</v>
      </c>
      <c r="B12" s="109"/>
      <c r="C12" s="131">
        <v>559.53256057379986</v>
      </c>
      <c r="D12" s="131">
        <v>33</v>
      </c>
      <c r="E12" s="136">
        <v>145.19999999999999</v>
      </c>
      <c r="F12" s="136">
        <v>89.151878536272562</v>
      </c>
      <c r="G12" s="136">
        <v>93.68191721132898</v>
      </c>
      <c r="H12" s="136">
        <v>93.68191721132898</v>
      </c>
      <c r="I12" s="135">
        <v>0.25</v>
      </c>
      <c r="J12" s="135">
        <v>0.75</v>
      </c>
      <c r="K12" s="135">
        <v>0</v>
      </c>
      <c r="L12" s="136">
        <v>100</v>
      </c>
      <c r="M12" s="135">
        <v>0.2</v>
      </c>
      <c r="O12" s="133">
        <f t="shared" si="1"/>
        <v>1.7272886327794694</v>
      </c>
      <c r="P12" s="133">
        <f t="shared" si="0"/>
        <v>0.66415211278522257</v>
      </c>
      <c r="Q12" s="133">
        <f t="shared" si="2"/>
        <v>10.350062095737968</v>
      </c>
      <c r="R12" s="136">
        <f t="shared" si="3"/>
        <v>6.5813803335075534</v>
      </c>
      <c r="T12" s="6"/>
      <c r="U12" s="6"/>
      <c r="V12" s="45"/>
    </row>
    <row r="13" spans="1:51" ht="19.5" thickBot="1" x14ac:dyDescent="0.3">
      <c r="A13" s="3">
        <v>2030</v>
      </c>
      <c r="B13" s="109"/>
      <c r="C13" s="131">
        <v>588.51613854000004</v>
      </c>
      <c r="D13" s="131">
        <v>30</v>
      </c>
      <c r="E13" s="136">
        <v>145.19999999999999</v>
      </c>
      <c r="F13" s="136">
        <v>90.827566989782397</v>
      </c>
      <c r="G13" s="136">
        <v>85.165379283026311</v>
      </c>
      <c r="H13" s="136">
        <v>85.165379283026311</v>
      </c>
      <c r="I13" s="135">
        <v>0.25</v>
      </c>
      <c r="J13" s="135">
        <v>0.75</v>
      </c>
      <c r="K13" s="135">
        <v>0</v>
      </c>
      <c r="L13" s="136">
        <v>88</v>
      </c>
      <c r="M13" s="135">
        <v>0.2</v>
      </c>
      <c r="O13" s="137">
        <f t="shared" si="1"/>
        <v>1.7531979622711613</v>
      </c>
      <c r="P13" s="137">
        <f t="shared" si="0"/>
        <v>0.67079363391307478</v>
      </c>
      <c r="Q13" s="137">
        <f t="shared" si="2"/>
        <v>10.629513772322893</v>
      </c>
      <c r="R13" s="137">
        <f t="shared" si="3"/>
        <v>6.6801010385101662</v>
      </c>
      <c r="T13" s="6"/>
      <c r="U13" s="6"/>
      <c r="V13" s="6"/>
    </row>
    <row r="14" spans="1:51" x14ac:dyDescent="0.25">
      <c r="A14" s="3">
        <v>2031</v>
      </c>
      <c r="B14" s="109"/>
      <c r="C14" s="131">
        <v>623.35997551080004</v>
      </c>
      <c r="D14" s="131">
        <v>30</v>
      </c>
      <c r="E14" s="136">
        <v>145.19999999999999</v>
      </c>
      <c r="F14" s="136">
        <v>89.042043290299759</v>
      </c>
      <c r="G14" s="136">
        <v>86.626064567241002</v>
      </c>
      <c r="H14" s="136">
        <v>86.626064567241002</v>
      </c>
      <c r="I14" s="135">
        <v>0.25</v>
      </c>
      <c r="J14" s="135">
        <v>0.75</v>
      </c>
      <c r="K14" s="135">
        <v>0</v>
      </c>
      <c r="L14" s="136">
        <v>90</v>
      </c>
      <c r="M14" s="135">
        <v>0.2</v>
      </c>
      <c r="O14" s="136">
        <f>IF(O13*(1+$X$11)&gt;$Y$10,$Y$10,O13*(1+$X$11))</f>
        <v>1.8671558298187867</v>
      </c>
      <c r="P14" s="136">
        <f t="shared" si="0"/>
        <v>0.67750157025220559</v>
      </c>
      <c r="Q14" s="136">
        <f>IF(Q13*(1+$X$9)&gt;$Y$8,$Y$8,Q13*(1+$X$9))</f>
        <v>10.788956478907735</v>
      </c>
      <c r="R14" s="136">
        <f t="shared" si="3"/>
        <v>6.7803025540878181</v>
      </c>
      <c r="T14" s="194" t="s">
        <v>171</v>
      </c>
      <c r="U14" s="195"/>
      <c r="V14" s="196"/>
    </row>
    <row r="15" spans="1:51" x14ac:dyDescent="0.25">
      <c r="A15" s="3">
        <v>2032</v>
      </c>
      <c r="B15" s="109"/>
      <c r="C15" s="131">
        <v>658.20381248159993</v>
      </c>
      <c r="D15" s="131">
        <v>30</v>
      </c>
      <c r="E15" s="136">
        <v>145.19999999999999</v>
      </c>
      <c r="F15" s="136">
        <v>87.895766479011087</v>
      </c>
      <c r="G15" s="136">
        <v>91.008120419885103</v>
      </c>
      <c r="H15" s="136">
        <v>91.008120419885103</v>
      </c>
      <c r="I15" s="135">
        <v>0.25</v>
      </c>
      <c r="J15" s="135">
        <v>0.75</v>
      </c>
      <c r="K15" s="135">
        <v>0</v>
      </c>
      <c r="L15" s="136">
        <v>92</v>
      </c>
      <c r="M15" s="135">
        <v>0.2</v>
      </c>
      <c r="O15" s="136">
        <f t="shared" ref="O15:O50" si="4">IF(O14*(1+$X$11)&gt;$Y$10,$Y$10,O14*(1+$X$11))</f>
        <v>1.9885209587570076</v>
      </c>
      <c r="P15" s="133">
        <f t="shared" si="0"/>
        <v>0.68427658595472762</v>
      </c>
      <c r="Q15" s="136">
        <f t="shared" ref="Q15:Q50" si="5">IF(Q14*(1+$X$9)&gt;$Y$8,$Y$8,Q14*(1+$X$9))</f>
        <v>10.95079082609135</v>
      </c>
      <c r="R15" s="136">
        <f t="shared" si="3"/>
        <v>6.8820070923991343</v>
      </c>
      <c r="T15" s="116" t="s">
        <v>166</v>
      </c>
      <c r="U15" s="77" t="s">
        <v>167</v>
      </c>
      <c r="V15" s="139">
        <v>0.01</v>
      </c>
    </row>
    <row r="16" spans="1:51" x14ac:dyDescent="0.25">
      <c r="A16" s="3">
        <v>2033</v>
      </c>
      <c r="B16" s="109"/>
      <c r="C16" s="131">
        <v>693.04764945240004</v>
      </c>
      <c r="D16" s="131">
        <v>30</v>
      </c>
      <c r="E16" s="136">
        <v>145.19999999999999</v>
      </c>
      <c r="F16" s="136">
        <v>84.57865272027702</v>
      </c>
      <c r="G16" s="136">
        <v>93.929490988314498</v>
      </c>
      <c r="H16" s="136">
        <v>93.929490988314498</v>
      </c>
      <c r="I16" s="135">
        <v>0.25</v>
      </c>
      <c r="J16" s="135">
        <v>0.75</v>
      </c>
      <c r="K16" s="135">
        <v>0</v>
      </c>
      <c r="L16" s="136">
        <v>94</v>
      </c>
      <c r="M16" s="135">
        <v>0.2</v>
      </c>
      <c r="O16" s="136">
        <f t="shared" si="4"/>
        <v>2.1177748210762131</v>
      </c>
      <c r="P16" s="133">
        <f t="shared" si="0"/>
        <v>0.69111935181427486</v>
      </c>
      <c r="Q16" s="136">
        <f t="shared" si="5"/>
        <v>11.115052688482718</v>
      </c>
      <c r="R16" s="136">
        <f t="shared" si="3"/>
        <v>6.9852371987851205</v>
      </c>
      <c r="T16" s="116" t="s">
        <v>61</v>
      </c>
      <c r="U16" s="77" t="s">
        <v>167</v>
      </c>
      <c r="V16" s="139">
        <v>1.4999999999999999E-2</v>
      </c>
    </row>
    <row r="17" spans="1:24" x14ac:dyDescent="0.25">
      <c r="A17" s="3">
        <v>2034</v>
      </c>
      <c r="B17" s="109"/>
      <c r="C17" s="131">
        <v>727.89148642320004</v>
      </c>
      <c r="D17" s="131">
        <v>30</v>
      </c>
      <c r="E17" s="136">
        <v>145.19999999999999</v>
      </c>
      <c r="F17" s="136">
        <v>82.129084355335962</v>
      </c>
      <c r="G17" s="136">
        <v>96.850861556743922</v>
      </c>
      <c r="H17" s="136">
        <v>96.850861556743922</v>
      </c>
      <c r="I17" s="135">
        <v>0.25</v>
      </c>
      <c r="J17" s="135">
        <v>0.75</v>
      </c>
      <c r="K17" s="135">
        <v>0</v>
      </c>
      <c r="L17" s="136">
        <v>96</v>
      </c>
      <c r="M17" s="135">
        <v>0.2</v>
      </c>
      <c r="O17" s="136">
        <f t="shared" si="4"/>
        <v>2.2554301844461668</v>
      </c>
      <c r="P17" s="133">
        <f t="shared" si="0"/>
        <v>0.6980305453324176</v>
      </c>
      <c r="Q17" s="136">
        <f t="shared" si="5"/>
        <v>11.281778478809958</v>
      </c>
      <c r="R17" s="136">
        <f t="shared" si="3"/>
        <v>7.0900157567668964</v>
      </c>
      <c r="T17" s="23"/>
      <c r="U17" s="22"/>
    </row>
    <row r="18" spans="1:24" x14ac:dyDescent="0.25">
      <c r="A18" s="3">
        <v>2035</v>
      </c>
      <c r="B18" s="109"/>
      <c r="C18" s="131">
        <v>762.73532339400003</v>
      </c>
      <c r="D18" s="131">
        <v>30</v>
      </c>
      <c r="E18" s="136">
        <v>145.19999999999999</v>
      </c>
      <c r="F18" s="136">
        <v>79.663397593653329</v>
      </c>
      <c r="G18" s="136">
        <v>102.10932857991679</v>
      </c>
      <c r="H18" s="136">
        <v>102.10932857991679</v>
      </c>
      <c r="I18" s="135">
        <v>0</v>
      </c>
      <c r="J18" s="135">
        <v>0</v>
      </c>
      <c r="K18" s="135">
        <v>1</v>
      </c>
      <c r="L18" s="136">
        <v>99.6</v>
      </c>
      <c r="M18" s="135">
        <v>0.2</v>
      </c>
      <c r="O18" s="136">
        <f t="shared" si="4"/>
        <v>2.4020331464351674</v>
      </c>
      <c r="P18" s="133">
        <f t="shared" si="0"/>
        <v>0.70501085078574177</v>
      </c>
      <c r="Q18" s="136">
        <f t="shared" si="5"/>
        <v>11.451005155992107</v>
      </c>
      <c r="R18" s="136">
        <f t="shared" si="3"/>
        <v>7.1963659931183992</v>
      </c>
      <c r="T18" s="181" t="s">
        <v>301</v>
      </c>
      <c r="U18" s="182"/>
      <c r="V18" s="77" t="s">
        <v>165</v>
      </c>
      <c r="W18" s="141">
        <v>2027</v>
      </c>
    </row>
    <row r="19" spans="1:24" x14ac:dyDescent="0.25">
      <c r="A19" s="3">
        <v>2036</v>
      </c>
      <c r="B19" s="109"/>
      <c r="C19" s="131">
        <v>799.86390479820011</v>
      </c>
      <c r="D19" s="131">
        <v>30</v>
      </c>
      <c r="E19" s="136">
        <v>145.19999999999999</v>
      </c>
      <c r="F19" s="136">
        <v>79.118927060078235</v>
      </c>
      <c r="G19" s="136">
        <v>105.1726084373143</v>
      </c>
      <c r="H19" s="136">
        <v>105.1726084373143</v>
      </c>
      <c r="I19" s="135">
        <v>0</v>
      </c>
      <c r="J19" s="135">
        <v>0</v>
      </c>
      <c r="K19" s="135">
        <v>1</v>
      </c>
      <c r="L19" s="136">
        <v>99.6</v>
      </c>
      <c r="M19" s="135">
        <v>0.2</v>
      </c>
      <c r="O19" s="136">
        <f t="shared" si="4"/>
        <v>2.5581653009534531</v>
      </c>
      <c r="P19" s="133">
        <f t="shared" si="0"/>
        <v>0.71206095929359925</v>
      </c>
      <c r="Q19" s="136">
        <f t="shared" si="5"/>
        <v>11.622770233331988</v>
      </c>
      <c r="R19" s="136">
        <f t="shared" si="3"/>
        <v>7.3043114830151747</v>
      </c>
      <c r="T19" s="183"/>
      <c r="U19" s="184"/>
      <c r="V19" s="107" t="s">
        <v>61</v>
      </c>
      <c r="W19" s="141">
        <v>2027</v>
      </c>
      <c r="X19" s="35"/>
    </row>
    <row r="20" spans="1:24" x14ac:dyDescent="0.25">
      <c r="A20" s="3">
        <v>2037</v>
      </c>
      <c r="B20" s="109"/>
      <c r="C20" s="131">
        <v>836.9924862024003</v>
      </c>
      <c r="D20" s="131">
        <v>30</v>
      </c>
      <c r="E20" s="136">
        <v>145.19999999999999</v>
      </c>
      <c r="F20" s="136">
        <v>77.898792718991899</v>
      </c>
      <c r="G20" s="136">
        <v>108.32778669043373</v>
      </c>
      <c r="H20" s="136">
        <v>108.32778669043373</v>
      </c>
      <c r="I20" s="135">
        <v>0</v>
      </c>
      <c r="J20" s="135">
        <v>0</v>
      </c>
      <c r="K20" s="135">
        <v>1</v>
      </c>
      <c r="L20" s="136">
        <v>99.6</v>
      </c>
      <c r="M20" s="135">
        <v>0.2</v>
      </c>
      <c r="O20" s="136">
        <f t="shared" si="4"/>
        <v>2.7244460455154274</v>
      </c>
      <c r="P20" s="133">
        <f t="shared" si="0"/>
        <v>0.71918156888653528</v>
      </c>
      <c r="Q20" s="136">
        <f t="shared" si="5"/>
        <v>11.797111786831966</v>
      </c>
      <c r="R20" s="136">
        <f t="shared" si="3"/>
        <v>7.413876155260402</v>
      </c>
      <c r="T20" s="35"/>
      <c r="U20" s="35"/>
      <c r="V20" s="35"/>
      <c r="W20" s="35"/>
      <c r="X20" s="35"/>
    </row>
    <row r="21" spans="1:24" x14ac:dyDescent="0.25">
      <c r="A21" s="3">
        <v>2038</v>
      </c>
      <c r="B21" s="109"/>
      <c r="C21" s="131">
        <v>874.12106760660026</v>
      </c>
      <c r="D21" s="131">
        <v>30</v>
      </c>
      <c r="E21" s="136">
        <v>145.19999999999999</v>
      </c>
      <c r="F21" s="136">
        <v>75.856043015696542</v>
      </c>
      <c r="G21" s="136">
        <v>111.57762029114674</v>
      </c>
      <c r="H21" s="136">
        <v>111.57762029114674</v>
      </c>
      <c r="I21" s="135">
        <v>0</v>
      </c>
      <c r="J21" s="135">
        <v>0</v>
      </c>
      <c r="K21" s="135">
        <v>1</v>
      </c>
      <c r="L21" s="136">
        <v>99.6</v>
      </c>
      <c r="M21" s="135">
        <v>0.2</v>
      </c>
      <c r="O21" s="136">
        <f t="shared" si="4"/>
        <v>2.9015350384739298</v>
      </c>
      <c r="P21" s="133">
        <f t="shared" si="0"/>
        <v>0.72637338457540068</v>
      </c>
      <c r="Q21" s="136">
        <f t="shared" si="5"/>
        <v>11.974068463634444</v>
      </c>
      <c r="R21" s="136">
        <f t="shared" si="3"/>
        <v>7.5250842975893075</v>
      </c>
      <c r="T21" s="23"/>
      <c r="U21" s="22"/>
    </row>
    <row r="22" spans="1:24" x14ac:dyDescent="0.25">
      <c r="A22" s="3">
        <v>2039</v>
      </c>
      <c r="B22" s="109"/>
      <c r="C22" s="131">
        <v>911.24964901080034</v>
      </c>
      <c r="D22" s="131">
        <v>30</v>
      </c>
      <c r="E22" s="136">
        <v>145.19999999999999</v>
      </c>
      <c r="F22" s="136">
        <v>76.928505686263392</v>
      </c>
      <c r="G22" s="136">
        <v>114.92494889988114</v>
      </c>
      <c r="H22" s="136">
        <v>114.92494889988114</v>
      </c>
      <c r="I22" s="135">
        <v>0</v>
      </c>
      <c r="J22" s="135">
        <v>0</v>
      </c>
      <c r="K22" s="135">
        <v>1</v>
      </c>
      <c r="L22" s="136">
        <v>99.6</v>
      </c>
      <c r="M22" s="135">
        <v>0.2</v>
      </c>
      <c r="O22" s="136">
        <f t="shared" si="4"/>
        <v>3.0901348159747353</v>
      </c>
      <c r="P22" s="133">
        <f t="shared" si="0"/>
        <v>0.73363711842115464</v>
      </c>
      <c r="Q22" s="136">
        <f t="shared" si="5"/>
        <v>12.15367949058896</v>
      </c>
      <c r="R22" s="136">
        <f t="shared" si="3"/>
        <v>7.6379605620531468</v>
      </c>
      <c r="T22" s="23"/>
      <c r="U22" s="22"/>
    </row>
    <row r="23" spans="1:24" x14ac:dyDescent="0.25">
      <c r="A23" s="3">
        <v>2040</v>
      </c>
      <c r="B23" s="109"/>
      <c r="C23" s="131">
        <v>948.37823041499996</v>
      </c>
      <c r="D23" s="131">
        <v>30</v>
      </c>
      <c r="E23" s="136">
        <v>145.19999999999999</v>
      </c>
      <c r="F23" s="136">
        <v>76.176255323742211</v>
      </c>
      <c r="G23" s="136">
        <v>118.37269736687757</v>
      </c>
      <c r="H23" s="136">
        <v>118.37269736687757</v>
      </c>
      <c r="I23" s="135">
        <v>0</v>
      </c>
      <c r="J23" s="135">
        <v>0</v>
      </c>
      <c r="K23" s="135">
        <v>1</v>
      </c>
      <c r="L23" s="136">
        <v>99.6</v>
      </c>
      <c r="M23" s="135">
        <v>0.2</v>
      </c>
      <c r="O23" s="136">
        <f t="shared" si="4"/>
        <v>3.2909935790130929</v>
      </c>
      <c r="P23" s="133">
        <f t="shared" si="0"/>
        <v>0.74097348960536624</v>
      </c>
      <c r="Q23" s="136">
        <f t="shared" si="5"/>
        <v>12.335984682947792</v>
      </c>
      <c r="R23" s="136">
        <f t="shared" si="3"/>
        <v>7.752529970483943</v>
      </c>
      <c r="T23" s="23"/>
      <c r="U23" s="22"/>
    </row>
    <row r="24" spans="1:24" x14ac:dyDescent="0.25">
      <c r="A24" s="3">
        <v>2041</v>
      </c>
      <c r="B24" s="109"/>
      <c r="C24" s="131">
        <v>956.2642551693001</v>
      </c>
      <c r="D24" s="131">
        <v>29</v>
      </c>
      <c r="E24" s="136">
        <v>145.19999999999999</v>
      </c>
      <c r="F24" s="136">
        <v>73.04989018996072</v>
      </c>
      <c r="G24" s="136">
        <v>121.92387828788389</v>
      </c>
      <c r="H24" s="136">
        <v>121.92387828788389</v>
      </c>
      <c r="I24" s="135">
        <v>0</v>
      </c>
      <c r="J24" s="135">
        <v>0</v>
      </c>
      <c r="K24" s="135">
        <v>1</v>
      </c>
      <c r="L24" s="136">
        <v>99.6</v>
      </c>
      <c r="M24" s="135">
        <v>0.2</v>
      </c>
      <c r="O24" s="136">
        <f t="shared" si="4"/>
        <v>3.5049081616489439</v>
      </c>
      <c r="P24" s="133">
        <f t="shared" si="0"/>
        <v>0.74838322450141992</v>
      </c>
      <c r="Q24" s="136">
        <f t="shared" si="5"/>
        <v>12.521024453192007</v>
      </c>
      <c r="R24" s="136">
        <f t="shared" si="3"/>
        <v>7.8688179200412014</v>
      </c>
      <c r="T24" s="23"/>
      <c r="U24" s="22"/>
    </row>
    <row r="25" spans="1:24" x14ac:dyDescent="0.25">
      <c r="A25" s="3">
        <v>2042</v>
      </c>
      <c r="B25" s="109"/>
      <c r="C25" s="131">
        <v>964.15027992360024</v>
      </c>
      <c r="D25" s="131">
        <v>28</v>
      </c>
      <c r="E25" s="136">
        <v>145.19999999999999</v>
      </c>
      <c r="F25" s="136">
        <v>69.814649716905976</v>
      </c>
      <c r="G25" s="136">
        <v>125.58159463652041</v>
      </c>
      <c r="H25" s="136">
        <v>125.58159463652041</v>
      </c>
      <c r="I25" s="135">
        <v>0</v>
      </c>
      <c r="J25" s="135">
        <v>0</v>
      </c>
      <c r="K25" s="135">
        <v>1</v>
      </c>
      <c r="L25" s="136">
        <v>99.6</v>
      </c>
      <c r="M25" s="135">
        <v>0.2</v>
      </c>
      <c r="O25" s="136">
        <f t="shared" si="4"/>
        <v>3.7327271921561249</v>
      </c>
      <c r="P25" s="133">
        <f t="shared" si="0"/>
        <v>0.75586705674643417</v>
      </c>
      <c r="Q25" s="136">
        <f t="shared" si="5"/>
        <v>12.708839819989887</v>
      </c>
      <c r="R25" s="136">
        <f t="shared" si="3"/>
        <v>7.9868501888418191</v>
      </c>
      <c r="T25" s="23"/>
      <c r="U25" s="22"/>
    </row>
    <row r="26" spans="1:24" x14ac:dyDescent="0.25">
      <c r="A26" s="3">
        <v>2043</v>
      </c>
      <c r="B26" s="109"/>
      <c r="C26" s="131">
        <v>972.03630467790026</v>
      </c>
      <c r="D26" s="131">
        <v>27</v>
      </c>
      <c r="E26" s="136">
        <v>145.19999999999999</v>
      </c>
      <c r="F26" s="136">
        <v>67.186225809119023</v>
      </c>
      <c r="G26" s="136">
        <v>129.34904247561602</v>
      </c>
      <c r="H26" s="136">
        <v>129.34904247561602</v>
      </c>
      <c r="I26" s="135">
        <v>0</v>
      </c>
      <c r="J26" s="135">
        <v>0</v>
      </c>
      <c r="K26" s="135">
        <v>1</v>
      </c>
      <c r="L26" s="136">
        <v>99.6</v>
      </c>
      <c r="M26" s="135">
        <v>0.2</v>
      </c>
      <c r="O26" s="136">
        <f t="shared" si="4"/>
        <v>3.9753544596462729</v>
      </c>
      <c r="P26" s="133">
        <f t="shared" si="0"/>
        <v>0.76342572731389857</v>
      </c>
      <c r="Q26" s="136">
        <f t="shared" si="5"/>
        <v>12.899472417289735</v>
      </c>
      <c r="R26" s="136">
        <f t="shared" si="3"/>
        <v>8.1066529416744455</v>
      </c>
      <c r="T26" s="23"/>
      <c r="U26" s="22"/>
    </row>
    <row r="27" spans="1:24" x14ac:dyDescent="0.25">
      <c r="A27" s="3">
        <v>2044</v>
      </c>
      <c r="B27" s="109"/>
      <c r="C27" s="131">
        <v>979.9223294322004</v>
      </c>
      <c r="D27" s="131">
        <v>26</v>
      </c>
      <c r="E27" s="136">
        <v>145.19999999999999</v>
      </c>
      <c r="F27" s="136">
        <v>64.062712142877842</v>
      </c>
      <c r="G27" s="136">
        <v>133.22951374988449</v>
      </c>
      <c r="H27" s="136">
        <v>133.22951374988449</v>
      </c>
      <c r="I27" s="135">
        <v>0</v>
      </c>
      <c r="J27" s="135">
        <v>0</v>
      </c>
      <c r="K27" s="135">
        <v>1</v>
      </c>
      <c r="L27" s="136">
        <v>99.6</v>
      </c>
      <c r="M27" s="135">
        <v>0.2</v>
      </c>
      <c r="O27" s="136">
        <f t="shared" si="4"/>
        <v>4.2337524995232805</v>
      </c>
      <c r="P27" s="133">
        <f t="shared" si="0"/>
        <v>0.77105998458703762</v>
      </c>
      <c r="Q27" s="136">
        <f t="shared" si="5"/>
        <v>13.09296450354908</v>
      </c>
      <c r="R27" s="136">
        <f t="shared" si="3"/>
        <v>8.2282527357995612</v>
      </c>
      <c r="T27" s="23"/>
      <c r="U27" s="22"/>
    </row>
    <row r="28" spans="1:24" x14ac:dyDescent="0.25">
      <c r="A28" s="3">
        <v>2045</v>
      </c>
      <c r="B28" s="109"/>
      <c r="C28" s="131">
        <v>987.80835418650008</v>
      </c>
      <c r="D28" s="131">
        <v>25</v>
      </c>
      <c r="E28" s="136">
        <v>145.19999999999999</v>
      </c>
      <c r="F28" s="136">
        <v>63.233466559319417</v>
      </c>
      <c r="G28" s="136">
        <v>137.22639916238103</v>
      </c>
      <c r="H28" s="136">
        <v>137.22639916238103</v>
      </c>
      <c r="I28" s="135">
        <v>0</v>
      </c>
      <c r="J28" s="135">
        <v>0</v>
      </c>
      <c r="K28" s="135">
        <v>1</v>
      </c>
      <c r="L28" s="136">
        <v>99.6</v>
      </c>
      <c r="M28" s="135">
        <v>0.2</v>
      </c>
      <c r="O28" s="136">
        <f t="shared" si="4"/>
        <v>4.5089464119922935</v>
      </c>
      <c r="P28" s="133">
        <f t="shared" si="0"/>
        <v>0.77877058443290803</v>
      </c>
      <c r="Q28" s="136">
        <f t="shared" si="5"/>
        <v>13.289358971102315</v>
      </c>
      <c r="R28" s="136">
        <f t="shared" si="3"/>
        <v>8.3516765268365543</v>
      </c>
      <c r="T28" s="23"/>
      <c r="U28" s="22"/>
    </row>
    <row r="29" spans="1:24" x14ac:dyDescent="0.25">
      <c r="A29" s="3">
        <v>2046</v>
      </c>
      <c r="B29" s="109"/>
      <c r="C29" s="131">
        <v>988.52023413990014</v>
      </c>
      <c r="D29" s="131">
        <v>24</v>
      </c>
      <c r="E29" s="136">
        <v>145.19999999999999</v>
      </c>
      <c r="F29" s="136">
        <v>62.039481801846094</v>
      </c>
      <c r="G29" s="136">
        <v>141.34319113725246</v>
      </c>
      <c r="H29" s="136">
        <v>141.34319113725246</v>
      </c>
      <c r="I29" s="135">
        <v>0</v>
      </c>
      <c r="J29" s="135">
        <v>0</v>
      </c>
      <c r="K29" s="135">
        <v>1</v>
      </c>
      <c r="L29" s="136">
        <v>99.6</v>
      </c>
      <c r="M29" s="135">
        <v>0.2</v>
      </c>
      <c r="O29" s="136">
        <f t="shared" si="4"/>
        <v>4.8020279287717926</v>
      </c>
      <c r="P29" s="133">
        <f t="shared" si="0"/>
        <v>0.78655829027723712</v>
      </c>
      <c r="Q29" s="136">
        <f t="shared" si="5"/>
        <v>13.488699355668848</v>
      </c>
      <c r="R29" s="136">
        <f t="shared" si="3"/>
        <v>8.4769516747391016</v>
      </c>
      <c r="T29" s="23"/>
      <c r="U29" s="22"/>
    </row>
    <row r="30" spans="1:24" x14ac:dyDescent="0.25">
      <c r="A30" s="3">
        <v>2047</v>
      </c>
      <c r="B30" s="109"/>
      <c r="C30" s="131">
        <v>989.23211409330008</v>
      </c>
      <c r="D30" s="131">
        <v>23</v>
      </c>
      <c r="E30" s="136">
        <v>145.19999999999999</v>
      </c>
      <c r="F30" s="136">
        <v>59.789880133094933</v>
      </c>
      <c r="G30" s="136">
        <v>145.58348687137004</v>
      </c>
      <c r="H30" s="136">
        <v>145.58348687137004</v>
      </c>
      <c r="I30" s="135">
        <v>0</v>
      </c>
      <c r="J30" s="135">
        <v>0</v>
      </c>
      <c r="K30" s="135">
        <v>1</v>
      </c>
      <c r="L30" s="136">
        <v>99.6</v>
      </c>
      <c r="M30" s="135">
        <v>0.2</v>
      </c>
      <c r="O30" s="136">
        <f t="shared" si="4"/>
        <v>5.1141597441419586</v>
      </c>
      <c r="P30" s="133">
        <f t="shared" si="0"/>
        <v>0.79442387318000951</v>
      </c>
      <c r="Q30" s="136">
        <f t="shared" si="5"/>
        <v>13.691029846003879</v>
      </c>
      <c r="R30" s="136">
        <f t="shared" si="3"/>
        <v>8.6041059498601875</v>
      </c>
      <c r="T30" s="23"/>
      <c r="U30" s="22"/>
    </row>
    <row r="31" spans="1:24" x14ac:dyDescent="0.25">
      <c r="A31" s="3">
        <v>2048</v>
      </c>
      <c r="B31" s="109"/>
      <c r="C31" s="131">
        <v>989.94399404670014</v>
      </c>
      <c r="D31" s="131">
        <v>22</v>
      </c>
      <c r="E31" s="136">
        <v>145.19999999999999</v>
      </c>
      <c r="F31" s="136">
        <v>60.700500891293665</v>
      </c>
      <c r="G31" s="136">
        <v>149.95099147751114</v>
      </c>
      <c r="H31" s="136">
        <v>149.95099147751114</v>
      </c>
      <c r="I31" s="135">
        <v>0</v>
      </c>
      <c r="J31" s="135">
        <v>0</v>
      </c>
      <c r="K31" s="135">
        <v>1</v>
      </c>
      <c r="L31" s="136">
        <v>99.6</v>
      </c>
      <c r="M31" s="135">
        <v>0.2</v>
      </c>
      <c r="O31" s="136">
        <f t="shared" si="4"/>
        <v>5.4465801275111856</v>
      </c>
      <c r="P31" s="133">
        <f t="shared" si="0"/>
        <v>0.80236811191180957</v>
      </c>
      <c r="Q31" s="136">
        <f t="shared" si="5"/>
        <v>13.896395293693935</v>
      </c>
      <c r="R31" s="136">
        <f t="shared" si="3"/>
        <v>8.7331675391080896</v>
      </c>
      <c r="T31" s="23"/>
      <c r="U31" s="22"/>
    </row>
    <row r="32" spans="1:24" x14ac:dyDescent="0.25">
      <c r="A32" s="3">
        <v>2049</v>
      </c>
      <c r="B32" s="109"/>
      <c r="C32" s="131">
        <v>990.65587400010008</v>
      </c>
      <c r="D32" s="131">
        <v>21</v>
      </c>
      <c r="E32" s="136">
        <v>145.19999999999999</v>
      </c>
      <c r="F32" s="136">
        <v>56.761432889547287</v>
      </c>
      <c r="G32" s="136">
        <v>154.44952122183648</v>
      </c>
      <c r="H32" s="136">
        <v>154.44952122183648</v>
      </c>
      <c r="I32" s="135">
        <v>0</v>
      </c>
      <c r="J32" s="135">
        <v>0</v>
      </c>
      <c r="K32" s="135">
        <v>1</v>
      </c>
      <c r="L32" s="136">
        <v>99.6</v>
      </c>
      <c r="M32" s="135">
        <v>0.2</v>
      </c>
      <c r="O32" s="136">
        <f t="shared" si="4"/>
        <v>5.8006078357994122</v>
      </c>
      <c r="P32" s="133">
        <f t="shared" si="0"/>
        <v>0.81039179303092768</v>
      </c>
      <c r="Q32" s="136">
        <f t="shared" si="5"/>
        <v>14.104841223099342</v>
      </c>
      <c r="R32" s="136">
        <f t="shared" si="3"/>
        <v>8.8641650521947106</v>
      </c>
      <c r="T32" s="23"/>
      <c r="U32" s="22"/>
    </row>
    <row r="33" spans="1:21" x14ac:dyDescent="0.25">
      <c r="A33" s="3">
        <v>2050</v>
      </c>
      <c r="B33" s="109"/>
      <c r="C33" s="131">
        <v>991.36775395350014</v>
      </c>
      <c r="D33" s="131">
        <v>20</v>
      </c>
      <c r="E33" s="136">
        <v>145.19999999999999</v>
      </c>
      <c r="F33" s="136">
        <v>54.465934743655353</v>
      </c>
      <c r="G33" s="136">
        <v>159.08300685849156</v>
      </c>
      <c r="H33" s="136">
        <v>159.08300685849156</v>
      </c>
      <c r="I33" s="135">
        <v>0</v>
      </c>
      <c r="J33" s="135">
        <v>0</v>
      </c>
      <c r="K33" s="135">
        <v>1</v>
      </c>
      <c r="L33" s="136">
        <v>99.6</v>
      </c>
      <c r="M33" s="135">
        <v>0.2</v>
      </c>
      <c r="O33" s="136">
        <f t="shared" si="4"/>
        <v>6.177647345126374</v>
      </c>
      <c r="P33" s="133">
        <f t="shared" si="0"/>
        <v>0.81849571096123697</v>
      </c>
      <c r="Q33" s="136">
        <f t="shared" si="5"/>
        <v>14.316413841445831</v>
      </c>
      <c r="R33" s="136">
        <f t="shared" si="3"/>
        <v>8.9971275279776304</v>
      </c>
      <c r="T33" s="23"/>
      <c r="U33" s="22"/>
    </row>
    <row r="34" spans="1:21" x14ac:dyDescent="0.25">
      <c r="A34" s="3">
        <v>2051</v>
      </c>
      <c r="B34" s="109"/>
      <c r="C34" s="131">
        <v>991.36775395350014</v>
      </c>
      <c r="D34" s="131">
        <v>20</v>
      </c>
      <c r="E34" s="136">
        <v>145.19999999999999</v>
      </c>
      <c r="F34" s="136">
        <v>54.465934743655353</v>
      </c>
      <c r="G34" s="136">
        <v>159.08300685849156</v>
      </c>
      <c r="H34" s="136">
        <v>159.08300685849156</v>
      </c>
      <c r="I34" s="135">
        <v>0</v>
      </c>
      <c r="J34" s="135">
        <v>0</v>
      </c>
      <c r="K34" s="135">
        <v>1</v>
      </c>
      <c r="L34" s="136">
        <v>99.6</v>
      </c>
      <c r="M34" s="135">
        <v>0.2</v>
      </c>
      <c r="O34" s="136">
        <f t="shared" si="4"/>
        <v>6.5791944225595884</v>
      </c>
      <c r="P34" s="133">
        <f t="shared" si="0"/>
        <v>0.82668066807084939</v>
      </c>
      <c r="Q34" s="136">
        <f t="shared" si="5"/>
        <v>14.531160049067518</v>
      </c>
      <c r="R34" s="136">
        <f t="shared" si="3"/>
        <v>9.1320844408972945</v>
      </c>
      <c r="T34" s="23"/>
      <c r="U34" s="22"/>
    </row>
    <row r="35" spans="1:21" x14ac:dyDescent="0.25">
      <c r="A35" s="3">
        <v>2052</v>
      </c>
      <c r="B35" s="109"/>
      <c r="C35" s="131">
        <v>991.36775395350014</v>
      </c>
      <c r="D35" s="131">
        <v>20</v>
      </c>
      <c r="E35" s="136">
        <v>145.19999999999999</v>
      </c>
      <c r="F35" s="136">
        <v>54.465934743655353</v>
      </c>
      <c r="G35" s="136">
        <v>159.08300685849156</v>
      </c>
      <c r="H35" s="136">
        <v>159.08300685849156</v>
      </c>
      <c r="I35" s="135">
        <v>0</v>
      </c>
      <c r="J35" s="135">
        <v>0</v>
      </c>
      <c r="K35" s="135">
        <v>1</v>
      </c>
      <c r="L35" s="136">
        <v>99.6</v>
      </c>
      <c r="M35" s="135">
        <v>0.2</v>
      </c>
      <c r="O35" s="136">
        <f t="shared" si="4"/>
        <v>7.0068420600259609</v>
      </c>
      <c r="P35" s="133">
        <f t="shared" si="0"/>
        <v>0.83494747475155784</v>
      </c>
      <c r="Q35" s="136">
        <f t="shared" si="5"/>
        <v>14.749127449803529</v>
      </c>
      <c r="R35" s="136">
        <f t="shared" si="3"/>
        <v>9.2690657075107534</v>
      </c>
      <c r="T35" s="23"/>
      <c r="U35" s="22"/>
    </row>
    <row r="36" spans="1:21" x14ac:dyDescent="0.25">
      <c r="A36" s="3">
        <v>2053</v>
      </c>
      <c r="B36" s="109"/>
      <c r="C36" s="131">
        <v>991.36775395350014</v>
      </c>
      <c r="D36" s="131">
        <v>20</v>
      </c>
      <c r="E36" s="136">
        <v>145.19999999999999</v>
      </c>
      <c r="F36" s="136">
        <v>54.465934743655353</v>
      </c>
      <c r="G36" s="136">
        <v>159.08300685849156</v>
      </c>
      <c r="H36" s="136">
        <v>159.08300685849156</v>
      </c>
      <c r="I36" s="135">
        <v>0</v>
      </c>
      <c r="J36" s="135">
        <v>0</v>
      </c>
      <c r="K36" s="135">
        <v>1</v>
      </c>
      <c r="L36" s="136">
        <v>99.6</v>
      </c>
      <c r="M36" s="135">
        <v>0.2</v>
      </c>
      <c r="O36" s="136">
        <f t="shared" si="4"/>
        <v>7.4622867939276478</v>
      </c>
      <c r="P36" s="133">
        <f t="shared" si="0"/>
        <v>0.84329694949907341</v>
      </c>
      <c r="Q36" s="136">
        <f t="shared" si="5"/>
        <v>14.970364361550581</v>
      </c>
      <c r="R36" s="136">
        <f t="shared" si="3"/>
        <v>9.4081016931234132</v>
      </c>
      <c r="T36" s="23"/>
      <c r="U36" s="22"/>
    </row>
    <row r="37" spans="1:21" x14ac:dyDescent="0.25">
      <c r="A37" s="3">
        <v>2054</v>
      </c>
      <c r="B37" s="109"/>
      <c r="C37" s="131">
        <v>991.36775395350014</v>
      </c>
      <c r="D37" s="131">
        <v>20</v>
      </c>
      <c r="E37" s="136">
        <v>145.19999999999999</v>
      </c>
      <c r="F37" s="136">
        <v>54.465934743655353</v>
      </c>
      <c r="G37" s="136">
        <v>159.08300685849156</v>
      </c>
      <c r="H37" s="136">
        <v>159.08300685849156</v>
      </c>
      <c r="I37" s="135">
        <v>0</v>
      </c>
      <c r="J37" s="135">
        <v>0</v>
      </c>
      <c r="K37" s="135">
        <v>1</v>
      </c>
      <c r="L37" s="136">
        <v>99.6</v>
      </c>
      <c r="M37" s="135">
        <v>0.2</v>
      </c>
      <c r="O37" s="136">
        <f t="shared" si="4"/>
        <v>7.6666666666666661</v>
      </c>
      <c r="P37" s="133">
        <f t="shared" si="0"/>
        <v>0.85172991899406414</v>
      </c>
      <c r="Q37" s="136">
        <f t="shared" si="5"/>
        <v>15.194919826973839</v>
      </c>
      <c r="R37" s="136">
        <f t="shared" si="3"/>
        <v>9.5492232185202628</v>
      </c>
      <c r="T37" s="23"/>
      <c r="U37" s="22"/>
    </row>
    <row r="38" spans="1:21" x14ac:dyDescent="0.25">
      <c r="A38" s="3">
        <v>2055</v>
      </c>
      <c r="B38" s="109"/>
      <c r="C38" s="131">
        <v>991.36775395350014</v>
      </c>
      <c r="D38" s="131">
        <v>20</v>
      </c>
      <c r="E38" s="136">
        <v>145.19999999999999</v>
      </c>
      <c r="F38" s="136">
        <v>54.465934743655353</v>
      </c>
      <c r="G38" s="136">
        <v>159.08300685849156</v>
      </c>
      <c r="H38" s="136">
        <v>159.08300685849156</v>
      </c>
      <c r="I38" s="135">
        <v>0</v>
      </c>
      <c r="J38" s="135">
        <v>0</v>
      </c>
      <c r="K38" s="135">
        <v>1</v>
      </c>
      <c r="L38" s="136">
        <v>99.6</v>
      </c>
      <c r="M38" s="135">
        <v>0.2</v>
      </c>
      <c r="O38" s="136">
        <f t="shared" si="4"/>
        <v>7.6666666666666661</v>
      </c>
      <c r="P38" s="133">
        <f t="shared" si="0"/>
        <v>0.86024721818400474</v>
      </c>
      <c r="Q38" s="136">
        <f t="shared" si="5"/>
        <v>15.422843624378446</v>
      </c>
      <c r="R38" s="136">
        <f t="shared" si="3"/>
        <v>9.692461566798066</v>
      </c>
      <c r="T38" s="23"/>
      <c r="U38" s="22"/>
    </row>
    <row r="39" spans="1:21" x14ac:dyDescent="0.25">
      <c r="A39" s="3">
        <v>2056</v>
      </c>
      <c r="B39" s="109"/>
      <c r="C39" s="131">
        <v>991.36775395350014</v>
      </c>
      <c r="D39" s="131">
        <v>20</v>
      </c>
      <c r="E39" s="136">
        <v>145.19999999999999</v>
      </c>
      <c r="F39" s="136">
        <v>54.465934743655353</v>
      </c>
      <c r="G39" s="136">
        <v>159.08300685849156</v>
      </c>
      <c r="H39" s="136">
        <v>159.08300685849156</v>
      </c>
      <c r="I39" s="135">
        <v>0</v>
      </c>
      <c r="J39" s="135">
        <v>0</v>
      </c>
      <c r="K39" s="135">
        <v>1</v>
      </c>
      <c r="L39" s="136">
        <v>99.6</v>
      </c>
      <c r="M39" s="135">
        <v>0.2</v>
      </c>
      <c r="O39" s="136">
        <f t="shared" si="4"/>
        <v>7.6666666666666661</v>
      </c>
      <c r="P39" s="133">
        <f t="shared" si="0"/>
        <v>0.86884969036584481</v>
      </c>
      <c r="Q39" s="136">
        <f t="shared" si="5"/>
        <v>15.654186278744122</v>
      </c>
      <c r="R39" s="136">
        <f t="shared" si="3"/>
        <v>9.8378484903000363</v>
      </c>
      <c r="T39" s="23"/>
      <c r="U39" s="22"/>
    </row>
    <row r="40" spans="1:21" x14ac:dyDescent="0.25">
      <c r="A40" s="3">
        <v>2057</v>
      </c>
      <c r="B40" s="109"/>
      <c r="C40" s="131">
        <v>991.36775395350014</v>
      </c>
      <c r="D40" s="131">
        <v>20</v>
      </c>
      <c r="E40" s="136">
        <v>145.19999999999999</v>
      </c>
      <c r="F40" s="136">
        <v>54.465934743655353</v>
      </c>
      <c r="G40" s="136">
        <v>159.08300685849156</v>
      </c>
      <c r="H40" s="136">
        <v>159.08300685849156</v>
      </c>
      <c r="I40" s="135">
        <v>0</v>
      </c>
      <c r="J40" s="135">
        <v>0</v>
      </c>
      <c r="K40" s="135">
        <v>1</v>
      </c>
      <c r="L40" s="136">
        <v>99.6</v>
      </c>
      <c r="M40" s="135">
        <v>0.2</v>
      </c>
      <c r="O40" s="136">
        <f t="shared" si="4"/>
        <v>7.6666666666666661</v>
      </c>
      <c r="P40" s="133">
        <f t="shared" si="0"/>
        <v>0.87753818726950328</v>
      </c>
      <c r="Q40" s="136">
        <f t="shared" si="5"/>
        <v>15.888999072925282</v>
      </c>
      <c r="R40" s="136">
        <f t="shared" si="3"/>
        <v>9.9854162176545351</v>
      </c>
      <c r="T40" s="23"/>
      <c r="U40" s="22"/>
    </row>
    <row r="41" spans="1:21" x14ac:dyDescent="0.25">
      <c r="A41" s="3">
        <v>2058</v>
      </c>
      <c r="B41" s="109"/>
      <c r="C41" s="131">
        <v>991.36775395350014</v>
      </c>
      <c r="D41" s="131">
        <v>20</v>
      </c>
      <c r="E41" s="136">
        <v>145.19999999999999</v>
      </c>
      <c r="F41" s="136">
        <v>54.465934743655353</v>
      </c>
      <c r="G41" s="136">
        <v>159.08300685849156</v>
      </c>
      <c r="H41" s="136">
        <v>159.08300685849156</v>
      </c>
      <c r="I41" s="135">
        <v>0</v>
      </c>
      <c r="J41" s="135">
        <v>0</v>
      </c>
      <c r="K41" s="135">
        <v>1</v>
      </c>
      <c r="L41" s="136">
        <v>99.6</v>
      </c>
      <c r="M41" s="135">
        <v>0.2</v>
      </c>
      <c r="O41" s="136">
        <f t="shared" si="4"/>
        <v>7.6666666666666661</v>
      </c>
      <c r="P41" s="133">
        <f t="shared" si="0"/>
        <v>0.88631356914219828</v>
      </c>
      <c r="Q41" s="136">
        <f t="shared" si="5"/>
        <v>16.127334059019159</v>
      </c>
      <c r="R41" s="136">
        <f t="shared" si="3"/>
        <v>10.135197460919352</v>
      </c>
      <c r="T41" s="23"/>
      <c r="U41" s="22"/>
    </row>
    <row r="42" spans="1:21" x14ac:dyDescent="0.25">
      <c r="A42" s="3">
        <v>2059</v>
      </c>
      <c r="B42" s="109"/>
      <c r="C42" s="131">
        <v>991.36775395350014</v>
      </c>
      <c r="D42" s="131">
        <v>20</v>
      </c>
      <c r="E42" s="136">
        <v>145.19999999999999</v>
      </c>
      <c r="F42" s="136">
        <v>54.465934743655353</v>
      </c>
      <c r="G42" s="136">
        <v>159.08300685849156</v>
      </c>
      <c r="H42" s="136">
        <v>159.08300685849156</v>
      </c>
      <c r="I42" s="135">
        <v>0</v>
      </c>
      <c r="J42" s="135">
        <v>0</v>
      </c>
      <c r="K42" s="135">
        <v>1</v>
      </c>
      <c r="L42" s="136">
        <v>99.6</v>
      </c>
      <c r="M42" s="135">
        <v>0.2</v>
      </c>
      <c r="O42" s="136">
        <f t="shared" si="4"/>
        <v>7.6666666666666661</v>
      </c>
      <c r="P42" s="133">
        <f t="shared" si="0"/>
        <v>0.89517670483362022</v>
      </c>
      <c r="Q42" s="136">
        <f t="shared" si="5"/>
        <v>16.369244069904443</v>
      </c>
      <c r="R42" s="136">
        <f t="shared" si="3"/>
        <v>10.287225422833142</v>
      </c>
      <c r="T42" s="23"/>
      <c r="U42" s="22"/>
    </row>
    <row r="43" spans="1:21" x14ac:dyDescent="0.25">
      <c r="A43" s="3">
        <v>2060</v>
      </c>
      <c r="B43" s="109"/>
      <c r="C43" s="131">
        <v>991.36775395350014</v>
      </c>
      <c r="D43" s="131">
        <v>20</v>
      </c>
      <c r="E43" s="136">
        <v>145.19999999999999</v>
      </c>
      <c r="F43" s="136">
        <v>54.465934743655353</v>
      </c>
      <c r="G43" s="136">
        <v>159.08300685849156</v>
      </c>
      <c r="H43" s="136">
        <v>159.08300685849156</v>
      </c>
      <c r="I43" s="135">
        <v>0</v>
      </c>
      <c r="J43" s="135">
        <v>0</v>
      </c>
      <c r="K43" s="135">
        <v>1</v>
      </c>
      <c r="L43" s="136">
        <v>99.6</v>
      </c>
      <c r="M43" s="135">
        <v>0.2</v>
      </c>
      <c r="O43" s="136">
        <f t="shared" si="4"/>
        <v>7.6666666666666661</v>
      </c>
      <c r="P43" s="133">
        <f t="shared" si="0"/>
        <v>0.90412847188195644</v>
      </c>
      <c r="Q43" s="136">
        <f t="shared" si="5"/>
        <v>16.61478273095301</v>
      </c>
      <c r="R43" s="136">
        <f t="shared" si="3"/>
        <v>10.441533804175638</v>
      </c>
      <c r="T43" s="23"/>
      <c r="U43" s="22"/>
    </row>
    <row r="44" spans="1:21" x14ac:dyDescent="0.25">
      <c r="A44" s="3">
        <v>2061</v>
      </c>
      <c r="B44" s="109"/>
      <c r="C44" s="131">
        <v>991.36775395350014</v>
      </c>
      <c r="D44" s="131">
        <v>20</v>
      </c>
      <c r="E44" s="136">
        <v>145.19999999999999</v>
      </c>
      <c r="F44" s="136">
        <v>54.465934743655353</v>
      </c>
      <c r="G44" s="136">
        <v>159.08300685849156</v>
      </c>
      <c r="H44" s="136">
        <v>159.08300685849156</v>
      </c>
      <c r="I44" s="135">
        <v>0</v>
      </c>
      <c r="J44" s="135">
        <v>0</v>
      </c>
      <c r="K44" s="135">
        <v>1</v>
      </c>
      <c r="L44" s="136">
        <v>99.6</v>
      </c>
      <c r="M44" s="135">
        <v>0.2</v>
      </c>
      <c r="O44" s="136">
        <f t="shared" si="4"/>
        <v>7.6666666666666661</v>
      </c>
      <c r="P44" s="133">
        <f t="shared" si="0"/>
        <v>0.91316975660077604</v>
      </c>
      <c r="Q44" s="136">
        <f t="shared" si="5"/>
        <v>16.726666666666667</v>
      </c>
      <c r="R44" s="136">
        <f t="shared" si="3"/>
        <v>10.598156811238271</v>
      </c>
      <c r="T44" s="23"/>
      <c r="U44" s="22"/>
    </row>
    <row r="45" spans="1:21" x14ac:dyDescent="0.25">
      <c r="A45" s="3">
        <v>2062</v>
      </c>
      <c r="B45" s="109"/>
      <c r="C45" s="131">
        <v>991.36775395350014</v>
      </c>
      <c r="D45" s="131">
        <v>20</v>
      </c>
      <c r="E45" s="136">
        <v>145.19999999999999</v>
      </c>
      <c r="F45" s="136">
        <v>54.465934743655353</v>
      </c>
      <c r="G45" s="136">
        <v>159.08300685849156</v>
      </c>
      <c r="H45" s="136">
        <v>159.08300685849156</v>
      </c>
      <c r="I45" s="135">
        <v>0</v>
      </c>
      <c r="J45" s="135">
        <v>0</v>
      </c>
      <c r="K45" s="135">
        <v>1</v>
      </c>
      <c r="L45" s="136">
        <v>99.6</v>
      </c>
      <c r="M45" s="135">
        <v>0.2</v>
      </c>
      <c r="O45" s="136">
        <f t="shared" si="4"/>
        <v>7.6666666666666661</v>
      </c>
      <c r="P45" s="133">
        <f t="shared" si="0"/>
        <v>0.92230145416678377</v>
      </c>
      <c r="Q45" s="136">
        <f t="shared" si="5"/>
        <v>16.726666666666667</v>
      </c>
      <c r="R45" s="136">
        <f t="shared" si="3"/>
        <v>10.757129163406844</v>
      </c>
      <c r="T45" s="23"/>
      <c r="U45" s="22"/>
    </row>
    <row r="46" spans="1:21" x14ac:dyDescent="0.25">
      <c r="A46" s="3">
        <v>2063</v>
      </c>
      <c r="B46" s="109"/>
      <c r="C46" s="131">
        <v>991.36775395350014</v>
      </c>
      <c r="D46" s="131">
        <v>20</v>
      </c>
      <c r="E46" s="136">
        <v>145.19999999999999</v>
      </c>
      <c r="F46" s="136">
        <v>54.465934743655353</v>
      </c>
      <c r="G46" s="136">
        <v>159.08300685849156</v>
      </c>
      <c r="H46" s="136">
        <v>159.08300685849156</v>
      </c>
      <c r="I46" s="135">
        <v>0</v>
      </c>
      <c r="J46" s="135">
        <v>0</v>
      </c>
      <c r="K46" s="135">
        <v>1</v>
      </c>
      <c r="L46" s="136">
        <v>99.6</v>
      </c>
      <c r="M46" s="135">
        <v>0.2</v>
      </c>
      <c r="O46" s="136">
        <f t="shared" si="4"/>
        <v>7.6666666666666661</v>
      </c>
      <c r="P46" s="133">
        <f t="shared" si="0"/>
        <v>0.93152446870845163</v>
      </c>
      <c r="Q46" s="136">
        <f t="shared" si="5"/>
        <v>16.726666666666667</v>
      </c>
      <c r="R46" s="136">
        <f t="shared" si="3"/>
        <v>10.918486100857946</v>
      </c>
      <c r="T46" s="23"/>
      <c r="U46" s="22"/>
    </row>
    <row r="47" spans="1:21" x14ac:dyDescent="0.25">
      <c r="A47" s="3">
        <v>2064</v>
      </c>
      <c r="B47" s="109"/>
      <c r="C47" s="131">
        <v>991.36775395350014</v>
      </c>
      <c r="D47" s="131">
        <v>20</v>
      </c>
      <c r="E47" s="136">
        <v>145.19999999999999</v>
      </c>
      <c r="F47" s="136">
        <v>54.465934743655353</v>
      </c>
      <c r="G47" s="136">
        <v>159.08300685849156</v>
      </c>
      <c r="H47" s="136">
        <v>159.08300685849156</v>
      </c>
      <c r="I47" s="135">
        <v>0</v>
      </c>
      <c r="J47" s="135">
        <v>0</v>
      </c>
      <c r="K47" s="135">
        <v>1</v>
      </c>
      <c r="L47" s="136">
        <v>99.6</v>
      </c>
      <c r="M47" s="135">
        <v>0.2</v>
      </c>
      <c r="O47" s="136">
        <f t="shared" si="4"/>
        <v>7.6666666666666661</v>
      </c>
      <c r="P47" s="133">
        <f t="shared" si="0"/>
        <v>0.94083971339553618</v>
      </c>
      <c r="Q47" s="136">
        <f t="shared" si="5"/>
        <v>16.726666666666667</v>
      </c>
      <c r="R47" s="136">
        <f t="shared" si="3"/>
        <v>11.082263392370814</v>
      </c>
      <c r="T47" s="23"/>
      <c r="U47" s="22"/>
    </row>
    <row r="48" spans="1:21" x14ac:dyDescent="0.25">
      <c r="A48" s="3">
        <v>2065</v>
      </c>
      <c r="B48" s="109"/>
      <c r="C48" s="131">
        <v>991.36775395350014</v>
      </c>
      <c r="D48" s="131">
        <v>20</v>
      </c>
      <c r="E48" s="136">
        <v>145.19999999999999</v>
      </c>
      <c r="F48" s="136">
        <v>54.465934743655353</v>
      </c>
      <c r="G48" s="136">
        <v>159.08300685849156</v>
      </c>
      <c r="H48" s="136">
        <v>159.08300685849156</v>
      </c>
      <c r="I48" s="135">
        <v>0</v>
      </c>
      <c r="J48" s="135">
        <v>0</v>
      </c>
      <c r="K48" s="135">
        <v>1</v>
      </c>
      <c r="L48" s="136">
        <v>99.6</v>
      </c>
      <c r="M48" s="135">
        <v>0.2</v>
      </c>
      <c r="O48" s="136">
        <f t="shared" si="4"/>
        <v>7.6666666666666661</v>
      </c>
      <c r="P48" s="133">
        <f t="shared" si="0"/>
        <v>0.95024811052949154</v>
      </c>
      <c r="Q48" s="136">
        <f t="shared" si="5"/>
        <v>16.726666666666667</v>
      </c>
      <c r="R48" s="136">
        <f t="shared" si="3"/>
        <v>11.248497343256375</v>
      </c>
      <c r="T48" s="23"/>
      <c r="U48" s="22"/>
    </row>
    <row r="49" spans="1:18" x14ac:dyDescent="0.25">
      <c r="A49" s="3">
        <v>2066</v>
      </c>
      <c r="B49" s="109"/>
      <c r="C49" s="131">
        <v>991.36775395350014</v>
      </c>
      <c r="D49" s="131">
        <v>20</v>
      </c>
      <c r="E49" s="136">
        <v>145.19999999999999</v>
      </c>
      <c r="F49" s="136">
        <v>54.465934743655353</v>
      </c>
      <c r="G49" s="136">
        <v>159.08300685849156</v>
      </c>
      <c r="H49" s="136">
        <v>159.08300685849156</v>
      </c>
      <c r="I49" s="135">
        <v>0</v>
      </c>
      <c r="J49" s="135">
        <v>0</v>
      </c>
      <c r="K49" s="135">
        <v>1</v>
      </c>
      <c r="L49" s="136">
        <v>99.6</v>
      </c>
      <c r="M49" s="135">
        <v>0.2</v>
      </c>
      <c r="O49" s="136">
        <f t="shared" si="4"/>
        <v>7.6666666666666661</v>
      </c>
      <c r="P49" s="133">
        <f t="shared" si="0"/>
        <v>0.95975059163478649</v>
      </c>
      <c r="Q49" s="136">
        <f t="shared" si="5"/>
        <v>16.726666666666667</v>
      </c>
      <c r="R49" s="136">
        <f t="shared" si="3"/>
        <v>11.417224803405219</v>
      </c>
    </row>
    <row r="50" spans="1:18" x14ac:dyDescent="0.25">
      <c r="A50" s="3">
        <v>2067</v>
      </c>
      <c r="B50" s="38"/>
      <c r="C50" s="131">
        <v>991.36775395350014</v>
      </c>
      <c r="D50" s="131">
        <v>20</v>
      </c>
      <c r="E50" s="136">
        <v>145.19999999999999</v>
      </c>
      <c r="F50" s="136">
        <v>54.465934743655353</v>
      </c>
      <c r="G50" s="136">
        <v>159.08300685849156</v>
      </c>
      <c r="H50" s="136">
        <v>159.08300685849156</v>
      </c>
      <c r="I50" s="135">
        <v>0</v>
      </c>
      <c r="J50" s="135">
        <v>0</v>
      </c>
      <c r="K50" s="135">
        <v>1</v>
      </c>
      <c r="L50" s="136">
        <v>99.6</v>
      </c>
      <c r="M50" s="135">
        <v>0.2</v>
      </c>
      <c r="O50" s="136">
        <f t="shared" si="4"/>
        <v>7.6666666666666661</v>
      </c>
      <c r="P50" s="133">
        <f t="shared" si="0"/>
        <v>0.96934809755113438</v>
      </c>
      <c r="Q50" s="136">
        <f t="shared" si="5"/>
        <v>16.726666666666667</v>
      </c>
      <c r="R50" s="136">
        <f t="shared" si="3"/>
        <v>11.588483175456297</v>
      </c>
    </row>
  </sheetData>
  <sheetProtection algorithmName="SHA-512" hashValue="qzeIUYBLfOd1Qn86opRNwpVo3MNZM+mMXrU86mV4JnMa7CKMW8OkaYjMfSxnyrSh4ObxJLvFisMUBefxE9/XGQ==" saltValue="Ff0OmSKgHdh3nlj0e3iJ8w==" spinCount="100000" sheet="1" objects="1" scenarios="1"/>
  <mergeCells count="10">
    <mergeCell ref="Y10:Y11"/>
    <mergeCell ref="Y8:Y9"/>
    <mergeCell ref="T18:U19"/>
    <mergeCell ref="I2:K2"/>
    <mergeCell ref="C1:H1"/>
    <mergeCell ref="O1:P1"/>
    <mergeCell ref="Q1:R1"/>
    <mergeCell ref="T14:V14"/>
    <mergeCell ref="T10:T11"/>
    <mergeCell ref="T8:T9"/>
  </mergeCells>
  <hyperlinks>
    <hyperlink ref="X4" r:id="rId1" display="https://www.bdew.de/service/daten-und-grafiken/bdew-strompreisanalyse/" xr:uid="{00000000-0004-0000-0300-000000000000}"/>
    <hyperlink ref="X5" r:id="rId2" display="https://www.bdew.de/service/daten-und-grafiken/bdew-gaspreisanalyse/" xr:uid="{00000000-0004-0000-0300-000001000000}"/>
  </hyperlinks>
  <pageMargins left="0.7" right="0.7" top="0.78740157499999996" bottom="0.78740157499999996" header="0.3" footer="0.3"/>
  <pageSetup paperSize="9" orientation="portrait"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/>
  <dimension ref="A1:S39"/>
  <sheetViews>
    <sheetView workbookViewId="0">
      <selection activeCell="P28" sqref="P28"/>
    </sheetView>
  </sheetViews>
  <sheetFormatPr baseColWidth="10" defaultRowHeight="15" x14ac:dyDescent="0.25"/>
  <cols>
    <col min="1" max="1" width="19.28515625" bestFit="1" customWidth="1"/>
    <col min="5" max="5" width="3.85546875" customWidth="1"/>
    <col min="6" max="6" width="23.7109375" bestFit="1" customWidth="1"/>
    <col min="10" max="10" width="3.7109375" customWidth="1"/>
    <col min="11" max="11" width="19.5703125" bestFit="1" customWidth="1"/>
    <col min="15" max="15" width="3.42578125" customWidth="1"/>
    <col min="16" max="16" width="21.42578125" bestFit="1" customWidth="1"/>
  </cols>
  <sheetData>
    <row r="1" spans="1:19" ht="15.75" thickBot="1" x14ac:dyDescent="0.3">
      <c r="J1" s="13"/>
    </row>
    <row r="2" spans="1:19" ht="15.75" thickBot="1" x14ac:dyDescent="0.3">
      <c r="A2" s="205" t="s">
        <v>75</v>
      </c>
      <c r="B2" s="199" t="s">
        <v>71</v>
      </c>
      <c r="C2" s="200"/>
      <c r="D2" s="201"/>
      <c r="F2" s="205" t="s">
        <v>75</v>
      </c>
      <c r="G2" s="199" t="s">
        <v>72</v>
      </c>
      <c r="H2" s="200"/>
      <c r="I2" s="201"/>
      <c r="J2" s="13"/>
      <c r="K2" s="205" t="s">
        <v>75</v>
      </c>
      <c r="L2" s="202" t="s">
        <v>73</v>
      </c>
      <c r="M2" s="203"/>
      <c r="N2" s="204"/>
      <c r="P2" s="205" t="s">
        <v>75</v>
      </c>
      <c r="Q2" s="202" t="s">
        <v>74</v>
      </c>
      <c r="R2" s="203"/>
      <c r="S2" s="204"/>
    </row>
    <row r="3" spans="1:19" ht="34.5" thickBot="1" x14ac:dyDescent="0.3">
      <c r="A3" s="206"/>
      <c r="B3" s="14" t="s">
        <v>76</v>
      </c>
      <c r="C3" s="15" t="s">
        <v>77</v>
      </c>
      <c r="D3" s="16" t="s">
        <v>78</v>
      </c>
      <c r="F3" s="206"/>
      <c r="G3" s="14" t="s">
        <v>76</v>
      </c>
      <c r="H3" s="15" t="s">
        <v>77</v>
      </c>
      <c r="I3" s="16" t="s">
        <v>78</v>
      </c>
      <c r="J3" s="13"/>
      <c r="K3" s="206"/>
      <c r="L3" s="14" t="s">
        <v>76</v>
      </c>
      <c r="M3" s="15" t="s">
        <v>77</v>
      </c>
      <c r="N3" s="16" t="s">
        <v>78</v>
      </c>
      <c r="P3" s="206"/>
      <c r="Q3" s="14" t="s">
        <v>76</v>
      </c>
      <c r="R3" s="15" t="s">
        <v>77</v>
      </c>
      <c r="S3" s="16" t="s">
        <v>78</v>
      </c>
    </row>
    <row r="4" spans="1:19" ht="15.75" thickBot="1" x14ac:dyDescent="0.3">
      <c r="A4" s="207"/>
      <c r="B4" s="17" t="s">
        <v>79</v>
      </c>
      <c r="C4" s="17" t="s">
        <v>79</v>
      </c>
      <c r="D4" s="17" t="s">
        <v>79</v>
      </c>
      <c r="F4" s="207"/>
      <c r="G4" s="17" t="s">
        <v>79</v>
      </c>
      <c r="H4" s="17" t="s">
        <v>79</v>
      </c>
      <c r="I4" s="17" t="s">
        <v>79</v>
      </c>
      <c r="J4" s="13"/>
      <c r="K4" s="207"/>
      <c r="L4" s="17" t="s">
        <v>79</v>
      </c>
      <c r="M4" s="17" t="s">
        <v>79</v>
      </c>
      <c r="N4" s="17" t="s">
        <v>79</v>
      </c>
      <c r="P4" s="207"/>
      <c r="Q4" s="17" t="s">
        <v>79</v>
      </c>
      <c r="R4" s="17" t="s">
        <v>79</v>
      </c>
      <c r="S4" s="17" t="s">
        <v>79</v>
      </c>
    </row>
    <row r="5" spans="1:19" ht="15.75" thickBot="1" x14ac:dyDescent="0.3">
      <c r="A5" s="18" t="s">
        <v>80</v>
      </c>
      <c r="B5" s="144">
        <v>3.6433333333333338E-2</v>
      </c>
      <c r="C5" s="144">
        <v>2.47E-2</v>
      </c>
      <c r="D5" s="144">
        <v>2.1699999999999997E-2</v>
      </c>
      <c r="F5" s="18" t="s">
        <v>81</v>
      </c>
      <c r="G5" s="145">
        <v>2.4300000000000002E-2</v>
      </c>
      <c r="H5" s="145">
        <v>1.295E-2</v>
      </c>
      <c r="I5" s="145">
        <v>1.4100000000000001E-2</v>
      </c>
      <c r="J5" s="13"/>
      <c r="K5" s="18" t="s">
        <v>82</v>
      </c>
      <c r="L5" s="146">
        <v>0.11159999999999999</v>
      </c>
      <c r="M5" s="146">
        <v>0.16426666666666667</v>
      </c>
      <c r="N5" s="146">
        <v>0.18590000000000004</v>
      </c>
      <c r="P5" s="18" t="s">
        <v>83</v>
      </c>
      <c r="Q5" s="147">
        <v>5.8800000000000005E-2</v>
      </c>
      <c r="R5" s="147">
        <v>6.9399999999999989E-2</v>
      </c>
      <c r="S5" s="147">
        <v>0.15305000000000002</v>
      </c>
    </row>
    <row r="6" spans="1:19" ht="15.75" thickBot="1" x14ac:dyDescent="0.3">
      <c r="A6" s="18" t="s">
        <v>84</v>
      </c>
      <c r="B6" s="144">
        <v>2.8999999999999998E-2</v>
      </c>
      <c r="C6" s="144">
        <v>1.55E-2</v>
      </c>
      <c r="D6" s="144">
        <v>1.7499999999999998E-2</v>
      </c>
      <c r="F6" s="18" t="s">
        <v>85</v>
      </c>
      <c r="G6" s="145">
        <v>2.0999999999999998E-2</v>
      </c>
      <c r="H6" s="145">
        <v>1.0450000000000001E-2</v>
      </c>
      <c r="I6" s="145">
        <v>1.2800000000000001E-2</v>
      </c>
      <c r="J6" s="13"/>
      <c r="K6" s="18" t="s">
        <v>86</v>
      </c>
      <c r="L6" s="146">
        <v>7.796666666666667E-2</v>
      </c>
      <c r="M6" s="146">
        <v>9.5566666666666675E-2</v>
      </c>
      <c r="N6" s="146">
        <v>0.16620000000000001</v>
      </c>
      <c r="P6" s="18" t="s">
        <v>87</v>
      </c>
      <c r="Q6" s="147">
        <v>4.0099999999999997E-2</v>
      </c>
      <c r="R6" s="147">
        <v>5.3650000000000003E-2</v>
      </c>
      <c r="S6" s="147">
        <v>0.13750000000000001</v>
      </c>
    </row>
    <row r="7" spans="1:19" ht="15.75" thickBot="1" x14ac:dyDescent="0.3">
      <c r="A7" s="18" t="s">
        <v>88</v>
      </c>
      <c r="B7" s="144">
        <v>2.5999999999999999E-2</v>
      </c>
      <c r="C7" s="144">
        <v>1.2699999999999998E-2</v>
      </c>
      <c r="D7" s="144">
        <v>1.6366666666666668E-2</v>
      </c>
      <c r="F7" s="18" t="s">
        <v>89</v>
      </c>
      <c r="G7" s="145">
        <v>1.8700000000000001E-2</v>
      </c>
      <c r="H7" s="145">
        <v>6.2000000000000006E-3</v>
      </c>
      <c r="I7" s="145">
        <v>1.12E-2</v>
      </c>
      <c r="J7" s="13"/>
      <c r="K7" s="18" t="s">
        <v>90</v>
      </c>
      <c r="L7" s="146">
        <v>6.5266666666666653E-2</v>
      </c>
      <c r="M7" s="146">
        <v>7.9333333333333325E-2</v>
      </c>
      <c r="N7" s="146">
        <v>0.1593</v>
      </c>
      <c r="P7" s="18" t="s">
        <v>91</v>
      </c>
      <c r="Q7" s="147">
        <v>3.635E-2</v>
      </c>
      <c r="R7" s="147">
        <v>4.2849999999999999E-2</v>
      </c>
      <c r="S7" s="147">
        <v>0.1293</v>
      </c>
    </row>
    <row r="8" spans="1:19" ht="15.75" thickBot="1" x14ac:dyDescent="0.3">
      <c r="A8" s="18" t="s">
        <v>92</v>
      </c>
      <c r="B8" s="144">
        <v>2.8733333333333333E-2</v>
      </c>
      <c r="C8" s="144">
        <v>1.5333333333333332E-2</v>
      </c>
      <c r="D8" s="144">
        <v>1.7433333333333332E-2</v>
      </c>
      <c r="F8" s="18" t="s">
        <v>93</v>
      </c>
      <c r="G8" s="145">
        <v>1.685E-2</v>
      </c>
      <c r="H8" s="145">
        <v>3.3E-3</v>
      </c>
      <c r="I8" s="145">
        <v>1.025E-2</v>
      </c>
      <c r="J8" s="13"/>
      <c r="K8" s="18" t="s">
        <v>94</v>
      </c>
      <c r="L8" s="146">
        <v>6.196666666666667E-2</v>
      </c>
      <c r="M8" s="146">
        <v>6.4633333333333334E-2</v>
      </c>
      <c r="N8" s="146">
        <v>0.15383333333333335</v>
      </c>
      <c r="P8" s="18" t="s">
        <v>95</v>
      </c>
      <c r="Q8" s="147">
        <v>3.4500000000000003E-2</v>
      </c>
      <c r="R8" s="147">
        <v>3.2549999999999996E-2</v>
      </c>
      <c r="S8" s="147">
        <v>0.11749999999999999</v>
      </c>
    </row>
    <row r="9" spans="1:19" ht="15.75" thickBot="1" x14ac:dyDescent="0.3">
      <c r="F9" s="18" t="s">
        <v>96</v>
      </c>
      <c r="G9" s="145">
        <v>1.4200000000000001E-2</v>
      </c>
      <c r="H9" s="145">
        <v>1.25E-3</v>
      </c>
      <c r="I9" s="145">
        <v>9.3500000000000007E-3</v>
      </c>
      <c r="J9" s="13"/>
      <c r="K9" s="18" t="s">
        <v>97</v>
      </c>
      <c r="L9" s="146">
        <v>5.2533333333333342E-2</v>
      </c>
      <c r="M9" s="146">
        <v>5.0333333333333334E-2</v>
      </c>
      <c r="N9" s="146">
        <v>0.14546666666666666</v>
      </c>
      <c r="P9" s="18" t="s">
        <v>98</v>
      </c>
      <c r="Q9" s="147">
        <v>3.1550000000000002E-2</v>
      </c>
      <c r="R9" s="147">
        <v>2.2400000000000003E-2</v>
      </c>
      <c r="S9" s="147">
        <v>0.10045000000000001</v>
      </c>
    </row>
    <row r="10" spans="1:19" ht="15.75" thickBot="1" x14ac:dyDescent="0.3">
      <c r="F10" s="18" t="s">
        <v>99</v>
      </c>
      <c r="G10" s="145">
        <v>1.3149999999999998E-2</v>
      </c>
      <c r="H10" s="145">
        <v>1.2000000000000001E-3</v>
      </c>
      <c r="I10" s="145">
        <v>9.1500000000000001E-3</v>
      </c>
      <c r="J10" s="13"/>
      <c r="K10" s="18" t="s">
        <v>92</v>
      </c>
      <c r="L10" s="146">
        <v>6.9999999999999993E-2</v>
      </c>
      <c r="M10" s="146">
        <v>8.3633333333333337E-2</v>
      </c>
      <c r="N10" s="146">
        <v>0.16059999999999999</v>
      </c>
      <c r="P10" s="18" t="s">
        <v>100</v>
      </c>
      <c r="Q10" s="147">
        <v>3.0899999999999997E-2</v>
      </c>
      <c r="R10" s="147">
        <v>1.4749999999999999E-2</v>
      </c>
      <c r="S10" s="147">
        <v>8.9799999999999991E-2</v>
      </c>
    </row>
    <row r="11" spans="1:19" ht="15.75" thickBot="1" x14ac:dyDescent="0.3">
      <c r="F11" s="18" t="s">
        <v>92</v>
      </c>
      <c r="G11" s="145">
        <v>1.8349999999999998E-2</v>
      </c>
      <c r="H11" s="145">
        <v>6.3499999999999997E-3</v>
      </c>
      <c r="I11" s="145">
        <v>1.15E-2</v>
      </c>
      <c r="J11" s="13"/>
      <c r="P11" s="18" t="s">
        <v>101</v>
      </c>
      <c r="Q11" s="147">
        <v>2.6450000000000001E-2</v>
      </c>
      <c r="R11" s="147">
        <v>9.1999999999999998E-3</v>
      </c>
      <c r="S11" s="147">
        <v>7.0250000000000007E-2</v>
      </c>
    </row>
    <row r="12" spans="1:19" ht="15.75" thickBot="1" x14ac:dyDescent="0.3">
      <c r="J12" s="13"/>
      <c r="P12" s="18" t="s">
        <v>92</v>
      </c>
      <c r="Q12" s="147">
        <v>3.5400000000000001E-2</v>
      </c>
      <c r="R12" s="147">
        <v>3.3600000000000005E-2</v>
      </c>
      <c r="S12" s="147">
        <v>0.11219999999999999</v>
      </c>
    </row>
    <row r="13" spans="1:19" x14ac:dyDescent="0.25">
      <c r="J13" s="13"/>
    </row>
    <row r="14" spans="1:19" x14ac:dyDescent="0.25">
      <c r="A14" s="73" t="s">
        <v>249</v>
      </c>
      <c r="B14" s="90" t="s">
        <v>250</v>
      </c>
      <c r="F14" s="73" t="s">
        <v>249</v>
      </c>
      <c r="G14" s="90" t="s">
        <v>251</v>
      </c>
      <c r="J14" s="13"/>
      <c r="K14" s="73" t="s">
        <v>249</v>
      </c>
      <c r="L14" s="90" t="s">
        <v>252</v>
      </c>
      <c r="P14" s="73" t="s">
        <v>249</v>
      </c>
      <c r="Q14" s="90" t="s">
        <v>253</v>
      </c>
      <c r="R14" s="35"/>
    </row>
    <row r="15" spans="1:19" x14ac:dyDescent="0.25">
      <c r="B15" s="19"/>
      <c r="J15" s="13"/>
    </row>
    <row r="16" spans="1:19" x14ac:dyDescent="0.25">
      <c r="J16" s="13"/>
    </row>
    <row r="17" spans="10:10" x14ac:dyDescent="0.25">
      <c r="J17" s="13"/>
    </row>
    <row r="18" spans="10:10" x14ac:dyDescent="0.25">
      <c r="J18" s="13"/>
    </row>
    <row r="19" spans="10:10" x14ac:dyDescent="0.25">
      <c r="J19" s="13"/>
    </row>
    <row r="20" spans="10:10" x14ac:dyDescent="0.25">
      <c r="J20" s="13"/>
    </row>
    <row r="21" spans="10:10" x14ac:dyDescent="0.25">
      <c r="J21" s="13"/>
    </row>
    <row r="22" spans="10:10" x14ac:dyDescent="0.25">
      <c r="J22" s="13"/>
    </row>
    <row r="23" spans="10:10" x14ac:dyDescent="0.25">
      <c r="J23" s="13"/>
    </row>
    <row r="24" spans="10:10" x14ac:dyDescent="0.25">
      <c r="J24" s="13"/>
    </row>
    <row r="25" spans="10:10" x14ac:dyDescent="0.25">
      <c r="J25" s="13"/>
    </row>
    <row r="26" spans="10:10" x14ac:dyDescent="0.25">
      <c r="J26" s="13"/>
    </row>
    <row r="27" spans="10:10" x14ac:dyDescent="0.25">
      <c r="J27" s="13"/>
    </row>
    <row r="28" spans="10:10" x14ac:dyDescent="0.25">
      <c r="J28" s="13"/>
    </row>
    <row r="29" spans="10:10" x14ac:dyDescent="0.25">
      <c r="J29" s="13"/>
    </row>
    <row r="30" spans="10:10" x14ac:dyDescent="0.25">
      <c r="J30" s="13"/>
    </row>
    <row r="31" spans="10:10" x14ac:dyDescent="0.25">
      <c r="J31" s="13"/>
    </row>
    <row r="32" spans="10:10" x14ac:dyDescent="0.25">
      <c r="J32" s="13"/>
    </row>
    <row r="33" spans="10:10" x14ac:dyDescent="0.25">
      <c r="J33" s="13"/>
    </row>
    <row r="34" spans="10:10" x14ac:dyDescent="0.25">
      <c r="J34" s="13"/>
    </row>
    <row r="35" spans="10:10" x14ac:dyDescent="0.25">
      <c r="J35" s="13"/>
    </row>
    <row r="36" spans="10:10" x14ac:dyDescent="0.25">
      <c r="J36" s="13"/>
    </row>
    <row r="37" spans="10:10" x14ac:dyDescent="0.25">
      <c r="J37" s="13"/>
    </row>
    <row r="38" spans="10:10" x14ac:dyDescent="0.25">
      <c r="J38" s="13"/>
    </row>
    <row r="39" spans="10:10" x14ac:dyDescent="0.25">
      <c r="J39" s="13"/>
    </row>
  </sheetData>
  <sheetProtection algorithmName="SHA-512" hashValue="eJeuBR3Ur1crnYLdupMFeTAfUYurJaBBa3jhzkuhxk/Y4M+qif/OVGTIR8pLFpsiHrcG5OuFUJrRQ+zdNBABEQ==" saltValue="BLz+sZfJzI1JuGfiO49E5A==" spinCount="100000" sheet="1" objects="1" scenarios="1"/>
  <mergeCells count="8">
    <mergeCell ref="B2:D2"/>
    <mergeCell ref="G2:I2"/>
    <mergeCell ref="L2:N2"/>
    <mergeCell ref="Q2:S2"/>
    <mergeCell ref="A2:A4"/>
    <mergeCell ref="F2:F4"/>
    <mergeCell ref="K2:K4"/>
    <mergeCell ref="P2:P4"/>
  </mergeCells>
  <hyperlinks>
    <hyperlink ref="B14" r:id="rId1" location="abreadcrumb" display="abreadcrumb" xr:uid="{00000000-0004-0000-0400-000000000000}"/>
    <hyperlink ref="G14" r:id="rId2" location="abreadcrumb" display="https://www-genesis.destatis.de/genesis/online?sequenz=tabelleErgebnis&amp;selectionname=61243-0015&amp;language=de - abreadcrumb" xr:uid="{00000000-0004-0000-0400-000001000000}"/>
    <hyperlink ref="L14" r:id="rId3" location="abreadcrumb" display="https://www-genesis.destatis.de/genesis/online?sequenz=tabelleErgebnis&amp;selectionname=61243-0002&amp;language=de - abreadcrumb" xr:uid="{00000000-0004-0000-0400-000002000000}"/>
    <hyperlink ref="Q14" r:id="rId4" location="abreadcrumb" display="https://www-genesis.destatis.de/genesis/online?sequenz=tabelleErgebnis&amp;selectionname=61243-0006&amp;language=de - abreadcrumb" xr:uid="{00000000-0004-0000-0400-000003000000}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2:AN84"/>
  <sheetViews>
    <sheetView zoomScale="90" zoomScaleNormal="90" workbookViewId="0">
      <selection activeCell="H21" sqref="H21"/>
    </sheetView>
  </sheetViews>
  <sheetFormatPr baseColWidth="10" defaultColWidth="10.85546875" defaultRowHeight="15" x14ac:dyDescent="0.25"/>
  <cols>
    <col min="1" max="1" width="10.85546875" style="35"/>
    <col min="2" max="2" width="17" style="35" bestFit="1" customWidth="1"/>
    <col min="3" max="6" width="11.7109375" style="35" bestFit="1" customWidth="1"/>
    <col min="7" max="7" width="13.28515625" style="35" bestFit="1" customWidth="1"/>
    <col min="8" max="8" width="14.28515625" style="35" bestFit="1" customWidth="1"/>
    <col min="9" max="9" width="12.7109375" style="35" bestFit="1" customWidth="1"/>
    <col min="10" max="11" width="17.28515625" style="35" bestFit="1" customWidth="1"/>
    <col min="12" max="13" width="16.5703125" style="35" bestFit="1" customWidth="1"/>
    <col min="14" max="14" width="11" style="35" bestFit="1" customWidth="1"/>
    <col min="15" max="15" width="21" style="35" bestFit="1" customWidth="1"/>
    <col min="16" max="16" width="12.7109375" style="35" bestFit="1" customWidth="1"/>
    <col min="17" max="19" width="14.28515625" style="35" bestFit="1" customWidth="1"/>
    <col min="20" max="16384" width="10.85546875" style="35"/>
  </cols>
  <sheetData>
    <row r="2" spans="1:40" x14ac:dyDescent="0.25">
      <c r="A2" s="216"/>
      <c r="B2" s="212" t="s">
        <v>201</v>
      </c>
      <c r="C2" s="213"/>
      <c r="D2" s="213"/>
      <c r="E2" s="214"/>
      <c r="F2" s="213" t="s">
        <v>202</v>
      </c>
      <c r="G2" s="213"/>
      <c r="H2" s="213"/>
      <c r="I2" s="213"/>
      <c r="J2" s="213" t="s">
        <v>203</v>
      </c>
      <c r="K2" s="213"/>
      <c r="L2" s="213"/>
      <c r="M2" s="213"/>
      <c r="N2" s="213"/>
      <c r="O2" s="68" t="s">
        <v>204</v>
      </c>
    </row>
    <row r="3" spans="1:40" x14ac:dyDescent="0.25">
      <c r="A3" s="217"/>
      <c r="B3" s="215" t="s">
        <v>205</v>
      </c>
      <c r="C3" s="208" t="s">
        <v>206</v>
      </c>
      <c r="D3" s="208" t="s">
        <v>207</v>
      </c>
      <c r="E3" s="208" t="s">
        <v>208</v>
      </c>
      <c r="F3" s="208" t="s">
        <v>209</v>
      </c>
      <c r="G3" s="208" t="s">
        <v>210</v>
      </c>
      <c r="H3" s="208" t="s">
        <v>211</v>
      </c>
      <c r="I3" s="208" t="s">
        <v>212</v>
      </c>
      <c r="J3" s="69" t="s">
        <v>213</v>
      </c>
      <c r="K3" s="38" t="s">
        <v>214</v>
      </c>
      <c r="L3" s="38" t="s">
        <v>215</v>
      </c>
      <c r="M3" s="38" t="s">
        <v>216</v>
      </c>
      <c r="N3" s="38" t="s">
        <v>217</v>
      </c>
      <c r="O3" s="209" t="s">
        <v>218</v>
      </c>
    </row>
    <row r="4" spans="1:40" x14ac:dyDescent="0.25">
      <c r="A4" s="218"/>
      <c r="B4" s="215"/>
      <c r="C4" s="208"/>
      <c r="D4" s="208"/>
      <c r="E4" s="208"/>
      <c r="F4" s="208"/>
      <c r="G4" s="208"/>
      <c r="H4" s="208"/>
      <c r="I4" s="208"/>
      <c r="J4" s="38" t="s">
        <v>219</v>
      </c>
      <c r="K4" s="38" t="s">
        <v>220</v>
      </c>
      <c r="L4" s="38" t="s">
        <v>221</v>
      </c>
      <c r="M4" s="38" t="s">
        <v>222</v>
      </c>
      <c r="N4" s="38" t="s">
        <v>223</v>
      </c>
      <c r="O4" s="209"/>
    </row>
    <row r="5" spans="1:40" x14ac:dyDescent="0.25">
      <c r="A5" s="148">
        <v>2022</v>
      </c>
      <c r="B5" s="149">
        <v>42.99</v>
      </c>
      <c r="C5" s="149">
        <v>52.32</v>
      </c>
      <c r="D5" s="149">
        <v>68.430000000000007</v>
      </c>
      <c r="E5" s="149">
        <v>71.06</v>
      </c>
      <c r="F5" s="150">
        <v>14.37</v>
      </c>
      <c r="G5" s="150">
        <v>14.23</v>
      </c>
      <c r="H5" s="150">
        <v>14.08</v>
      </c>
      <c r="I5" s="150">
        <v>11.65</v>
      </c>
      <c r="J5" s="151">
        <v>50.18</v>
      </c>
      <c r="K5" s="151">
        <v>146.16</v>
      </c>
      <c r="L5" s="151">
        <v>282.76</v>
      </c>
      <c r="M5" s="151">
        <v>565.52</v>
      </c>
      <c r="N5" s="151">
        <v>857.84</v>
      </c>
      <c r="O5" s="152">
        <v>193.99</v>
      </c>
    </row>
    <row r="6" spans="1:40" x14ac:dyDescent="0.25">
      <c r="A6" s="148">
        <v>2023</v>
      </c>
      <c r="B6" s="149">
        <v>45.21</v>
      </c>
      <c r="C6" s="149">
        <v>55.03</v>
      </c>
      <c r="D6" s="149">
        <v>71.97</v>
      </c>
      <c r="E6" s="149">
        <v>74.73</v>
      </c>
      <c r="F6" s="150">
        <v>12.85</v>
      </c>
      <c r="G6" s="150">
        <v>12.719999999999999</v>
      </c>
      <c r="H6" s="150">
        <v>12.59</v>
      </c>
      <c r="I6" s="150">
        <v>10.44</v>
      </c>
      <c r="J6" s="151">
        <v>53</v>
      </c>
      <c r="K6" s="151">
        <v>154.37</v>
      </c>
      <c r="L6" s="151">
        <v>298.64999999999998</v>
      </c>
      <c r="M6" s="151">
        <v>597.29999999999995</v>
      </c>
      <c r="N6" s="151">
        <v>906.05</v>
      </c>
      <c r="O6" s="152">
        <v>204.89</v>
      </c>
    </row>
    <row r="7" spans="1:40" x14ac:dyDescent="0.25">
      <c r="A7" s="148">
        <v>2024</v>
      </c>
      <c r="B7" s="149">
        <v>44.88</v>
      </c>
      <c r="C7" s="149">
        <v>54.62</v>
      </c>
      <c r="D7" s="149">
        <v>71.44</v>
      </c>
      <c r="E7" s="149">
        <v>74.180000000000007</v>
      </c>
      <c r="F7" s="150">
        <v>15.02</v>
      </c>
      <c r="G7" s="150">
        <v>14.879999999999999</v>
      </c>
      <c r="H7" s="150">
        <v>14.729999999999999</v>
      </c>
      <c r="I7" s="150">
        <v>12.17</v>
      </c>
      <c r="J7" s="151">
        <v>52</v>
      </c>
      <c r="K7" s="151">
        <v>151.46</v>
      </c>
      <c r="L7" s="151">
        <v>293.02999999999997</v>
      </c>
      <c r="M7" s="151">
        <v>586.05999999999995</v>
      </c>
      <c r="N7" s="151">
        <v>889</v>
      </c>
      <c r="O7" s="152">
        <v>201.03</v>
      </c>
    </row>
    <row r="8" spans="1:40" s="70" customFormat="1" x14ac:dyDescent="0.25">
      <c r="A8" s="148">
        <v>2025</v>
      </c>
      <c r="B8" s="149">
        <v>46.41</v>
      </c>
      <c r="C8" s="149">
        <v>56.49</v>
      </c>
      <c r="D8" s="149">
        <v>73.88</v>
      </c>
      <c r="E8" s="149">
        <v>76.709999999999994</v>
      </c>
      <c r="F8" s="150">
        <v>12.82</v>
      </c>
      <c r="G8" s="150">
        <v>12.700000000000001</v>
      </c>
      <c r="H8" s="150">
        <v>12.58</v>
      </c>
      <c r="I8" s="150">
        <v>10.47</v>
      </c>
      <c r="J8" s="151">
        <v>53.94</v>
      </c>
      <c r="K8" s="151">
        <v>157.12</v>
      </c>
      <c r="L8" s="151">
        <v>303.97000000000003</v>
      </c>
      <c r="M8" s="151">
        <v>607.94000000000005</v>
      </c>
      <c r="N8" s="151">
        <v>922.19</v>
      </c>
      <c r="O8" s="152">
        <v>208.53</v>
      </c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</row>
    <row r="9" spans="1:40" x14ac:dyDescent="0.25">
      <c r="A9" s="148">
        <v>2026</v>
      </c>
      <c r="B9" s="153">
        <v>47.69</v>
      </c>
      <c r="C9" s="153">
        <v>58.05</v>
      </c>
      <c r="D9" s="153">
        <v>75.92</v>
      </c>
      <c r="E9" s="153">
        <v>78.84</v>
      </c>
      <c r="F9" s="154">
        <v>10.11</v>
      </c>
      <c r="G9" s="154">
        <v>10.02</v>
      </c>
      <c r="H9" s="154">
        <v>9.93</v>
      </c>
      <c r="I9" s="154">
        <v>8.370000000000001</v>
      </c>
      <c r="J9" s="151">
        <v>55.6</v>
      </c>
      <c r="K9" s="151">
        <v>161.96</v>
      </c>
      <c r="L9" s="151">
        <v>313.33</v>
      </c>
      <c r="M9" s="151">
        <v>626.66999999999996</v>
      </c>
      <c r="N9" s="151">
        <v>950.6</v>
      </c>
      <c r="O9" s="152">
        <v>214.96</v>
      </c>
    </row>
    <row r="10" spans="1:40" x14ac:dyDescent="0.25">
      <c r="A10" s="148">
        <v>2027</v>
      </c>
      <c r="B10" s="153">
        <v>49.02</v>
      </c>
      <c r="C10" s="153">
        <v>59.66</v>
      </c>
      <c r="D10" s="153">
        <v>78.03</v>
      </c>
      <c r="E10" s="153">
        <v>81.03</v>
      </c>
      <c r="F10" s="154">
        <v>9.9499999999999993</v>
      </c>
      <c r="G10" s="154">
        <v>9.870000000000001</v>
      </c>
      <c r="H10" s="154">
        <v>9.7899999999999991</v>
      </c>
      <c r="I10" s="154">
        <v>8.35</v>
      </c>
      <c r="J10" s="151">
        <v>57.32</v>
      </c>
      <c r="K10" s="151">
        <v>166.96</v>
      </c>
      <c r="L10" s="151">
        <v>323</v>
      </c>
      <c r="M10" s="151">
        <v>646</v>
      </c>
      <c r="N10" s="151">
        <v>979.93</v>
      </c>
      <c r="O10" s="152">
        <v>221.59</v>
      </c>
    </row>
    <row r="11" spans="1:40" x14ac:dyDescent="0.25">
      <c r="A11" s="148">
        <v>2028</v>
      </c>
      <c r="B11" s="153">
        <v>49.76</v>
      </c>
      <c r="C11" s="153">
        <v>60.56</v>
      </c>
      <c r="D11" s="153">
        <v>79.209999999999994</v>
      </c>
      <c r="E11" s="153">
        <v>82.25</v>
      </c>
      <c r="F11" s="154">
        <v>9.2799999999999994</v>
      </c>
      <c r="G11" s="154">
        <v>9.1999999999999993</v>
      </c>
      <c r="H11" s="154">
        <v>9.120000000000001</v>
      </c>
      <c r="I11" s="154">
        <v>7.75</v>
      </c>
      <c r="J11" s="151">
        <v>58.36</v>
      </c>
      <c r="K11" s="151">
        <v>170</v>
      </c>
      <c r="L11" s="151">
        <v>328.88</v>
      </c>
      <c r="M11" s="151">
        <v>657.76</v>
      </c>
      <c r="N11" s="151">
        <v>997.76</v>
      </c>
      <c r="O11" s="152">
        <v>225.63</v>
      </c>
    </row>
    <row r="12" spans="1:40" x14ac:dyDescent="0.25">
      <c r="A12" s="148">
        <v>2029</v>
      </c>
      <c r="B12" s="153">
        <v>50.51</v>
      </c>
      <c r="C12" s="153">
        <v>61.48</v>
      </c>
      <c r="D12" s="153">
        <v>80.41</v>
      </c>
      <c r="E12" s="153">
        <v>83.49</v>
      </c>
      <c r="F12" s="154">
        <v>8.6300000000000008</v>
      </c>
      <c r="G12" s="154">
        <v>8.5500000000000007</v>
      </c>
      <c r="H12" s="154">
        <v>8.48</v>
      </c>
      <c r="I12" s="154">
        <v>7.1899999999999995</v>
      </c>
      <c r="J12" s="151">
        <v>59.43</v>
      </c>
      <c r="K12" s="151">
        <v>173.1</v>
      </c>
      <c r="L12" s="151">
        <v>334.88</v>
      </c>
      <c r="M12" s="151">
        <v>669.77</v>
      </c>
      <c r="N12" s="151">
        <v>1015.98</v>
      </c>
      <c r="O12" s="152">
        <v>229.74</v>
      </c>
    </row>
    <row r="13" spans="1:40" x14ac:dyDescent="0.25">
      <c r="A13" s="148">
        <v>2030</v>
      </c>
      <c r="B13" s="153">
        <v>51.74</v>
      </c>
      <c r="C13" s="153">
        <v>62.98</v>
      </c>
      <c r="D13" s="153">
        <v>82.37</v>
      </c>
      <c r="E13" s="153">
        <v>85.53</v>
      </c>
      <c r="F13" s="154">
        <v>7.5</v>
      </c>
      <c r="G13" s="154">
        <v>7.43</v>
      </c>
      <c r="H13" s="154">
        <v>7.37</v>
      </c>
      <c r="I13" s="154">
        <v>6.27</v>
      </c>
      <c r="J13" s="151">
        <v>60.52</v>
      </c>
      <c r="K13" s="151">
        <v>176.27</v>
      </c>
      <c r="L13" s="151">
        <v>341.01</v>
      </c>
      <c r="M13" s="151">
        <v>682.03</v>
      </c>
      <c r="N13" s="151">
        <v>1034.58</v>
      </c>
      <c r="O13" s="152">
        <v>233.95</v>
      </c>
    </row>
    <row r="14" spans="1:40" x14ac:dyDescent="0.25">
      <c r="A14" s="148">
        <v>2031</v>
      </c>
      <c r="B14" s="153">
        <v>52.49</v>
      </c>
      <c r="C14" s="153">
        <v>63.89</v>
      </c>
      <c r="D14" s="153">
        <v>83.57</v>
      </c>
      <c r="E14" s="153">
        <v>86.77</v>
      </c>
      <c r="F14" s="154">
        <v>7.8</v>
      </c>
      <c r="G14" s="154">
        <v>7.73</v>
      </c>
      <c r="H14" s="154">
        <v>7.67</v>
      </c>
      <c r="I14" s="154">
        <v>6.51</v>
      </c>
      <c r="J14" s="151">
        <v>61.63</v>
      </c>
      <c r="K14" s="151">
        <v>179.5</v>
      </c>
      <c r="L14" s="151">
        <v>347.28</v>
      </c>
      <c r="M14" s="151">
        <v>694.55</v>
      </c>
      <c r="N14" s="151">
        <v>1053.58</v>
      </c>
      <c r="O14" s="152">
        <v>238.25</v>
      </c>
    </row>
    <row r="15" spans="1:40" x14ac:dyDescent="0.25">
      <c r="A15" s="148">
        <v>2032</v>
      </c>
      <c r="B15" s="153">
        <v>53.26</v>
      </c>
      <c r="C15" s="153">
        <v>64.83</v>
      </c>
      <c r="D15" s="153">
        <v>84.79</v>
      </c>
      <c r="E15" s="153">
        <v>88.04</v>
      </c>
      <c r="F15" s="154">
        <v>7.93</v>
      </c>
      <c r="G15" s="154">
        <v>7.86</v>
      </c>
      <c r="H15" s="154">
        <v>7.8</v>
      </c>
      <c r="I15" s="154">
        <v>6.63</v>
      </c>
      <c r="J15" s="151">
        <v>62.76</v>
      </c>
      <c r="K15" s="151">
        <v>182.81</v>
      </c>
      <c r="L15" s="151">
        <v>353.67</v>
      </c>
      <c r="M15" s="151">
        <v>707.35</v>
      </c>
      <c r="N15" s="151">
        <v>1072.98</v>
      </c>
      <c r="O15" s="152">
        <v>242.63</v>
      </c>
    </row>
    <row r="16" spans="1:40" x14ac:dyDescent="0.25">
      <c r="A16" s="148">
        <v>2033</v>
      </c>
      <c r="B16" s="153">
        <v>54.04</v>
      </c>
      <c r="C16" s="153">
        <v>65.78</v>
      </c>
      <c r="D16" s="153">
        <v>86.03</v>
      </c>
      <c r="E16" s="153">
        <v>89.33</v>
      </c>
      <c r="F16" s="154">
        <v>8.07</v>
      </c>
      <c r="G16" s="154">
        <v>8</v>
      </c>
      <c r="H16" s="154">
        <v>7.9300000000000006</v>
      </c>
      <c r="I16" s="154">
        <v>6.76</v>
      </c>
      <c r="J16" s="151">
        <v>63.92</v>
      </c>
      <c r="K16" s="151">
        <v>186.19</v>
      </c>
      <c r="L16" s="151">
        <v>360.21</v>
      </c>
      <c r="M16" s="151">
        <v>720.41</v>
      </c>
      <c r="N16" s="151">
        <v>1092.8</v>
      </c>
      <c r="O16" s="152">
        <v>247.12</v>
      </c>
    </row>
    <row r="17" spans="1:15" x14ac:dyDescent="0.25">
      <c r="A17" s="148">
        <v>2034</v>
      </c>
      <c r="B17" s="153">
        <v>54.84</v>
      </c>
      <c r="C17" s="153">
        <v>66.75</v>
      </c>
      <c r="D17" s="153">
        <v>87.3</v>
      </c>
      <c r="E17" s="153">
        <v>90.65</v>
      </c>
      <c r="F17" s="154">
        <v>8.18</v>
      </c>
      <c r="G17" s="154">
        <v>8.11</v>
      </c>
      <c r="H17" s="154">
        <v>8.0399999999999991</v>
      </c>
      <c r="I17" s="154">
        <v>6.8599999999999994</v>
      </c>
      <c r="J17" s="151">
        <v>65.11</v>
      </c>
      <c r="K17" s="151">
        <v>189.64</v>
      </c>
      <c r="L17" s="151">
        <v>366.88</v>
      </c>
      <c r="M17" s="151">
        <v>733.76</v>
      </c>
      <c r="N17" s="151">
        <v>1113.05</v>
      </c>
      <c r="O17" s="152">
        <v>251.7</v>
      </c>
    </row>
    <row r="18" spans="1:15" x14ac:dyDescent="0.25">
      <c r="A18" s="148">
        <v>2035</v>
      </c>
      <c r="B18" s="153">
        <v>56.74</v>
      </c>
      <c r="C18" s="153">
        <v>69.06</v>
      </c>
      <c r="D18" s="153">
        <v>90.32</v>
      </c>
      <c r="E18" s="153">
        <v>93.79</v>
      </c>
      <c r="F18" s="154">
        <v>7.53</v>
      </c>
      <c r="G18" s="154">
        <v>7.47</v>
      </c>
      <c r="H18" s="154">
        <v>7.41</v>
      </c>
      <c r="I18" s="154">
        <v>6.37</v>
      </c>
      <c r="J18" s="151">
        <v>66.319999999999993</v>
      </c>
      <c r="K18" s="151">
        <v>193.16</v>
      </c>
      <c r="L18" s="151">
        <v>373.7</v>
      </c>
      <c r="M18" s="151">
        <v>747.4</v>
      </c>
      <c r="N18" s="151">
        <v>1133.73</v>
      </c>
      <c r="O18" s="152">
        <v>256.37</v>
      </c>
    </row>
    <row r="19" spans="1:15" x14ac:dyDescent="0.25">
      <c r="A19" s="148">
        <v>2036</v>
      </c>
      <c r="B19" s="153">
        <v>57.6</v>
      </c>
      <c r="C19" s="153">
        <v>70.099999999999994</v>
      </c>
      <c r="D19" s="153">
        <v>91.69</v>
      </c>
      <c r="E19" s="153">
        <v>95.21</v>
      </c>
      <c r="F19" s="154">
        <v>7.620000000000001</v>
      </c>
      <c r="G19" s="154">
        <v>7.5600000000000005</v>
      </c>
      <c r="H19" s="154">
        <v>7.5</v>
      </c>
      <c r="I19" s="154">
        <v>6.4600000000000009</v>
      </c>
      <c r="J19" s="151">
        <v>67.55</v>
      </c>
      <c r="K19" s="151">
        <v>196.76</v>
      </c>
      <c r="L19" s="151">
        <v>380.66</v>
      </c>
      <c r="M19" s="151">
        <v>761.32</v>
      </c>
      <c r="N19" s="151">
        <v>1154.8599999999999</v>
      </c>
      <c r="O19" s="152">
        <v>261.14999999999998</v>
      </c>
    </row>
    <row r="20" spans="1:15" x14ac:dyDescent="0.25">
      <c r="A20" s="148">
        <v>2037</v>
      </c>
      <c r="B20" s="153">
        <v>58.47</v>
      </c>
      <c r="C20" s="153">
        <v>71.17</v>
      </c>
      <c r="D20" s="153">
        <v>93.08</v>
      </c>
      <c r="E20" s="153">
        <v>96.66</v>
      </c>
      <c r="F20" s="154">
        <v>7.7</v>
      </c>
      <c r="G20" s="154">
        <v>7.64</v>
      </c>
      <c r="H20" s="154">
        <v>7.58</v>
      </c>
      <c r="I20" s="154">
        <v>6.53</v>
      </c>
      <c r="J20" s="151">
        <v>68.81</v>
      </c>
      <c r="K20" s="151">
        <v>200.44</v>
      </c>
      <c r="L20" s="151">
        <v>387.78</v>
      </c>
      <c r="M20" s="151">
        <v>775.55</v>
      </c>
      <c r="N20" s="151">
        <v>1176.44</v>
      </c>
      <c r="O20" s="152">
        <v>266.02999999999997</v>
      </c>
    </row>
    <row r="21" spans="1:15" x14ac:dyDescent="0.25">
      <c r="A21" s="148">
        <v>2038</v>
      </c>
      <c r="B21" s="153">
        <v>59.37</v>
      </c>
      <c r="C21" s="153">
        <v>72.260000000000005</v>
      </c>
      <c r="D21" s="153">
        <v>94.51</v>
      </c>
      <c r="E21" s="153">
        <v>98.13</v>
      </c>
      <c r="F21" s="154">
        <v>7.83</v>
      </c>
      <c r="G21" s="154">
        <v>7.77</v>
      </c>
      <c r="H21" s="154">
        <v>7.7099999999999991</v>
      </c>
      <c r="I21" s="154">
        <v>6.65</v>
      </c>
      <c r="J21" s="151">
        <v>70.099999999999994</v>
      </c>
      <c r="K21" s="151">
        <v>204.2</v>
      </c>
      <c r="L21" s="151">
        <v>395.04</v>
      </c>
      <c r="M21" s="151">
        <v>790.09</v>
      </c>
      <c r="N21" s="151">
        <v>1198.49</v>
      </c>
      <c r="O21" s="152">
        <v>271.02</v>
      </c>
    </row>
    <row r="22" spans="1:15" x14ac:dyDescent="0.25">
      <c r="A22" s="148">
        <v>2039</v>
      </c>
      <c r="B22" s="153">
        <v>60.28</v>
      </c>
      <c r="C22" s="153">
        <v>73.37</v>
      </c>
      <c r="D22" s="153">
        <v>95.96</v>
      </c>
      <c r="E22" s="153">
        <v>99.64</v>
      </c>
      <c r="F22" s="154">
        <v>8.01</v>
      </c>
      <c r="G22" s="154">
        <v>7.9499999999999993</v>
      </c>
      <c r="H22" s="154">
        <v>7.8800000000000008</v>
      </c>
      <c r="I22" s="154">
        <v>6.8100000000000005</v>
      </c>
      <c r="J22" s="151">
        <v>71.42</v>
      </c>
      <c r="K22" s="151">
        <v>208.03</v>
      </c>
      <c r="L22" s="151">
        <v>402.47</v>
      </c>
      <c r="M22" s="151">
        <v>804.94</v>
      </c>
      <c r="N22" s="151">
        <v>1221.02</v>
      </c>
      <c r="O22" s="152">
        <v>276.11</v>
      </c>
    </row>
    <row r="23" spans="1:15" x14ac:dyDescent="0.25">
      <c r="A23" s="148">
        <v>2040</v>
      </c>
      <c r="B23" s="153">
        <v>61.29</v>
      </c>
      <c r="C23" s="153">
        <v>74.599999999999994</v>
      </c>
      <c r="D23" s="153">
        <v>97.57</v>
      </c>
      <c r="E23" s="153">
        <v>101.32</v>
      </c>
      <c r="F23" s="154">
        <v>7.6</v>
      </c>
      <c r="G23" s="154">
        <v>7.54</v>
      </c>
      <c r="H23" s="154">
        <v>7.48</v>
      </c>
      <c r="I23" s="154">
        <v>6.5</v>
      </c>
      <c r="J23" s="151">
        <v>72.77</v>
      </c>
      <c r="K23" s="151">
        <v>211.95</v>
      </c>
      <c r="L23" s="151">
        <v>410.06</v>
      </c>
      <c r="M23" s="151">
        <v>820.11</v>
      </c>
      <c r="N23" s="151">
        <v>1244.04</v>
      </c>
      <c r="O23" s="152">
        <v>281.32</v>
      </c>
    </row>
    <row r="24" spans="1:15" x14ac:dyDescent="0.25">
      <c r="A24" s="148">
        <v>2041</v>
      </c>
      <c r="B24" s="153">
        <v>62.2</v>
      </c>
      <c r="C24" s="153">
        <v>75.7</v>
      </c>
      <c r="D24" s="153">
        <v>99.01</v>
      </c>
      <c r="E24" s="153">
        <v>102.81</v>
      </c>
      <c r="F24" s="154">
        <v>7.68</v>
      </c>
      <c r="G24" s="154">
        <v>7.62</v>
      </c>
      <c r="H24" s="154">
        <v>7.5600000000000005</v>
      </c>
      <c r="I24" s="154">
        <v>6.58</v>
      </c>
      <c r="J24" s="151">
        <v>74.14</v>
      </c>
      <c r="K24" s="151">
        <v>215.96</v>
      </c>
      <c r="L24" s="151">
        <v>417.81</v>
      </c>
      <c r="M24" s="151">
        <v>835.62</v>
      </c>
      <c r="N24" s="151">
        <v>1267.56</v>
      </c>
      <c r="O24" s="152">
        <v>286.63</v>
      </c>
    </row>
    <row r="25" spans="1:15" x14ac:dyDescent="0.25">
      <c r="A25" s="148">
        <v>2042</v>
      </c>
      <c r="B25" s="153">
        <v>63.12</v>
      </c>
      <c r="C25" s="153">
        <v>76.819999999999993</v>
      </c>
      <c r="D25" s="153">
        <v>100.47</v>
      </c>
      <c r="E25" s="153">
        <v>104.33</v>
      </c>
      <c r="F25" s="154">
        <v>7.7099999999999991</v>
      </c>
      <c r="G25" s="154">
        <v>7.65</v>
      </c>
      <c r="H25" s="154">
        <v>7.59</v>
      </c>
      <c r="I25" s="154">
        <v>6.62</v>
      </c>
      <c r="J25" s="151">
        <v>75.55</v>
      </c>
      <c r="K25" s="151">
        <v>220.06</v>
      </c>
      <c r="L25" s="151">
        <v>425.73</v>
      </c>
      <c r="M25" s="151">
        <v>851.46</v>
      </c>
      <c r="N25" s="151">
        <v>1291.58</v>
      </c>
      <c r="O25" s="152">
        <v>292.07</v>
      </c>
    </row>
    <row r="26" spans="1:15" x14ac:dyDescent="0.25">
      <c r="A26" s="148">
        <v>2043</v>
      </c>
      <c r="B26" s="153">
        <v>64.05</v>
      </c>
      <c r="C26" s="153">
        <v>77.959999999999994</v>
      </c>
      <c r="D26" s="153">
        <v>101.97</v>
      </c>
      <c r="E26" s="153">
        <v>105.88</v>
      </c>
      <c r="F26" s="154">
        <v>7.77</v>
      </c>
      <c r="G26" s="154">
        <v>7.7200000000000006</v>
      </c>
      <c r="H26" s="154">
        <v>7.66</v>
      </c>
      <c r="I26" s="154">
        <v>6.68</v>
      </c>
      <c r="J26" s="151">
        <v>76.989999999999995</v>
      </c>
      <c r="K26" s="151">
        <v>224.24</v>
      </c>
      <c r="L26" s="151">
        <v>433.82</v>
      </c>
      <c r="M26" s="151">
        <v>867.64</v>
      </c>
      <c r="N26" s="151">
        <v>1316.14</v>
      </c>
      <c r="O26" s="152">
        <v>297.62</v>
      </c>
    </row>
    <row r="27" spans="1:15" x14ac:dyDescent="0.25">
      <c r="A27" s="148">
        <v>2044</v>
      </c>
      <c r="B27" s="153">
        <v>65.010000000000005</v>
      </c>
      <c r="C27" s="153">
        <v>79.13</v>
      </c>
      <c r="D27" s="153">
        <v>103.49</v>
      </c>
      <c r="E27" s="153">
        <v>107.46</v>
      </c>
      <c r="F27" s="154">
        <v>8</v>
      </c>
      <c r="G27" s="154">
        <v>7.9399999999999995</v>
      </c>
      <c r="H27" s="154">
        <v>7.879999999999999</v>
      </c>
      <c r="I27" s="154">
        <v>6.879999999999999</v>
      </c>
      <c r="J27" s="151">
        <v>78.45</v>
      </c>
      <c r="K27" s="151">
        <v>228.51</v>
      </c>
      <c r="L27" s="151">
        <v>442.09</v>
      </c>
      <c r="M27" s="151">
        <v>884.18</v>
      </c>
      <c r="N27" s="151">
        <v>1341.23</v>
      </c>
      <c r="O27" s="152">
        <v>303.29000000000002</v>
      </c>
    </row>
    <row r="28" spans="1:15" x14ac:dyDescent="0.25">
      <c r="A28" s="148">
        <v>2045</v>
      </c>
      <c r="B28" s="153">
        <v>65.819999999999993</v>
      </c>
      <c r="C28" s="153">
        <v>80.11</v>
      </c>
      <c r="D28" s="153">
        <v>104.78</v>
      </c>
      <c r="E28" s="153">
        <v>108.8</v>
      </c>
      <c r="F28" s="154">
        <v>7.6300000000000008</v>
      </c>
      <c r="G28" s="154">
        <v>7.58</v>
      </c>
      <c r="H28" s="154">
        <v>7.5299999999999994</v>
      </c>
      <c r="I28" s="154">
        <v>6.6099999999999994</v>
      </c>
      <c r="J28" s="151">
        <v>79.95</v>
      </c>
      <c r="K28" s="151">
        <v>232.88</v>
      </c>
      <c r="L28" s="151">
        <v>450.54</v>
      </c>
      <c r="M28" s="151">
        <v>901.09</v>
      </c>
      <c r="N28" s="151">
        <v>1366.87</v>
      </c>
      <c r="O28" s="152">
        <v>309.08999999999997</v>
      </c>
    </row>
    <row r="29" spans="1:15" x14ac:dyDescent="0.25">
      <c r="A29" s="148">
        <v>2046</v>
      </c>
      <c r="B29" s="153">
        <v>66.760000000000005</v>
      </c>
      <c r="C29" s="153">
        <v>81.25</v>
      </c>
      <c r="D29" s="153">
        <v>106.27</v>
      </c>
      <c r="E29" s="153">
        <v>110.35</v>
      </c>
      <c r="F29" s="154">
        <v>7.71</v>
      </c>
      <c r="G29" s="154">
        <v>7.65</v>
      </c>
      <c r="H29" s="154">
        <v>7.6000000000000005</v>
      </c>
      <c r="I29" s="154">
        <v>6.69</v>
      </c>
      <c r="J29" s="151">
        <v>81.489999999999995</v>
      </c>
      <c r="K29" s="151">
        <v>237.35</v>
      </c>
      <c r="L29" s="151">
        <v>459.18</v>
      </c>
      <c r="M29" s="151">
        <v>918.36</v>
      </c>
      <c r="N29" s="151">
        <v>1393.07</v>
      </c>
      <c r="O29" s="152">
        <v>315.02</v>
      </c>
    </row>
    <row r="30" spans="1:15" x14ac:dyDescent="0.25">
      <c r="A30" s="148">
        <v>2047</v>
      </c>
      <c r="B30" s="153">
        <v>67.709999999999994</v>
      </c>
      <c r="C30" s="153">
        <v>82.42</v>
      </c>
      <c r="D30" s="153">
        <v>107.79</v>
      </c>
      <c r="E30" s="153">
        <v>111.93</v>
      </c>
      <c r="F30" s="154">
        <v>7.8100000000000005</v>
      </c>
      <c r="G30" s="154">
        <v>7.76</v>
      </c>
      <c r="H30" s="154">
        <v>7.71</v>
      </c>
      <c r="I30" s="154">
        <v>6.79</v>
      </c>
      <c r="J30" s="151">
        <v>83.05</v>
      </c>
      <c r="K30" s="151">
        <v>241.91</v>
      </c>
      <c r="L30" s="151">
        <v>468.01</v>
      </c>
      <c r="M30" s="151">
        <v>936.01</v>
      </c>
      <c r="N30" s="151">
        <v>1419.84</v>
      </c>
      <c r="O30" s="152">
        <v>321.07</v>
      </c>
    </row>
    <row r="31" spans="1:15" x14ac:dyDescent="0.25">
      <c r="A31" s="148">
        <v>2048</v>
      </c>
      <c r="B31" s="153">
        <v>68.680000000000007</v>
      </c>
      <c r="C31" s="153">
        <v>83.6</v>
      </c>
      <c r="D31" s="153">
        <v>109.34</v>
      </c>
      <c r="E31" s="153">
        <v>113.54</v>
      </c>
      <c r="F31" s="154">
        <v>7.88</v>
      </c>
      <c r="G31" s="154">
        <v>7.82</v>
      </c>
      <c r="H31" s="154">
        <v>7.77</v>
      </c>
      <c r="I31" s="154">
        <v>6.8599999999999994</v>
      </c>
      <c r="J31" s="151">
        <v>84.65</v>
      </c>
      <c r="K31" s="151">
        <v>246.57</v>
      </c>
      <c r="L31" s="151">
        <v>477.03</v>
      </c>
      <c r="M31" s="151">
        <v>954.05</v>
      </c>
      <c r="N31" s="151">
        <v>1447.21</v>
      </c>
      <c r="O31" s="152">
        <v>327.26</v>
      </c>
    </row>
    <row r="32" spans="1:15" x14ac:dyDescent="0.25">
      <c r="A32" s="148">
        <v>2049</v>
      </c>
      <c r="B32" s="153">
        <v>69.67</v>
      </c>
      <c r="C32" s="153">
        <v>84.81</v>
      </c>
      <c r="D32" s="153">
        <v>110.92</v>
      </c>
      <c r="E32" s="153">
        <v>115.17</v>
      </c>
      <c r="F32" s="154">
        <v>7.9499999999999993</v>
      </c>
      <c r="G32" s="154">
        <v>7.9</v>
      </c>
      <c r="H32" s="154">
        <v>7.85</v>
      </c>
      <c r="I32" s="154">
        <v>6.9399999999999995</v>
      </c>
      <c r="J32" s="151">
        <v>86.29</v>
      </c>
      <c r="K32" s="151">
        <v>251.34</v>
      </c>
      <c r="L32" s="151">
        <v>486.24</v>
      </c>
      <c r="M32" s="151">
        <v>972.49</v>
      </c>
      <c r="N32" s="151">
        <v>1475.18</v>
      </c>
      <c r="O32" s="152">
        <v>333.58</v>
      </c>
    </row>
    <row r="33" spans="1:15" x14ac:dyDescent="0.25">
      <c r="A33" s="148">
        <v>2050</v>
      </c>
      <c r="B33" s="153">
        <v>70.680000000000007</v>
      </c>
      <c r="C33" s="153">
        <v>86.03</v>
      </c>
      <c r="D33" s="153">
        <v>112.52</v>
      </c>
      <c r="E33" s="153">
        <v>116.84</v>
      </c>
      <c r="F33" s="154">
        <v>8.18</v>
      </c>
      <c r="G33" s="154">
        <v>8.1199999999999992</v>
      </c>
      <c r="H33" s="154">
        <v>8.07</v>
      </c>
      <c r="I33" s="154">
        <v>7.14</v>
      </c>
      <c r="J33" s="151">
        <v>87.96</v>
      </c>
      <c r="K33" s="151">
        <v>256.20999999999998</v>
      </c>
      <c r="L33" s="151">
        <v>495.67</v>
      </c>
      <c r="M33" s="151">
        <v>991.33</v>
      </c>
      <c r="N33" s="151">
        <v>1503.76</v>
      </c>
      <c r="O33" s="152">
        <v>340.05</v>
      </c>
    </row>
    <row r="34" spans="1:15" x14ac:dyDescent="0.25">
      <c r="J34" s="71"/>
    </row>
    <row r="35" spans="1:15" x14ac:dyDescent="0.25">
      <c r="J35" s="71"/>
    </row>
    <row r="36" spans="1:15" x14ac:dyDescent="0.25">
      <c r="A36" s="42" t="s">
        <v>224</v>
      </c>
      <c r="C36" s="210" t="s">
        <v>225</v>
      </c>
      <c r="D36" s="210"/>
      <c r="E36" s="210"/>
      <c r="F36" s="210"/>
      <c r="G36" s="210"/>
      <c r="H36" s="210"/>
      <c r="I36" s="210"/>
      <c r="J36" s="210"/>
      <c r="K36" s="210"/>
    </row>
    <row r="37" spans="1:15" x14ac:dyDescent="0.25">
      <c r="A37" s="72">
        <v>1200</v>
      </c>
      <c r="B37" s="73" t="s">
        <v>226</v>
      </c>
      <c r="C37" s="76">
        <v>15</v>
      </c>
      <c r="D37" s="76">
        <v>30</v>
      </c>
      <c r="E37" s="76">
        <v>70</v>
      </c>
      <c r="F37" s="76">
        <v>125</v>
      </c>
      <c r="G37" s="76">
        <v>200</v>
      </c>
      <c r="H37" s="76">
        <v>350</v>
      </c>
      <c r="I37" s="76">
        <v>850</v>
      </c>
      <c r="J37" s="76">
        <v>1900</v>
      </c>
      <c r="K37" s="76">
        <v>4000</v>
      </c>
    </row>
    <row r="38" spans="1:15" x14ac:dyDescent="0.25">
      <c r="A38" s="74"/>
      <c r="B38" s="73" t="s">
        <v>228</v>
      </c>
      <c r="C38" s="155">
        <f>(C37*$A$37)/1000</f>
        <v>18</v>
      </c>
      <c r="D38" s="155">
        <f t="shared" ref="D38:K38" si="0">(D37*$A$37)/1000</f>
        <v>36</v>
      </c>
      <c r="E38" s="155">
        <f t="shared" si="0"/>
        <v>84</v>
      </c>
      <c r="F38" s="155">
        <f t="shared" si="0"/>
        <v>150</v>
      </c>
      <c r="G38" s="155">
        <f t="shared" si="0"/>
        <v>240</v>
      </c>
      <c r="H38" s="155">
        <f t="shared" si="0"/>
        <v>420</v>
      </c>
      <c r="I38" s="155">
        <f t="shared" si="0"/>
        <v>1020</v>
      </c>
      <c r="J38" s="155">
        <f t="shared" si="0"/>
        <v>2280</v>
      </c>
      <c r="K38" s="155">
        <f t="shared" si="0"/>
        <v>4800</v>
      </c>
    </row>
    <row r="39" spans="1:15" ht="14.45" customHeight="1" x14ac:dyDescent="0.25">
      <c r="A39" s="211" t="s">
        <v>227</v>
      </c>
      <c r="B39" s="42">
        <v>2022</v>
      </c>
      <c r="C39" s="121">
        <f>(
IF($C$37&lt;=15,B5,IF(AND($C$37&gt;15,$C$37&lt;=150),C5,IF(AND($C$37&gt;150,$C$37&lt;=1200),D5,E5)))*$C$37+
(IF($C$38&lt;=300,F5,IF(AND($C$38&gt;300,$C$38&lt;=1500),G5,IF(AND($C$38&gt;1500,$C$38&lt;=3000),H5,I5)))/100)*$C$38*1000+
IF($C$37&lt;=80,J5,IF(AND($C$37&gt;80,$C$37&lt;=160),K5,IF(AND($C$37&gt;160,$C$37&lt;=750),L5,IF(AND($C$37&gt;750,$C$37&lt;=4900),M5,N5))))+
IF($C$37&gt;500,O5,0)
)
/($C$38*1000)</f>
        <v>0.18231277777777777</v>
      </c>
      <c r="D39" s="121">
        <f>(
IF($D$37&lt;=15,B5,IF(AND($D$37&gt;15,$D$37&lt;=150),C5,IF(AND($D$37&gt;150,$D$37&lt;=1200),D5,E5)))*$D$37+
(IF($D$38&lt;=300,F5,IF(AND($D$38&gt;300,$D$38&lt;=1500),G5,IF(AND($D$38&gt;1500,$D$38&lt;=3000),H5,I5)))/100)*$D$38*1000+
IF($D$37&lt;=80,J5,IF(AND($D$37&gt;80,$D$37&lt;=160),K5,IF(AND($D$37&gt;160,$D$37&lt;=750),L5,IF(AND($D$37&gt;750,$D$37&lt;=4900),M5,N5))))+
IF($D$37&gt;500,O5,0)
)
/($D$38*1000)</f>
        <v>0.18869388888888888</v>
      </c>
      <c r="E39" s="121">
        <f>(
IF($E$37&lt;=15,B5,IF(AND($E$37&gt;15,$E$37&lt;=150),C5,IF(AND($E$37&gt;150,$E$37&lt;=1200),D5,E5)))*$E$37+
(IF($E$38&lt;=300,F5,IF(AND($E$38&gt;300,$E$38&lt;=1500),G5,IF(AND($E$38&gt;1500,$E$38&lt;=3000),H5,I5)))/100)*$E$38*1000+
IF($E$37&lt;=80,J5,IF(AND($E$37&gt;80,$E$37&lt;=160),K5,IF(AND($E$37&gt;160,$E$37&lt;=750),L5,IF(AND($E$37&gt;750,$E$37&lt;=4900),M5,N5))))+
IF($E$37&gt;500,O5,0)
)
/($E$38*1000)</f>
        <v>0.18789738095238095</v>
      </c>
      <c r="F39" s="121">
        <f>(
IF($F$37&lt;=15,B5,IF(AND($F$37&gt;15,$F$37&lt;=150),C5,IF(AND($F$37&gt;150,$F$37&lt;=1200),D5,E5)))*$F$37+
(IF($F$38&lt;=300,F5,IF(AND($F$38&gt;300,$F$38&lt;=1500),G5,IF(AND($F$38&gt;1500,$F$38&lt;=3000),H5,I5)))/100)*$F$38*1000+
IF($F$37&lt;=80,J5,IF(AND($F$37&gt;80,$F$37&lt;=160),K5,IF(AND($F$37&gt;160,$F$37&lt;=750),L5,IF(AND($F$37&gt;750,$F$37&lt;=4900),M5,N5))))+
IF($F$37&gt;500,O5,0)
)
/($F$38*1000)</f>
        <v>0.18827440000000001</v>
      </c>
      <c r="G39" s="121">
        <f>(
IF($G$37&lt;=15,B5,IF(AND($G$37&gt;15,$G$37&lt;=150),C5,IF(AND($G$37&gt;150,$G$37&lt;=1200),D5,E5)))*$G$37+
(IF($G$38&lt;=300,F5,IF(AND($G$38&gt;300,$G$38&lt;=1500),G5,IF(AND($G$38&gt;1500,$G$38&lt;=3000),H5,I5)))/100)*$G$38*1000+
IF($G$37&lt;=80,J5,IF(AND($G$37&gt;80,$G$37&lt;=160),K5,IF(AND($G$37&gt;160,$G$37&lt;=750),L5,IF(AND($G$37&gt;750,$G$37&lt;=4900),M5,N5))))+
IF($G$37&gt;500,O5,0)
)
/($G$38*1000)</f>
        <v>0.20190316666666666</v>
      </c>
      <c r="H39" s="121">
        <f>(
IF($H$37&lt;=15,B5,IF(AND($H$37&gt;15,$H$37&lt;=150),C5,IF(AND($H$37&gt;150,$H$37&lt;=1200),D5,E5)))*$H$37+
(IF($H$38&lt;=300,F5,IF(AND($H$38&gt;300,$H$38&lt;=1500),G5,IF(AND($H$38&gt;1500,$H$38&lt;=3000),H5,I5)))/100)*$H$38*1000+
IF($H$37&lt;=80,J5,IF(AND($H$37&gt;80,$H$37&lt;=160),K5,IF(AND($H$37&gt;160,$H$37&lt;=750),L5,IF(AND($H$37&gt;750,$H$37&lt;=4900),M5,N5))))+
IF($H$37&gt;500,O5,0)
)
/($H$38*1000)</f>
        <v>0.19999823809523812</v>
      </c>
      <c r="I39" s="121">
        <f>(
IF($I$37&lt;=15,$B$5,IF(AND($I$37&gt;15,$I$37&lt;=150),C5,IF(AND($I$37&gt;150,$I$37&lt;=1200),D5,E5)))*$I$37+
(IF($I$38&lt;=300,F5,IF(AND($I$38&gt;300,$I$38&lt;=1500),G5,IF(AND($I$38&gt;1500,$I$38&lt;=3000),H5,I5)))/100)*$I$38*1000+
IF($I$37&lt;=80,J5,IF(AND($I$37&gt;80,$I$37&lt;=160),K5,IF(AND($I$37&gt;160,$I$37&lt;=750),L5,IF(AND($I$37&gt;750,$I$37&lt;=4900),M5,N5))))+
IF($I$37&gt;500,O5,0)
)
/($I$38*1000)</f>
        <v>0.20006961764705883</v>
      </c>
      <c r="J39" s="121">
        <f>(
IF($J$37&lt;=15,B5,IF(AND($J$37&gt;15,$J$37&lt;=150),C5,IF(AND($J$37&gt;150,$J$37&lt;=1200),D5,E5)))*$J$37+
(IF($J$38&lt;=300,F5,IF(AND($J$38&gt;300,$J$38&lt;=1500),G5,IF(AND($J$38&gt;1500,$J$38&lt;=3000),H5,I5)))/100)*$J$38*1000+
IF($J$37&lt;=80,J5,IF(AND($J$37&gt;80,$J$37&lt;=160),K5,IF(AND($J$37&gt;160,$J$37&lt;=750),L5,IF(AND($J$37&gt;750,$J$37&lt;=4900),M5,N5))))+
IF($J$37&gt;500,O5,0)
)
/($J$38*1000)</f>
        <v>0.20034978508771931</v>
      </c>
      <c r="K39" s="121">
        <f>(
IF($K$37&lt;=15,B5,IF(AND($K$37&gt;15,$K$37&lt;=150),C5,IF(AND($K$37&gt;150,$K$37&lt;=1200),D5,E5)))*$K$37+
(IF($K$38&lt;=300,F5,IF(AND($K$38&gt;300,$K$38&lt;=1500),G5,IF(AND($K$38&gt;1500,$K$38&lt;=3000),H5,I5)))/100)*$K$38*1000+
IF($K$37&lt;=80,J5,IF(AND($K$37&gt;80,$K$37&lt;=160),K5,IF(AND($K$37&gt;160,$K$37&lt;=750),L5,IF(AND($K$37&gt;750,$K$37&lt;=4900),M5,N5))))+
IF($K$37&gt;500,O5,0)
)
/($K$38*1000)</f>
        <v>0.17587489791666666</v>
      </c>
    </row>
    <row r="40" spans="1:15" x14ac:dyDescent="0.25">
      <c r="A40" s="211"/>
      <c r="B40" s="42">
        <v>2023</v>
      </c>
      <c r="C40" s="121">
        <f t="shared" ref="C40:C67" si="1">(
IF($C$37&lt;=15,B6,IF(AND($C$37&gt;15,$C$37&lt;=150),C6,IF(AND($C$37&gt;150,$C$37&lt;=1200),D6,E6)))*$C$37+
(IF($C$38&lt;=300,F6,IF(AND($C$38&gt;300,$C$38&lt;=1500),G6,IF(AND($C$38&gt;1500,$C$38&lt;=3000),H6,I6)))/100)*$C$38*1000+
IF($C$37&lt;=80,J6,IF(AND($C$37&gt;80,$C$37&lt;=160),K6,IF(AND($C$37&gt;160,$C$37&lt;=750),L6,IF(AND($C$37&gt;750,$C$37&lt;=4900),M6,N6))))+
IF($C$37&gt;500,O6,0)
)
/($C$38*1000)</f>
        <v>0.16911944444444446</v>
      </c>
      <c r="D40" s="121">
        <f t="shared" ref="D40:D67" si="2">(
IF($D$37&lt;=15,B6,IF(AND($D$37&gt;15,$D$37&lt;=150),C6,IF(AND($D$37&gt;150,$D$37&lt;=1200),D6,E6)))*$D$37+
(IF($D$38&lt;=300,F6,IF(AND($D$38&gt;300,$D$38&lt;=1500),G6,IF(AND($D$38&gt;1500,$D$38&lt;=3000),H6,I6)))/100)*$D$38*1000+
IF($D$37&lt;=80,J6,IF(AND($D$37&gt;80,$D$37&lt;=160),K6,IF(AND($D$37&gt;160,$D$37&lt;=750),L6,IF(AND($D$37&gt;750,$D$37&lt;=4900),M6,N6))))+
IF($D$37&gt;500,O6,0)
)
/($D$38*1000)</f>
        <v>0.17583055555555555</v>
      </c>
      <c r="E40" s="121">
        <f t="shared" ref="E40:E67" si="3">(
IF($E$37&lt;=15,B6,IF(AND($E$37&gt;15,$E$37&lt;=150),C6,IF(AND($E$37&gt;150,$E$37&lt;=1200),D6,E6)))*$E$37+
(IF($E$38&lt;=300,F6,IF(AND($E$38&gt;300,$E$38&lt;=1500),G6,IF(AND($E$38&gt;1500,$E$38&lt;=3000),H6,I6)))/100)*$E$38*1000+
IF($E$37&lt;=80,J6,IF(AND($E$37&gt;80,$E$37&lt;=160),K6,IF(AND($E$37&gt;160,$E$37&lt;=750),L6,IF(AND($E$37&gt;750,$E$37&lt;=4900),M6,N6))))+
IF($E$37&gt;500,O6,0)
)
/($E$38*1000)</f>
        <v>0.17498928571428571</v>
      </c>
      <c r="F40" s="121">
        <f t="shared" ref="F40:F67" si="4">(
IF($F$37&lt;=15,B6,IF(AND($F$37&gt;15,$F$37&lt;=150),C6,IF(AND($F$37&gt;150,$F$37&lt;=1200),D6,E6)))*$F$37+
(IF($F$38&lt;=300,F6,IF(AND($F$38&gt;300,$F$38&lt;=1500),G6,IF(AND($F$38&gt;1500,$F$38&lt;=3000),H6,I6)))/100)*$F$38*1000+
IF($F$37&lt;=80,J6,IF(AND($F$37&gt;80,$F$37&lt;=160),K6,IF(AND($F$37&gt;160,$F$37&lt;=750),L6,IF(AND($F$37&gt;750,$F$37&lt;=4900),M6,N6))))+
IF($F$37&gt;500,O6,0)
)
/($F$38*1000)</f>
        <v>0.17538746666666669</v>
      </c>
      <c r="G40" s="121">
        <f t="shared" ref="G40:G67" si="5">(
IF($G$37&lt;=15,B6,IF(AND($G$37&gt;15,$G$37&lt;=150),C6,IF(AND($G$37&gt;150,$G$37&lt;=1200),D6,E6)))*$G$37+
(IF($G$38&lt;=300,F6,IF(AND($G$38&gt;300,$G$38&lt;=1500),G6,IF(AND($G$38&gt;1500,$G$38&lt;=3000),H6,I6)))/100)*$G$38*1000+
IF($G$37&lt;=80,J6,IF(AND($G$37&gt;80,$G$37&lt;=160),K6,IF(AND($G$37&gt;160,$G$37&lt;=750),L6,IF(AND($G$37&gt;750,$G$37&lt;=4900),M6,N6))))+
IF($G$37&gt;500,O6,0)
)
/($G$38*1000)</f>
        <v>0.189719375</v>
      </c>
      <c r="H40" s="121">
        <f t="shared" ref="H40:H67" si="6">(
IF($H$37&lt;=15,B6,IF(AND($H$37&gt;15,$H$37&lt;=150),C6,IF(AND($H$37&gt;150,$H$37&lt;=1200),D6,E6)))*$H$37+
(IF($H$38&lt;=300,F6,IF(AND($H$38&gt;300,$H$38&lt;=1500),G6,IF(AND($H$38&gt;1500,$H$38&lt;=3000),H6,I6)))/100)*$H$38*1000+
IF($H$37&lt;=80,J6,IF(AND($H$37&gt;80,$H$37&lt;=160),K6,IF(AND($H$37&gt;160,$H$37&lt;=750),L6,IF(AND($H$37&gt;750,$H$37&lt;=4900),M6,N6))))+
IF($H$37&gt;500,O6,0)
)
/($H$38*1000)</f>
        <v>0.18788607142857142</v>
      </c>
      <c r="I40" s="121">
        <f t="shared" ref="I40:I67" si="7">(
IF($I$37&lt;=15,$B$5,IF(AND($I$37&gt;15,$I$37&lt;=150),C6,IF(AND($I$37&gt;150,$I$37&lt;=1200),D6,E6)))*$I$37+
(IF($I$38&lt;=300,F6,IF(AND($I$38&gt;300,$I$38&lt;=1500),G6,IF(AND($I$38&gt;1500,$I$38&lt;=3000),H6,I6)))/100)*$I$38*1000+
IF($I$37&lt;=80,J6,IF(AND($I$37&gt;80,$I$37&lt;=160),K6,IF(AND($I$37&gt;160,$I$37&lt;=750),L6,IF(AND($I$37&gt;750,$I$37&lt;=4900),M6,N6))))+
IF($I$37&gt;500,O6,0)
)
/($I$38*1000)</f>
        <v>0.18796146078431369</v>
      </c>
      <c r="J40" s="121">
        <f t="shared" ref="J40:J67" si="8">(
IF($J$37&lt;=15,B6,IF(AND($J$37&gt;15,$J$37&lt;=150),C6,IF(AND($J$37&gt;150,$J$37&lt;=1200),D6,E6)))*$J$37+
(IF($J$38&lt;=300,F6,IF(AND($J$38&gt;300,$J$38&lt;=1500),G6,IF(AND($J$38&gt;1500,$J$38&lt;=3000),H6,I6)))/100)*$J$38*1000+
IF($J$37&lt;=80,J6,IF(AND($J$37&gt;80,$J$37&lt;=160),K6,IF(AND($J$37&gt;160,$J$37&lt;=750),L6,IF(AND($J$37&gt;750,$J$37&lt;=4900),M6,N6))))+
IF($J$37&gt;500,O6,0)
)
/($J$38*1000)</f>
        <v>0.18852683771929823</v>
      </c>
      <c r="K40" s="121">
        <f t="shared" ref="K40:K67" si="9">(
IF($K$37&lt;=15,B6,IF(AND($K$37&gt;15,$K$37&lt;=150),C6,IF(AND($K$37&gt;150,$K$37&lt;=1200),D6,E6)))*$K$37+
(IF($K$38&lt;=300,F6,IF(AND($K$38&gt;300,$K$38&lt;=1500),G6,IF(AND($K$38&gt;1500,$K$38&lt;=3000),H6,I6)))/100)*$K$38*1000+
IF($K$37&lt;=80,J6,IF(AND($K$37&gt;80,$K$37&lt;=160),K6,IF(AND($K$37&gt;160,$K$37&lt;=750),L6,IF(AND($K$37&gt;750,$K$37&lt;=4900),M6,N6))))+
IF($K$37&gt;500,O6,0)
)
/($K$38*1000)</f>
        <v>0.16684212291666667</v>
      </c>
    </row>
    <row r="41" spans="1:15" x14ac:dyDescent="0.25">
      <c r="A41" s="211"/>
      <c r="B41" s="42">
        <v>2024</v>
      </c>
      <c r="C41" s="121">
        <f t="shared" si="1"/>
        <v>0.1904888888888889</v>
      </c>
      <c r="D41" s="121">
        <f t="shared" si="2"/>
        <v>0.19716111111111109</v>
      </c>
      <c r="E41" s="121">
        <f t="shared" si="3"/>
        <v>0.19633571428571425</v>
      </c>
      <c r="F41" s="121">
        <f t="shared" si="4"/>
        <v>0.1967264</v>
      </c>
      <c r="G41" s="121">
        <f t="shared" si="5"/>
        <v>0.21095429166666665</v>
      </c>
      <c r="H41" s="121">
        <f t="shared" si="6"/>
        <v>0.20903102380952382</v>
      </c>
      <c r="I41" s="121">
        <f t="shared" si="7"/>
        <v>0.20910499019607839</v>
      </c>
      <c r="J41" s="121">
        <f t="shared" si="8"/>
        <v>0.20946188157894738</v>
      </c>
      <c r="K41" s="121">
        <f t="shared" si="9"/>
        <v>0.18368064375000001</v>
      </c>
    </row>
    <row r="42" spans="1:15" x14ac:dyDescent="0.25">
      <c r="A42" s="211"/>
      <c r="B42" s="42">
        <v>2025</v>
      </c>
      <c r="C42" s="121">
        <f t="shared" si="1"/>
        <v>0.1698716666666667</v>
      </c>
      <c r="D42" s="121">
        <f t="shared" si="2"/>
        <v>0.17677333333333334</v>
      </c>
      <c r="E42" s="121">
        <f t="shared" si="3"/>
        <v>0.17591714285714288</v>
      </c>
      <c r="F42" s="121">
        <f t="shared" si="4"/>
        <v>0.17632246666666665</v>
      </c>
      <c r="G42" s="121">
        <f t="shared" si="5"/>
        <v>0.19103320833333334</v>
      </c>
      <c r="H42" s="121">
        <f t="shared" si="6"/>
        <v>0.18929040476190476</v>
      </c>
      <c r="I42" s="121">
        <f t="shared" si="7"/>
        <v>0.18936712745098036</v>
      </c>
      <c r="J42" s="121">
        <f t="shared" si="8"/>
        <v>0.19008310087719299</v>
      </c>
      <c r="K42" s="121">
        <f t="shared" si="9"/>
        <v>0.16879509791666666</v>
      </c>
    </row>
    <row r="43" spans="1:15" x14ac:dyDescent="0.25">
      <c r="A43" s="211"/>
      <c r="B43" s="42">
        <v>2026</v>
      </c>
      <c r="C43" s="121">
        <f t="shared" si="1"/>
        <v>0.14393055555555553</v>
      </c>
      <c r="D43" s="121">
        <f t="shared" si="2"/>
        <v>0.15101944444444446</v>
      </c>
      <c r="E43" s="121">
        <f t="shared" si="3"/>
        <v>0.15013690476190475</v>
      </c>
      <c r="F43" s="121">
        <f t="shared" si="4"/>
        <v>0.15055473333333333</v>
      </c>
      <c r="G43" s="121">
        <f t="shared" si="5"/>
        <v>0.16567220833333335</v>
      </c>
      <c r="H43" s="121">
        <f t="shared" si="6"/>
        <v>0.16421269047619047</v>
      </c>
      <c r="I43" s="121">
        <f t="shared" si="7"/>
        <v>0.16429179411764705</v>
      </c>
      <c r="J43" s="121">
        <f t="shared" si="8"/>
        <v>0.16536913596491229</v>
      </c>
      <c r="K43" s="121">
        <f t="shared" si="9"/>
        <v>0.14957533958333333</v>
      </c>
    </row>
    <row r="44" spans="1:15" x14ac:dyDescent="0.25">
      <c r="A44" s="211"/>
      <c r="B44" s="42">
        <v>2027</v>
      </c>
      <c r="C44" s="121">
        <f t="shared" si="1"/>
        <v>0.14353444444444446</v>
      </c>
      <c r="D44" s="121">
        <f t="shared" si="2"/>
        <v>0.15080888888888888</v>
      </c>
      <c r="E44" s="121">
        <f t="shared" si="3"/>
        <v>0.14989904761904757</v>
      </c>
      <c r="F44" s="121">
        <f t="shared" si="4"/>
        <v>0.15032973333333333</v>
      </c>
      <c r="G44" s="121">
        <f t="shared" si="5"/>
        <v>0.16587083333333333</v>
      </c>
      <c r="H44" s="121">
        <f t="shared" si="6"/>
        <v>0.16449404761904762</v>
      </c>
      <c r="I44" s="121">
        <f t="shared" si="7"/>
        <v>0.16457557843137255</v>
      </c>
      <c r="J44" s="121">
        <f t="shared" si="8"/>
        <v>0.16580552192982456</v>
      </c>
      <c r="K44" s="121">
        <f t="shared" si="9"/>
        <v>0.15120574791666666</v>
      </c>
    </row>
    <row r="45" spans="1:15" x14ac:dyDescent="0.25">
      <c r="A45" s="211"/>
      <c r="B45" s="42">
        <v>2028</v>
      </c>
      <c r="C45" s="121">
        <f t="shared" si="1"/>
        <v>0.13750888888888887</v>
      </c>
      <c r="D45" s="121">
        <f t="shared" si="2"/>
        <v>0.14488777777777778</v>
      </c>
      <c r="E45" s="121">
        <f t="shared" si="3"/>
        <v>0.14396142857142857</v>
      </c>
      <c r="F45" s="121">
        <f t="shared" si="4"/>
        <v>0.1444</v>
      </c>
      <c r="G45" s="121">
        <f t="shared" si="5"/>
        <v>0.16017866666666666</v>
      </c>
      <c r="H45" s="121">
        <f t="shared" si="6"/>
        <v>0.15879138095238096</v>
      </c>
      <c r="I45" s="121">
        <f t="shared" si="7"/>
        <v>0.15887440196078434</v>
      </c>
      <c r="J45" s="121">
        <f t="shared" si="8"/>
        <v>0.16012911842105262</v>
      </c>
      <c r="K45" s="121">
        <f t="shared" si="9"/>
        <v>0.14622570625</v>
      </c>
    </row>
    <row r="46" spans="1:15" x14ac:dyDescent="0.25">
      <c r="A46" s="211"/>
      <c r="B46" s="42">
        <v>2029</v>
      </c>
      <c r="C46" s="121">
        <f t="shared" si="1"/>
        <v>0.13169333333333333</v>
      </c>
      <c r="D46" s="121">
        <f t="shared" si="2"/>
        <v>0.13918416666666666</v>
      </c>
      <c r="E46" s="121">
        <f t="shared" si="3"/>
        <v>0.13824083333333334</v>
      </c>
      <c r="F46" s="121">
        <f t="shared" si="4"/>
        <v>0.13868733333333333</v>
      </c>
      <c r="G46" s="121">
        <f t="shared" si="5"/>
        <v>0.15470366666666666</v>
      </c>
      <c r="H46" s="121">
        <f t="shared" si="6"/>
        <v>0.15330566666666667</v>
      </c>
      <c r="I46" s="121">
        <f t="shared" si="7"/>
        <v>0.15339020588235291</v>
      </c>
      <c r="J46" s="121">
        <f t="shared" si="8"/>
        <v>0.15476952192982457</v>
      </c>
      <c r="K46" s="121">
        <f t="shared" si="9"/>
        <v>0.14166239791666668</v>
      </c>
    </row>
    <row r="47" spans="1:15" x14ac:dyDescent="0.25">
      <c r="A47" s="211"/>
      <c r="B47" s="42">
        <v>2030</v>
      </c>
      <c r="C47" s="121">
        <f t="shared" si="1"/>
        <v>0.12147888888888889</v>
      </c>
      <c r="D47" s="121">
        <f t="shared" si="2"/>
        <v>0.12916444444444444</v>
      </c>
      <c r="E47" s="121">
        <f t="shared" si="3"/>
        <v>0.12820380952380953</v>
      </c>
      <c r="F47" s="121">
        <f t="shared" si="4"/>
        <v>0.12865846666666667</v>
      </c>
      <c r="G47" s="121">
        <f t="shared" si="5"/>
        <v>0.14506254166666668</v>
      </c>
      <c r="H47" s="121">
        <f t="shared" si="6"/>
        <v>0.14375359523809525</v>
      </c>
      <c r="I47" s="121">
        <f t="shared" si="7"/>
        <v>0.14383968627450983</v>
      </c>
      <c r="J47" s="121">
        <f t="shared" si="8"/>
        <v>0.1453767456140351</v>
      </c>
      <c r="K47" s="121">
        <f t="shared" si="9"/>
        <v>0.13416582916666667</v>
      </c>
    </row>
    <row r="48" spans="1:15" x14ac:dyDescent="0.25">
      <c r="A48" s="211"/>
      <c r="B48" s="42">
        <v>2031</v>
      </c>
      <c r="C48" s="121">
        <f t="shared" si="1"/>
        <v>0.12516555555555556</v>
      </c>
      <c r="D48" s="121">
        <f t="shared" si="2"/>
        <v>0.13295361111111112</v>
      </c>
      <c r="E48" s="121">
        <f t="shared" si="3"/>
        <v>0.13197535714285713</v>
      </c>
      <c r="F48" s="121">
        <f t="shared" si="4"/>
        <v>0.13243833333333332</v>
      </c>
      <c r="G48" s="121">
        <f t="shared" si="5"/>
        <v>0.14908866666666667</v>
      </c>
      <c r="H48" s="121">
        <f t="shared" si="6"/>
        <v>0.14776852380952379</v>
      </c>
      <c r="I48" s="121">
        <f t="shared" si="7"/>
        <v>0.14785617647058821</v>
      </c>
      <c r="J48" s="121">
        <f t="shared" si="8"/>
        <v>0.14941745614035087</v>
      </c>
      <c r="K48" s="121">
        <f t="shared" si="9"/>
        <v>0.13760266666666668</v>
      </c>
    </row>
    <row r="49" spans="1:11" x14ac:dyDescent="0.25">
      <c r="A49" s="211"/>
      <c r="B49" s="42">
        <v>2032</v>
      </c>
      <c r="C49" s="121">
        <f t="shared" si="1"/>
        <v>0.12717000000000003</v>
      </c>
      <c r="D49" s="121">
        <f t="shared" si="2"/>
        <v>0.13506833333333335</v>
      </c>
      <c r="E49" s="121">
        <f t="shared" si="3"/>
        <v>0.13407214285714286</v>
      </c>
      <c r="F49" s="121">
        <f t="shared" si="4"/>
        <v>0.13454373333333333</v>
      </c>
      <c r="G49" s="121">
        <f t="shared" si="5"/>
        <v>0.15143195833333334</v>
      </c>
      <c r="H49" s="121">
        <f t="shared" si="6"/>
        <v>0.15010040476190475</v>
      </c>
      <c r="I49" s="121">
        <f t="shared" si="7"/>
        <v>0.15018968627450982</v>
      </c>
      <c r="J49" s="121">
        <f t="shared" si="8"/>
        <v>0.1517833245614035</v>
      </c>
      <c r="K49" s="121">
        <f t="shared" si="9"/>
        <v>0.13986457916666667</v>
      </c>
    </row>
    <row r="50" spans="1:11" x14ac:dyDescent="0.25">
      <c r="A50" s="211"/>
      <c r="B50" s="42">
        <v>2033</v>
      </c>
      <c r="C50" s="121">
        <f t="shared" si="1"/>
        <v>0.12928444444444445</v>
      </c>
      <c r="D50" s="121">
        <f t="shared" si="2"/>
        <v>0.13729222222222223</v>
      </c>
      <c r="E50" s="121">
        <f t="shared" si="3"/>
        <v>0.13627761904761906</v>
      </c>
      <c r="F50" s="121">
        <f t="shared" si="4"/>
        <v>0.13675793333333333</v>
      </c>
      <c r="G50" s="121">
        <f t="shared" si="5"/>
        <v>0.15389254166666666</v>
      </c>
      <c r="H50" s="121">
        <f t="shared" si="6"/>
        <v>0.15254930952380952</v>
      </c>
      <c r="I50" s="121">
        <f t="shared" si="7"/>
        <v>0.15264022549019607</v>
      </c>
      <c r="J50" s="121">
        <f t="shared" si="8"/>
        <v>0.15416602192982454</v>
      </c>
      <c r="K50" s="121">
        <f t="shared" si="9"/>
        <v>0.14224323541666667</v>
      </c>
    </row>
    <row r="51" spans="1:11" x14ac:dyDescent="0.25">
      <c r="A51" s="211"/>
      <c r="B51" s="42">
        <v>2034</v>
      </c>
      <c r="C51" s="121">
        <f t="shared" si="1"/>
        <v>0.13111722222222222</v>
      </c>
      <c r="D51" s="121">
        <f t="shared" si="2"/>
        <v>0.13923361111111107</v>
      </c>
      <c r="E51" s="121">
        <f t="shared" si="3"/>
        <v>0.13820011904761906</v>
      </c>
      <c r="F51" s="121">
        <f t="shared" si="4"/>
        <v>0.13868926666666667</v>
      </c>
      <c r="G51" s="121">
        <f t="shared" si="5"/>
        <v>0.15607866666666664</v>
      </c>
      <c r="H51" s="121">
        <f t="shared" si="6"/>
        <v>0.15472352380952381</v>
      </c>
      <c r="I51" s="121">
        <f t="shared" si="7"/>
        <v>0.15481613725490198</v>
      </c>
      <c r="J51" s="121">
        <f t="shared" si="8"/>
        <v>0.15637388596491225</v>
      </c>
      <c r="K51" s="121">
        <f t="shared" si="9"/>
        <v>0.14434697083333334</v>
      </c>
    </row>
    <row r="52" spans="1:11" x14ac:dyDescent="0.25">
      <c r="A52" s="211"/>
      <c r="B52" s="42">
        <v>2035</v>
      </c>
      <c r="C52" s="121">
        <f t="shared" si="1"/>
        <v>0.12626777777777778</v>
      </c>
      <c r="D52" s="121">
        <f t="shared" si="2"/>
        <v>0.13469222222222221</v>
      </c>
      <c r="E52" s="121">
        <f t="shared" si="3"/>
        <v>0.13363952380952382</v>
      </c>
      <c r="F52" s="121">
        <f t="shared" si="4"/>
        <v>0.13413773333333334</v>
      </c>
      <c r="G52" s="121">
        <f t="shared" si="5"/>
        <v>0.15212374999999997</v>
      </c>
      <c r="H52" s="121">
        <f t="shared" si="6"/>
        <v>0.15085642857142856</v>
      </c>
      <c r="I52" s="121">
        <f t="shared" si="7"/>
        <v>0.15095075490196078</v>
      </c>
      <c r="J52" s="121">
        <f t="shared" si="8"/>
        <v>0.15269858333333333</v>
      </c>
      <c r="K52" s="121">
        <f t="shared" si="9"/>
        <v>0.14206745208333335</v>
      </c>
    </row>
    <row r="53" spans="1:11" x14ac:dyDescent="0.25">
      <c r="A53" s="211"/>
      <c r="B53" s="42">
        <v>2036</v>
      </c>
      <c r="C53" s="121">
        <f t="shared" si="1"/>
        <v>0.1279527777777778</v>
      </c>
      <c r="D53" s="121">
        <f t="shared" si="2"/>
        <v>0.13649305555555558</v>
      </c>
      <c r="E53" s="121">
        <f t="shared" si="3"/>
        <v>0.13542083333333332</v>
      </c>
      <c r="F53" s="121">
        <f t="shared" si="4"/>
        <v>0.13592839999999998</v>
      </c>
      <c r="G53" s="121">
        <f t="shared" si="5"/>
        <v>0.15419441666666669</v>
      </c>
      <c r="H53" s="121">
        <f t="shared" si="6"/>
        <v>0.15291466666666667</v>
      </c>
      <c r="I53" s="121">
        <f t="shared" si="7"/>
        <v>0.15301075490196078</v>
      </c>
      <c r="J53" s="121">
        <f t="shared" si="8"/>
        <v>0.15479011842105264</v>
      </c>
      <c r="K53" s="121">
        <f t="shared" si="9"/>
        <v>0.14415468125</v>
      </c>
    </row>
    <row r="54" spans="1:11" x14ac:dyDescent="0.25">
      <c r="A54" s="211"/>
      <c r="B54" s="42">
        <v>2037</v>
      </c>
      <c r="C54" s="121">
        <f t="shared" si="1"/>
        <v>0.12954777777777779</v>
      </c>
      <c r="D54" s="121">
        <f t="shared" si="2"/>
        <v>0.13821972222222223</v>
      </c>
      <c r="E54" s="121">
        <f t="shared" si="3"/>
        <v>0.13712750000000001</v>
      </c>
      <c r="F54" s="121">
        <f t="shared" si="4"/>
        <v>0.13764459999999998</v>
      </c>
      <c r="G54" s="121">
        <f t="shared" si="5"/>
        <v>0.15618241666666666</v>
      </c>
      <c r="H54" s="121">
        <f t="shared" si="6"/>
        <v>0.15488995238095238</v>
      </c>
      <c r="I54" s="121">
        <f t="shared" si="7"/>
        <v>0.15498782352941176</v>
      </c>
      <c r="J54" s="121">
        <f t="shared" si="8"/>
        <v>0.15680683333333334</v>
      </c>
      <c r="K54" s="121">
        <f t="shared" si="9"/>
        <v>0.14606699583333335</v>
      </c>
    </row>
    <row r="55" spans="1:11" x14ac:dyDescent="0.25">
      <c r="A55" s="211"/>
      <c r="B55" s="42">
        <v>2038</v>
      </c>
      <c r="C55" s="121">
        <f t="shared" si="1"/>
        <v>0.13166944444444442</v>
      </c>
      <c r="D55" s="121">
        <f t="shared" si="2"/>
        <v>0.14046388888888892</v>
      </c>
      <c r="E55" s="121">
        <f t="shared" si="3"/>
        <v>0.13935119047619049</v>
      </c>
      <c r="F55" s="121">
        <f t="shared" si="4"/>
        <v>0.139878</v>
      </c>
      <c r="G55" s="121">
        <f t="shared" si="5"/>
        <v>0.15870433333333334</v>
      </c>
      <c r="H55" s="121">
        <f t="shared" si="6"/>
        <v>0.15739890476190474</v>
      </c>
      <c r="I55" s="121">
        <f t="shared" si="7"/>
        <v>0.15749863725490196</v>
      </c>
      <c r="J55" s="121">
        <f t="shared" si="8"/>
        <v>0.15934039912280704</v>
      </c>
      <c r="K55" s="121">
        <f t="shared" si="9"/>
        <v>0.14849606458333334</v>
      </c>
    </row>
    <row r="56" spans="1:11" x14ac:dyDescent="0.25">
      <c r="A56" s="211"/>
      <c r="B56" s="42">
        <v>2039</v>
      </c>
      <c r="C56" s="121">
        <f t="shared" si="1"/>
        <v>0.13430111111111112</v>
      </c>
      <c r="D56" s="121">
        <f t="shared" si="2"/>
        <v>0.14322555555555558</v>
      </c>
      <c r="E56" s="121">
        <f t="shared" si="3"/>
        <v>0.14209190476190478</v>
      </c>
      <c r="F56" s="121">
        <f t="shared" si="4"/>
        <v>0.14262853333333333</v>
      </c>
      <c r="G56" s="121">
        <f t="shared" si="5"/>
        <v>0.161743625</v>
      </c>
      <c r="H56" s="121">
        <f t="shared" si="6"/>
        <v>0.16042492857142857</v>
      </c>
      <c r="I56" s="121">
        <f t="shared" si="7"/>
        <v>0.16052651960784312</v>
      </c>
      <c r="J56" s="121">
        <f t="shared" si="8"/>
        <v>0.16230747807017543</v>
      </c>
      <c r="K56" s="121">
        <f t="shared" si="9"/>
        <v>0.15135855208333332</v>
      </c>
    </row>
    <row r="57" spans="1:11" x14ac:dyDescent="0.25">
      <c r="A57" s="211"/>
      <c r="B57" s="42">
        <v>2040</v>
      </c>
      <c r="C57" s="121">
        <f t="shared" si="1"/>
        <v>0.13111777777777778</v>
      </c>
      <c r="D57" s="121">
        <f t="shared" si="2"/>
        <v>0.14018805555555558</v>
      </c>
      <c r="E57" s="121">
        <f t="shared" si="3"/>
        <v>0.13903297619047619</v>
      </c>
      <c r="F57" s="121">
        <f t="shared" si="4"/>
        <v>0.13957966666666669</v>
      </c>
      <c r="G57" s="121">
        <f t="shared" si="5"/>
        <v>0.15901691666666665</v>
      </c>
      <c r="H57" s="121">
        <f t="shared" si="6"/>
        <v>0.15768466666666667</v>
      </c>
      <c r="I57" s="121">
        <f t="shared" si="7"/>
        <v>0.15778816666666665</v>
      </c>
      <c r="J57" s="121">
        <f t="shared" si="8"/>
        <v>0.15971641666666667</v>
      </c>
      <c r="K57" s="121">
        <f t="shared" si="9"/>
        <v>0.14966279791666665</v>
      </c>
    </row>
    <row r="58" spans="1:11" x14ac:dyDescent="0.25">
      <c r="A58" s="211"/>
      <c r="B58" s="42">
        <v>2041</v>
      </c>
      <c r="C58" s="121">
        <f t="shared" si="1"/>
        <v>0.13275222222222219</v>
      </c>
      <c r="D58" s="121">
        <f t="shared" si="2"/>
        <v>0.14194277777777778</v>
      </c>
      <c r="E58" s="121">
        <f t="shared" si="3"/>
        <v>0.14076595238095235</v>
      </c>
      <c r="F58" s="121">
        <f t="shared" si="4"/>
        <v>0.14132306666666666</v>
      </c>
      <c r="G58" s="121">
        <f t="shared" si="5"/>
        <v>0.16104920833333333</v>
      </c>
      <c r="H58" s="121">
        <f t="shared" si="6"/>
        <v>0.15970311904761905</v>
      </c>
      <c r="I58" s="121">
        <f t="shared" si="7"/>
        <v>0.15980857843137256</v>
      </c>
      <c r="J58" s="121">
        <f t="shared" si="8"/>
        <v>0.16176721491228069</v>
      </c>
      <c r="K58" s="121">
        <f t="shared" si="9"/>
        <v>0.15170880208333334</v>
      </c>
    </row>
    <row r="59" spans="1:11" x14ac:dyDescent="0.25">
      <c r="A59" s="211"/>
      <c r="B59" s="42">
        <v>2042</v>
      </c>
      <c r="C59" s="121">
        <f t="shared" si="1"/>
        <v>0.1338972222222222</v>
      </c>
      <c r="D59" s="121">
        <f t="shared" si="2"/>
        <v>0.14321527777777776</v>
      </c>
      <c r="E59" s="121">
        <f t="shared" si="3"/>
        <v>0.14201607142857142</v>
      </c>
      <c r="F59" s="121">
        <f t="shared" si="4"/>
        <v>0.14258373333333335</v>
      </c>
      <c r="G59" s="121">
        <f t="shared" si="5"/>
        <v>0.162598875</v>
      </c>
      <c r="H59" s="121">
        <f t="shared" si="6"/>
        <v>0.16123864285714284</v>
      </c>
      <c r="I59" s="121">
        <f t="shared" si="7"/>
        <v>0.16134610784313724</v>
      </c>
      <c r="J59" s="121">
        <f t="shared" si="8"/>
        <v>0.16334321491228071</v>
      </c>
      <c r="K59" s="121">
        <f t="shared" si="9"/>
        <v>0.15337990208333332</v>
      </c>
    </row>
    <row r="60" spans="1:11" x14ac:dyDescent="0.25">
      <c r="A60" s="211"/>
      <c r="B60" s="42">
        <v>2043</v>
      </c>
      <c r="C60" s="121">
        <f t="shared" si="1"/>
        <v>0.13535222222222221</v>
      </c>
      <c r="D60" s="121">
        <f t="shared" si="2"/>
        <v>0.14480527777777777</v>
      </c>
      <c r="E60" s="121">
        <f t="shared" si="3"/>
        <v>0.14358321428571427</v>
      </c>
      <c r="F60" s="121">
        <f t="shared" si="4"/>
        <v>0.1441616</v>
      </c>
      <c r="G60" s="121">
        <f t="shared" si="5"/>
        <v>0.16448258333333332</v>
      </c>
      <c r="H60" s="121">
        <f t="shared" si="6"/>
        <v>0.16320790476190478</v>
      </c>
      <c r="I60" s="121">
        <f t="shared" si="7"/>
        <v>0.16331741176470588</v>
      </c>
      <c r="J60" s="121">
        <f t="shared" si="8"/>
        <v>0.16534441228070176</v>
      </c>
      <c r="K60" s="121">
        <f t="shared" si="9"/>
        <v>0.15527609583333332</v>
      </c>
    </row>
    <row r="61" spans="1:11" x14ac:dyDescent="0.25">
      <c r="A61" s="211"/>
      <c r="B61" s="42">
        <v>2044</v>
      </c>
      <c r="C61" s="121">
        <f t="shared" si="1"/>
        <v>0.13853333333333334</v>
      </c>
      <c r="D61" s="121">
        <f t="shared" si="2"/>
        <v>0.14812083333333331</v>
      </c>
      <c r="E61" s="121">
        <f t="shared" si="3"/>
        <v>0.14687559523809524</v>
      </c>
      <c r="F61" s="121">
        <f t="shared" si="4"/>
        <v>0.14746506666666664</v>
      </c>
      <c r="G61" s="121">
        <f t="shared" si="5"/>
        <v>0.16808370833333333</v>
      </c>
      <c r="H61" s="121">
        <f t="shared" si="6"/>
        <v>0.16669426190476189</v>
      </c>
      <c r="I61" s="121">
        <f t="shared" si="7"/>
        <v>0.16680585294117647</v>
      </c>
      <c r="J61" s="121">
        <f t="shared" si="8"/>
        <v>0.16887082017543859</v>
      </c>
      <c r="K61" s="121">
        <f t="shared" si="9"/>
        <v>0.15859738958333336</v>
      </c>
    </row>
    <row r="62" spans="1:11" x14ac:dyDescent="0.25">
      <c r="A62" s="211"/>
      <c r="B62" s="42">
        <v>2045</v>
      </c>
      <c r="C62" s="121">
        <f t="shared" si="1"/>
        <v>0.13559166666666664</v>
      </c>
      <c r="D62" s="121">
        <f t="shared" si="2"/>
        <v>0.14527916666666668</v>
      </c>
      <c r="E62" s="121">
        <f t="shared" si="3"/>
        <v>0.14401011904761904</v>
      </c>
      <c r="F62" s="121">
        <f t="shared" si="4"/>
        <v>0.14461086666666667</v>
      </c>
      <c r="G62" s="121">
        <f t="shared" si="5"/>
        <v>0.16549391666666666</v>
      </c>
      <c r="H62" s="121">
        <f t="shared" si="6"/>
        <v>0.16418938095238095</v>
      </c>
      <c r="I62" s="121">
        <f t="shared" si="7"/>
        <v>0.16430311764705882</v>
      </c>
      <c r="J62" s="121">
        <f t="shared" si="8"/>
        <v>0.16649744736842106</v>
      </c>
      <c r="K62" s="121">
        <f t="shared" si="9"/>
        <v>0.15701878749999998</v>
      </c>
    </row>
    <row r="63" spans="1:11" x14ac:dyDescent="0.25">
      <c r="A63" s="211"/>
      <c r="B63" s="42">
        <v>2046</v>
      </c>
      <c r="C63" s="121">
        <f t="shared" si="1"/>
        <v>0.13726055555555552</v>
      </c>
      <c r="D63" s="121">
        <f t="shared" si="2"/>
        <v>0.14707194444444444</v>
      </c>
      <c r="E63" s="121">
        <f t="shared" si="3"/>
        <v>0.14577845238095238</v>
      </c>
      <c r="F63" s="121">
        <f t="shared" si="4"/>
        <v>0.14639066666666667</v>
      </c>
      <c r="G63" s="121">
        <f t="shared" si="5"/>
        <v>0.16757158333333333</v>
      </c>
      <c r="H63" s="121">
        <f t="shared" si="6"/>
        <v>0.16615161904761902</v>
      </c>
      <c r="I63" s="121">
        <f t="shared" si="7"/>
        <v>0.16626752941176468</v>
      </c>
      <c r="J63" s="121">
        <f t="shared" si="8"/>
        <v>0.1684992894736842</v>
      </c>
      <c r="K63" s="121">
        <f t="shared" si="9"/>
        <v>0.15911528750000001</v>
      </c>
    </row>
    <row r="64" spans="1:11" x14ac:dyDescent="0.25">
      <c r="A64" s="211"/>
      <c r="B64" s="42">
        <v>2047</v>
      </c>
      <c r="C64" s="121">
        <f t="shared" si="1"/>
        <v>0.1391388888888889</v>
      </c>
      <c r="D64" s="121">
        <f t="shared" si="2"/>
        <v>0.14909027777777781</v>
      </c>
      <c r="E64" s="121">
        <f t="shared" si="3"/>
        <v>0.14777202380952381</v>
      </c>
      <c r="F64" s="121">
        <f t="shared" si="4"/>
        <v>0.14839606666666666</v>
      </c>
      <c r="G64" s="121">
        <f t="shared" si="5"/>
        <v>0.16987504166666667</v>
      </c>
      <c r="H64" s="121">
        <f t="shared" si="6"/>
        <v>0.16853930952380952</v>
      </c>
      <c r="I64" s="121">
        <f t="shared" si="7"/>
        <v>0.16865743137254904</v>
      </c>
      <c r="J64" s="121">
        <f t="shared" si="8"/>
        <v>0.17092635087719299</v>
      </c>
      <c r="K64" s="121">
        <f t="shared" si="9"/>
        <v>0.16143689166666667</v>
      </c>
    </row>
    <row r="65" spans="1:11" x14ac:dyDescent="0.25">
      <c r="A65" s="211"/>
      <c r="B65" s="42">
        <v>2048</v>
      </c>
      <c r="C65" s="121">
        <f t="shared" si="1"/>
        <v>0.14073611111111112</v>
      </c>
      <c r="D65" s="121">
        <f t="shared" si="2"/>
        <v>0.15081805555555552</v>
      </c>
      <c r="E65" s="121">
        <f t="shared" si="3"/>
        <v>0.14947440476190474</v>
      </c>
      <c r="F65" s="121">
        <f t="shared" si="4"/>
        <v>0.15011046666666666</v>
      </c>
      <c r="G65" s="121">
        <f t="shared" si="5"/>
        <v>0.17190429166666665</v>
      </c>
      <c r="H65" s="121">
        <f t="shared" si="6"/>
        <v>0.17045245238095239</v>
      </c>
      <c r="I65" s="121">
        <f t="shared" si="7"/>
        <v>0.17057285294117647</v>
      </c>
      <c r="J65" s="121">
        <f t="shared" si="8"/>
        <v>0.17287864473684211</v>
      </c>
      <c r="K65" s="121">
        <f t="shared" si="9"/>
        <v>0.16348360625000002</v>
      </c>
    </row>
    <row r="66" spans="1:11" x14ac:dyDescent="0.25">
      <c r="A66" s="211"/>
      <c r="B66" s="42">
        <v>2049</v>
      </c>
      <c r="C66" s="121">
        <f t="shared" si="1"/>
        <v>0.14235222222222221</v>
      </c>
      <c r="D66" s="121">
        <f t="shared" si="2"/>
        <v>0.15257194444444441</v>
      </c>
      <c r="E66" s="121">
        <f t="shared" si="3"/>
        <v>0.15120226190476191</v>
      </c>
      <c r="F66" s="121">
        <f t="shared" si="4"/>
        <v>0.1518506</v>
      </c>
      <c r="G66" s="121">
        <f t="shared" si="5"/>
        <v>0.17395933333333333</v>
      </c>
      <c r="H66" s="121">
        <f t="shared" si="6"/>
        <v>0.17259104761904764</v>
      </c>
      <c r="I66" s="121">
        <f t="shared" si="7"/>
        <v>0.17271379411764703</v>
      </c>
      <c r="J66" s="121">
        <f t="shared" si="8"/>
        <v>0.17504783771929824</v>
      </c>
      <c r="K66" s="121">
        <f t="shared" si="9"/>
        <v>0.16564709791666665</v>
      </c>
    </row>
    <row r="67" spans="1:11" x14ac:dyDescent="0.25">
      <c r="A67" s="211"/>
      <c r="B67" s="42">
        <v>2050</v>
      </c>
      <c r="C67" s="121">
        <f t="shared" si="1"/>
        <v>0.14558666666666667</v>
      </c>
      <c r="D67" s="121">
        <f t="shared" si="2"/>
        <v>0.15593499999999999</v>
      </c>
      <c r="E67" s="121">
        <f t="shared" si="3"/>
        <v>0.15453880952380949</v>
      </c>
      <c r="F67" s="121">
        <f t="shared" si="4"/>
        <v>0.15519973333333334</v>
      </c>
      <c r="G67" s="121">
        <f t="shared" si="5"/>
        <v>0.17763195833333334</v>
      </c>
      <c r="H67" s="121">
        <f t="shared" si="6"/>
        <v>0.17614683333333334</v>
      </c>
      <c r="I67" s="121">
        <f t="shared" si="7"/>
        <v>0.17627194117647058</v>
      </c>
      <c r="J67" s="121">
        <f t="shared" si="8"/>
        <v>0.1786506052631579</v>
      </c>
      <c r="K67" s="121">
        <f t="shared" si="9"/>
        <v>0.16904403749999999</v>
      </c>
    </row>
    <row r="68" spans="1:11" x14ac:dyDescent="0.25">
      <c r="A68" s="211"/>
      <c r="B68" s="42">
        <v>2051</v>
      </c>
      <c r="C68" s="121">
        <f>$C$67</f>
        <v>0.14558666666666667</v>
      </c>
      <c r="D68" s="121">
        <f>$D$67</f>
        <v>0.15593499999999999</v>
      </c>
      <c r="E68" s="121">
        <f>$E$67</f>
        <v>0.15453880952380949</v>
      </c>
      <c r="F68" s="121">
        <f>$F$67</f>
        <v>0.15519973333333334</v>
      </c>
      <c r="G68" s="121">
        <f>$G$67</f>
        <v>0.17763195833333334</v>
      </c>
      <c r="H68" s="121">
        <f>$H$67</f>
        <v>0.17614683333333334</v>
      </c>
      <c r="I68" s="121">
        <f>$I$67</f>
        <v>0.17627194117647058</v>
      </c>
      <c r="J68" s="121">
        <f>$J$67</f>
        <v>0.1786506052631579</v>
      </c>
      <c r="K68" s="121">
        <f>$K$67</f>
        <v>0.16904403749999999</v>
      </c>
    </row>
    <row r="69" spans="1:11" x14ac:dyDescent="0.25">
      <c r="A69" s="211"/>
      <c r="B69" s="42">
        <v>2052</v>
      </c>
      <c r="C69" s="121">
        <f t="shared" ref="C69:C84" si="10">$C$67</f>
        <v>0.14558666666666667</v>
      </c>
      <c r="D69" s="121">
        <f t="shared" ref="D69:D84" si="11">$D$67</f>
        <v>0.15593499999999999</v>
      </c>
      <c r="E69" s="121">
        <f t="shared" ref="E69:E84" si="12">$E$67</f>
        <v>0.15453880952380949</v>
      </c>
      <c r="F69" s="121">
        <f t="shared" ref="F69:F84" si="13">$F$67</f>
        <v>0.15519973333333334</v>
      </c>
      <c r="G69" s="121">
        <f t="shared" ref="G69:G84" si="14">$G$67</f>
        <v>0.17763195833333334</v>
      </c>
      <c r="H69" s="121">
        <f t="shared" ref="H69:H84" si="15">$H$67</f>
        <v>0.17614683333333334</v>
      </c>
      <c r="I69" s="121">
        <f t="shared" ref="I69:I84" si="16">$I$67</f>
        <v>0.17627194117647058</v>
      </c>
      <c r="J69" s="121">
        <f t="shared" ref="J69:J84" si="17">$J$67</f>
        <v>0.1786506052631579</v>
      </c>
      <c r="K69" s="121">
        <f t="shared" ref="K69:K84" si="18">$K$67</f>
        <v>0.16904403749999999</v>
      </c>
    </row>
    <row r="70" spans="1:11" x14ac:dyDescent="0.25">
      <c r="A70" s="211"/>
      <c r="B70" s="42">
        <v>2053</v>
      </c>
      <c r="C70" s="121">
        <f t="shared" si="10"/>
        <v>0.14558666666666667</v>
      </c>
      <c r="D70" s="121">
        <f t="shared" si="11"/>
        <v>0.15593499999999999</v>
      </c>
      <c r="E70" s="121">
        <f t="shared" si="12"/>
        <v>0.15453880952380949</v>
      </c>
      <c r="F70" s="121">
        <f t="shared" si="13"/>
        <v>0.15519973333333334</v>
      </c>
      <c r="G70" s="121">
        <f t="shared" si="14"/>
        <v>0.17763195833333334</v>
      </c>
      <c r="H70" s="121">
        <f t="shared" si="15"/>
        <v>0.17614683333333334</v>
      </c>
      <c r="I70" s="121">
        <f t="shared" si="16"/>
        <v>0.17627194117647058</v>
      </c>
      <c r="J70" s="121">
        <f t="shared" si="17"/>
        <v>0.1786506052631579</v>
      </c>
      <c r="K70" s="121">
        <f t="shared" si="18"/>
        <v>0.16904403749999999</v>
      </c>
    </row>
    <row r="71" spans="1:11" x14ac:dyDescent="0.25">
      <c r="A71" s="211"/>
      <c r="B71" s="42">
        <v>2054</v>
      </c>
      <c r="C71" s="121">
        <f t="shared" si="10"/>
        <v>0.14558666666666667</v>
      </c>
      <c r="D71" s="121">
        <f t="shared" si="11"/>
        <v>0.15593499999999999</v>
      </c>
      <c r="E71" s="121">
        <f t="shared" si="12"/>
        <v>0.15453880952380949</v>
      </c>
      <c r="F71" s="121">
        <f t="shared" si="13"/>
        <v>0.15519973333333334</v>
      </c>
      <c r="G71" s="121">
        <f t="shared" si="14"/>
        <v>0.17763195833333334</v>
      </c>
      <c r="H71" s="121">
        <f t="shared" si="15"/>
        <v>0.17614683333333334</v>
      </c>
      <c r="I71" s="121">
        <f t="shared" si="16"/>
        <v>0.17627194117647058</v>
      </c>
      <c r="J71" s="121">
        <f t="shared" si="17"/>
        <v>0.1786506052631579</v>
      </c>
      <c r="K71" s="121">
        <f t="shared" si="18"/>
        <v>0.16904403749999999</v>
      </c>
    </row>
    <row r="72" spans="1:11" x14ac:dyDescent="0.25">
      <c r="A72" s="211"/>
      <c r="B72" s="42">
        <v>2055</v>
      </c>
      <c r="C72" s="121">
        <f t="shared" si="10"/>
        <v>0.14558666666666667</v>
      </c>
      <c r="D72" s="121">
        <f t="shared" si="11"/>
        <v>0.15593499999999999</v>
      </c>
      <c r="E72" s="121">
        <f t="shared" si="12"/>
        <v>0.15453880952380949</v>
      </c>
      <c r="F72" s="121">
        <f t="shared" si="13"/>
        <v>0.15519973333333334</v>
      </c>
      <c r="G72" s="121">
        <f t="shared" si="14"/>
        <v>0.17763195833333334</v>
      </c>
      <c r="H72" s="121">
        <f t="shared" si="15"/>
        <v>0.17614683333333334</v>
      </c>
      <c r="I72" s="121">
        <f t="shared" si="16"/>
        <v>0.17627194117647058</v>
      </c>
      <c r="J72" s="121">
        <f t="shared" si="17"/>
        <v>0.1786506052631579</v>
      </c>
      <c r="K72" s="121">
        <f t="shared" si="18"/>
        <v>0.16904403749999999</v>
      </c>
    </row>
    <row r="73" spans="1:11" x14ac:dyDescent="0.25">
      <c r="A73" s="211"/>
      <c r="B73" s="42">
        <v>2056</v>
      </c>
      <c r="C73" s="121">
        <f t="shared" si="10"/>
        <v>0.14558666666666667</v>
      </c>
      <c r="D73" s="121">
        <f t="shared" si="11"/>
        <v>0.15593499999999999</v>
      </c>
      <c r="E73" s="121">
        <f t="shared" si="12"/>
        <v>0.15453880952380949</v>
      </c>
      <c r="F73" s="121">
        <f t="shared" si="13"/>
        <v>0.15519973333333334</v>
      </c>
      <c r="G73" s="121">
        <f t="shared" si="14"/>
        <v>0.17763195833333334</v>
      </c>
      <c r="H73" s="121">
        <f t="shared" si="15"/>
        <v>0.17614683333333334</v>
      </c>
      <c r="I73" s="121">
        <f t="shared" si="16"/>
        <v>0.17627194117647058</v>
      </c>
      <c r="J73" s="121">
        <f t="shared" si="17"/>
        <v>0.1786506052631579</v>
      </c>
      <c r="K73" s="121">
        <f t="shared" si="18"/>
        <v>0.16904403749999999</v>
      </c>
    </row>
    <row r="74" spans="1:11" x14ac:dyDescent="0.25">
      <c r="A74" s="211"/>
      <c r="B74" s="42">
        <v>2057</v>
      </c>
      <c r="C74" s="121">
        <f t="shared" si="10"/>
        <v>0.14558666666666667</v>
      </c>
      <c r="D74" s="121">
        <f t="shared" si="11"/>
        <v>0.15593499999999999</v>
      </c>
      <c r="E74" s="121">
        <f t="shared" si="12"/>
        <v>0.15453880952380949</v>
      </c>
      <c r="F74" s="121">
        <f t="shared" si="13"/>
        <v>0.15519973333333334</v>
      </c>
      <c r="G74" s="121">
        <f t="shared" si="14"/>
        <v>0.17763195833333334</v>
      </c>
      <c r="H74" s="121">
        <f t="shared" si="15"/>
        <v>0.17614683333333334</v>
      </c>
      <c r="I74" s="121">
        <f t="shared" si="16"/>
        <v>0.17627194117647058</v>
      </c>
      <c r="J74" s="121">
        <f t="shared" si="17"/>
        <v>0.1786506052631579</v>
      </c>
      <c r="K74" s="121">
        <f t="shared" si="18"/>
        <v>0.16904403749999999</v>
      </c>
    </row>
    <row r="75" spans="1:11" x14ac:dyDescent="0.25">
      <c r="A75" s="211"/>
      <c r="B75" s="42">
        <v>2058</v>
      </c>
      <c r="C75" s="121">
        <f t="shared" si="10"/>
        <v>0.14558666666666667</v>
      </c>
      <c r="D75" s="121">
        <f t="shared" si="11"/>
        <v>0.15593499999999999</v>
      </c>
      <c r="E75" s="121">
        <f t="shared" si="12"/>
        <v>0.15453880952380949</v>
      </c>
      <c r="F75" s="121">
        <f t="shared" si="13"/>
        <v>0.15519973333333334</v>
      </c>
      <c r="G75" s="121">
        <f t="shared" si="14"/>
        <v>0.17763195833333334</v>
      </c>
      <c r="H75" s="121">
        <f t="shared" si="15"/>
        <v>0.17614683333333334</v>
      </c>
      <c r="I75" s="121">
        <f t="shared" si="16"/>
        <v>0.17627194117647058</v>
      </c>
      <c r="J75" s="121">
        <f t="shared" si="17"/>
        <v>0.1786506052631579</v>
      </c>
      <c r="K75" s="121">
        <f t="shared" si="18"/>
        <v>0.16904403749999999</v>
      </c>
    </row>
    <row r="76" spans="1:11" x14ac:dyDescent="0.25">
      <c r="A76" s="211"/>
      <c r="B76" s="42">
        <v>2059</v>
      </c>
      <c r="C76" s="121">
        <f t="shared" si="10"/>
        <v>0.14558666666666667</v>
      </c>
      <c r="D76" s="121">
        <f t="shared" si="11"/>
        <v>0.15593499999999999</v>
      </c>
      <c r="E76" s="121">
        <f t="shared" si="12"/>
        <v>0.15453880952380949</v>
      </c>
      <c r="F76" s="121">
        <f t="shared" si="13"/>
        <v>0.15519973333333334</v>
      </c>
      <c r="G76" s="121">
        <f t="shared" si="14"/>
        <v>0.17763195833333334</v>
      </c>
      <c r="H76" s="121">
        <f t="shared" si="15"/>
        <v>0.17614683333333334</v>
      </c>
      <c r="I76" s="121">
        <f t="shared" si="16"/>
        <v>0.17627194117647058</v>
      </c>
      <c r="J76" s="121">
        <f t="shared" si="17"/>
        <v>0.1786506052631579</v>
      </c>
      <c r="K76" s="121">
        <f t="shared" si="18"/>
        <v>0.16904403749999999</v>
      </c>
    </row>
    <row r="77" spans="1:11" x14ac:dyDescent="0.25">
      <c r="A77" s="211"/>
      <c r="B77" s="42">
        <v>2060</v>
      </c>
      <c r="C77" s="121">
        <f t="shared" si="10"/>
        <v>0.14558666666666667</v>
      </c>
      <c r="D77" s="121">
        <f t="shared" si="11"/>
        <v>0.15593499999999999</v>
      </c>
      <c r="E77" s="121">
        <f t="shared" si="12"/>
        <v>0.15453880952380949</v>
      </c>
      <c r="F77" s="121">
        <f t="shared" si="13"/>
        <v>0.15519973333333334</v>
      </c>
      <c r="G77" s="121">
        <f t="shared" si="14"/>
        <v>0.17763195833333334</v>
      </c>
      <c r="H77" s="121">
        <f t="shared" si="15"/>
        <v>0.17614683333333334</v>
      </c>
      <c r="I77" s="121">
        <f t="shared" si="16"/>
        <v>0.17627194117647058</v>
      </c>
      <c r="J77" s="121">
        <f t="shared" si="17"/>
        <v>0.1786506052631579</v>
      </c>
      <c r="K77" s="121">
        <f t="shared" si="18"/>
        <v>0.16904403749999999</v>
      </c>
    </row>
    <row r="78" spans="1:11" x14ac:dyDescent="0.25">
      <c r="A78" s="211"/>
      <c r="B78" s="42">
        <v>2061</v>
      </c>
      <c r="C78" s="121">
        <f t="shared" si="10"/>
        <v>0.14558666666666667</v>
      </c>
      <c r="D78" s="121">
        <f t="shared" si="11"/>
        <v>0.15593499999999999</v>
      </c>
      <c r="E78" s="121">
        <f t="shared" si="12"/>
        <v>0.15453880952380949</v>
      </c>
      <c r="F78" s="121">
        <f t="shared" si="13"/>
        <v>0.15519973333333334</v>
      </c>
      <c r="G78" s="121">
        <f t="shared" si="14"/>
        <v>0.17763195833333334</v>
      </c>
      <c r="H78" s="121">
        <f t="shared" si="15"/>
        <v>0.17614683333333334</v>
      </c>
      <c r="I78" s="121">
        <f t="shared" si="16"/>
        <v>0.17627194117647058</v>
      </c>
      <c r="J78" s="121">
        <f t="shared" si="17"/>
        <v>0.1786506052631579</v>
      </c>
      <c r="K78" s="121">
        <f t="shared" si="18"/>
        <v>0.16904403749999999</v>
      </c>
    </row>
    <row r="79" spans="1:11" x14ac:dyDescent="0.25">
      <c r="A79" s="211"/>
      <c r="B79" s="42">
        <v>2062</v>
      </c>
      <c r="C79" s="121">
        <f t="shared" si="10"/>
        <v>0.14558666666666667</v>
      </c>
      <c r="D79" s="121">
        <f t="shared" si="11"/>
        <v>0.15593499999999999</v>
      </c>
      <c r="E79" s="121">
        <f t="shared" si="12"/>
        <v>0.15453880952380949</v>
      </c>
      <c r="F79" s="121">
        <f t="shared" si="13"/>
        <v>0.15519973333333334</v>
      </c>
      <c r="G79" s="121">
        <f t="shared" si="14"/>
        <v>0.17763195833333334</v>
      </c>
      <c r="H79" s="121">
        <f t="shared" si="15"/>
        <v>0.17614683333333334</v>
      </c>
      <c r="I79" s="121">
        <f t="shared" si="16"/>
        <v>0.17627194117647058</v>
      </c>
      <c r="J79" s="121">
        <f t="shared" si="17"/>
        <v>0.1786506052631579</v>
      </c>
      <c r="K79" s="121">
        <f t="shared" si="18"/>
        <v>0.16904403749999999</v>
      </c>
    </row>
    <row r="80" spans="1:11" x14ac:dyDescent="0.25">
      <c r="A80" s="211"/>
      <c r="B80" s="42">
        <v>2063</v>
      </c>
      <c r="C80" s="121">
        <f t="shared" si="10"/>
        <v>0.14558666666666667</v>
      </c>
      <c r="D80" s="121">
        <f t="shared" si="11"/>
        <v>0.15593499999999999</v>
      </c>
      <c r="E80" s="121">
        <f t="shared" si="12"/>
        <v>0.15453880952380949</v>
      </c>
      <c r="F80" s="121">
        <f t="shared" si="13"/>
        <v>0.15519973333333334</v>
      </c>
      <c r="G80" s="121">
        <f t="shared" si="14"/>
        <v>0.17763195833333334</v>
      </c>
      <c r="H80" s="121">
        <f t="shared" si="15"/>
        <v>0.17614683333333334</v>
      </c>
      <c r="I80" s="121">
        <f t="shared" si="16"/>
        <v>0.17627194117647058</v>
      </c>
      <c r="J80" s="121">
        <f t="shared" si="17"/>
        <v>0.1786506052631579</v>
      </c>
      <c r="K80" s="121">
        <f t="shared" si="18"/>
        <v>0.16904403749999999</v>
      </c>
    </row>
    <row r="81" spans="1:11" x14ac:dyDescent="0.25">
      <c r="A81" s="211"/>
      <c r="B81" s="42">
        <v>2064</v>
      </c>
      <c r="C81" s="121">
        <f t="shared" si="10"/>
        <v>0.14558666666666667</v>
      </c>
      <c r="D81" s="121">
        <f t="shared" si="11"/>
        <v>0.15593499999999999</v>
      </c>
      <c r="E81" s="121">
        <f t="shared" si="12"/>
        <v>0.15453880952380949</v>
      </c>
      <c r="F81" s="121">
        <f t="shared" si="13"/>
        <v>0.15519973333333334</v>
      </c>
      <c r="G81" s="121">
        <f t="shared" si="14"/>
        <v>0.17763195833333334</v>
      </c>
      <c r="H81" s="121">
        <f t="shared" si="15"/>
        <v>0.17614683333333334</v>
      </c>
      <c r="I81" s="121">
        <f t="shared" si="16"/>
        <v>0.17627194117647058</v>
      </c>
      <c r="J81" s="121">
        <f t="shared" si="17"/>
        <v>0.1786506052631579</v>
      </c>
      <c r="K81" s="121">
        <f t="shared" si="18"/>
        <v>0.16904403749999999</v>
      </c>
    </row>
    <row r="82" spans="1:11" x14ac:dyDescent="0.25">
      <c r="A82" s="211"/>
      <c r="B82" s="42">
        <v>2065</v>
      </c>
      <c r="C82" s="121">
        <f t="shared" si="10"/>
        <v>0.14558666666666667</v>
      </c>
      <c r="D82" s="121">
        <f t="shared" si="11"/>
        <v>0.15593499999999999</v>
      </c>
      <c r="E82" s="121">
        <f t="shared" si="12"/>
        <v>0.15453880952380949</v>
      </c>
      <c r="F82" s="121">
        <f t="shared" si="13"/>
        <v>0.15519973333333334</v>
      </c>
      <c r="G82" s="121">
        <f t="shared" si="14"/>
        <v>0.17763195833333334</v>
      </c>
      <c r="H82" s="121">
        <f t="shared" si="15"/>
        <v>0.17614683333333334</v>
      </c>
      <c r="I82" s="121">
        <f t="shared" si="16"/>
        <v>0.17627194117647058</v>
      </c>
      <c r="J82" s="121">
        <f t="shared" si="17"/>
        <v>0.1786506052631579</v>
      </c>
      <c r="K82" s="121">
        <f t="shared" si="18"/>
        <v>0.16904403749999999</v>
      </c>
    </row>
    <row r="83" spans="1:11" x14ac:dyDescent="0.25">
      <c r="A83" s="211"/>
      <c r="B83" s="42">
        <v>2066</v>
      </c>
      <c r="C83" s="121">
        <f t="shared" si="10"/>
        <v>0.14558666666666667</v>
      </c>
      <c r="D83" s="121">
        <f t="shared" si="11"/>
        <v>0.15593499999999999</v>
      </c>
      <c r="E83" s="121">
        <f t="shared" si="12"/>
        <v>0.15453880952380949</v>
      </c>
      <c r="F83" s="121">
        <f t="shared" si="13"/>
        <v>0.15519973333333334</v>
      </c>
      <c r="G83" s="121">
        <f t="shared" si="14"/>
        <v>0.17763195833333334</v>
      </c>
      <c r="H83" s="121">
        <f t="shared" si="15"/>
        <v>0.17614683333333334</v>
      </c>
      <c r="I83" s="121">
        <f t="shared" si="16"/>
        <v>0.17627194117647058</v>
      </c>
      <c r="J83" s="121">
        <f t="shared" si="17"/>
        <v>0.1786506052631579</v>
      </c>
      <c r="K83" s="121">
        <f t="shared" si="18"/>
        <v>0.16904403749999999</v>
      </c>
    </row>
    <row r="84" spans="1:11" x14ac:dyDescent="0.25">
      <c r="A84" s="211"/>
      <c r="B84" s="42">
        <v>2067</v>
      </c>
      <c r="C84" s="121">
        <f t="shared" si="10"/>
        <v>0.14558666666666667</v>
      </c>
      <c r="D84" s="121">
        <f t="shared" si="11"/>
        <v>0.15593499999999999</v>
      </c>
      <c r="E84" s="121">
        <f t="shared" si="12"/>
        <v>0.15453880952380949</v>
      </c>
      <c r="F84" s="121">
        <f t="shared" si="13"/>
        <v>0.15519973333333334</v>
      </c>
      <c r="G84" s="121">
        <f t="shared" si="14"/>
        <v>0.17763195833333334</v>
      </c>
      <c r="H84" s="121">
        <f t="shared" si="15"/>
        <v>0.17614683333333334</v>
      </c>
      <c r="I84" s="121">
        <f t="shared" si="16"/>
        <v>0.17627194117647058</v>
      </c>
      <c r="J84" s="121">
        <f t="shared" si="17"/>
        <v>0.1786506052631579</v>
      </c>
      <c r="K84" s="121">
        <f t="shared" si="18"/>
        <v>0.16904403749999999</v>
      </c>
    </row>
  </sheetData>
  <sheetProtection algorithmName="SHA-512" hashValue="AByVqZOWcCP7UXQO/i6TXRVLrOqrKB/42AyCnIk+uNNMeOe7JAExWjS5ymro0R4mc55HPLW8kvnEfF4FLYlrqw==" saltValue="qIeM7fXlpsAWLCMRjqHR1Q==" spinCount="100000" sheet="1" objects="1" scenarios="1"/>
  <mergeCells count="15">
    <mergeCell ref="I3:I4"/>
    <mergeCell ref="O3:O4"/>
    <mergeCell ref="C36:K36"/>
    <mergeCell ref="A39:A84"/>
    <mergeCell ref="B2:E2"/>
    <mergeCell ref="F2:I2"/>
    <mergeCell ref="J2:N2"/>
    <mergeCell ref="B3:B4"/>
    <mergeCell ref="C3:C4"/>
    <mergeCell ref="D3:D4"/>
    <mergeCell ref="E3:E4"/>
    <mergeCell ref="F3:F4"/>
    <mergeCell ref="G3:G4"/>
    <mergeCell ref="H3:H4"/>
    <mergeCell ref="A2:A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3">
    <tabColor theme="9" tint="-0.249977111117893"/>
  </sheetPr>
  <dimension ref="A1:P169"/>
  <sheetViews>
    <sheetView zoomScaleNormal="100" workbookViewId="0">
      <selection activeCell="E22" sqref="E22"/>
    </sheetView>
  </sheetViews>
  <sheetFormatPr baseColWidth="10" defaultRowHeight="15" x14ac:dyDescent="0.25"/>
  <cols>
    <col min="3" max="3" width="59.5703125" bestFit="1" customWidth="1"/>
  </cols>
  <sheetData>
    <row r="1" spans="1:16" x14ac:dyDescent="0.25">
      <c r="A1" s="118" t="s">
        <v>70</v>
      </c>
      <c r="B1" s="118" t="s">
        <v>147</v>
      </c>
      <c r="C1" s="118" t="s">
        <v>0</v>
      </c>
      <c r="D1" s="119">
        <v>15</v>
      </c>
      <c r="E1" s="119">
        <v>30</v>
      </c>
      <c r="F1" s="119">
        <v>70</v>
      </c>
      <c r="G1" s="119">
        <v>125</v>
      </c>
      <c r="H1" s="119">
        <v>200</v>
      </c>
      <c r="I1" s="119">
        <v>350</v>
      </c>
      <c r="J1" s="119">
        <v>850</v>
      </c>
      <c r="K1" s="119">
        <v>1900</v>
      </c>
      <c r="L1" s="119">
        <v>4000</v>
      </c>
      <c r="O1" s="222" t="s">
        <v>319</v>
      </c>
      <c r="P1" s="222"/>
    </row>
    <row r="2" spans="1:16" x14ac:dyDescent="0.25">
      <c r="A2" s="219">
        <v>2023</v>
      </c>
      <c r="B2" s="219">
        <v>1500</v>
      </c>
      <c r="C2" s="120" t="s">
        <v>3</v>
      </c>
      <c r="D2" s="121"/>
      <c r="E2" s="121"/>
      <c r="F2" s="121"/>
      <c r="G2" s="121"/>
      <c r="H2" s="121"/>
      <c r="I2" s="121"/>
      <c r="J2" s="121"/>
      <c r="K2" s="121"/>
      <c r="L2" s="121"/>
    </row>
    <row r="3" spans="1:16" x14ac:dyDescent="0.25">
      <c r="A3" s="220"/>
      <c r="B3" s="220"/>
      <c r="C3" s="120" t="s">
        <v>308</v>
      </c>
      <c r="D3" s="121"/>
      <c r="E3" s="121"/>
      <c r="F3" s="121"/>
      <c r="G3" s="121"/>
      <c r="H3" s="121"/>
      <c r="I3" s="121"/>
      <c r="J3" s="121"/>
      <c r="K3" s="121"/>
      <c r="L3" s="121"/>
    </row>
    <row r="4" spans="1:16" x14ac:dyDescent="0.25">
      <c r="A4" s="220"/>
      <c r="B4" s="220"/>
      <c r="C4" s="120" t="s">
        <v>16</v>
      </c>
      <c r="D4" s="121"/>
      <c r="E4" s="121"/>
      <c r="F4" s="121"/>
      <c r="G4" s="121"/>
      <c r="H4" s="121"/>
      <c r="I4" s="121"/>
      <c r="J4" s="121"/>
      <c r="K4" s="121"/>
      <c r="L4" s="121"/>
    </row>
    <row r="5" spans="1:16" x14ac:dyDescent="0.25">
      <c r="A5" s="220"/>
      <c r="B5" s="220"/>
      <c r="C5" s="120" t="s">
        <v>148</v>
      </c>
      <c r="D5" s="121"/>
      <c r="E5" s="121"/>
      <c r="F5" s="121"/>
      <c r="G5" s="121"/>
      <c r="H5" s="121"/>
      <c r="I5" s="121"/>
      <c r="J5" s="121"/>
      <c r="K5" s="121"/>
      <c r="L5" s="121"/>
    </row>
    <row r="6" spans="1:16" x14ac:dyDescent="0.25">
      <c r="A6" s="220"/>
      <c r="B6" s="220"/>
      <c r="C6" s="120" t="s">
        <v>149</v>
      </c>
      <c r="D6" s="121"/>
      <c r="E6" s="121"/>
      <c r="F6" s="121"/>
      <c r="G6" s="121"/>
      <c r="H6" s="121"/>
      <c r="I6" s="121"/>
      <c r="J6" s="121"/>
      <c r="K6" s="121"/>
      <c r="L6" s="121"/>
    </row>
    <row r="7" spans="1:16" x14ac:dyDescent="0.25">
      <c r="A7" s="220"/>
      <c r="B7" s="220"/>
      <c r="C7" s="120" t="s">
        <v>150</v>
      </c>
      <c r="D7" s="121"/>
      <c r="E7" s="121"/>
      <c r="F7" s="121"/>
      <c r="G7" s="121"/>
      <c r="H7" s="121"/>
      <c r="I7" s="121"/>
      <c r="J7" s="121"/>
      <c r="K7" s="121"/>
      <c r="L7" s="121"/>
    </row>
    <row r="8" spans="1:16" x14ac:dyDescent="0.25">
      <c r="A8" s="220"/>
      <c r="B8" s="220"/>
      <c r="C8" s="120" t="s">
        <v>151</v>
      </c>
      <c r="D8" s="121"/>
      <c r="E8" s="121"/>
      <c r="F8" s="121"/>
      <c r="G8" s="121"/>
      <c r="H8" s="121"/>
      <c r="I8" s="121"/>
      <c r="J8" s="121"/>
      <c r="K8" s="121"/>
      <c r="L8" s="121"/>
    </row>
    <row r="9" spans="1:16" x14ac:dyDescent="0.25">
      <c r="A9" s="220"/>
      <c r="B9" s="220"/>
      <c r="C9" s="120" t="s">
        <v>309</v>
      </c>
      <c r="D9" s="121"/>
      <c r="E9" s="121"/>
      <c r="F9" s="121"/>
      <c r="G9" s="121"/>
      <c r="H9" s="121"/>
      <c r="I9" s="121"/>
      <c r="J9" s="121"/>
      <c r="K9" s="121"/>
      <c r="L9" s="121"/>
    </row>
    <row r="10" spans="1:16" x14ac:dyDescent="0.25">
      <c r="A10" s="220"/>
      <c r="B10" s="220"/>
      <c r="C10" s="120" t="s">
        <v>152</v>
      </c>
      <c r="D10" s="121"/>
      <c r="E10" s="121"/>
      <c r="F10" s="121"/>
      <c r="G10" s="121"/>
      <c r="H10" s="121"/>
      <c r="I10" s="121"/>
      <c r="J10" s="121"/>
      <c r="K10" s="121"/>
      <c r="L10" s="121"/>
    </row>
    <row r="11" spans="1:16" x14ac:dyDescent="0.25">
      <c r="A11" s="220"/>
      <c r="B11" s="220"/>
      <c r="C11" s="120" t="s">
        <v>310</v>
      </c>
      <c r="D11" s="121"/>
      <c r="E11" s="121"/>
      <c r="F11" s="121"/>
      <c r="G11" s="121"/>
      <c r="H11" s="121"/>
      <c r="I11" s="121"/>
      <c r="J11" s="121"/>
      <c r="K11" s="121"/>
      <c r="L11" s="121"/>
    </row>
    <row r="12" spans="1:16" x14ac:dyDescent="0.25">
      <c r="A12" s="220"/>
      <c r="B12" s="220"/>
      <c r="C12" s="120" t="s">
        <v>153</v>
      </c>
      <c r="D12" s="121"/>
      <c r="E12" s="121"/>
      <c r="F12" s="121"/>
      <c r="G12" s="121"/>
      <c r="H12" s="121"/>
      <c r="I12" s="121"/>
      <c r="J12" s="121"/>
      <c r="K12" s="121"/>
      <c r="L12" s="121"/>
    </row>
    <row r="13" spans="1:16" x14ac:dyDescent="0.25">
      <c r="A13" s="220"/>
      <c r="B13" s="220"/>
      <c r="C13" s="120" t="s">
        <v>311</v>
      </c>
      <c r="D13" s="121"/>
      <c r="E13" s="121"/>
      <c r="F13" s="121"/>
      <c r="G13" s="121"/>
      <c r="H13" s="121"/>
      <c r="I13" s="121"/>
      <c r="J13" s="121"/>
      <c r="K13" s="121"/>
      <c r="L13" s="121"/>
    </row>
    <row r="14" spans="1:16" x14ac:dyDescent="0.25">
      <c r="A14" s="220"/>
      <c r="B14" s="220"/>
      <c r="C14" s="120" t="s">
        <v>141</v>
      </c>
      <c r="D14" s="121"/>
      <c r="E14" s="121"/>
      <c r="F14" s="121"/>
      <c r="G14" s="121"/>
      <c r="H14" s="121"/>
      <c r="I14" s="121"/>
      <c r="J14" s="121"/>
      <c r="K14" s="121"/>
      <c r="L14" s="121"/>
    </row>
    <row r="15" spans="1:16" x14ac:dyDescent="0.25">
      <c r="A15" s="220"/>
      <c r="B15" s="220"/>
      <c r="C15" s="120" t="s">
        <v>312</v>
      </c>
      <c r="D15" s="121"/>
      <c r="E15" s="121"/>
      <c r="F15" s="121"/>
      <c r="G15" s="121"/>
      <c r="H15" s="121"/>
      <c r="I15" s="121"/>
      <c r="J15" s="121"/>
      <c r="K15" s="121"/>
      <c r="L15" s="121"/>
    </row>
    <row r="16" spans="1:16" x14ac:dyDescent="0.25">
      <c r="A16" s="220"/>
      <c r="B16" s="220"/>
      <c r="C16" s="120" t="s">
        <v>154</v>
      </c>
      <c r="D16" s="121"/>
      <c r="E16" s="121"/>
      <c r="F16" s="121"/>
      <c r="G16" s="121"/>
      <c r="H16" s="121"/>
      <c r="I16" s="121"/>
      <c r="J16" s="121"/>
      <c r="K16" s="121"/>
      <c r="L16" s="121"/>
    </row>
    <row r="17" spans="1:12" x14ac:dyDescent="0.25">
      <c r="A17" s="220"/>
      <c r="B17" s="220"/>
      <c r="C17" s="120" t="s">
        <v>313</v>
      </c>
      <c r="D17" s="121"/>
      <c r="E17" s="121"/>
      <c r="F17" s="121"/>
      <c r="G17" s="121"/>
      <c r="H17" s="121"/>
      <c r="I17" s="121"/>
      <c r="J17" s="121"/>
      <c r="K17" s="121"/>
      <c r="L17" s="121"/>
    </row>
    <row r="18" spans="1:12" x14ac:dyDescent="0.25">
      <c r="A18" s="220"/>
      <c r="B18" s="220"/>
      <c r="C18" s="120" t="s">
        <v>155</v>
      </c>
      <c r="D18" s="121"/>
      <c r="E18" s="121"/>
      <c r="F18" s="121"/>
      <c r="G18" s="121"/>
      <c r="H18" s="121"/>
      <c r="I18" s="121"/>
      <c r="J18" s="121"/>
      <c r="K18" s="121"/>
      <c r="L18" s="121"/>
    </row>
    <row r="19" spans="1:12" x14ac:dyDescent="0.25">
      <c r="A19" s="220"/>
      <c r="B19" s="220"/>
      <c r="C19" s="120" t="s">
        <v>314</v>
      </c>
      <c r="D19" s="121"/>
      <c r="E19" s="121"/>
      <c r="F19" s="121"/>
      <c r="G19" s="121"/>
      <c r="H19" s="121"/>
      <c r="I19" s="121"/>
      <c r="J19" s="121"/>
      <c r="K19" s="121"/>
      <c r="L19" s="121"/>
    </row>
    <row r="20" spans="1:12" x14ac:dyDescent="0.25">
      <c r="A20" s="220"/>
      <c r="B20" s="220"/>
      <c r="C20" s="120" t="s">
        <v>156</v>
      </c>
      <c r="D20" s="121"/>
      <c r="E20" s="121"/>
      <c r="F20" s="121"/>
      <c r="G20" s="121"/>
      <c r="H20" s="121"/>
      <c r="I20" s="121"/>
      <c r="J20" s="121"/>
      <c r="K20" s="121"/>
      <c r="L20" s="121"/>
    </row>
    <row r="21" spans="1:12" x14ac:dyDescent="0.25">
      <c r="A21" s="220"/>
      <c r="B21" s="220"/>
      <c r="C21" s="120" t="s">
        <v>315</v>
      </c>
      <c r="D21" s="121"/>
      <c r="E21" s="121"/>
      <c r="F21" s="121"/>
      <c r="G21" s="121"/>
      <c r="H21" s="121"/>
      <c r="I21" s="121"/>
      <c r="J21" s="121"/>
      <c r="K21" s="121"/>
      <c r="L21" s="121"/>
    </row>
    <row r="22" spans="1:12" x14ac:dyDescent="0.25">
      <c r="A22" s="220"/>
      <c r="B22" s="220"/>
      <c r="C22" s="120" t="s">
        <v>157</v>
      </c>
      <c r="D22" s="121"/>
      <c r="E22" s="121"/>
      <c r="F22" s="121"/>
      <c r="G22" s="121"/>
      <c r="H22" s="121"/>
      <c r="I22" s="121"/>
      <c r="J22" s="121"/>
      <c r="K22" s="121"/>
      <c r="L22" s="121"/>
    </row>
    <row r="23" spans="1:12" x14ac:dyDescent="0.25">
      <c r="A23" s="220"/>
      <c r="B23" s="220"/>
      <c r="C23" s="120" t="s">
        <v>316</v>
      </c>
      <c r="D23" s="121"/>
      <c r="E23" s="121"/>
      <c r="F23" s="121"/>
      <c r="G23" s="121"/>
      <c r="H23" s="121"/>
      <c r="I23" s="121"/>
      <c r="J23" s="121"/>
      <c r="K23" s="121"/>
      <c r="L23" s="121"/>
    </row>
    <row r="24" spans="1:12" x14ac:dyDescent="0.25">
      <c r="A24" s="220"/>
      <c r="B24" s="220"/>
      <c r="C24" s="120" t="s">
        <v>158</v>
      </c>
      <c r="D24" s="121"/>
      <c r="E24" s="121"/>
      <c r="F24" s="121"/>
      <c r="G24" s="121"/>
      <c r="H24" s="121"/>
      <c r="I24" s="121"/>
      <c r="J24" s="121"/>
      <c r="K24" s="121"/>
      <c r="L24" s="121"/>
    </row>
    <row r="25" spans="1:12" x14ac:dyDescent="0.25">
      <c r="A25" s="220"/>
      <c r="B25" s="220"/>
      <c r="C25" s="120" t="s">
        <v>159</v>
      </c>
      <c r="D25" s="121"/>
      <c r="E25" s="121"/>
      <c r="F25" s="121"/>
      <c r="G25" s="121"/>
      <c r="H25" s="121"/>
      <c r="I25" s="121"/>
      <c r="J25" s="121"/>
      <c r="K25" s="121"/>
      <c r="L25" s="121"/>
    </row>
    <row r="26" spans="1:12" x14ac:dyDescent="0.25">
      <c r="A26" s="220"/>
      <c r="B26" s="220"/>
      <c r="C26" s="120" t="s">
        <v>160</v>
      </c>
      <c r="D26" s="121"/>
      <c r="E26" s="121"/>
      <c r="F26" s="121"/>
      <c r="G26" s="121"/>
      <c r="H26" s="121"/>
      <c r="I26" s="121"/>
      <c r="J26" s="121"/>
      <c r="K26" s="121"/>
      <c r="L26" s="121"/>
    </row>
    <row r="27" spans="1:12" x14ac:dyDescent="0.25">
      <c r="A27" s="220"/>
      <c r="B27" s="220"/>
      <c r="C27" s="120" t="s">
        <v>317</v>
      </c>
      <c r="D27" s="121"/>
      <c r="E27" s="121"/>
      <c r="F27" s="121"/>
      <c r="G27" s="121"/>
      <c r="H27" s="121"/>
      <c r="I27" s="121"/>
      <c r="J27" s="121"/>
      <c r="K27" s="121"/>
      <c r="L27" s="121"/>
    </row>
    <row r="28" spans="1:12" x14ac:dyDescent="0.25">
      <c r="A28" s="220"/>
      <c r="B28" s="220"/>
      <c r="C28" s="120" t="s">
        <v>161</v>
      </c>
      <c r="D28" s="121"/>
      <c r="E28" s="121"/>
      <c r="F28" s="121"/>
      <c r="G28" s="121"/>
      <c r="H28" s="121"/>
      <c r="I28" s="121"/>
      <c r="J28" s="121"/>
      <c r="K28" s="121"/>
      <c r="L28" s="121"/>
    </row>
    <row r="29" spans="1:12" x14ac:dyDescent="0.25">
      <c r="A29" s="221"/>
      <c r="B29" s="221"/>
      <c r="C29" s="120" t="s">
        <v>318</v>
      </c>
      <c r="D29" s="121"/>
      <c r="E29" s="121"/>
      <c r="F29" s="121"/>
      <c r="G29" s="121"/>
      <c r="H29" s="121"/>
      <c r="I29" s="121"/>
      <c r="J29" s="121"/>
      <c r="K29" s="121"/>
      <c r="L29" s="121"/>
    </row>
    <row r="30" spans="1:12" x14ac:dyDescent="0.25">
      <c r="A30" s="219">
        <v>2028</v>
      </c>
      <c r="B30" s="219">
        <v>1200</v>
      </c>
      <c r="C30" s="120" t="s">
        <v>3</v>
      </c>
      <c r="D30" s="121"/>
      <c r="E30" s="121"/>
      <c r="F30" s="121"/>
      <c r="G30" s="121"/>
      <c r="H30" s="121"/>
      <c r="I30" s="121"/>
      <c r="J30" s="121"/>
      <c r="K30" s="121"/>
      <c r="L30" s="121"/>
    </row>
    <row r="31" spans="1:12" x14ac:dyDescent="0.25">
      <c r="A31" s="220"/>
      <c r="B31" s="220"/>
      <c r="C31" s="120" t="s">
        <v>308</v>
      </c>
      <c r="D31" s="121"/>
      <c r="E31" s="121"/>
      <c r="F31" s="121"/>
      <c r="G31" s="121"/>
      <c r="H31" s="121"/>
      <c r="I31" s="121"/>
      <c r="J31" s="121"/>
      <c r="K31" s="121"/>
      <c r="L31" s="121"/>
    </row>
    <row r="32" spans="1:12" x14ac:dyDescent="0.25">
      <c r="A32" s="220"/>
      <c r="B32" s="220"/>
      <c r="C32" s="120" t="s">
        <v>16</v>
      </c>
      <c r="D32" s="121"/>
      <c r="E32" s="121"/>
      <c r="F32" s="121"/>
      <c r="G32" s="121"/>
      <c r="H32" s="121"/>
      <c r="I32" s="121"/>
      <c r="J32" s="121"/>
      <c r="K32" s="121"/>
      <c r="L32" s="121"/>
    </row>
    <row r="33" spans="1:12" x14ac:dyDescent="0.25">
      <c r="A33" s="220"/>
      <c r="B33" s="220"/>
      <c r="C33" s="120" t="s">
        <v>148</v>
      </c>
      <c r="D33" s="121"/>
      <c r="E33" s="121"/>
      <c r="F33" s="121"/>
      <c r="G33" s="121"/>
      <c r="H33" s="121"/>
      <c r="I33" s="121"/>
      <c r="J33" s="121"/>
      <c r="K33" s="121"/>
      <c r="L33" s="121"/>
    </row>
    <row r="34" spans="1:12" x14ac:dyDescent="0.25">
      <c r="A34" s="220"/>
      <c r="B34" s="220"/>
      <c r="C34" s="120" t="s">
        <v>149</v>
      </c>
      <c r="D34" s="121"/>
      <c r="E34" s="121"/>
      <c r="F34" s="121"/>
      <c r="G34" s="121"/>
      <c r="H34" s="121"/>
      <c r="I34" s="121"/>
      <c r="J34" s="121"/>
      <c r="K34" s="121"/>
      <c r="L34" s="121"/>
    </row>
    <row r="35" spans="1:12" x14ac:dyDescent="0.25">
      <c r="A35" s="220"/>
      <c r="B35" s="220"/>
      <c r="C35" s="120" t="s">
        <v>150</v>
      </c>
      <c r="D35" s="121"/>
      <c r="E35" s="121"/>
      <c r="F35" s="121"/>
      <c r="G35" s="121"/>
      <c r="H35" s="121"/>
      <c r="I35" s="121"/>
      <c r="J35" s="121"/>
      <c r="K35" s="121"/>
      <c r="L35" s="121"/>
    </row>
    <row r="36" spans="1:12" x14ac:dyDescent="0.25">
      <c r="A36" s="220"/>
      <c r="B36" s="220"/>
      <c r="C36" s="120" t="s">
        <v>151</v>
      </c>
      <c r="D36" s="121"/>
      <c r="E36" s="121"/>
      <c r="F36" s="121"/>
      <c r="G36" s="121"/>
      <c r="H36" s="121"/>
      <c r="I36" s="121"/>
      <c r="J36" s="121"/>
      <c r="K36" s="121"/>
      <c r="L36" s="121"/>
    </row>
    <row r="37" spans="1:12" x14ac:dyDescent="0.25">
      <c r="A37" s="220"/>
      <c r="B37" s="220"/>
      <c r="C37" s="120" t="s">
        <v>309</v>
      </c>
      <c r="D37" s="121"/>
      <c r="E37" s="121"/>
      <c r="F37" s="121"/>
      <c r="G37" s="121"/>
      <c r="H37" s="121"/>
      <c r="I37" s="121"/>
      <c r="J37" s="121"/>
      <c r="K37" s="121"/>
      <c r="L37" s="121"/>
    </row>
    <row r="38" spans="1:12" x14ac:dyDescent="0.25">
      <c r="A38" s="220"/>
      <c r="B38" s="220"/>
      <c r="C38" s="120" t="s">
        <v>152</v>
      </c>
      <c r="D38" s="121"/>
      <c r="E38" s="121"/>
      <c r="F38" s="121"/>
      <c r="G38" s="121"/>
      <c r="H38" s="121"/>
      <c r="I38" s="121"/>
      <c r="J38" s="121"/>
      <c r="K38" s="121"/>
      <c r="L38" s="121"/>
    </row>
    <row r="39" spans="1:12" x14ac:dyDescent="0.25">
      <c r="A39" s="220"/>
      <c r="B39" s="220"/>
      <c r="C39" s="120" t="s">
        <v>310</v>
      </c>
      <c r="D39" s="121"/>
      <c r="E39" s="121"/>
      <c r="F39" s="121"/>
      <c r="G39" s="121"/>
      <c r="H39" s="121"/>
      <c r="I39" s="121"/>
      <c r="J39" s="121"/>
      <c r="K39" s="121"/>
      <c r="L39" s="121"/>
    </row>
    <row r="40" spans="1:12" x14ac:dyDescent="0.25">
      <c r="A40" s="220"/>
      <c r="B40" s="220"/>
      <c r="C40" s="120" t="s">
        <v>153</v>
      </c>
      <c r="D40" s="121"/>
      <c r="E40" s="121"/>
      <c r="F40" s="121"/>
      <c r="G40" s="121"/>
      <c r="H40" s="121"/>
      <c r="I40" s="121"/>
      <c r="J40" s="121"/>
      <c r="K40" s="121"/>
      <c r="L40" s="121"/>
    </row>
    <row r="41" spans="1:12" x14ac:dyDescent="0.25">
      <c r="A41" s="220"/>
      <c r="B41" s="220"/>
      <c r="C41" s="120" t="s">
        <v>311</v>
      </c>
      <c r="D41" s="121"/>
      <c r="E41" s="121"/>
      <c r="F41" s="121"/>
      <c r="G41" s="121"/>
      <c r="H41" s="121"/>
      <c r="I41" s="121"/>
      <c r="J41" s="121"/>
      <c r="K41" s="121"/>
      <c r="L41" s="121"/>
    </row>
    <row r="42" spans="1:12" x14ac:dyDescent="0.25">
      <c r="A42" s="220"/>
      <c r="B42" s="220"/>
      <c r="C42" s="120" t="s">
        <v>141</v>
      </c>
      <c r="D42" s="121"/>
      <c r="E42" s="121"/>
      <c r="F42" s="121"/>
      <c r="G42" s="121"/>
      <c r="H42" s="121"/>
      <c r="I42" s="121"/>
      <c r="J42" s="121"/>
      <c r="K42" s="121"/>
      <c r="L42" s="121"/>
    </row>
    <row r="43" spans="1:12" x14ac:dyDescent="0.25">
      <c r="A43" s="220"/>
      <c r="B43" s="220"/>
      <c r="C43" s="120" t="s">
        <v>312</v>
      </c>
      <c r="D43" s="121"/>
      <c r="E43" s="121"/>
      <c r="F43" s="121"/>
      <c r="G43" s="121"/>
      <c r="H43" s="121"/>
      <c r="I43" s="121"/>
      <c r="J43" s="121"/>
      <c r="K43" s="121"/>
      <c r="L43" s="121"/>
    </row>
    <row r="44" spans="1:12" x14ac:dyDescent="0.25">
      <c r="A44" s="220"/>
      <c r="B44" s="220"/>
      <c r="C44" s="120" t="s">
        <v>154</v>
      </c>
      <c r="D44" s="121"/>
      <c r="E44" s="121"/>
      <c r="F44" s="121"/>
      <c r="G44" s="121"/>
      <c r="H44" s="121"/>
      <c r="I44" s="121"/>
      <c r="J44" s="121"/>
      <c r="K44" s="121"/>
      <c r="L44" s="121"/>
    </row>
    <row r="45" spans="1:12" x14ac:dyDescent="0.25">
      <c r="A45" s="220"/>
      <c r="B45" s="220"/>
      <c r="C45" s="120" t="s">
        <v>313</v>
      </c>
      <c r="D45" s="121"/>
      <c r="E45" s="121"/>
      <c r="F45" s="121"/>
      <c r="G45" s="121"/>
      <c r="H45" s="121"/>
      <c r="I45" s="121"/>
      <c r="J45" s="121"/>
      <c r="K45" s="121"/>
      <c r="L45" s="121"/>
    </row>
    <row r="46" spans="1:12" x14ac:dyDescent="0.25">
      <c r="A46" s="220"/>
      <c r="B46" s="220"/>
      <c r="C46" s="120" t="s">
        <v>155</v>
      </c>
      <c r="D46" s="121"/>
      <c r="E46" s="121"/>
      <c r="F46" s="121"/>
      <c r="G46" s="121"/>
      <c r="H46" s="121"/>
      <c r="I46" s="121"/>
      <c r="J46" s="121"/>
      <c r="K46" s="121"/>
      <c r="L46" s="121"/>
    </row>
    <row r="47" spans="1:12" x14ac:dyDescent="0.25">
      <c r="A47" s="220"/>
      <c r="B47" s="220"/>
      <c r="C47" s="120" t="s">
        <v>314</v>
      </c>
      <c r="D47" s="121"/>
      <c r="E47" s="121"/>
      <c r="F47" s="121"/>
      <c r="G47" s="121"/>
      <c r="H47" s="121"/>
      <c r="I47" s="121"/>
      <c r="J47" s="121"/>
      <c r="K47" s="121"/>
      <c r="L47" s="121"/>
    </row>
    <row r="48" spans="1:12" x14ac:dyDescent="0.25">
      <c r="A48" s="220"/>
      <c r="B48" s="220"/>
      <c r="C48" s="120" t="s">
        <v>156</v>
      </c>
      <c r="D48" s="121"/>
      <c r="E48" s="121"/>
      <c r="F48" s="121"/>
      <c r="G48" s="121"/>
      <c r="H48" s="121"/>
      <c r="I48" s="121"/>
      <c r="J48" s="121"/>
      <c r="K48" s="121"/>
      <c r="L48" s="121"/>
    </row>
    <row r="49" spans="1:12" x14ac:dyDescent="0.25">
      <c r="A49" s="220"/>
      <c r="B49" s="220"/>
      <c r="C49" s="120" t="s">
        <v>315</v>
      </c>
      <c r="D49" s="121"/>
      <c r="E49" s="121"/>
      <c r="F49" s="121"/>
      <c r="G49" s="121"/>
      <c r="H49" s="121"/>
      <c r="I49" s="121"/>
      <c r="J49" s="121"/>
      <c r="K49" s="121"/>
      <c r="L49" s="121"/>
    </row>
    <row r="50" spans="1:12" x14ac:dyDescent="0.25">
      <c r="A50" s="220"/>
      <c r="B50" s="220"/>
      <c r="C50" s="120" t="s">
        <v>157</v>
      </c>
      <c r="D50" s="121"/>
      <c r="E50" s="121"/>
      <c r="F50" s="121"/>
      <c r="G50" s="121"/>
      <c r="H50" s="121"/>
      <c r="I50" s="121"/>
      <c r="J50" s="121"/>
      <c r="K50" s="121"/>
      <c r="L50" s="121"/>
    </row>
    <row r="51" spans="1:12" x14ac:dyDescent="0.25">
      <c r="A51" s="220"/>
      <c r="B51" s="220"/>
      <c r="C51" s="120" t="s">
        <v>316</v>
      </c>
      <c r="D51" s="121"/>
      <c r="E51" s="121"/>
      <c r="F51" s="121"/>
      <c r="G51" s="121"/>
      <c r="H51" s="121"/>
      <c r="I51" s="121"/>
      <c r="J51" s="121"/>
      <c r="K51" s="121"/>
      <c r="L51" s="121"/>
    </row>
    <row r="52" spans="1:12" x14ac:dyDescent="0.25">
      <c r="A52" s="220"/>
      <c r="B52" s="220"/>
      <c r="C52" s="120" t="s">
        <v>158</v>
      </c>
      <c r="D52" s="121"/>
      <c r="E52" s="121"/>
      <c r="F52" s="121"/>
      <c r="G52" s="121"/>
      <c r="H52" s="121"/>
      <c r="I52" s="121"/>
      <c r="J52" s="121"/>
      <c r="K52" s="121"/>
      <c r="L52" s="121"/>
    </row>
    <row r="53" spans="1:12" x14ac:dyDescent="0.25">
      <c r="A53" s="220"/>
      <c r="B53" s="220"/>
      <c r="C53" s="120" t="s">
        <v>159</v>
      </c>
      <c r="D53" s="121"/>
      <c r="E53" s="121"/>
      <c r="F53" s="121"/>
      <c r="G53" s="121"/>
      <c r="H53" s="121"/>
      <c r="I53" s="121"/>
      <c r="J53" s="121"/>
      <c r="K53" s="121"/>
      <c r="L53" s="121"/>
    </row>
    <row r="54" spans="1:12" x14ac:dyDescent="0.25">
      <c r="A54" s="220"/>
      <c r="B54" s="220"/>
      <c r="C54" s="120" t="s">
        <v>160</v>
      </c>
      <c r="D54" s="121"/>
      <c r="E54" s="121"/>
      <c r="F54" s="121"/>
      <c r="G54" s="121"/>
      <c r="H54" s="121"/>
      <c r="I54" s="121"/>
      <c r="J54" s="121"/>
      <c r="K54" s="121"/>
      <c r="L54" s="121"/>
    </row>
    <row r="55" spans="1:12" x14ac:dyDescent="0.25">
      <c r="A55" s="220"/>
      <c r="B55" s="220"/>
      <c r="C55" s="120" t="s">
        <v>317</v>
      </c>
      <c r="D55" s="121"/>
      <c r="E55" s="121"/>
      <c r="F55" s="121"/>
      <c r="G55" s="121"/>
      <c r="H55" s="121"/>
      <c r="I55" s="121"/>
      <c r="J55" s="121"/>
      <c r="K55" s="121"/>
      <c r="L55" s="121"/>
    </row>
    <row r="56" spans="1:12" x14ac:dyDescent="0.25">
      <c r="A56" s="220"/>
      <c r="B56" s="220"/>
      <c r="C56" s="120" t="s">
        <v>161</v>
      </c>
      <c r="D56" s="121"/>
      <c r="E56" s="121"/>
      <c r="F56" s="121"/>
      <c r="G56" s="121"/>
      <c r="H56" s="121"/>
      <c r="I56" s="121"/>
      <c r="J56" s="121"/>
      <c r="K56" s="121"/>
      <c r="L56" s="121"/>
    </row>
    <row r="57" spans="1:12" x14ac:dyDescent="0.25">
      <c r="A57" s="221"/>
      <c r="B57" s="221"/>
      <c r="C57" s="120" t="s">
        <v>318</v>
      </c>
      <c r="D57" s="121"/>
      <c r="E57" s="121"/>
      <c r="F57" s="121"/>
      <c r="G57" s="121"/>
      <c r="H57" s="121"/>
      <c r="I57" s="121"/>
      <c r="J57" s="121"/>
      <c r="K57" s="121"/>
      <c r="L57" s="121"/>
    </row>
    <row r="58" spans="1:12" x14ac:dyDescent="0.25">
      <c r="A58" s="219">
        <v>2033</v>
      </c>
      <c r="B58" s="219">
        <v>1200</v>
      </c>
      <c r="C58" s="120" t="s">
        <v>3</v>
      </c>
      <c r="D58" s="121"/>
      <c r="E58" s="121"/>
      <c r="F58" s="121"/>
      <c r="G58" s="121"/>
      <c r="H58" s="121"/>
      <c r="I58" s="121"/>
      <c r="J58" s="121"/>
      <c r="K58" s="121"/>
      <c r="L58" s="121"/>
    </row>
    <row r="59" spans="1:12" x14ac:dyDescent="0.25">
      <c r="A59" s="220"/>
      <c r="B59" s="220"/>
      <c r="C59" s="120" t="s">
        <v>308</v>
      </c>
      <c r="D59" s="121"/>
      <c r="E59" s="121"/>
      <c r="F59" s="121"/>
      <c r="G59" s="121"/>
      <c r="H59" s="121"/>
      <c r="I59" s="121"/>
      <c r="J59" s="121"/>
      <c r="K59" s="121"/>
      <c r="L59" s="121"/>
    </row>
    <row r="60" spans="1:12" x14ac:dyDescent="0.25">
      <c r="A60" s="220"/>
      <c r="B60" s="220"/>
      <c r="C60" s="120" t="s">
        <v>16</v>
      </c>
      <c r="D60" s="121"/>
      <c r="E60" s="121"/>
      <c r="F60" s="121"/>
      <c r="G60" s="121"/>
      <c r="H60" s="121"/>
      <c r="I60" s="121"/>
      <c r="J60" s="121"/>
      <c r="K60" s="121"/>
      <c r="L60" s="121"/>
    </row>
    <row r="61" spans="1:12" x14ac:dyDescent="0.25">
      <c r="A61" s="220"/>
      <c r="B61" s="220"/>
      <c r="C61" s="120" t="s">
        <v>148</v>
      </c>
      <c r="D61" s="121"/>
      <c r="E61" s="121"/>
      <c r="F61" s="121"/>
      <c r="G61" s="121"/>
      <c r="H61" s="121"/>
      <c r="I61" s="121"/>
      <c r="J61" s="121"/>
      <c r="K61" s="121"/>
      <c r="L61" s="121"/>
    </row>
    <row r="62" spans="1:12" x14ac:dyDescent="0.25">
      <c r="A62" s="220"/>
      <c r="B62" s="220"/>
      <c r="C62" s="120" t="s">
        <v>149</v>
      </c>
      <c r="D62" s="121"/>
      <c r="E62" s="121"/>
      <c r="F62" s="121"/>
      <c r="G62" s="121"/>
      <c r="H62" s="121"/>
      <c r="I62" s="121"/>
      <c r="J62" s="121"/>
      <c r="K62" s="121"/>
      <c r="L62" s="121"/>
    </row>
    <row r="63" spans="1:12" x14ac:dyDescent="0.25">
      <c r="A63" s="220"/>
      <c r="B63" s="220"/>
      <c r="C63" s="120" t="s">
        <v>150</v>
      </c>
      <c r="D63" s="121"/>
      <c r="E63" s="121"/>
      <c r="F63" s="121"/>
      <c r="G63" s="121"/>
      <c r="H63" s="121"/>
      <c r="I63" s="121"/>
      <c r="J63" s="121"/>
      <c r="K63" s="121"/>
      <c r="L63" s="121"/>
    </row>
    <row r="64" spans="1:12" x14ac:dyDescent="0.25">
      <c r="A64" s="220"/>
      <c r="B64" s="220"/>
      <c r="C64" s="120" t="s">
        <v>151</v>
      </c>
      <c r="D64" s="121"/>
      <c r="E64" s="121"/>
      <c r="F64" s="121"/>
      <c r="G64" s="121"/>
      <c r="H64" s="121"/>
      <c r="I64" s="121"/>
      <c r="J64" s="121"/>
      <c r="K64" s="121"/>
      <c r="L64" s="121"/>
    </row>
    <row r="65" spans="1:12" x14ac:dyDescent="0.25">
      <c r="A65" s="220"/>
      <c r="B65" s="220"/>
      <c r="C65" s="120" t="s">
        <v>309</v>
      </c>
      <c r="D65" s="121"/>
      <c r="E65" s="121"/>
      <c r="F65" s="121"/>
      <c r="G65" s="121"/>
      <c r="H65" s="121"/>
      <c r="I65" s="121"/>
      <c r="J65" s="121"/>
      <c r="K65" s="121"/>
      <c r="L65" s="121"/>
    </row>
    <row r="66" spans="1:12" x14ac:dyDescent="0.25">
      <c r="A66" s="220"/>
      <c r="B66" s="220"/>
      <c r="C66" s="120" t="s">
        <v>152</v>
      </c>
      <c r="D66" s="121"/>
      <c r="E66" s="121"/>
      <c r="F66" s="121"/>
      <c r="G66" s="121"/>
      <c r="H66" s="121"/>
      <c r="I66" s="121"/>
      <c r="J66" s="121"/>
      <c r="K66" s="121"/>
      <c r="L66" s="121"/>
    </row>
    <row r="67" spans="1:12" x14ac:dyDescent="0.25">
      <c r="A67" s="220"/>
      <c r="B67" s="220"/>
      <c r="C67" s="120" t="s">
        <v>310</v>
      </c>
      <c r="D67" s="121"/>
      <c r="E67" s="121"/>
      <c r="F67" s="121"/>
      <c r="G67" s="121"/>
      <c r="H67" s="121"/>
      <c r="I67" s="121"/>
      <c r="J67" s="121"/>
      <c r="K67" s="121"/>
      <c r="L67" s="121"/>
    </row>
    <row r="68" spans="1:12" x14ac:dyDescent="0.25">
      <c r="A68" s="220"/>
      <c r="B68" s="220"/>
      <c r="C68" s="120" t="s">
        <v>153</v>
      </c>
      <c r="D68" s="121"/>
      <c r="E68" s="121"/>
      <c r="F68" s="121"/>
      <c r="G68" s="121"/>
      <c r="H68" s="121"/>
      <c r="I68" s="121"/>
      <c r="J68" s="121"/>
      <c r="K68" s="121"/>
      <c r="L68" s="121"/>
    </row>
    <row r="69" spans="1:12" x14ac:dyDescent="0.25">
      <c r="A69" s="220"/>
      <c r="B69" s="220"/>
      <c r="C69" s="120" t="s">
        <v>311</v>
      </c>
      <c r="D69" s="121"/>
      <c r="E69" s="121"/>
      <c r="F69" s="121"/>
      <c r="G69" s="121"/>
      <c r="H69" s="121"/>
      <c r="I69" s="121"/>
      <c r="J69" s="121"/>
      <c r="K69" s="121"/>
      <c r="L69" s="121"/>
    </row>
    <row r="70" spans="1:12" x14ac:dyDescent="0.25">
      <c r="A70" s="220"/>
      <c r="B70" s="220"/>
      <c r="C70" s="120" t="s">
        <v>141</v>
      </c>
      <c r="D70" s="121"/>
      <c r="E70" s="121"/>
      <c r="F70" s="121"/>
      <c r="G70" s="121"/>
      <c r="H70" s="121"/>
      <c r="I70" s="121"/>
      <c r="J70" s="121"/>
      <c r="K70" s="121"/>
      <c r="L70" s="121"/>
    </row>
    <row r="71" spans="1:12" x14ac:dyDescent="0.25">
      <c r="A71" s="220"/>
      <c r="B71" s="220"/>
      <c r="C71" s="120" t="s">
        <v>312</v>
      </c>
      <c r="D71" s="121"/>
      <c r="E71" s="121"/>
      <c r="F71" s="121"/>
      <c r="G71" s="121"/>
      <c r="H71" s="121"/>
      <c r="I71" s="121"/>
      <c r="J71" s="121"/>
      <c r="K71" s="121"/>
      <c r="L71" s="121"/>
    </row>
    <row r="72" spans="1:12" x14ac:dyDescent="0.25">
      <c r="A72" s="220"/>
      <c r="B72" s="220"/>
      <c r="C72" s="120" t="s">
        <v>154</v>
      </c>
      <c r="D72" s="121"/>
      <c r="E72" s="121"/>
      <c r="F72" s="121"/>
      <c r="G72" s="121"/>
      <c r="H72" s="121"/>
      <c r="I72" s="121"/>
      <c r="J72" s="121"/>
      <c r="K72" s="121"/>
      <c r="L72" s="121"/>
    </row>
    <row r="73" spans="1:12" x14ac:dyDescent="0.25">
      <c r="A73" s="220"/>
      <c r="B73" s="220"/>
      <c r="C73" s="120" t="s">
        <v>313</v>
      </c>
      <c r="D73" s="121"/>
      <c r="E73" s="121"/>
      <c r="F73" s="121"/>
      <c r="G73" s="121"/>
      <c r="H73" s="121"/>
      <c r="I73" s="121"/>
      <c r="J73" s="121"/>
      <c r="K73" s="121"/>
      <c r="L73" s="121"/>
    </row>
    <row r="74" spans="1:12" x14ac:dyDescent="0.25">
      <c r="A74" s="220"/>
      <c r="B74" s="220"/>
      <c r="C74" s="120" t="s">
        <v>155</v>
      </c>
      <c r="D74" s="121"/>
      <c r="E74" s="121"/>
      <c r="F74" s="121"/>
      <c r="G74" s="121"/>
      <c r="H74" s="121"/>
      <c r="I74" s="121"/>
      <c r="J74" s="121"/>
      <c r="K74" s="121"/>
      <c r="L74" s="121"/>
    </row>
    <row r="75" spans="1:12" x14ac:dyDescent="0.25">
      <c r="A75" s="220"/>
      <c r="B75" s="220"/>
      <c r="C75" s="120" t="s">
        <v>314</v>
      </c>
      <c r="D75" s="121"/>
      <c r="E75" s="121"/>
      <c r="F75" s="121"/>
      <c r="G75" s="121"/>
      <c r="H75" s="121"/>
      <c r="I75" s="121"/>
      <c r="J75" s="121"/>
      <c r="K75" s="121"/>
      <c r="L75" s="121"/>
    </row>
    <row r="76" spans="1:12" x14ac:dyDescent="0.25">
      <c r="A76" s="220"/>
      <c r="B76" s="220"/>
      <c r="C76" s="120" t="s">
        <v>156</v>
      </c>
      <c r="D76" s="121"/>
      <c r="E76" s="121"/>
      <c r="F76" s="121"/>
      <c r="G76" s="121"/>
      <c r="H76" s="121"/>
      <c r="I76" s="121"/>
      <c r="J76" s="121"/>
      <c r="K76" s="121"/>
      <c r="L76" s="121"/>
    </row>
    <row r="77" spans="1:12" x14ac:dyDescent="0.25">
      <c r="A77" s="220"/>
      <c r="B77" s="220"/>
      <c r="C77" s="120" t="s">
        <v>315</v>
      </c>
      <c r="D77" s="121"/>
      <c r="E77" s="121"/>
      <c r="F77" s="121"/>
      <c r="G77" s="121"/>
      <c r="H77" s="121"/>
      <c r="I77" s="121"/>
      <c r="J77" s="121"/>
      <c r="K77" s="121"/>
      <c r="L77" s="121"/>
    </row>
    <row r="78" spans="1:12" x14ac:dyDescent="0.25">
      <c r="A78" s="220"/>
      <c r="B78" s="220"/>
      <c r="C78" s="120" t="s">
        <v>157</v>
      </c>
      <c r="D78" s="121"/>
      <c r="E78" s="121"/>
      <c r="F78" s="121"/>
      <c r="G78" s="121"/>
      <c r="H78" s="121"/>
      <c r="I78" s="121"/>
      <c r="J78" s="121"/>
      <c r="K78" s="121"/>
      <c r="L78" s="121"/>
    </row>
    <row r="79" spans="1:12" x14ac:dyDescent="0.25">
      <c r="A79" s="220"/>
      <c r="B79" s="220"/>
      <c r="C79" s="120" t="s">
        <v>316</v>
      </c>
      <c r="D79" s="121"/>
      <c r="E79" s="121"/>
      <c r="F79" s="121"/>
      <c r="G79" s="121"/>
      <c r="H79" s="121"/>
      <c r="I79" s="121"/>
      <c r="J79" s="121"/>
      <c r="K79" s="121"/>
      <c r="L79" s="121"/>
    </row>
    <row r="80" spans="1:12" x14ac:dyDescent="0.25">
      <c r="A80" s="220"/>
      <c r="B80" s="220"/>
      <c r="C80" s="120" t="s">
        <v>158</v>
      </c>
      <c r="D80" s="121"/>
      <c r="E80" s="121"/>
      <c r="F80" s="121"/>
      <c r="G80" s="121"/>
      <c r="H80" s="121"/>
      <c r="I80" s="121"/>
      <c r="J80" s="121"/>
      <c r="K80" s="121"/>
      <c r="L80" s="121"/>
    </row>
    <row r="81" spans="1:12" x14ac:dyDescent="0.25">
      <c r="A81" s="220"/>
      <c r="B81" s="220"/>
      <c r="C81" s="120" t="s">
        <v>159</v>
      </c>
      <c r="D81" s="121"/>
      <c r="E81" s="121"/>
      <c r="F81" s="121"/>
      <c r="G81" s="121"/>
      <c r="H81" s="121"/>
      <c r="I81" s="121"/>
      <c r="J81" s="121"/>
      <c r="K81" s="121"/>
      <c r="L81" s="121"/>
    </row>
    <row r="82" spans="1:12" x14ac:dyDescent="0.25">
      <c r="A82" s="220"/>
      <c r="B82" s="220"/>
      <c r="C82" s="120" t="s">
        <v>160</v>
      </c>
      <c r="D82" s="121"/>
      <c r="E82" s="121"/>
      <c r="F82" s="121"/>
      <c r="G82" s="121"/>
      <c r="H82" s="121"/>
      <c r="I82" s="121"/>
      <c r="J82" s="121"/>
      <c r="K82" s="121"/>
      <c r="L82" s="121"/>
    </row>
    <row r="83" spans="1:12" x14ac:dyDescent="0.25">
      <c r="A83" s="220"/>
      <c r="B83" s="220"/>
      <c r="C83" s="120" t="s">
        <v>317</v>
      </c>
      <c r="D83" s="121"/>
      <c r="E83" s="121"/>
      <c r="F83" s="121"/>
      <c r="G83" s="121"/>
      <c r="H83" s="121"/>
      <c r="I83" s="121"/>
      <c r="J83" s="121"/>
      <c r="K83" s="121"/>
      <c r="L83" s="121"/>
    </row>
    <row r="84" spans="1:12" x14ac:dyDescent="0.25">
      <c r="A84" s="220"/>
      <c r="B84" s="220"/>
      <c r="C84" s="120" t="s">
        <v>161</v>
      </c>
      <c r="D84" s="121"/>
      <c r="E84" s="121"/>
      <c r="F84" s="121"/>
      <c r="G84" s="121"/>
      <c r="H84" s="121"/>
      <c r="I84" s="121"/>
      <c r="J84" s="121"/>
      <c r="K84" s="121"/>
      <c r="L84" s="121"/>
    </row>
    <row r="85" spans="1:12" x14ac:dyDescent="0.25">
      <c r="A85" s="221"/>
      <c r="B85" s="221"/>
      <c r="C85" s="120" t="s">
        <v>318</v>
      </c>
      <c r="D85" s="121"/>
      <c r="E85" s="121"/>
      <c r="F85" s="121"/>
      <c r="G85" s="121"/>
      <c r="H85" s="121"/>
      <c r="I85" s="121"/>
      <c r="J85" s="121"/>
      <c r="K85" s="121"/>
      <c r="L85" s="121"/>
    </row>
    <row r="86" spans="1:12" x14ac:dyDescent="0.25">
      <c r="A86" s="219">
        <v>2038</v>
      </c>
      <c r="B86" s="219">
        <v>1200</v>
      </c>
      <c r="C86" s="120" t="s">
        <v>3</v>
      </c>
      <c r="D86" s="121"/>
      <c r="E86" s="121"/>
      <c r="F86" s="121"/>
      <c r="G86" s="121"/>
      <c r="H86" s="121"/>
      <c r="I86" s="121"/>
      <c r="J86" s="121"/>
      <c r="K86" s="121"/>
      <c r="L86" s="121"/>
    </row>
    <row r="87" spans="1:12" x14ac:dyDescent="0.25">
      <c r="A87" s="220"/>
      <c r="B87" s="220"/>
      <c r="C87" s="120" t="s">
        <v>308</v>
      </c>
      <c r="D87" s="121"/>
      <c r="E87" s="121"/>
      <c r="F87" s="121"/>
      <c r="G87" s="121"/>
      <c r="H87" s="121"/>
      <c r="I87" s="121"/>
      <c r="J87" s="121"/>
      <c r="K87" s="121"/>
      <c r="L87" s="121"/>
    </row>
    <row r="88" spans="1:12" x14ac:dyDescent="0.25">
      <c r="A88" s="220"/>
      <c r="B88" s="220"/>
      <c r="C88" s="120" t="s">
        <v>16</v>
      </c>
      <c r="D88" s="121"/>
      <c r="E88" s="121"/>
      <c r="F88" s="121"/>
      <c r="G88" s="121"/>
      <c r="H88" s="121"/>
      <c r="I88" s="121"/>
      <c r="J88" s="121"/>
      <c r="K88" s="121"/>
      <c r="L88" s="121"/>
    </row>
    <row r="89" spans="1:12" x14ac:dyDescent="0.25">
      <c r="A89" s="220"/>
      <c r="B89" s="220"/>
      <c r="C89" s="120" t="s">
        <v>148</v>
      </c>
      <c r="D89" s="121"/>
      <c r="E89" s="121"/>
      <c r="F89" s="121"/>
      <c r="G89" s="121"/>
      <c r="H89" s="121"/>
      <c r="I89" s="121"/>
      <c r="J89" s="121"/>
      <c r="K89" s="121"/>
      <c r="L89" s="121"/>
    </row>
    <row r="90" spans="1:12" x14ac:dyDescent="0.25">
      <c r="A90" s="220"/>
      <c r="B90" s="220"/>
      <c r="C90" s="120" t="s">
        <v>149</v>
      </c>
      <c r="D90" s="121"/>
      <c r="E90" s="121"/>
      <c r="F90" s="121"/>
      <c r="G90" s="121"/>
      <c r="H90" s="121"/>
      <c r="I90" s="121"/>
      <c r="J90" s="121"/>
      <c r="K90" s="121"/>
      <c r="L90" s="121"/>
    </row>
    <row r="91" spans="1:12" x14ac:dyDescent="0.25">
      <c r="A91" s="220"/>
      <c r="B91" s="220"/>
      <c r="C91" s="120" t="s">
        <v>150</v>
      </c>
      <c r="D91" s="121"/>
      <c r="E91" s="121"/>
      <c r="F91" s="121"/>
      <c r="G91" s="121"/>
      <c r="H91" s="121"/>
      <c r="I91" s="121"/>
      <c r="J91" s="121"/>
      <c r="K91" s="121"/>
      <c r="L91" s="121"/>
    </row>
    <row r="92" spans="1:12" x14ac:dyDescent="0.25">
      <c r="A92" s="220"/>
      <c r="B92" s="220"/>
      <c r="C92" s="120" t="s">
        <v>151</v>
      </c>
      <c r="D92" s="121"/>
      <c r="E92" s="121"/>
      <c r="F92" s="121"/>
      <c r="G92" s="121"/>
      <c r="H92" s="121"/>
      <c r="I92" s="121"/>
      <c r="J92" s="121"/>
      <c r="K92" s="121"/>
      <c r="L92" s="121"/>
    </row>
    <row r="93" spans="1:12" x14ac:dyDescent="0.25">
      <c r="A93" s="220"/>
      <c r="B93" s="220"/>
      <c r="C93" s="120" t="s">
        <v>309</v>
      </c>
      <c r="D93" s="121"/>
      <c r="E93" s="121"/>
      <c r="F93" s="121"/>
      <c r="G93" s="121"/>
      <c r="H93" s="121"/>
      <c r="I93" s="121"/>
      <c r="J93" s="121"/>
      <c r="K93" s="121"/>
      <c r="L93" s="121"/>
    </row>
    <row r="94" spans="1:12" x14ac:dyDescent="0.25">
      <c r="A94" s="220"/>
      <c r="B94" s="220"/>
      <c r="C94" s="120" t="s">
        <v>152</v>
      </c>
      <c r="D94" s="121"/>
      <c r="E94" s="121"/>
      <c r="F94" s="121"/>
      <c r="G94" s="121"/>
      <c r="H94" s="121"/>
      <c r="I94" s="121"/>
      <c r="J94" s="121"/>
      <c r="K94" s="121"/>
      <c r="L94" s="121"/>
    </row>
    <row r="95" spans="1:12" x14ac:dyDescent="0.25">
      <c r="A95" s="220"/>
      <c r="B95" s="220"/>
      <c r="C95" s="120" t="s">
        <v>310</v>
      </c>
      <c r="D95" s="121"/>
      <c r="E95" s="121"/>
      <c r="F95" s="121"/>
      <c r="G95" s="121"/>
      <c r="H95" s="121"/>
      <c r="I95" s="121"/>
      <c r="J95" s="121"/>
      <c r="K95" s="121"/>
      <c r="L95" s="121"/>
    </row>
    <row r="96" spans="1:12" x14ac:dyDescent="0.25">
      <c r="A96" s="220"/>
      <c r="B96" s="220"/>
      <c r="C96" s="120" t="s">
        <v>153</v>
      </c>
      <c r="D96" s="121"/>
      <c r="E96" s="121"/>
      <c r="F96" s="121"/>
      <c r="G96" s="121"/>
      <c r="H96" s="121"/>
      <c r="I96" s="121"/>
      <c r="J96" s="121"/>
      <c r="K96" s="121"/>
      <c r="L96" s="121"/>
    </row>
    <row r="97" spans="1:12" x14ac:dyDescent="0.25">
      <c r="A97" s="220"/>
      <c r="B97" s="220"/>
      <c r="C97" s="120" t="s">
        <v>311</v>
      </c>
      <c r="D97" s="121"/>
      <c r="E97" s="121"/>
      <c r="F97" s="121"/>
      <c r="G97" s="121"/>
      <c r="H97" s="121"/>
      <c r="I97" s="121"/>
      <c r="J97" s="121"/>
      <c r="K97" s="121"/>
      <c r="L97" s="121"/>
    </row>
    <row r="98" spans="1:12" x14ac:dyDescent="0.25">
      <c r="A98" s="220"/>
      <c r="B98" s="220"/>
      <c r="C98" s="120" t="s">
        <v>141</v>
      </c>
      <c r="D98" s="121"/>
      <c r="E98" s="121"/>
      <c r="F98" s="121"/>
      <c r="G98" s="121"/>
      <c r="H98" s="121"/>
      <c r="I98" s="121"/>
      <c r="J98" s="121"/>
      <c r="K98" s="121"/>
      <c r="L98" s="121"/>
    </row>
    <row r="99" spans="1:12" x14ac:dyDescent="0.25">
      <c r="A99" s="220"/>
      <c r="B99" s="220"/>
      <c r="C99" s="120" t="s">
        <v>312</v>
      </c>
      <c r="D99" s="121"/>
      <c r="E99" s="121"/>
      <c r="F99" s="121"/>
      <c r="G99" s="121"/>
      <c r="H99" s="121"/>
      <c r="I99" s="121"/>
      <c r="J99" s="121"/>
      <c r="K99" s="121"/>
      <c r="L99" s="121"/>
    </row>
    <row r="100" spans="1:12" x14ac:dyDescent="0.25">
      <c r="A100" s="220"/>
      <c r="B100" s="220"/>
      <c r="C100" s="120" t="s">
        <v>154</v>
      </c>
      <c r="D100" s="121"/>
      <c r="E100" s="121"/>
      <c r="F100" s="121"/>
      <c r="G100" s="121"/>
      <c r="H100" s="121"/>
      <c r="I100" s="121"/>
      <c r="J100" s="121"/>
      <c r="K100" s="121"/>
      <c r="L100" s="121"/>
    </row>
    <row r="101" spans="1:12" x14ac:dyDescent="0.25">
      <c r="A101" s="220"/>
      <c r="B101" s="220"/>
      <c r="C101" s="120" t="s">
        <v>313</v>
      </c>
      <c r="D101" s="121"/>
      <c r="E101" s="121"/>
      <c r="F101" s="121"/>
      <c r="G101" s="121"/>
      <c r="H101" s="121"/>
      <c r="I101" s="121"/>
      <c r="J101" s="121"/>
      <c r="K101" s="121"/>
      <c r="L101" s="121"/>
    </row>
    <row r="102" spans="1:12" x14ac:dyDescent="0.25">
      <c r="A102" s="220"/>
      <c r="B102" s="220"/>
      <c r="C102" s="120" t="s">
        <v>155</v>
      </c>
      <c r="D102" s="121"/>
      <c r="E102" s="121"/>
      <c r="F102" s="121"/>
      <c r="G102" s="121"/>
      <c r="H102" s="121"/>
      <c r="I102" s="121"/>
      <c r="J102" s="121"/>
      <c r="K102" s="121"/>
      <c r="L102" s="121"/>
    </row>
    <row r="103" spans="1:12" x14ac:dyDescent="0.25">
      <c r="A103" s="220"/>
      <c r="B103" s="220"/>
      <c r="C103" s="120" t="s">
        <v>314</v>
      </c>
      <c r="D103" s="121"/>
      <c r="E103" s="121"/>
      <c r="F103" s="121"/>
      <c r="G103" s="121"/>
      <c r="H103" s="121"/>
      <c r="I103" s="121"/>
      <c r="J103" s="121"/>
      <c r="K103" s="121"/>
      <c r="L103" s="121"/>
    </row>
    <row r="104" spans="1:12" x14ac:dyDescent="0.25">
      <c r="A104" s="220"/>
      <c r="B104" s="220"/>
      <c r="C104" s="120" t="s">
        <v>156</v>
      </c>
      <c r="D104" s="121"/>
      <c r="E104" s="121"/>
      <c r="F104" s="121"/>
      <c r="G104" s="121"/>
      <c r="H104" s="121"/>
      <c r="I104" s="121"/>
      <c r="J104" s="121"/>
      <c r="K104" s="121"/>
      <c r="L104" s="121"/>
    </row>
    <row r="105" spans="1:12" x14ac:dyDescent="0.25">
      <c r="A105" s="220"/>
      <c r="B105" s="220"/>
      <c r="C105" s="120" t="s">
        <v>315</v>
      </c>
      <c r="D105" s="121"/>
      <c r="E105" s="121"/>
      <c r="F105" s="121"/>
      <c r="G105" s="121"/>
      <c r="H105" s="121"/>
      <c r="I105" s="121"/>
      <c r="J105" s="121"/>
      <c r="K105" s="121"/>
      <c r="L105" s="121"/>
    </row>
    <row r="106" spans="1:12" x14ac:dyDescent="0.25">
      <c r="A106" s="220"/>
      <c r="B106" s="220"/>
      <c r="C106" s="120" t="s">
        <v>157</v>
      </c>
      <c r="D106" s="121"/>
      <c r="E106" s="121"/>
      <c r="F106" s="121"/>
      <c r="G106" s="121"/>
      <c r="H106" s="121"/>
      <c r="I106" s="121"/>
      <c r="J106" s="121"/>
      <c r="K106" s="121"/>
      <c r="L106" s="121"/>
    </row>
    <row r="107" spans="1:12" x14ac:dyDescent="0.25">
      <c r="A107" s="220"/>
      <c r="B107" s="220"/>
      <c r="C107" s="120" t="s">
        <v>316</v>
      </c>
      <c r="D107" s="121"/>
      <c r="E107" s="121"/>
      <c r="F107" s="121"/>
      <c r="G107" s="121"/>
      <c r="H107" s="121"/>
      <c r="I107" s="121"/>
      <c r="J107" s="121"/>
      <c r="K107" s="121"/>
      <c r="L107" s="121"/>
    </row>
    <row r="108" spans="1:12" x14ac:dyDescent="0.25">
      <c r="A108" s="220"/>
      <c r="B108" s="220"/>
      <c r="C108" s="120" t="s">
        <v>158</v>
      </c>
      <c r="D108" s="121"/>
      <c r="E108" s="121"/>
      <c r="F108" s="121"/>
      <c r="G108" s="121"/>
      <c r="H108" s="121"/>
      <c r="I108" s="121"/>
      <c r="J108" s="121"/>
      <c r="K108" s="121"/>
      <c r="L108" s="121"/>
    </row>
    <row r="109" spans="1:12" x14ac:dyDescent="0.25">
      <c r="A109" s="220"/>
      <c r="B109" s="220"/>
      <c r="C109" s="120" t="s">
        <v>159</v>
      </c>
      <c r="D109" s="121"/>
      <c r="E109" s="121"/>
      <c r="F109" s="121"/>
      <c r="G109" s="121"/>
      <c r="H109" s="121"/>
      <c r="I109" s="121"/>
      <c r="J109" s="121"/>
      <c r="K109" s="121"/>
      <c r="L109" s="121"/>
    </row>
    <row r="110" spans="1:12" x14ac:dyDescent="0.25">
      <c r="A110" s="220"/>
      <c r="B110" s="220"/>
      <c r="C110" s="120" t="s">
        <v>160</v>
      </c>
      <c r="D110" s="121"/>
      <c r="E110" s="121"/>
      <c r="F110" s="121"/>
      <c r="G110" s="121"/>
      <c r="H110" s="121"/>
      <c r="I110" s="121"/>
      <c r="J110" s="121"/>
      <c r="K110" s="121"/>
      <c r="L110" s="121"/>
    </row>
    <row r="111" spans="1:12" x14ac:dyDescent="0.25">
      <c r="A111" s="220"/>
      <c r="B111" s="220"/>
      <c r="C111" s="120" t="s">
        <v>317</v>
      </c>
      <c r="D111" s="121"/>
      <c r="E111" s="121"/>
      <c r="F111" s="121"/>
      <c r="G111" s="121"/>
      <c r="H111" s="121"/>
      <c r="I111" s="121"/>
      <c r="J111" s="121"/>
      <c r="K111" s="121"/>
      <c r="L111" s="121"/>
    </row>
    <row r="112" spans="1:12" x14ac:dyDescent="0.25">
      <c r="A112" s="220"/>
      <c r="B112" s="220"/>
      <c r="C112" s="120" t="s">
        <v>161</v>
      </c>
      <c r="D112" s="121"/>
      <c r="E112" s="121"/>
      <c r="F112" s="121"/>
      <c r="G112" s="121"/>
      <c r="H112" s="121"/>
      <c r="I112" s="121"/>
      <c r="J112" s="121"/>
      <c r="K112" s="121"/>
      <c r="L112" s="121"/>
    </row>
    <row r="113" spans="1:12" x14ac:dyDescent="0.25">
      <c r="A113" s="221"/>
      <c r="B113" s="221"/>
      <c r="C113" s="120" t="s">
        <v>318</v>
      </c>
      <c r="D113" s="121"/>
      <c r="E113" s="121"/>
      <c r="F113" s="121"/>
      <c r="G113" s="121"/>
      <c r="H113" s="121"/>
      <c r="I113" s="121"/>
      <c r="J113" s="121"/>
      <c r="K113" s="121"/>
      <c r="L113" s="121"/>
    </row>
    <row r="114" spans="1:12" x14ac:dyDescent="0.25">
      <c r="A114" s="219">
        <v>2043</v>
      </c>
      <c r="B114" s="219">
        <v>1200</v>
      </c>
      <c r="C114" s="120" t="s">
        <v>3</v>
      </c>
      <c r="D114" s="121"/>
      <c r="E114" s="121"/>
      <c r="F114" s="121"/>
      <c r="G114" s="121"/>
      <c r="H114" s="121"/>
      <c r="I114" s="121"/>
      <c r="J114" s="121"/>
      <c r="K114" s="121"/>
      <c r="L114" s="121"/>
    </row>
    <row r="115" spans="1:12" x14ac:dyDescent="0.25">
      <c r="A115" s="220"/>
      <c r="B115" s="220"/>
      <c r="C115" s="120" t="s">
        <v>308</v>
      </c>
      <c r="D115" s="121"/>
      <c r="E115" s="121"/>
      <c r="F115" s="121"/>
      <c r="G115" s="121"/>
      <c r="H115" s="121"/>
      <c r="I115" s="121"/>
      <c r="J115" s="121"/>
      <c r="K115" s="121"/>
      <c r="L115" s="121"/>
    </row>
    <row r="116" spans="1:12" x14ac:dyDescent="0.25">
      <c r="A116" s="220"/>
      <c r="B116" s="220"/>
      <c r="C116" s="120" t="s">
        <v>16</v>
      </c>
      <c r="D116" s="121"/>
      <c r="E116" s="121"/>
      <c r="F116" s="121"/>
      <c r="G116" s="121"/>
      <c r="H116" s="121"/>
      <c r="I116" s="121"/>
      <c r="J116" s="121"/>
      <c r="K116" s="121"/>
      <c r="L116" s="121"/>
    </row>
    <row r="117" spans="1:12" x14ac:dyDescent="0.25">
      <c r="A117" s="220"/>
      <c r="B117" s="220"/>
      <c r="C117" s="120" t="s">
        <v>148</v>
      </c>
      <c r="D117" s="121"/>
      <c r="E117" s="121"/>
      <c r="F117" s="121"/>
      <c r="G117" s="121"/>
      <c r="H117" s="121"/>
      <c r="I117" s="121"/>
      <c r="J117" s="121"/>
      <c r="K117" s="121"/>
      <c r="L117" s="121"/>
    </row>
    <row r="118" spans="1:12" x14ac:dyDescent="0.25">
      <c r="A118" s="220"/>
      <c r="B118" s="220"/>
      <c r="C118" s="120" t="s">
        <v>149</v>
      </c>
      <c r="D118" s="121"/>
      <c r="E118" s="121"/>
      <c r="F118" s="121"/>
      <c r="G118" s="121"/>
      <c r="H118" s="121"/>
      <c r="I118" s="121"/>
      <c r="J118" s="121"/>
      <c r="K118" s="121"/>
      <c r="L118" s="121"/>
    </row>
    <row r="119" spans="1:12" x14ac:dyDescent="0.25">
      <c r="A119" s="220"/>
      <c r="B119" s="220"/>
      <c r="C119" s="120" t="s">
        <v>150</v>
      </c>
      <c r="D119" s="121"/>
      <c r="E119" s="121"/>
      <c r="F119" s="121"/>
      <c r="G119" s="121"/>
      <c r="H119" s="121"/>
      <c r="I119" s="121"/>
      <c r="J119" s="121"/>
      <c r="K119" s="121"/>
      <c r="L119" s="121"/>
    </row>
    <row r="120" spans="1:12" x14ac:dyDescent="0.25">
      <c r="A120" s="220"/>
      <c r="B120" s="220"/>
      <c r="C120" s="120" t="s">
        <v>151</v>
      </c>
      <c r="D120" s="121"/>
      <c r="E120" s="121"/>
      <c r="F120" s="121"/>
      <c r="G120" s="121"/>
      <c r="H120" s="121"/>
      <c r="I120" s="121"/>
      <c r="J120" s="121"/>
      <c r="K120" s="121"/>
      <c r="L120" s="121"/>
    </row>
    <row r="121" spans="1:12" x14ac:dyDescent="0.25">
      <c r="A121" s="220"/>
      <c r="B121" s="220"/>
      <c r="C121" s="120" t="s">
        <v>309</v>
      </c>
      <c r="D121" s="121"/>
      <c r="E121" s="121"/>
      <c r="F121" s="121"/>
      <c r="G121" s="121"/>
      <c r="H121" s="121"/>
      <c r="I121" s="121"/>
      <c r="J121" s="121"/>
      <c r="K121" s="121"/>
      <c r="L121" s="121"/>
    </row>
    <row r="122" spans="1:12" x14ac:dyDescent="0.25">
      <c r="A122" s="220"/>
      <c r="B122" s="220"/>
      <c r="C122" s="120" t="s">
        <v>152</v>
      </c>
      <c r="D122" s="121"/>
      <c r="E122" s="121"/>
      <c r="F122" s="121"/>
      <c r="G122" s="121"/>
      <c r="H122" s="121"/>
      <c r="I122" s="121"/>
      <c r="J122" s="121"/>
      <c r="K122" s="121"/>
      <c r="L122" s="121"/>
    </row>
    <row r="123" spans="1:12" x14ac:dyDescent="0.25">
      <c r="A123" s="220"/>
      <c r="B123" s="220"/>
      <c r="C123" s="120" t="s">
        <v>310</v>
      </c>
      <c r="D123" s="121"/>
      <c r="E123" s="121"/>
      <c r="F123" s="121"/>
      <c r="G123" s="121"/>
      <c r="H123" s="121"/>
      <c r="I123" s="121"/>
      <c r="J123" s="121"/>
      <c r="K123" s="121"/>
      <c r="L123" s="121"/>
    </row>
    <row r="124" spans="1:12" x14ac:dyDescent="0.25">
      <c r="A124" s="220"/>
      <c r="B124" s="220"/>
      <c r="C124" s="120" t="s">
        <v>153</v>
      </c>
      <c r="D124" s="121"/>
      <c r="E124" s="121"/>
      <c r="F124" s="121"/>
      <c r="G124" s="121"/>
      <c r="H124" s="121"/>
      <c r="I124" s="121"/>
      <c r="J124" s="121"/>
      <c r="K124" s="121"/>
      <c r="L124" s="121"/>
    </row>
    <row r="125" spans="1:12" x14ac:dyDescent="0.25">
      <c r="A125" s="220"/>
      <c r="B125" s="220"/>
      <c r="C125" s="120" t="s">
        <v>311</v>
      </c>
      <c r="D125" s="121"/>
      <c r="E125" s="121"/>
      <c r="F125" s="121"/>
      <c r="G125" s="121"/>
      <c r="H125" s="121"/>
      <c r="I125" s="121"/>
      <c r="J125" s="121"/>
      <c r="K125" s="121"/>
      <c r="L125" s="121"/>
    </row>
    <row r="126" spans="1:12" x14ac:dyDescent="0.25">
      <c r="A126" s="220"/>
      <c r="B126" s="220"/>
      <c r="C126" s="120" t="s">
        <v>141</v>
      </c>
      <c r="D126" s="121"/>
      <c r="E126" s="121"/>
      <c r="F126" s="121"/>
      <c r="G126" s="121"/>
      <c r="H126" s="121"/>
      <c r="I126" s="121"/>
      <c r="J126" s="121"/>
      <c r="K126" s="121"/>
      <c r="L126" s="121"/>
    </row>
    <row r="127" spans="1:12" x14ac:dyDescent="0.25">
      <c r="A127" s="220"/>
      <c r="B127" s="220"/>
      <c r="C127" s="120" t="s">
        <v>312</v>
      </c>
      <c r="D127" s="121"/>
      <c r="E127" s="121"/>
      <c r="F127" s="121"/>
      <c r="G127" s="121"/>
      <c r="H127" s="121"/>
      <c r="I127" s="121"/>
      <c r="J127" s="121"/>
      <c r="K127" s="121"/>
      <c r="L127" s="121"/>
    </row>
    <row r="128" spans="1:12" x14ac:dyDescent="0.25">
      <c r="A128" s="220"/>
      <c r="B128" s="220"/>
      <c r="C128" s="120" t="s">
        <v>154</v>
      </c>
      <c r="D128" s="121"/>
      <c r="E128" s="121"/>
      <c r="F128" s="121"/>
      <c r="G128" s="121"/>
      <c r="H128" s="121"/>
      <c r="I128" s="121"/>
      <c r="J128" s="121"/>
      <c r="K128" s="121"/>
      <c r="L128" s="121"/>
    </row>
    <row r="129" spans="1:12" x14ac:dyDescent="0.25">
      <c r="A129" s="220"/>
      <c r="B129" s="220"/>
      <c r="C129" s="120" t="s">
        <v>313</v>
      </c>
      <c r="D129" s="121"/>
      <c r="E129" s="121"/>
      <c r="F129" s="121"/>
      <c r="G129" s="121"/>
      <c r="H129" s="121"/>
      <c r="I129" s="121"/>
      <c r="J129" s="121"/>
      <c r="K129" s="121"/>
      <c r="L129" s="121"/>
    </row>
    <row r="130" spans="1:12" x14ac:dyDescent="0.25">
      <c r="A130" s="220"/>
      <c r="B130" s="220"/>
      <c r="C130" s="120" t="s">
        <v>155</v>
      </c>
      <c r="D130" s="121"/>
      <c r="E130" s="121"/>
      <c r="F130" s="121"/>
      <c r="G130" s="121"/>
      <c r="H130" s="121"/>
      <c r="I130" s="121"/>
      <c r="J130" s="121"/>
      <c r="K130" s="121"/>
      <c r="L130" s="121"/>
    </row>
    <row r="131" spans="1:12" x14ac:dyDescent="0.25">
      <c r="A131" s="220"/>
      <c r="B131" s="220"/>
      <c r="C131" s="120" t="s">
        <v>314</v>
      </c>
      <c r="D131" s="121"/>
      <c r="E131" s="121"/>
      <c r="F131" s="121"/>
      <c r="G131" s="121"/>
      <c r="H131" s="121"/>
      <c r="I131" s="121"/>
      <c r="J131" s="121"/>
      <c r="K131" s="121"/>
      <c r="L131" s="121"/>
    </row>
    <row r="132" spans="1:12" x14ac:dyDescent="0.25">
      <c r="A132" s="220"/>
      <c r="B132" s="220"/>
      <c r="C132" s="120" t="s">
        <v>156</v>
      </c>
      <c r="D132" s="121"/>
      <c r="E132" s="121"/>
      <c r="F132" s="121"/>
      <c r="G132" s="121"/>
      <c r="H132" s="121"/>
      <c r="I132" s="121"/>
      <c r="J132" s="121"/>
      <c r="K132" s="121"/>
      <c r="L132" s="121"/>
    </row>
    <row r="133" spans="1:12" x14ac:dyDescent="0.25">
      <c r="A133" s="220"/>
      <c r="B133" s="220"/>
      <c r="C133" s="120" t="s">
        <v>315</v>
      </c>
      <c r="D133" s="121"/>
      <c r="E133" s="121"/>
      <c r="F133" s="121"/>
      <c r="G133" s="121"/>
      <c r="H133" s="121"/>
      <c r="I133" s="121"/>
      <c r="J133" s="121"/>
      <c r="K133" s="121"/>
      <c r="L133" s="121"/>
    </row>
    <row r="134" spans="1:12" x14ac:dyDescent="0.25">
      <c r="A134" s="220"/>
      <c r="B134" s="220"/>
      <c r="C134" s="120" t="s">
        <v>157</v>
      </c>
      <c r="D134" s="121"/>
      <c r="E134" s="121"/>
      <c r="F134" s="121"/>
      <c r="G134" s="121"/>
      <c r="H134" s="121"/>
      <c r="I134" s="121"/>
      <c r="J134" s="121"/>
      <c r="K134" s="121"/>
      <c r="L134" s="121"/>
    </row>
    <row r="135" spans="1:12" x14ac:dyDescent="0.25">
      <c r="A135" s="220"/>
      <c r="B135" s="220"/>
      <c r="C135" s="120" t="s">
        <v>316</v>
      </c>
      <c r="D135" s="121"/>
      <c r="E135" s="121"/>
      <c r="F135" s="121"/>
      <c r="G135" s="121"/>
      <c r="H135" s="121"/>
      <c r="I135" s="121"/>
      <c r="J135" s="121"/>
      <c r="K135" s="121"/>
      <c r="L135" s="121"/>
    </row>
    <row r="136" spans="1:12" x14ac:dyDescent="0.25">
      <c r="A136" s="220"/>
      <c r="B136" s="220"/>
      <c r="C136" s="120" t="s">
        <v>158</v>
      </c>
      <c r="D136" s="121"/>
      <c r="E136" s="121"/>
      <c r="F136" s="121"/>
      <c r="G136" s="121"/>
      <c r="H136" s="121"/>
      <c r="I136" s="121"/>
      <c r="J136" s="121"/>
      <c r="K136" s="121"/>
      <c r="L136" s="121"/>
    </row>
    <row r="137" spans="1:12" x14ac:dyDescent="0.25">
      <c r="A137" s="220"/>
      <c r="B137" s="220"/>
      <c r="C137" s="120" t="s">
        <v>159</v>
      </c>
      <c r="D137" s="121"/>
      <c r="E137" s="121"/>
      <c r="F137" s="121"/>
      <c r="G137" s="121"/>
      <c r="H137" s="121"/>
      <c r="I137" s="121"/>
      <c r="J137" s="121"/>
      <c r="K137" s="121"/>
      <c r="L137" s="121"/>
    </row>
    <row r="138" spans="1:12" x14ac:dyDescent="0.25">
      <c r="A138" s="220"/>
      <c r="B138" s="220"/>
      <c r="C138" s="120" t="s">
        <v>160</v>
      </c>
      <c r="D138" s="121"/>
      <c r="E138" s="121"/>
      <c r="F138" s="121"/>
      <c r="G138" s="121"/>
      <c r="H138" s="121"/>
      <c r="I138" s="121"/>
      <c r="J138" s="121"/>
      <c r="K138" s="121"/>
      <c r="L138" s="121"/>
    </row>
    <row r="139" spans="1:12" x14ac:dyDescent="0.25">
      <c r="A139" s="220"/>
      <c r="B139" s="220"/>
      <c r="C139" s="120" t="s">
        <v>317</v>
      </c>
      <c r="D139" s="121"/>
      <c r="E139" s="121"/>
      <c r="F139" s="121"/>
      <c r="G139" s="121"/>
      <c r="H139" s="121"/>
      <c r="I139" s="121"/>
      <c r="J139" s="121"/>
      <c r="K139" s="121"/>
      <c r="L139" s="121"/>
    </row>
    <row r="140" spans="1:12" x14ac:dyDescent="0.25">
      <c r="A140" s="220"/>
      <c r="B140" s="220"/>
      <c r="C140" s="120" t="s">
        <v>161</v>
      </c>
      <c r="D140" s="121"/>
      <c r="E140" s="121"/>
      <c r="F140" s="121"/>
      <c r="G140" s="121"/>
      <c r="H140" s="121"/>
      <c r="I140" s="121"/>
      <c r="J140" s="121"/>
      <c r="K140" s="121"/>
      <c r="L140" s="121"/>
    </row>
    <row r="141" spans="1:12" x14ac:dyDescent="0.25">
      <c r="A141" s="221"/>
      <c r="B141" s="221"/>
      <c r="C141" s="120" t="s">
        <v>318</v>
      </c>
      <c r="D141" s="121"/>
      <c r="E141" s="121"/>
      <c r="F141" s="121"/>
      <c r="G141" s="121"/>
      <c r="H141" s="121"/>
      <c r="I141" s="121"/>
      <c r="J141" s="121"/>
      <c r="K141" s="121"/>
      <c r="L141" s="121"/>
    </row>
    <row r="142" spans="1:12" x14ac:dyDescent="0.25">
      <c r="A142" s="219">
        <v>2048</v>
      </c>
      <c r="B142" s="219">
        <v>1200</v>
      </c>
      <c r="C142" s="120" t="s">
        <v>3</v>
      </c>
      <c r="D142" s="121"/>
      <c r="E142" s="121"/>
      <c r="F142" s="121"/>
      <c r="G142" s="121"/>
      <c r="H142" s="121"/>
      <c r="I142" s="121"/>
      <c r="J142" s="121"/>
      <c r="K142" s="121"/>
      <c r="L142" s="121"/>
    </row>
    <row r="143" spans="1:12" x14ac:dyDescent="0.25">
      <c r="A143" s="220"/>
      <c r="B143" s="220"/>
      <c r="C143" s="120" t="s">
        <v>308</v>
      </c>
      <c r="D143" s="121"/>
      <c r="E143" s="121"/>
      <c r="F143" s="121"/>
      <c r="G143" s="121"/>
      <c r="H143" s="121"/>
      <c r="I143" s="121"/>
      <c r="J143" s="121"/>
      <c r="K143" s="121"/>
      <c r="L143" s="121"/>
    </row>
    <row r="144" spans="1:12" x14ac:dyDescent="0.25">
      <c r="A144" s="220"/>
      <c r="B144" s="220"/>
      <c r="C144" s="120" t="s">
        <v>16</v>
      </c>
      <c r="D144" s="121"/>
      <c r="E144" s="121"/>
      <c r="F144" s="121"/>
      <c r="G144" s="121"/>
      <c r="H144" s="121"/>
      <c r="I144" s="121"/>
      <c r="J144" s="121"/>
      <c r="K144" s="121"/>
      <c r="L144" s="121"/>
    </row>
    <row r="145" spans="1:12" x14ac:dyDescent="0.25">
      <c r="A145" s="220"/>
      <c r="B145" s="220"/>
      <c r="C145" s="120" t="s">
        <v>148</v>
      </c>
      <c r="D145" s="121"/>
      <c r="E145" s="121"/>
      <c r="F145" s="121"/>
      <c r="G145" s="121"/>
      <c r="H145" s="121"/>
      <c r="I145" s="121"/>
      <c r="J145" s="121"/>
      <c r="K145" s="121"/>
      <c r="L145" s="121"/>
    </row>
    <row r="146" spans="1:12" x14ac:dyDescent="0.25">
      <c r="A146" s="220"/>
      <c r="B146" s="220"/>
      <c r="C146" s="120" t="s">
        <v>149</v>
      </c>
      <c r="D146" s="121"/>
      <c r="E146" s="121"/>
      <c r="F146" s="121"/>
      <c r="G146" s="121"/>
      <c r="H146" s="121"/>
      <c r="I146" s="121"/>
      <c r="J146" s="121"/>
      <c r="K146" s="121"/>
      <c r="L146" s="121"/>
    </row>
    <row r="147" spans="1:12" x14ac:dyDescent="0.25">
      <c r="A147" s="220"/>
      <c r="B147" s="220"/>
      <c r="C147" s="120" t="s">
        <v>150</v>
      </c>
      <c r="D147" s="121"/>
      <c r="E147" s="121"/>
      <c r="F147" s="121"/>
      <c r="G147" s="121"/>
      <c r="H147" s="121"/>
      <c r="I147" s="121"/>
      <c r="J147" s="121"/>
      <c r="K147" s="121"/>
      <c r="L147" s="121"/>
    </row>
    <row r="148" spans="1:12" x14ac:dyDescent="0.25">
      <c r="A148" s="220"/>
      <c r="B148" s="220"/>
      <c r="C148" s="120" t="s">
        <v>151</v>
      </c>
      <c r="D148" s="121"/>
      <c r="E148" s="121"/>
      <c r="F148" s="121"/>
      <c r="G148" s="121"/>
      <c r="H148" s="121"/>
      <c r="I148" s="121"/>
      <c r="J148" s="121"/>
      <c r="K148" s="121"/>
      <c r="L148" s="121"/>
    </row>
    <row r="149" spans="1:12" x14ac:dyDescent="0.25">
      <c r="A149" s="220"/>
      <c r="B149" s="220"/>
      <c r="C149" s="120" t="s">
        <v>309</v>
      </c>
      <c r="D149" s="121"/>
      <c r="E149" s="121"/>
      <c r="F149" s="121"/>
      <c r="G149" s="121"/>
      <c r="H149" s="121"/>
      <c r="I149" s="121"/>
      <c r="J149" s="121"/>
      <c r="K149" s="121"/>
      <c r="L149" s="121"/>
    </row>
    <row r="150" spans="1:12" x14ac:dyDescent="0.25">
      <c r="A150" s="220"/>
      <c r="B150" s="220"/>
      <c r="C150" s="120" t="s">
        <v>152</v>
      </c>
      <c r="D150" s="121"/>
      <c r="E150" s="121"/>
      <c r="F150" s="121"/>
      <c r="G150" s="121"/>
      <c r="H150" s="121"/>
      <c r="I150" s="121"/>
      <c r="J150" s="121"/>
      <c r="K150" s="121"/>
      <c r="L150" s="121"/>
    </row>
    <row r="151" spans="1:12" x14ac:dyDescent="0.25">
      <c r="A151" s="220"/>
      <c r="B151" s="220"/>
      <c r="C151" s="120" t="s">
        <v>310</v>
      </c>
      <c r="D151" s="121"/>
      <c r="E151" s="121"/>
      <c r="F151" s="121"/>
      <c r="G151" s="121"/>
      <c r="H151" s="121"/>
      <c r="I151" s="121"/>
      <c r="J151" s="121"/>
      <c r="K151" s="121"/>
      <c r="L151" s="121"/>
    </row>
    <row r="152" spans="1:12" x14ac:dyDescent="0.25">
      <c r="A152" s="220"/>
      <c r="B152" s="220"/>
      <c r="C152" s="120" t="s">
        <v>153</v>
      </c>
      <c r="D152" s="121"/>
      <c r="E152" s="121"/>
      <c r="F152" s="121"/>
      <c r="G152" s="121"/>
      <c r="H152" s="121"/>
      <c r="I152" s="121"/>
      <c r="J152" s="121"/>
      <c r="K152" s="121"/>
      <c r="L152" s="121"/>
    </row>
    <row r="153" spans="1:12" x14ac:dyDescent="0.25">
      <c r="A153" s="220"/>
      <c r="B153" s="220"/>
      <c r="C153" s="120" t="s">
        <v>311</v>
      </c>
      <c r="D153" s="121"/>
      <c r="E153" s="121"/>
      <c r="F153" s="121"/>
      <c r="G153" s="121"/>
      <c r="H153" s="121"/>
      <c r="I153" s="121"/>
      <c r="J153" s="121"/>
      <c r="K153" s="121"/>
      <c r="L153" s="121"/>
    </row>
    <row r="154" spans="1:12" x14ac:dyDescent="0.25">
      <c r="A154" s="220"/>
      <c r="B154" s="220"/>
      <c r="C154" s="120" t="s">
        <v>141</v>
      </c>
      <c r="D154" s="121"/>
      <c r="E154" s="121"/>
      <c r="F154" s="121"/>
      <c r="G154" s="121"/>
      <c r="H154" s="121"/>
      <c r="I154" s="121"/>
      <c r="J154" s="121"/>
      <c r="K154" s="121"/>
      <c r="L154" s="121"/>
    </row>
    <row r="155" spans="1:12" x14ac:dyDescent="0.25">
      <c r="A155" s="220"/>
      <c r="B155" s="220"/>
      <c r="C155" s="120" t="s">
        <v>312</v>
      </c>
      <c r="D155" s="121"/>
      <c r="E155" s="121"/>
      <c r="F155" s="121"/>
      <c r="G155" s="121"/>
      <c r="H155" s="121"/>
      <c r="I155" s="121"/>
      <c r="J155" s="121"/>
      <c r="K155" s="121"/>
      <c r="L155" s="121"/>
    </row>
    <row r="156" spans="1:12" x14ac:dyDescent="0.25">
      <c r="A156" s="220"/>
      <c r="B156" s="220"/>
      <c r="C156" s="120" t="s">
        <v>154</v>
      </c>
      <c r="D156" s="121"/>
      <c r="E156" s="121"/>
      <c r="F156" s="121"/>
      <c r="G156" s="121"/>
      <c r="H156" s="121"/>
      <c r="I156" s="121"/>
      <c r="J156" s="121"/>
      <c r="K156" s="121"/>
      <c r="L156" s="121"/>
    </row>
    <row r="157" spans="1:12" x14ac:dyDescent="0.25">
      <c r="A157" s="220"/>
      <c r="B157" s="220"/>
      <c r="C157" s="120" t="s">
        <v>313</v>
      </c>
      <c r="D157" s="121"/>
      <c r="E157" s="121"/>
      <c r="F157" s="121"/>
      <c r="G157" s="121"/>
      <c r="H157" s="121"/>
      <c r="I157" s="121"/>
      <c r="J157" s="121"/>
      <c r="K157" s="121"/>
      <c r="L157" s="121"/>
    </row>
    <row r="158" spans="1:12" x14ac:dyDescent="0.25">
      <c r="A158" s="220"/>
      <c r="B158" s="220"/>
      <c r="C158" s="120" t="s">
        <v>155</v>
      </c>
      <c r="D158" s="121"/>
      <c r="E158" s="121"/>
      <c r="F158" s="121"/>
      <c r="G158" s="121"/>
      <c r="H158" s="121"/>
      <c r="I158" s="121"/>
      <c r="J158" s="121"/>
      <c r="K158" s="121"/>
      <c r="L158" s="121"/>
    </row>
    <row r="159" spans="1:12" x14ac:dyDescent="0.25">
      <c r="A159" s="220"/>
      <c r="B159" s="220"/>
      <c r="C159" s="120" t="s">
        <v>314</v>
      </c>
      <c r="D159" s="121"/>
      <c r="E159" s="121"/>
      <c r="F159" s="121"/>
      <c r="G159" s="121"/>
      <c r="H159" s="121"/>
      <c r="I159" s="121"/>
      <c r="J159" s="121"/>
      <c r="K159" s="121"/>
      <c r="L159" s="121"/>
    </row>
    <row r="160" spans="1:12" x14ac:dyDescent="0.25">
      <c r="A160" s="220"/>
      <c r="B160" s="220"/>
      <c r="C160" s="120" t="s">
        <v>156</v>
      </c>
      <c r="D160" s="121"/>
      <c r="E160" s="121"/>
      <c r="F160" s="121"/>
      <c r="G160" s="121"/>
      <c r="H160" s="121"/>
      <c r="I160" s="121"/>
      <c r="J160" s="121"/>
      <c r="K160" s="121"/>
      <c r="L160" s="121"/>
    </row>
    <row r="161" spans="1:12" x14ac:dyDescent="0.25">
      <c r="A161" s="220"/>
      <c r="B161" s="220"/>
      <c r="C161" s="120" t="s">
        <v>315</v>
      </c>
      <c r="D161" s="121"/>
      <c r="E161" s="121"/>
      <c r="F161" s="121"/>
      <c r="G161" s="121"/>
      <c r="H161" s="121"/>
      <c r="I161" s="121"/>
      <c r="J161" s="121"/>
      <c r="K161" s="121"/>
      <c r="L161" s="121"/>
    </row>
    <row r="162" spans="1:12" x14ac:dyDescent="0.25">
      <c r="A162" s="220"/>
      <c r="B162" s="220"/>
      <c r="C162" s="120" t="s">
        <v>157</v>
      </c>
      <c r="D162" s="121"/>
      <c r="E162" s="121"/>
      <c r="F162" s="121"/>
      <c r="G162" s="121"/>
      <c r="H162" s="121"/>
      <c r="I162" s="121"/>
      <c r="J162" s="121"/>
      <c r="K162" s="121"/>
      <c r="L162" s="121"/>
    </row>
    <row r="163" spans="1:12" x14ac:dyDescent="0.25">
      <c r="A163" s="220"/>
      <c r="B163" s="220"/>
      <c r="C163" s="120" t="s">
        <v>316</v>
      </c>
      <c r="D163" s="121"/>
      <c r="E163" s="121"/>
      <c r="F163" s="121"/>
      <c r="G163" s="121"/>
      <c r="H163" s="121"/>
      <c r="I163" s="121"/>
      <c r="J163" s="121"/>
      <c r="K163" s="121"/>
      <c r="L163" s="121"/>
    </row>
    <row r="164" spans="1:12" x14ac:dyDescent="0.25">
      <c r="A164" s="220"/>
      <c r="B164" s="220"/>
      <c r="C164" s="120" t="s">
        <v>158</v>
      </c>
      <c r="D164" s="121"/>
      <c r="E164" s="121"/>
      <c r="F164" s="121"/>
      <c r="G164" s="121"/>
      <c r="H164" s="121"/>
      <c r="I164" s="121"/>
      <c r="J164" s="121"/>
      <c r="K164" s="121"/>
      <c r="L164" s="121"/>
    </row>
    <row r="165" spans="1:12" x14ac:dyDescent="0.25">
      <c r="A165" s="220"/>
      <c r="B165" s="220"/>
      <c r="C165" s="120" t="s">
        <v>159</v>
      </c>
      <c r="D165" s="121"/>
      <c r="E165" s="121"/>
      <c r="F165" s="121"/>
      <c r="G165" s="121"/>
      <c r="H165" s="121"/>
      <c r="I165" s="121"/>
      <c r="J165" s="121"/>
      <c r="K165" s="121"/>
      <c r="L165" s="121"/>
    </row>
    <row r="166" spans="1:12" x14ac:dyDescent="0.25">
      <c r="A166" s="220"/>
      <c r="B166" s="220"/>
      <c r="C166" s="120" t="s">
        <v>160</v>
      </c>
      <c r="D166" s="121"/>
      <c r="E166" s="121"/>
      <c r="F166" s="121"/>
      <c r="G166" s="121"/>
      <c r="H166" s="121"/>
      <c r="I166" s="121"/>
      <c r="J166" s="121"/>
      <c r="K166" s="121"/>
      <c r="L166" s="121"/>
    </row>
    <row r="167" spans="1:12" x14ac:dyDescent="0.25">
      <c r="A167" s="220"/>
      <c r="B167" s="220"/>
      <c r="C167" s="120" t="s">
        <v>317</v>
      </c>
      <c r="D167" s="121"/>
      <c r="E167" s="121"/>
      <c r="F167" s="121"/>
      <c r="G167" s="121"/>
      <c r="H167" s="121"/>
      <c r="I167" s="121"/>
      <c r="J167" s="121"/>
      <c r="K167" s="121"/>
      <c r="L167" s="121"/>
    </row>
    <row r="168" spans="1:12" x14ac:dyDescent="0.25">
      <c r="A168" s="220"/>
      <c r="B168" s="220"/>
      <c r="C168" s="120" t="s">
        <v>161</v>
      </c>
      <c r="D168" s="121"/>
      <c r="E168" s="121"/>
      <c r="F168" s="121"/>
      <c r="G168" s="121"/>
      <c r="H168" s="121"/>
      <c r="I168" s="121"/>
      <c r="J168" s="121"/>
      <c r="K168" s="121"/>
      <c r="L168" s="121"/>
    </row>
    <row r="169" spans="1:12" x14ac:dyDescent="0.25">
      <c r="A169" s="221"/>
      <c r="B169" s="221"/>
      <c r="C169" s="120" t="s">
        <v>318</v>
      </c>
      <c r="D169" s="121"/>
      <c r="E169" s="121"/>
      <c r="F169" s="121"/>
      <c r="G169" s="121"/>
      <c r="H169" s="121"/>
      <c r="I169" s="121"/>
      <c r="J169" s="121"/>
      <c r="K169" s="121"/>
      <c r="L169" s="121"/>
    </row>
  </sheetData>
  <mergeCells count="13">
    <mergeCell ref="O1:P1"/>
    <mergeCell ref="A2:A29"/>
    <mergeCell ref="B2:B29"/>
    <mergeCell ref="A30:A57"/>
    <mergeCell ref="B30:B57"/>
    <mergeCell ref="A142:A169"/>
    <mergeCell ref="B142:B169"/>
    <mergeCell ref="A58:A85"/>
    <mergeCell ref="B58:B85"/>
    <mergeCell ref="A86:A113"/>
    <mergeCell ref="B86:B113"/>
    <mergeCell ref="A114:A141"/>
    <mergeCell ref="B114:B141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>
    <tabColor theme="5"/>
  </sheetPr>
  <dimension ref="A1:X25"/>
  <sheetViews>
    <sheetView workbookViewId="0">
      <selection activeCell="F29" sqref="F29"/>
    </sheetView>
  </sheetViews>
  <sheetFormatPr baseColWidth="10" defaultRowHeight="15" x14ac:dyDescent="0.25"/>
  <cols>
    <col min="1" max="1" width="63.5703125" bestFit="1" customWidth="1"/>
    <col min="2" max="2" width="14.5703125" bestFit="1" customWidth="1"/>
    <col min="3" max="3" width="15.42578125" bestFit="1" customWidth="1"/>
    <col min="7" max="7" width="12.42578125" bestFit="1" customWidth="1"/>
  </cols>
  <sheetData>
    <row r="1" spans="1:24" ht="18.75" x14ac:dyDescent="0.3">
      <c r="A1" s="36" t="s">
        <v>0</v>
      </c>
      <c r="B1" s="37" t="s">
        <v>139</v>
      </c>
      <c r="C1" s="37" t="s">
        <v>140</v>
      </c>
    </row>
    <row r="2" spans="1:24" x14ac:dyDescent="0.25">
      <c r="A2" s="40" t="s">
        <v>3</v>
      </c>
      <c r="B2" s="142"/>
      <c r="C2" s="142" t="s">
        <v>52</v>
      </c>
      <c r="X2" s="39" t="s">
        <v>53</v>
      </c>
    </row>
    <row r="3" spans="1:24" x14ac:dyDescent="0.25">
      <c r="A3" s="40" t="s">
        <v>16</v>
      </c>
      <c r="B3" s="142"/>
      <c r="C3" s="142" t="s">
        <v>137</v>
      </c>
      <c r="X3" s="39" t="s">
        <v>52</v>
      </c>
    </row>
    <row r="4" spans="1:24" x14ac:dyDescent="0.25">
      <c r="A4" s="40" t="s">
        <v>148</v>
      </c>
      <c r="B4" s="142"/>
      <c r="C4" s="142" t="s">
        <v>138</v>
      </c>
      <c r="X4" s="39" t="s">
        <v>48</v>
      </c>
    </row>
    <row r="5" spans="1:24" x14ac:dyDescent="0.25">
      <c r="A5" s="40" t="s">
        <v>149</v>
      </c>
      <c r="B5" s="142"/>
      <c r="C5" s="142" t="s">
        <v>138</v>
      </c>
      <c r="X5" s="39" t="s">
        <v>49</v>
      </c>
    </row>
    <row r="6" spans="1:24" x14ac:dyDescent="0.25">
      <c r="A6" s="40" t="s">
        <v>150</v>
      </c>
      <c r="B6" s="142"/>
      <c r="C6" s="142" t="s">
        <v>138</v>
      </c>
      <c r="X6" s="39" t="s">
        <v>138</v>
      </c>
    </row>
    <row r="7" spans="1:24" x14ac:dyDescent="0.25">
      <c r="A7" s="40" t="s">
        <v>151</v>
      </c>
      <c r="B7" s="142"/>
      <c r="C7" s="142" t="s">
        <v>138</v>
      </c>
      <c r="X7" s="39" t="s">
        <v>146</v>
      </c>
    </row>
    <row r="8" spans="1:24" x14ac:dyDescent="0.25">
      <c r="A8" s="40" t="s">
        <v>152</v>
      </c>
      <c r="B8" s="142"/>
      <c r="C8" s="142" t="s">
        <v>138</v>
      </c>
    </row>
    <row r="9" spans="1:24" x14ac:dyDescent="0.25">
      <c r="A9" s="67" t="s">
        <v>153</v>
      </c>
      <c r="B9" s="142"/>
      <c r="C9" s="142" t="s">
        <v>138</v>
      </c>
      <c r="D9" s="35"/>
      <c r="E9" s="35"/>
    </row>
    <row r="10" spans="1:24" x14ac:dyDescent="0.25">
      <c r="A10" s="223" t="s">
        <v>141</v>
      </c>
      <c r="B10" s="142" t="s">
        <v>59</v>
      </c>
      <c r="C10" s="142" t="s">
        <v>52</v>
      </c>
    </row>
    <row r="11" spans="1:24" x14ac:dyDescent="0.25">
      <c r="A11" s="223"/>
      <c r="B11" s="142" t="s">
        <v>142</v>
      </c>
      <c r="C11" s="142" t="s">
        <v>138</v>
      </c>
    </row>
    <row r="12" spans="1:24" x14ac:dyDescent="0.25">
      <c r="A12" s="223" t="s">
        <v>154</v>
      </c>
      <c r="B12" s="142" t="s">
        <v>59</v>
      </c>
      <c r="C12" s="142" t="s">
        <v>52</v>
      </c>
    </row>
    <row r="13" spans="1:24" x14ac:dyDescent="0.25">
      <c r="A13" s="223"/>
      <c r="B13" s="142" t="s">
        <v>143</v>
      </c>
      <c r="C13" s="142" t="s">
        <v>52</v>
      </c>
    </row>
    <row r="14" spans="1:24" x14ac:dyDescent="0.25">
      <c r="A14" s="223" t="s">
        <v>155</v>
      </c>
      <c r="B14" s="142" t="s">
        <v>59</v>
      </c>
      <c r="C14" s="142" t="s">
        <v>52</v>
      </c>
    </row>
    <row r="15" spans="1:24" x14ac:dyDescent="0.25">
      <c r="A15" s="223"/>
      <c r="B15" s="142" t="s">
        <v>143</v>
      </c>
      <c r="C15" s="142" t="s">
        <v>52</v>
      </c>
    </row>
    <row r="16" spans="1:24" x14ac:dyDescent="0.25">
      <c r="A16" s="223" t="s">
        <v>156</v>
      </c>
      <c r="B16" s="142" t="s">
        <v>59</v>
      </c>
      <c r="C16" s="142" t="s">
        <v>52</v>
      </c>
    </row>
    <row r="17" spans="1:3" x14ac:dyDescent="0.25">
      <c r="A17" s="223"/>
      <c r="B17" s="142" t="s">
        <v>144</v>
      </c>
      <c r="C17" s="142" t="s">
        <v>145</v>
      </c>
    </row>
    <row r="18" spans="1:3" x14ac:dyDescent="0.25">
      <c r="A18" s="223" t="s">
        <v>157</v>
      </c>
      <c r="B18" s="142" t="s">
        <v>59</v>
      </c>
      <c r="C18" s="142" t="s">
        <v>52</v>
      </c>
    </row>
    <row r="19" spans="1:3" x14ac:dyDescent="0.25">
      <c r="A19" s="223"/>
      <c r="B19" s="142" t="s">
        <v>144</v>
      </c>
      <c r="C19" s="142" t="s">
        <v>145</v>
      </c>
    </row>
    <row r="20" spans="1:3" x14ac:dyDescent="0.25">
      <c r="A20" s="223" t="s">
        <v>158</v>
      </c>
      <c r="B20" s="142" t="s">
        <v>142</v>
      </c>
      <c r="C20" s="142" t="s">
        <v>138</v>
      </c>
    </row>
    <row r="21" spans="1:3" x14ac:dyDescent="0.25">
      <c r="A21" s="223"/>
      <c r="B21" s="142" t="s">
        <v>144</v>
      </c>
      <c r="C21" s="142" t="s">
        <v>145</v>
      </c>
    </row>
    <row r="22" spans="1:3" x14ac:dyDescent="0.25">
      <c r="A22" s="223" t="s">
        <v>159</v>
      </c>
      <c r="B22" s="142" t="s">
        <v>142</v>
      </c>
      <c r="C22" s="142" t="s">
        <v>138</v>
      </c>
    </row>
    <row r="23" spans="1:3" x14ac:dyDescent="0.25">
      <c r="A23" s="223"/>
      <c r="B23" s="142" t="s">
        <v>144</v>
      </c>
      <c r="C23" s="142" t="s">
        <v>145</v>
      </c>
    </row>
    <row r="24" spans="1:3" x14ac:dyDescent="0.25">
      <c r="A24" s="38" t="s">
        <v>160</v>
      </c>
      <c r="B24" s="142"/>
      <c r="C24" s="143" t="s">
        <v>199</v>
      </c>
    </row>
    <row r="25" spans="1:3" x14ac:dyDescent="0.25">
      <c r="A25" s="38" t="s">
        <v>161</v>
      </c>
      <c r="B25" s="142"/>
      <c r="C25" s="143" t="s">
        <v>200</v>
      </c>
    </row>
  </sheetData>
  <sheetProtection algorithmName="SHA-512" hashValue="jLNB4CPy04TNtRrCSEhzKol8mbbrnCtNqkFTkt7JNYT2edXHTZmZVX+lPRn8gUz/615S/tKmhAUJmh80PqN+tA==" saltValue="F8cqugl6yl6GklrTxRIWJQ==" spinCount="100000" sheet="1" objects="1" scenarios="1"/>
  <mergeCells count="7">
    <mergeCell ref="A18:A19"/>
    <mergeCell ref="A20:A21"/>
    <mergeCell ref="A22:A23"/>
    <mergeCell ref="A10:A11"/>
    <mergeCell ref="A12:A13"/>
    <mergeCell ref="A14:A15"/>
    <mergeCell ref="A16:A17"/>
  </mergeCells>
  <dataValidations count="2">
    <dataValidation type="list" allowBlank="1" showInputMessage="1" showErrorMessage="1" sqref="C2 C18 C12:C16 C10" xr:uid="{00000000-0002-0000-0700-000000000000}">
      <formula1>$X$2:$X$5</formula1>
    </dataValidation>
    <dataValidation type="list" allowBlank="1" showInputMessage="1" showErrorMessage="1" sqref="C4:C9 C11 C20 C22" xr:uid="{00000000-0002-0000-0700-000001000000}">
      <formula1>$X$6:$X$7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3">
    <tabColor theme="7" tint="0.79998168889431442"/>
  </sheetPr>
  <dimension ref="A1:O282"/>
  <sheetViews>
    <sheetView zoomScale="85" zoomScaleNormal="85" workbookViewId="0">
      <pane ySplit="1" topLeftCell="A20" activePane="bottomLeft" state="frozen"/>
      <selection activeCell="F28" sqref="F28"/>
      <selection pane="bottomLeft" activeCell="F11" sqref="F11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51">
        <v>15</v>
      </c>
      <c r="F1" s="52">
        <v>30</v>
      </c>
      <c r="G1" s="52">
        <v>70</v>
      </c>
      <c r="H1" s="52">
        <v>125</v>
      </c>
      <c r="I1" s="52">
        <v>200</v>
      </c>
      <c r="J1" s="52">
        <v>350</v>
      </c>
      <c r="K1" s="52">
        <v>850</v>
      </c>
      <c r="L1" s="52">
        <v>1900</v>
      </c>
      <c r="M1" s="52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122">
        <v>20</v>
      </c>
      <c r="F2" s="122">
        <v>20</v>
      </c>
      <c r="G2" s="122">
        <v>20</v>
      </c>
      <c r="H2" s="122">
        <v>20</v>
      </c>
      <c r="I2" s="122">
        <v>20</v>
      </c>
      <c r="J2" s="122">
        <v>20</v>
      </c>
      <c r="K2" s="122">
        <v>20</v>
      </c>
      <c r="L2" s="122">
        <v>20</v>
      </c>
      <c r="M2" s="122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123">
        <v>218.34121214018199</v>
      </c>
      <c r="F3" s="123">
        <v>184.87398682120613</v>
      </c>
      <c r="G3" s="123">
        <v>143.96390422813076</v>
      </c>
      <c r="H3" s="123">
        <v>115.96852782183296</v>
      </c>
      <c r="I3" s="123">
        <v>107.31263157894738</v>
      </c>
      <c r="J3" s="123">
        <v>107.00631578947369</v>
      </c>
      <c r="K3" s="123">
        <v>105.98526315789475</v>
      </c>
      <c r="L3" s="123">
        <v>103.84105263157896</v>
      </c>
      <c r="M3" s="123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124">
        <v>0</v>
      </c>
      <c r="F4" s="124">
        <v>0</v>
      </c>
      <c r="G4" s="124">
        <v>0</v>
      </c>
      <c r="H4" s="124">
        <v>0</v>
      </c>
      <c r="I4" s="124">
        <v>0</v>
      </c>
      <c r="J4" s="124">
        <v>0</v>
      </c>
      <c r="K4" s="124">
        <v>0</v>
      </c>
      <c r="L4" s="124">
        <v>0</v>
      </c>
      <c r="M4" s="124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122"/>
      <c r="F5" s="122"/>
      <c r="G5" s="122"/>
      <c r="H5" s="122"/>
      <c r="I5" s="122"/>
      <c r="J5" s="122"/>
      <c r="K5" s="122"/>
      <c r="L5" s="122"/>
      <c r="M5" s="122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123">
        <v>6.5502363642054595</v>
      </c>
      <c r="F6" s="123">
        <v>5.5462196046361836</v>
      </c>
      <c r="G6" s="123">
        <v>4.3189171268439228</v>
      </c>
      <c r="H6" s="123">
        <v>3.4790558346549889</v>
      </c>
      <c r="I6" s="123">
        <v>2.0378947368421052</v>
      </c>
      <c r="J6" s="123">
        <v>2.0189473684210526</v>
      </c>
      <c r="K6" s="123">
        <v>1.9557894736842103</v>
      </c>
      <c r="L6" s="123">
        <v>1.8231578947368419</v>
      </c>
      <c r="M6" s="123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123">
        <v>0</v>
      </c>
      <c r="F7" s="123">
        <v>0</v>
      </c>
      <c r="G7" s="123">
        <v>0</v>
      </c>
      <c r="H7" s="123">
        <v>0</v>
      </c>
      <c r="I7" s="123">
        <v>0</v>
      </c>
      <c r="J7" s="123">
        <v>0</v>
      </c>
      <c r="K7" s="123">
        <v>1.6357894736842103E-3</v>
      </c>
      <c r="L7" s="123">
        <v>1.5031578947368419E-3</v>
      </c>
      <c r="M7" s="123">
        <v>1.2378947368421051E-3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123">
        <v>0</v>
      </c>
      <c r="F8" s="122"/>
      <c r="G8" s="122"/>
      <c r="H8" s="122"/>
      <c r="I8" s="122"/>
      <c r="J8" s="122"/>
      <c r="K8" s="122"/>
      <c r="L8" s="122"/>
      <c r="M8" s="122"/>
      <c r="N8" s="54"/>
    </row>
    <row r="9" spans="1:14" x14ac:dyDescent="0.25">
      <c r="A9" s="208"/>
      <c r="B9" s="224"/>
      <c r="C9" s="25" t="s">
        <v>12</v>
      </c>
      <c r="D9" s="1" t="s">
        <v>7</v>
      </c>
      <c r="E9" s="124">
        <v>0.94349999999999989</v>
      </c>
      <c r="F9" s="124">
        <v>0.94349999999999989</v>
      </c>
      <c r="G9" s="124">
        <v>0.94349999999999989</v>
      </c>
      <c r="H9" s="124">
        <v>0.94349999999999989</v>
      </c>
      <c r="I9" s="124">
        <v>0.94349999999999989</v>
      </c>
      <c r="J9" s="124">
        <v>0.94349999999999989</v>
      </c>
      <c r="K9" s="124">
        <v>0.99</v>
      </c>
      <c r="L9" s="124">
        <v>0.99</v>
      </c>
      <c r="M9" s="124">
        <v>0.99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123">
        <v>1524.6</v>
      </c>
      <c r="F10" s="123">
        <v>1749.6</v>
      </c>
      <c r="G10" s="123">
        <v>2349.6</v>
      </c>
      <c r="H10" s="123">
        <v>3174.6</v>
      </c>
      <c r="I10" s="123">
        <v>4299.6000000000004</v>
      </c>
      <c r="J10" s="123">
        <v>14213</v>
      </c>
      <c r="K10" s="123">
        <v>21713</v>
      </c>
      <c r="L10" s="123">
        <v>37463</v>
      </c>
      <c r="M10" s="123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122">
        <v>40</v>
      </c>
      <c r="F11" s="122">
        <v>40</v>
      </c>
      <c r="G11" s="122">
        <v>40</v>
      </c>
      <c r="H11" s="122">
        <v>40</v>
      </c>
      <c r="I11" s="122">
        <v>40</v>
      </c>
      <c r="J11" s="122">
        <v>40</v>
      </c>
      <c r="K11" s="122">
        <v>40</v>
      </c>
      <c r="L11" s="122">
        <v>40</v>
      </c>
      <c r="M11" s="122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122">
        <v>20</v>
      </c>
      <c r="F12" s="122">
        <v>20</v>
      </c>
      <c r="G12" s="122">
        <v>20</v>
      </c>
      <c r="H12" s="122">
        <v>20</v>
      </c>
      <c r="I12" s="122">
        <v>20</v>
      </c>
      <c r="J12" s="122">
        <v>20</v>
      </c>
      <c r="K12" s="122">
        <v>20</v>
      </c>
      <c r="L12" s="122">
        <v>20</v>
      </c>
      <c r="M12" s="122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123">
        <v>558.65265042413671</v>
      </c>
      <c r="F13" s="123">
        <v>352.73550340580886</v>
      </c>
      <c r="G13" s="123">
        <v>201.0695678061135</v>
      </c>
      <c r="H13" s="123">
        <v>136.8683894043277</v>
      </c>
      <c r="I13" s="123">
        <v>120.6</v>
      </c>
      <c r="J13" s="123">
        <v>120.6</v>
      </c>
      <c r="K13" s="123">
        <v>187.07496087792157</v>
      </c>
      <c r="L13" s="123">
        <v>271.30291449905741</v>
      </c>
      <c r="M13" s="123">
        <v>439.75882174132914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124">
        <v>0</v>
      </c>
      <c r="F14" s="124">
        <v>0</v>
      </c>
      <c r="G14" s="124">
        <v>0</v>
      </c>
      <c r="H14" s="124">
        <v>0</v>
      </c>
      <c r="I14" s="124">
        <v>0</v>
      </c>
      <c r="J14" s="124">
        <v>0</v>
      </c>
      <c r="K14" s="124">
        <v>0</v>
      </c>
      <c r="L14" s="124">
        <v>0</v>
      </c>
      <c r="M14" s="124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122"/>
      <c r="F15" s="122"/>
      <c r="G15" s="122"/>
      <c r="H15" s="122"/>
      <c r="I15" s="122"/>
      <c r="J15" s="122"/>
      <c r="K15" s="122"/>
      <c r="L15" s="122"/>
      <c r="M15" s="122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123">
        <v>33.519159025448168</v>
      </c>
      <c r="F16" s="123">
        <v>21.16413020434851</v>
      </c>
      <c r="G16" s="123">
        <v>12.0641740683668</v>
      </c>
      <c r="H16" s="123">
        <v>8.2121033642596579</v>
      </c>
      <c r="I16" s="123">
        <v>7.7476375167543381</v>
      </c>
      <c r="J16" s="123">
        <v>7.7476375167543381</v>
      </c>
      <c r="K16" s="123">
        <v>7.3651642626194009</v>
      </c>
      <c r="L16" s="123">
        <v>6.7473228520937312</v>
      </c>
      <c r="M16" s="123">
        <v>5.5116400310423916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1.8177407782710754E-3</v>
      </c>
      <c r="L17" s="123">
        <v>1.8177407782710754E-3</v>
      </c>
      <c r="M17" s="123">
        <v>1.8177407782710754E-3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123">
        <v>0</v>
      </c>
      <c r="F18" s="123">
        <v>0</v>
      </c>
      <c r="G18" s="123">
        <v>0</v>
      </c>
      <c r="H18" s="123">
        <v>0</v>
      </c>
      <c r="I18" s="123">
        <v>0</v>
      </c>
      <c r="J18" s="123">
        <v>0</v>
      </c>
      <c r="K18" s="123">
        <v>0</v>
      </c>
      <c r="L18" s="123">
        <v>0</v>
      </c>
      <c r="M18" s="123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124">
        <v>0.66</v>
      </c>
      <c r="F19" s="124">
        <v>0.66</v>
      </c>
      <c r="G19" s="124">
        <v>0.66</v>
      </c>
      <c r="H19" s="124">
        <v>0.66</v>
      </c>
      <c r="I19" s="124">
        <v>0.66</v>
      </c>
      <c r="J19" s="124">
        <v>0.66</v>
      </c>
      <c r="K19" s="124">
        <v>0.66</v>
      </c>
      <c r="L19" s="124">
        <v>0.95899999999999996</v>
      </c>
      <c r="M19" s="124">
        <v>0.95899999999999996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122"/>
      <c r="F20" s="122"/>
      <c r="G20" s="122"/>
      <c r="H20" s="122"/>
      <c r="I20" s="122"/>
      <c r="J20" s="122"/>
      <c r="K20" s="122"/>
      <c r="L20" s="122"/>
      <c r="M20" s="122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122"/>
      <c r="F21" s="122"/>
      <c r="G21" s="122"/>
      <c r="H21" s="122"/>
      <c r="I21" s="122"/>
      <c r="J21" s="122"/>
      <c r="K21" s="122"/>
      <c r="L21" s="122"/>
      <c r="M21" s="122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122">
        <v>20</v>
      </c>
      <c r="F22" s="122">
        <v>20</v>
      </c>
      <c r="G22" s="122">
        <v>20</v>
      </c>
      <c r="H22" s="122">
        <v>20</v>
      </c>
      <c r="I22" s="122">
        <v>20</v>
      </c>
      <c r="J22" s="122">
        <v>20</v>
      </c>
      <c r="K22" s="122">
        <v>20</v>
      </c>
      <c r="L22" s="122">
        <v>20</v>
      </c>
      <c r="M22" s="122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123">
        <v>939.47924488610727</v>
      </c>
      <c r="F23" s="123">
        <v>670.86780042435419</v>
      </c>
      <c r="G23" s="123">
        <v>523.42631254470632</v>
      </c>
      <c r="H23" s="123">
        <v>523.42631254470632</v>
      </c>
      <c r="I23" s="123">
        <v>523.42631254470632</v>
      </c>
      <c r="J23" s="123">
        <v>523.42631254470632</v>
      </c>
      <c r="K23" s="123">
        <v>1136.3124641115969</v>
      </c>
      <c r="L23" s="123">
        <v>988.42533284709032</v>
      </c>
      <c r="M23" s="123">
        <v>868.76381718516643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124">
        <v>0.35</v>
      </c>
      <c r="F24" s="124">
        <v>0.35</v>
      </c>
      <c r="G24" s="124">
        <v>0.35</v>
      </c>
      <c r="H24" s="124">
        <v>0.35</v>
      </c>
      <c r="I24" s="124">
        <v>0.35</v>
      </c>
      <c r="J24" s="124">
        <v>0.35</v>
      </c>
      <c r="K24" s="124">
        <v>0.35</v>
      </c>
      <c r="L24" s="124">
        <v>0.35</v>
      </c>
      <c r="M24" s="124">
        <v>0.35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122"/>
      <c r="F25" s="122"/>
      <c r="G25" s="122"/>
      <c r="H25" s="122"/>
      <c r="I25" s="122"/>
      <c r="J25" s="122"/>
      <c r="K25" s="122"/>
      <c r="L25" s="122"/>
      <c r="M25" s="122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123">
        <v>14.092188673291609</v>
      </c>
      <c r="F26" s="123">
        <v>10.063017006365312</v>
      </c>
      <c r="G26" s="123">
        <v>7.8513946881705952</v>
      </c>
      <c r="H26" s="123">
        <v>7.8513946881705952</v>
      </c>
      <c r="I26" s="123">
        <v>7.8513946881705952</v>
      </c>
      <c r="J26" s="123">
        <v>7.8513946881705952</v>
      </c>
      <c r="K26" s="123">
        <v>1.91</v>
      </c>
      <c r="L26" s="123">
        <v>1.91</v>
      </c>
      <c r="M26" s="123">
        <v>1.91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2.1700000000000001E-3</v>
      </c>
      <c r="L27" s="123">
        <v>2.1700000000000001E-3</v>
      </c>
      <c r="M27" s="123">
        <v>2.1700000000000001E-3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123">
        <v>0</v>
      </c>
      <c r="F28" s="123">
        <v>0</v>
      </c>
      <c r="G28" s="123">
        <v>0</v>
      </c>
      <c r="H28" s="123">
        <v>0</v>
      </c>
      <c r="I28" s="123">
        <v>0</v>
      </c>
      <c r="J28" s="123">
        <v>0</v>
      </c>
      <c r="K28" s="123">
        <v>0</v>
      </c>
      <c r="L28" s="123">
        <v>0</v>
      </c>
      <c r="M28" s="123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122">
        <v>3.59</v>
      </c>
      <c r="F30" s="122">
        <v>3.59</v>
      </c>
      <c r="G30" s="122">
        <v>3.59</v>
      </c>
      <c r="H30" s="122">
        <v>3.59</v>
      </c>
      <c r="I30" s="122">
        <v>3.59</v>
      </c>
      <c r="J30" s="122">
        <v>3.59</v>
      </c>
      <c r="K30" s="122">
        <v>3.59</v>
      </c>
      <c r="L30" s="122">
        <v>3.59</v>
      </c>
      <c r="M30" s="122">
        <v>3.59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122"/>
      <c r="F31" s="122"/>
      <c r="G31" s="122"/>
      <c r="H31" s="122"/>
      <c r="I31" s="122"/>
      <c r="J31" s="122"/>
      <c r="K31" s="122"/>
      <c r="L31" s="122"/>
      <c r="M31" s="122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122"/>
      <c r="F32" s="122"/>
      <c r="G32" s="122"/>
      <c r="H32" s="122"/>
      <c r="I32" s="122"/>
      <c r="J32" s="122"/>
      <c r="K32" s="122"/>
      <c r="L32" s="122"/>
      <c r="M32" s="122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122">
        <v>20</v>
      </c>
      <c r="F33" s="122">
        <v>20</v>
      </c>
      <c r="G33" s="122">
        <v>20</v>
      </c>
      <c r="H33" s="122">
        <v>20</v>
      </c>
      <c r="I33" s="122">
        <v>20</v>
      </c>
      <c r="J33" s="122">
        <v>20</v>
      </c>
      <c r="K33" s="122">
        <v>20</v>
      </c>
      <c r="L33" s="122">
        <v>20</v>
      </c>
      <c r="M33" s="122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123">
        <v>939.47924488610727</v>
      </c>
      <c r="F34" s="123">
        <v>670.86780042435419</v>
      </c>
      <c r="G34" s="123">
        <v>523.42631254470632</v>
      </c>
      <c r="H34" s="123">
        <v>523.42631254470632</v>
      </c>
      <c r="I34" s="123">
        <v>523.42631254470632</v>
      </c>
      <c r="J34" s="123">
        <v>523.42631254470632</v>
      </c>
      <c r="K34" s="123">
        <v>1136.3124641115969</v>
      </c>
      <c r="L34" s="123">
        <v>988.42533284709032</v>
      </c>
      <c r="M34" s="123">
        <v>868.76381718516643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124">
        <v>0.35</v>
      </c>
      <c r="F35" s="124">
        <v>0.35</v>
      </c>
      <c r="G35" s="124">
        <v>0.35</v>
      </c>
      <c r="H35" s="124">
        <v>0.35</v>
      </c>
      <c r="I35" s="124">
        <v>0.35</v>
      </c>
      <c r="J35" s="124">
        <v>0.35</v>
      </c>
      <c r="K35" s="124">
        <v>0.35</v>
      </c>
      <c r="L35" s="124">
        <v>0.35</v>
      </c>
      <c r="M35" s="124">
        <v>0.35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122"/>
      <c r="F36" s="122"/>
      <c r="G36" s="122"/>
      <c r="H36" s="122"/>
      <c r="I36" s="122"/>
      <c r="J36" s="122"/>
      <c r="K36" s="122"/>
      <c r="L36" s="122"/>
      <c r="M36" s="122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123">
        <v>14.092188673291609</v>
      </c>
      <c r="F37" s="123">
        <v>10.063017006365312</v>
      </c>
      <c r="G37" s="123">
        <v>7.8513946881705952</v>
      </c>
      <c r="H37" s="123">
        <v>7.8513946881705952</v>
      </c>
      <c r="I37" s="123">
        <v>7.8513946881705952</v>
      </c>
      <c r="J37" s="123">
        <v>7.8513946881705952</v>
      </c>
      <c r="K37" s="123">
        <v>1.91</v>
      </c>
      <c r="L37" s="123">
        <v>1.91</v>
      </c>
      <c r="M37" s="123">
        <v>1.91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123">
        <v>0</v>
      </c>
      <c r="F38" s="123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2.1700000000000001E-3</v>
      </c>
      <c r="L38" s="123">
        <v>2.1700000000000001E-3</v>
      </c>
      <c r="M38" s="123">
        <v>2.1700000000000001E-3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123">
        <v>0</v>
      </c>
      <c r="F39" s="123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123">
        <v>0</v>
      </c>
      <c r="F40" s="123">
        <v>0</v>
      </c>
      <c r="G40" s="123">
        <v>0</v>
      </c>
      <c r="H40" s="123">
        <v>0</v>
      </c>
      <c r="I40" s="123">
        <v>0</v>
      </c>
      <c r="J40" s="123">
        <v>0</v>
      </c>
      <c r="K40" s="123">
        <v>0</v>
      </c>
      <c r="L40" s="123">
        <v>0</v>
      </c>
      <c r="M40" s="123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122">
        <v>3.34</v>
      </c>
      <c r="F41" s="122">
        <v>3.34</v>
      </c>
      <c r="G41" s="122">
        <v>3.34</v>
      </c>
      <c r="H41" s="122">
        <v>3.34</v>
      </c>
      <c r="I41" s="122">
        <v>3.34</v>
      </c>
      <c r="J41" s="122">
        <v>3.34</v>
      </c>
      <c r="K41" s="122">
        <v>3.34</v>
      </c>
      <c r="L41" s="122">
        <v>3.34</v>
      </c>
      <c r="M41" s="122">
        <v>3.34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122"/>
      <c r="F42" s="122"/>
      <c r="G42" s="122"/>
      <c r="H42" s="122"/>
      <c r="I42" s="122"/>
      <c r="J42" s="122"/>
      <c r="K42" s="122"/>
      <c r="L42" s="122"/>
      <c r="M42" s="122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122"/>
      <c r="F43" s="122"/>
      <c r="G43" s="122"/>
      <c r="H43" s="122"/>
      <c r="I43" s="122"/>
      <c r="J43" s="122"/>
      <c r="K43" s="122"/>
      <c r="L43" s="122"/>
      <c r="M43" s="122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122">
        <v>20</v>
      </c>
      <c r="F44" s="122">
        <v>20</v>
      </c>
      <c r="G44" s="122">
        <v>20</v>
      </c>
      <c r="H44" s="122">
        <v>20</v>
      </c>
      <c r="I44" s="122">
        <v>20</v>
      </c>
      <c r="J44" s="122">
        <v>20</v>
      </c>
      <c r="K44" s="122">
        <v>20</v>
      </c>
      <c r="L44" s="122">
        <v>20</v>
      </c>
      <c r="M44" s="122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123">
        <v>939.47924488610727</v>
      </c>
      <c r="F45" s="123">
        <v>670.86780042435419</v>
      </c>
      <c r="G45" s="123">
        <v>523.42631254470632</v>
      </c>
      <c r="H45" s="123">
        <v>523.42631254470632</v>
      </c>
      <c r="I45" s="123">
        <v>523.42631254470632</v>
      </c>
      <c r="J45" s="123">
        <v>523.42631254470632</v>
      </c>
      <c r="K45" s="123">
        <v>1136.3124641115969</v>
      </c>
      <c r="L45" s="123">
        <v>988.42533284709032</v>
      </c>
      <c r="M45" s="123">
        <v>868.76381718516643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124">
        <v>0.35</v>
      </c>
      <c r="F46" s="124">
        <v>0.35</v>
      </c>
      <c r="G46" s="124">
        <v>0.35</v>
      </c>
      <c r="H46" s="124">
        <v>0.35</v>
      </c>
      <c r="I46" s="124">
        <v>0.35</v>
      </c>
      <c r="J46" s="124">
        <v>0.35</v>
      </c>
      <c r="K46" s="124">
        <v>0.35</v>
      </c>
      <c r="L46" s="124">
        <v>0.35</v>
      </c>
      <c r="M46" s="124">
        <v>0.35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123">
        <v>14.092188673291609</v>
      </c>
      <c r="F48" s="123">
        <v>10.063017006365312</v>
      </c>
      <c r="G48" s="123">
        <v>7.8513946881705952</v>
      </c>
      <c r="H48" s="123">
        <v>7.8513946881705952</v>
      </c>
      <c r="I48" s="123">
        <v>7.8513946881705952</v>
      </c>
      <c r="J48" s="123">
        <v>7.8513946881705952</v>
      </c>
      <c r="K48" s="123">
        <v>1.91</v>
      </c>
      <c r="L48" s="123">
        <v>1.91</v>
      </c>
      <c r="M48" s="123">
        <v>1.91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2.1700000000000001E-3</v>
      </c>
      <c r="L49" s="123">
        <v>2.1700000000000001E-3</v>
      </c>
      <c r="M49" s="123">
        <v>2.1700000000000001E-3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122">
        <v>3.09</v>
      </c>
      <c r="F52" s="122">
        <v>3.09</v>
      </c>
      <c r="G52" s="122">
        <v>3.09</v>
      </c>
      <c r="H52" s="122">
        <v>3.09</v>
      </c>
      <c r="I52" s="122">
        <v>3.09</v>
      </c>
      <c r="J52" s="122">
        <v>3.09</v>
      </c>
      <c r="K52" s="122">
        <v>3.09</v>
      </c>
      <c r="L52" s="122">
        <v>3.09</v>
      </c>
      <c r="M52" s="122">
        <v>3.09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122"/>
      <c r="F53" s="122"/>
      <c r="G53" s="122"/>
      <c r="H53" s="122"/>
      <c r="I53" s="122"/>
      <c r="J53" s="122"/>
      <c r="K53" s="122"/>
      <c r="L53" s="122"/>
      <c r="M53" s="122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122"/>
      <c r="F54" s="122"/>
      <c r="G54" s="122"/>
      <c r="H54" s="122"/>
      <c r="I54" s="122"/>
      <c r="J54" s="122"/>
      <c r="K54" s="122"/>
      <c r="L54" s="122"/>
      <c r="M54" s="122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122">
        <v>20</v>
      </c>
      <c r="F55" s="122">
        <v>20</v>
      </c>
      <c r="G55" s="122">
        <v>20</v>
      </c>
      <c r="H55" s="122">
        <v>20</v>
      </c>
      <c r="I55" s="122">
        <v>20</v>
      </c>
      <c r="J55" s="122">
        <v>20</v>
      </c>
      <c r="K55" s="122">
        <v>20</v>
      </c>
      <c r="L55" s="122">
        <v>20</v>
      </c>
      <c r="M55" s="122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123">
        <v>909.21153254208934</v>
      </c>
      <c r="F56" s="123">
        <v>627.05637164757331</v>
      </c>
      <c r="G56" s="123">
        <v>475.93332461067337</v>
      </c>
      <c r="H56" s="123">
        <v>475.93332461067337</v>
      </c>
      <c r="I56" s="123">
        <v>475.93332461067337</v>
      </c>
      <c r="J56" s="123">
        <v>475.93332461067337</v>
      </c>
      <c r="K56" s="123">
        <v>674.78400000000011</v>
      </c>
      <c r="L56" s="123">
        <v>674.78400000000011</v>
      </c>
      <c r="M56" s="123">
        <v>674.78400000000011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124">
        <v>0.35</v>
      </c>
      <c r="F57" s="124">
        <v>0.35</v>
      </c>
      <c r="G57" s="124">
        <v>0.35</v>
      </c>
      <c r="H57" s="124">
        <v>0.35</v>
      </c>
      <c r="I57" s="124">
        <v>0.35</v>
      </c>
      <c r="J57" s="124">
        <v>0.35</v>
      </c>
      <c r="K57" s="124">
        <v>0.35</v>
      </c>
      <c r="L57" s="124">
        <v>0.35</v>
      </c>
      <c r="M57" s="124">
        <v>0.35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122"/>
      <c r="F58" s="122"/>
      <c r="G58" s="122"/>
      <c r="H58" s="122"/>
      <c r="I58" s="122"/>
      <c r="J58" s="122"/>
      <c r="K58" s="122"/>
      <c r="L58" s="122"/>
      <c r="M58" s="122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123">
        <v>13.638172988131339</v>
      </c>
      <c r="F59" s="123">
        <v>9.4058455747135987</v>
      </c>
      <c r="G59" s="123">
        <v>7.1389998691601004</v>
      </c>
      <c r="H59" s="123">
        <v>7.1389998691601004</v>
      </c>
      <c r="I59" s="123">
        <v>7.1389998691601004</v>
      </c>
      <c r="J59" s="123">
        <v>7.1389998691601004</v>
      </c>
      <c r="K59" s="123">
        <v>1.91</v>
      </c>
      <c r="L59" s="123">
        <v>1.91</v>
      </c>
      <c r="M59" s="123">
        <v>1.91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123">
        <v>0</v>
      </c>
      <c r="F60" s="123">
        <v>0</v>
      </c>
      <c r="G60" s="123">
        <v>0</v>
      </c>
      <c r="H60" s="123">
        <v>0</v>
      </c>
      <c r="I60" s="123">
        <v>0</v>
      </c>
      <c r="J60" s="123">
        <v>0</v>
      </c>
      <c r="K60" s="123">
        <v>2.1700000000000001E-3</v>
      </c>
      <c r="L60" s="123">
        <v>2.1700000000000001E-3</v>
      </c>
      <c r="M60" s="123">
        <v>2.1700000000000001E-3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123">
        <v>0</v>
      </c>
      <c r="F61" s="123">
        <v>0</v>
      </c>
      <c r="G61" s="123">
        <v>0</v>
      </c>
      <c r="H61" s="123">
        <v>0</v>
      </c>
      <c r="I61" s="123">
        <v>0</v>
      </c>
      <c r="J61" s="123">
        <v>0</v>
      </c>
      <c r="K61" s="123">
        <v>0</v>
      </c>
      <c r="L61" s="123">
        <v>0</v>
      </c>
      <c r="M61" s="123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123">
        <v>0</v>
      </c>
      <c r="F62" s="123">
        <v>0</v>
      </c>
      <c r="G62" s="123">
        <v>0</v>
      </c>
      <c r="H62" s="123">
        <v>0</v>
      </c>
      <c r="I62" s="123">
        <v>0</v>
      </c>
      <c r="J62" s="123">
        <v>0</v>
      </c>
      <c r="K62" s="123">
        <v>0</v>
      </c>
      <c r="L62" s="123">
        <v>0</v>
      </c>
      <c r="M62" s="123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122">
        <v>4.22</v>
      </c>
      <c r="F63" s="122">
        <v>4.22</v>
      </c>
      <c r="G63" s="122">
        <v>4.22</v>
      </c>
      <c r="H63" s="122">
        <v>4.22</v>
      </c>
      <c r="I63" s="122">
        <v>4.22</v>
      </c>
      <c r="J63" s="122">
        <v>4.22</v>
      </c>
      <c r="K63" s="122">
        <v>4.22</v>
      </c>
      <c r="L63" s="122">
        <v>4.22</v>
      </c>
      <c r="M63" s="122">
        <v>4.22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122"/>
      <c r="F64" s="122"/>
      <c r="G64" s="122"/>
      <c r="H64" s="122"/>
      <c r="I64" s="122"/>
      <c r="J64" s="122"/>
      <c r="K64" s="122"/>
      <c r="L64" s="122"/>
      <c r="M64" s="122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122"/>
      <c r="F65" s="122"/>
      <c r="G65" s="122"/>
      <c r="H65" s="122"/>
      <c r="I65" s="122"/>
      <c r="J65" s="122"/>
      <c r="K65" s="122"/>
      <c r="L65" s="122"/>
      <c r="M65" s="122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123">
        <v>2419.8158607382284</v>
      </c>
      <c r="F66" s="123">
        <v>1655.7881203031177</v>
      </c>
      <c r="G66" s="123">
        <v>1041.3145241292364</v>
      </c>
      <c r="H66" s="123">
        <v>361.73551248702233</v>
      </c>
      <c r="I66" s="123">
        <v>246.65342336513888</v>
      </c>
      <c r="J66" s="123">
        <v>156.34182589557849</v>
      </c>
      <c r="K66" s="123">
        <v>75.877978739630933</v>
      </c>
      <c r="L66" s="123">
        <v>66.467719198694567</v>
      </c>
      <c r="M66" s="123">
        <v>66.467719198694567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122"/>
      <c r="F67" s="122"/>
      <c r="G67" s="122"/>
      <c r="H67" s="122"/>
      <c r="I67" s="122"/>
      <c r="J67" s="122"/>
      <c r="K67" s="122"/>
      <c r="L67" s="122"/>
      <c r="M67" s="122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122">
        <v>20</v>
      </c>
      <c r="F68" s="122">
        <v>20</v>
      </c>
      <c r="G68" s="122">
        <v>20</v>
      </c>
      <c r="H68" s="122">
        <v>20</v>
      </c>
      <c r="I68" s="122">
        <v>20</v>
      </c>
      <c r="J68" s="122">
        <v>20</v>
      </c>
      <c r="K68" s="122">
        <v>20</v>
      </c>
      <c r="L68" s="122">
        <v>20</v>
      </c>
      <c r="M68" s="122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123">
        <v>909.21153254208934</v>
      </c>
      <c r="F69" s="123">
        <v>627.05637164757331</v>
      </c>
      <c r="G69" s="123">
        <v>475.93332461067337</v>
      </c>
      <c r="H69" s="123">
        <v>475.93332461067337</v>
      </c>
      <c r="I69" s="123">
        <v>475.93332461067337</v>
      </c>
      <c r="J69" s="123">
        <v>475.93332461067337</v>
      </c>
      <c r="K69" s="123">
        <v>674.78400000000011</v>
      </c>
      <c r="L69" s="123">
        <v>674.78400000000011</v>
      </c>
      <c r="M69" s="123">
        <v>674.78400000000011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124">
        <v>0.35</v>
      </c>
      <c r="F70" s="124">
        <v>0.35</v>
      </c>
      <c r="G70" s="124">
        <v>0.35</v>
      </c>
      <c r="H70" s="124">
        <v>0.35</v>
      </c>
      <c r="I70" s="124">
        <v>0.35</v>
      </c>
      <c r="J70" s="124">
        <v>0.35</v>
      </c>
      <c r="K70" s="124">
        <v>0.35</v>
      </c>
      <c r="L70" s="124">
        <v>0.35</v>
      </c>
      <c r="M70" s="124">
        <v>0.35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122"/>
      <c r="F71" s="122"/>
      <c r="G71" s="122"/>
      <c r="H71" s="122"/>
      <c r="I71" s="122"/>
      <c r="J71" s="122"/>
      <c r="K71" s="122"/>
      <c r="L71" s="122"/>
      <c r="M71" s="122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123">
        <v>13.638172988131339</v>
      </c>
      <c r="F72" s="123">
        <v>9.4058455747135987</v>
      </c>
      <c r="G72" s="123">
        <v>7.1389998691601004</v>
      </c>
      <c r="H72" s="123">
        <v>7.1389998691601004</v>
      </c>
      <c r="I72" s="123">
        <v>7.1389998691601004</v>
      </c>
      <c r="J72" s="123">
        <v>7.1389998691601004</v>
      </c>
      <c r="K72" s="123">
        <v>1.91</v>
      </c>
      <c r="L72" s="123">
        <v>1.91</v>
      </c>
      <c r="M72" s="123">
        <v>1.91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123">
        <v>0</v>
      </c>
      <c r="F73" s="123">
        <v>0</v>
      </c>
      <c r="G73" s="123">
        <v>0</v>
      </c>
      <c r="H73" s="123">
        <v>0</v>
      </c>
      <c r="I73" s="123">
        <v>0</v>
      </c>
      <c r="J73" s="123">
        <v>0</v>
      </c>
      <c r="K73" s="123">
        <v>2.1700000000000001E-3</v>
      </c>
      <c r="L73" s="123">
        <v>2.1700000000000001E-3</v>
      </c>
      <c r="M73" s="123">
        <v>2.1700000000000001E-3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123">
        <v>0</v>
      </c>
      <c r="F74" s="123">
        <v>0</v>
      </c>
      <c r="G74" s="123">
        <v>0</v>
      </c>
      <c r="H74" s="123">
        <v>0</v>
      </c>
      <c r="I74" s="123">
        <v>0</v>
      </c>
      <c r="J74" s="123">
        <v>0</v>
      </c>
      <c r="K74" s="123">
        <v>0</v>
      </c>
      <c r="L74" s="123">
        <v>0</v>
      </c>
      <c r="M74" s="123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123">
        <v>0</v>
      </c>
      <c r="F75" s="123">
        <v>0</v>
      </c>
      <c r="G75" s="123">
        <v>0</v>
      </c>
      <c r="H75" s="123">
        <v>0</v>
      </c>
      <c r="I75" s="123">
        <v>0</v>
      </c>
      <c r="J75" s="123">
        <v>0</v>
      </c>
      <c r="K75" s="123">
        <v>0</v>
      </c>
      <c r="L75" s="123">
        <v>0</v>
      </c>
      <c r="M75" s="123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122">
        <v>3.92</v>
      </c>
      <c r="F76" s="122">
        <v>3.92</v>
      </c>
      <c r="G76" s="122">
        <v>3.92</v>
      </c>
      <c r="H76" s="122">
        <v>3.92</v>
      </c>
      <c r="I76" s="122">
        <v>3.92</v>
      </c>
      <c r="J76" s="122">
        <v>3.92</v>
      </c>
      <c r="K76" s="122">
        <v>3.92</v>
      </c>
      <c r="L76" s="122">
        <v>3.92</v>
      </c>
      <c r="M76" s="122">
        <v>3.92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122"/>
      <c r="F77" s="122"/>
      <c r="G77" s="122"/>
      <c r="H77" s="122"/>
      <c r="I77" s="122"/>
      <c r="J77" s="122"/>
      <c r="K77" s="122"/>
      <c r="L77" s="122"/>
      <c r="M77" s="122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122"/>
      <c r="F78" s="122"/>
      <c r="G78" s="122"/>
      <c r="H78" s="122"/>
      <c r="I78" s="122"/>
      <c r="J78" s="122"/>
      <c r="K78" s="122"/>
      <c r="L78" s="122"/>
      <c r="M78" s="122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123">
        <v>2419.8158607382284</v>
      </c>
      <c r="F79" s="123">
        <v>1655.7881203031177</v>
      </c>
      <c r="G79" s="123">
        <v>1041.3145241292364</v>
      </c>
      <c r="H79" s="123">
        <v>361.73551248702233</v>
      </c>
      <c r="I79" s="123">
        <v>246.65342336513888</v>
      </c>
      <c r="J79" s="123">
        <v>156.34182589557849</v>
      </c>
      <c r="K79" s="123">
        <v>75.877978739630933</v>
      </c>
      <c r="L79" s="123">
        <v>66.467719198694567</v>
      </c>
      <c r="M79" s="123">
        <v>66.467719198694567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122"/>
      <c r="F80" s="122"/>
      <c r="G80" s="122"/>
      <c r="H80" s="122"/>
      <c r="I80" s="122"/>
      <c r="J80" s="122"/>
      <c r="K80" s="122"/>
      <c r="L80" s="122"/>
      <c r="M80" s="122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122">
        <v>20</v>
      </c>
      <c r="F81" s="122">
        <v>20</v>
      </c>
      <c r="G81" s="122">
        <v>20</v>
      </c>
      <c r="H81" s="122">
        <v>20</v>
      </c>
      <c r="I81" s="122">
        <v>20</v>
      </c>
      <c r="J81" s="122">
        <v>20</v>
      </c>
      <c r="K81" s="122">
        <v>20</v>
      </c>
      <c r="L81" s="122">
        <v>20</v>
      </c>
      <c r="M81" s="122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123">
        <v>909.21153254208934</v>
      </c>
      <c r="F82" s="123">
        <v>627.05637164757331</v>
      </c>
      <c r="G82" s="123">
        <v>475.93332461067337</v>
      </c>
      <c r="H82" s="123">
        <v>475.93332461067337</v>
      </c>
      <c r="I82" s="123">
        <v>475.93332461067337</v>
      </c>
      <c r="J82" s="123">
        <v>475.93332461067337</v>
      </c>
      <c r="K82" s="123">
        <v>674.78400000000011</v>
      </c>
      <c r="L82" s="123">
        <v>674.78400000000011</v>
      </c>
      <c r="M82" s="123">
        <v>674.78400000000011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124">
        <v>0.35</v>
      </c>
      <c r="F83" s="124">
        <v>0.35</v>
      </c>
      <c r="G83" s="124">
        <v>0.35</v>
      </c>
      <c r="H83" s="124">
        <v>0.35</v>
      </c>
      <c r="I83" s="124">
        <v>0.35</v>
      </c>
      <c r="J83" s="124">
        <v>0.35</v>
      </c>
      <c r="K83" s="124">
        <v>0.35</v>
      </c>
      <c r="L83" s="124">
        <v>0.35</v>
      </c>
      <c r="M83" s="124">
        <v>0.35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122"/>
      <c r="F84" s="122"/>
      <c r="G84" s="122"/>
      <c r="H84" s="122"/>
      <c r="I84" s="122"/>
      <c r="J84" s="122"/>
      <c r="K84" s="122"/>
      <c r="L84" s="122"/>
      <c r="M84" s="122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123">
        <v>13.638172988131339</v>
      </c>
      <c r="F85" s="123">
        <v>9.4058455747135987</v>
      </c>
      <c r="G85" s="123">
        <v>7.1389998691601004</v>
      </c>
      <c r="H85" s="123">
        <v>7.1389998691601004</v>
      </c>
      <c r="I85" s="123">
        <v>7.1389998691601004</v>
      </c>
      <c r="J85" s="123">
        <v>7.1389998691601004</v>
      </c>
      <c r="K85" s="123">
        <v>1.91</v>
      </c>
      <c r="L85" s="123">
        <v>1.91</v>
      </c>
      <c r="M85" s="123">
        <v>1.91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2.1700000000000001E-3</v>
      </c>
      <c r="L86" s="123">
        <v>2.1700000000000001E-3</v>
      </c>
      <c r="M86" s="123">
        <v>2.1700000000000001E-3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123">
        <v>0</v>
      </c>
      <c r="F87" s="123">
        <v>0</v>
      </c>
      <c r="G87" s="123">
        <v>0</v>
      </c>
      <c r="H87" s="123">
        <v>0</v>
      </c>
      <c r="I87" s="123">
        <v>0</v>
      </c>
      <c r="J87" s="123">
        <v>0</v>
      </c>
      <c r="K87" s="123">
        <v>0</v>
      </c>
      <c r="L87" s="123">
        <v>0</v>
      </c>
      <c r="M87" s="123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123">
        <v>0</v>
      </c>
      <c r="F88" s="123">
        <v>0</v>
      </c>
      <c r="G88" s="123">
        <v>0</v>
      </c>
      <c r="H88" s="123">
        <v>0</v>
      </c>
      <c r="I88" s="123">
        <v>0</v>
      </c>
      <c r="J88" s="123">
        <v>0</v>
      </c>
      <c r="K88" s="123">
        <v>0</v>
      </c>
      <c r="L88" s="123">
        <v>0</v>
      </c>
      <c r="M88" s="123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122">
        <v>3.62</v>
      </c>
      <c r="F89" s="122">
        <v>3.62</v>
      </c>
      <c r="G89" s="122">
        <v>3.62</v>
      </c>
      <c r="H89" s="122">
        <v>3.62</v>
      </c>
      <c r="I89" s="122">
        <v>3.62</v>
      </c>
      <c r="J89" s="122">
        <v>3.62</v>
      </c>
      <c r="K89" s="122">
        <v>3.62</v>
      </c>
      <c r="L89" s="122">
        <v>3.62</v>
      </c>
      <c r="M89" s="122">
        <v>3.62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122"/>
      <c r="F90" s="122"/>
      <c r="G90" s="122"/>
      <c r="H90" s="122"/>
      <c r="I90" s="122"/>
      <c r="J90" s="122"/>
      <c r="K90" s="122"/>
      <c r="L90" s="122"/>
      <c r="M90" s="122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122"/>
      <c r="F91" s="122"/>
      <c r="G91" s="122"/>
      <c r="H91" s="122"/>
      <c r="I91" s="122"/>
      <c r="J91" s="122"/>
      <c r="K91" s="122"/>
      <c r="L91" s="122"/>
      <c r="M91" s="122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123">
        <v>2419.8158607382284</v>
      </c>
      <c r="F92" s="123">
        <v>1655.7881203031177</v>
      </c>
      <c r="G92" s="123">
        <v>1041.3145241292364</v>
      </c>
      <c r="H92" s="123">
        <v>361.73551248702233</v>
      </c>
      <c r="I92" s="123">
        <v>246.65342336513888</v>
      </c>
      <c r="J92" s="123">
        <v>156.34182589557849</v>
      </c>
      <c r="K92" s="123">
        <v>75.877978739630933</v>
      </c>
      <c r="L92" s="123">
        <v>66.467719198694567</v>
      </c>
      <c r="M92" s="123">
        <v>66.467719198694567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122"/>
      <c r="F93" s="122"/>
      <c r="G93" s="122"/>
      <c r="H93" s="122"/>
      <c r="I93" s="122"/>
      <c r="J93" s="122"/>
      <c r="K93" s="122"/>
      <c r="L93" s="122"/>
      <c r="M93" s="122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122">
        <v>1</v>
      </c>
      <c r="F94" s="122">
        <v>1</v>
      </c>
      <c r="G94" s="122">
        <v>1</v>
      </c>
      <c r="H94" s="122">
        <v>1</v>
      </c>
      <c r="I94" s="122">
        <v>1</v>
      </c>
      <c r="J94" s="122">
        <v>1</v>
      </c>
      <c r="K94" s="122">
        <v>1</v>
      </c>
      <c r="L94" s="122">
        <v>1</v>
      </c>
      <c r="M94" s="122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122">
        <v>0.35</v>
      </c>
      <c r="F95" s="122">
        <v>0.35</v>
      </c>
      <c r="G95" s="122">
        <v>0.35</v>
      </c>
      <c r="H95" s="122">
        <v>0.35</v>
      </c>
      <c r="I95" s="122">
        <v>0.35</v>
      </c>
      <c r="J95" s="122">
        <v>0.35</v>
      </c>
      <c r="K95" s="122">
        <v>0.35</v>
      </c>
      <c r="L95" s="122">
        <v>0.35</v>
      </c>
      <c r="M95" s="122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122">
        <v>20</v>
      </c>
      <c r="F96" s="122">
        <v>20</v>
      </c>
      <c r="G96" s="122">
        <v>20</v>
      </c>
      <c r="H96" s="122">
        <v>20</v>
      </c>
      <c r="I96" s="122">
        <v>20</v>
      </c>
      <c r="J96" s="122">
        <v>20</v>
      </c>
      <c r="K96" s="122">
        <v>20</v>
      </c>
      <c r="L96" s="122">
        <v>20</v>
      </c>
      <c r="M96" s="122">
        <v>20</v>
      </c>
      <c r="N96" s="54"/>
    </row>
    <row r="97" spans="1:14" x14ac:dyDescent="0.25">
      <c r="A97" s="208"/>
      <c r="B97" s="225"/>
      <c r="C97" s="25" t="s">
        <v>23</v>
      </c>
      <c r="D97" s="1" t="s">
        <v>6</v>
      </c>
      <c r="E97" s="123">
        <v>218.34121214018199</v>
      </c>
      <c r="F97" s="123">
        <v>184.87398682120613</v>
      </c>
      <c r="G97" s="123">
        <v>143.96390422813076</v>
      </c>
      <c r="H97" s="123">
        <v>115.96852782183296</v>
      </c>
      <c r="I97" s="123">
        <v>107.31263157894738</v>
      </c>
      <c r="J97" s="123">
        <v>107.00631578947369</v>
      </c>
      <c r="K97" s="123">
        <v>105.98526315789475</v>
      </c>
      <c r="L97" s="123">
        <v>103.84105263157896</v>
      </c>
      <c r="M97" s="123">
        <v>99.55263157894737</v>
      </c>
      <c r="N97" s="54"/>
    </row>
    <row r="98" spans="1:14" x14ac:dyDescent="0.25">
      <c r="A98" s="208"/>
      <c r="B98" s="225"/>
      <c r="C98" s="25" t="s">
        <v>177</v>
      </c>
      <c r="D98" s="1" t="s">
        <v>19</v>
      </c>
      <c r="E98" s="124">
        <v>0.2</v>
      </c>
      <c r="F98" s="124">
        <v>0.2</v>
      </c>
      <c r="G98" s="124">
        <v>0.2</v>
      </c>
      <c r="H98" s="124">
        <v>0.2</v>
      </c>
      <c r="I98" s="124">
        <v>0.2</v>
      </c>
      <c r="J98" s="124">
        <v>0.2</v>
      </c>
      <c r="K98" s="124">
        <v>0.2</v>
      </c>
      <c r="L98" s="124">
        <v>0.2</v>
      </c>
      <c r="M98" s="124">
        <v>0.2</v>
      </c>
      <c r="N98" s="54"/>
    </row>
    <row r="99" spans="1:14" x14ac:dyDescent="0.25">
      <c r="A99" s="208"/>
      <c r="B99" s="225"/>
      <c r="C99" s="25" t="s">
        <v>114</v>
      </c>
      <c r="D99" s="1" t="s">
        <v>8</v>
      </c>
      <c r="E99" s="122"/>
      <c r="F99" s="122"/>
      <c r="G99" s="122"/>
      <c r="H99" s="122"/>
      <c r="I99" s="122"/>
      <c r="J99" s="122"/>
      <c r="K99" s="122"/>
      <c r="L99" s="122"/>
      <c r="M99" s="122"/>
      <c r="N99" s="54"/>
    </row>
    <row r="100" spans="1:14" x14ac:dyDescent="0.25">
      <c r="A100" s="208"/>
      <c r="B100" s="225"/>
      <c r="C100" s="25" t="s">
        <v>115</v>
      </c>
      <c r="D100" s="1" t="s">
        <v>9</v>
      </c>
      <c r="E100" s="123">
        <v>6.5502363642054595</v>
      </c>
      <c r="F100" s="123">
        <v>5.5462196046361836</v>
      </c>
      <c r="G100" s="123">
        <v>4.3189171268439228</v>
      </c>
      <c r="H100" s="123">
        <v>3.4790558346549889</v>
      </c>
      <c r="I100" s="123">
        <v>2.0378947368421052</v>
      </c>
      <c r="J100" s="123">
        <v>2.0189473684210526</v>
      </c>
      <c r="K100" s="123">
        <v>1.9557894736842103</v>
      </c>
      <c r="L100" s="123">
        <v>1.8231578947368419</v>
      </c>
      <c r="M100" s="123">
        <v>1.557894736842105</v>
      </c>
      <c r="N100" s="54"/>
    </row>
    <row r="101" spans="1:14" x14ac:dyDescent="0.25">
      <c r="A101" s="208"/>
      <c r="B101" s="225"/>
      <c r="C101" s="25" t="s">
        <v>35</v>
      </c>
      <c r="D101" s="1" t="s">
        <v>10</v>
      </c>
      <c r="E101" s="123">
        <v>0</v>
      </c>
      <c r="F101" s="123">
        <v>0</v>
      </c>
      <c r="G101" s="123">
        <v>0</v>
      </c>
      <c r="H101" s="123">
        <v>0</v>
      </c>
      <c r="I101" s="123">
        <v>0</v>
      </c>
      <c r="J101" s="123">
        <v>0</v>
      </c>
      <c r="K101" s="123">
        <v>1.6357894736842103E-3</v>
      </c>
      <c r="L101" s="123">
        <v>1.5031578947368419E-3</v>
      </c>
      <c r="M101" s="123">
        <v>1.2378947368421051E-3</v>
      </c>
      <c r="N101" s="54"/>
    </row>
    <row r="102" spans="1:14" x14ac:dyDescent="0.25">
      <c r="A102" s="208"/>
      <c r="B102" s="225"/>
      <c r="C102" s="26" t="s">
        <v>24</v>
      </c>
      <c r="D102" s="27" t="s">
        <v>10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54"/>
    </row>
    <row r="103" spans="1:14" x14ac:dyDescent="0.25">
      <c r="A103" s="208"/>
      <c r="B103" s="225"/>
      <c r="C103" s="25" t="s">
        <v>25</v>
      </c>
      <c r="D103" s="1" t="s">
        <v>7</v>
      </c>
      <c r="E103" s="124">
        <v>0.94349999999999989</v>
      </c>
      <c r="F103" s="124">
        <v>0.94349999999999989</v>
      </c>
      <c r="G103" s="124">
        <v>0.94349999999999989</v>
      </c>
      <c r="H103" s="124">
        <v>0.94349999999999989</v>
      </c>
      <c r="I103" s="124">
        <v>0.94349999999999989</v>
      </c>
      <c r="J103" s="124">
        <v>0.94349999999999989</v>
      </c>
      <c r="K103" s="124">
        <v>0.99</v>
      </c>
      <c r="L103" s="124">
        <v>0.99</v>
      </c>
      <c r="M103" s="124">
        <v>0.99</v>
      </c>
      <c r="N103" s="54"/>
    </row>
    <row r="104" spans="1:14" x14ac:dyDescent="0.25">
      <c r="A104" s="208"/>
      <c r="B104" s="225"/>
      <c r="C104" s="25" t="s">
        <v>26</v>
      </c>
      <c r="D104" s="1" t="s">
        <v>14</v>
      </c>
      <c r="E104" s="123">
        <v>1524.6</v>
      </c>
      <c r="F104" s="123">
        <v>1749.6</v>
      </c>
      <c r="G104" s="123">
        <v>2349.6</v>
      </c>
      <c r="H104" s="123">
        <v>3174.6</v>
      </c>
      <c r="I104" s="123">
        <v>4299.6000000000004</v>
      </c>
      <c r="J104" s="123">
        <v>14213</v>
      </c>
      <c r="K104" s="123">
        <v>21713</v>
      </c>
      <c r="L104" s="123">
        <v>37463</v>
      </c>
      <c r="M104" s="123">
        <v>68963</v>
      </c>
      <c r="N104" s="54"/>
    </row>
    <row r="105" spans="1:14" x14ac:dyDescent="0.25">
      <c r="A105" s="208"/>
      <c r="B105" s="225"/>
      <c r="C105" s="25" t="s">
        <v>27</v>
      </c>
      <c r="D105" s="1" t="s">
        <v>4</v>
      </c>
      <c r="E105" s="122">
        <v>40</v>
      </c>
      <c r="F105" s="122">
        <v>40</v>
      </c>
      <c r="G105" s="122">
        <v>40</v>
      </c>
      <c r="H105" s="122">
        <v>40</v>
      </c>
      <c r="I105" s="122">
        <v>40</v>
      </c>
      <c r="J105" s="122">
        <v>40</v>
      </c>
      <c r="K105" s="122">
        <v>40</v>
      </c>
      <c r="L105" s="122">
        <v>40</v>
      </c>
      <c r="M105" s="122">
        <v>40</v>
      </c>
      <c r="N105" s="54"/>
    </row>
    <row r="106" spans="1:14" x14ac:dyDescent="0.25">
      <c r="A106" s="208"/>
      <c r="B106" s="225"/>
      <c r="C106" s="25" t="s">
        <v>116</v>
      </c>
      <c r="D106" s="1" t="s">
        <v>19</v>
      </c>
      <c r="E106" s="122">
        <v>0.5</v>
      </c>
      <c r="F106" s="122">
        <v>0.5</v>
      </c>
      <c r="G106" s="122">
        <v>0.5</v>
      </c>
      <c r="H106" s="122">
        <v>0.5</v>
      </c>
      <c r="I106" s="122">
        <v>0.5</v>
      </c>
      <c r="J106" s="122">
        <v>0.5</v>
      </c>
      <c r="K106" s="122">
        <v>0.5</v>
      </c>
      <c r="L106" s="122">
        <v>0.5</v>
      </c>
      <c r="M106" s="122">
        <v>0.5</v>
      </c>
      <c r="N106" s="54"/>
    </row>
    <row r="107" spans="1:14" x14ac:dyDescent="0.25">
      <c r="A107" s="208"/>
      <c r="B107" s="225"/>
      <c r="C107" s="25" t="s">
        <v>28</v>
      </c>
      <c r="D107" s="1" t="s">
        <v>19</v>
      </c>
      <c r="E107" s="122">
        <v>1.3</v>
      </c>
      <c r="F107" s="122">
        <v>1.3</v>
      </c>
      <c r="G107" s="122">
        <v>1.3</v>
      </c>
      <c r="H107" s="122">
        <v>1.3</v>
      </c>
      <c r="I107" s="122">
        <v>1.3</v>
      </c>
      <c r="J107" s="122">
        <v>1.3</v>
      </c>
      <c r="K107" s="122">
        <v>1.3</v>
      </c>
      <c r="L107" s="122">
        <v>1.3</v>
      </c>
      <c r="M107" s="122">
        <v>1.3</v>
      </c>
      <c r="N107" s="54"/>
    </row>
    <row r="108" spans="1:14" x14ac:dyDescent="0.25">
      <c r="A108" s="208"/>
      <c r="B108" s="225"/>
      <c r="C108" s="25" t="s">
        <v>29</v>
      </c>
      <c r="D108" s="1" t="s">
        <v>4</v>
      </c>
      <c r="E108" s="122">
        <v>20</v>
      </c>
      <c r="F108" s="122">
        <v>20</v>
      </c>
      <c r="G108" s="122">
        <v>20</v>
      </c>
      <c r="H108" s="122">
        <v>20</v>
      </c>
      <c r="I108" s="122">
        <v>20</v>
      </c>
      <c r="J108" s="122">
        <v>20</v>
      </c>
      <c r="K108" s="122">
        <v>20</v>
      </c>
      <c r="L108" s="122">
        <v>20</v>
      </c>
      <c r="M108" s="122">
        <v>20</v>
      </c>
      <c r="N108" s="54"/>
    </row>
    <row r="109" spans="1:14" x14ac:dyDescent="0.25">
      <c r="A109" s="208"/>
      <c r="B109" s="225"/>
      <c r="C109" s="25" t="s">
        <v>30</v>
      </c>
      <c r="D109" s="1" t="s">
        <v>6</v>
      </c>
      <c r="E109" s="123">
        <v>1315.6411009940743</v>
      </c>
      <c r="F109" s="123">
        <v>939.47924488610727</v>
      </c>
      <c r="G109" s="123">
        <v>622.46079352449192</v>
      </c>
      <c r="H109" s="123">
        <v>523.42631254470632</v>
      </c>
      <c r="I109" s="123">
        <v>523.42631254470632</v>
      </c>
      <c r="J109" s="123">
        <v>523.42631254470632</v>
      </c>
      <c r="K109" s="123">
        <v>1281.3816732362875</v>
      </c>
      <c r="L109" s="123">
        <v>1114.6142868924398</v>
      </c>
      <c r="M109" s="123">
        <v>979.67598602574503</v>
      </c>
      <c r="N109" s="54"/>
    </row>
    <row r="110" spans="1:14" x14ac:dyDescent="0.25">
      <c r="A110" s="208"/>
      <c r="B110" s="225"/>
      <c r="C110" s="25" t="s">
        <v>178</v>
      </c>
      <c r="D110" s="1" t="s">
        <v>19</v>
      </c>
      <c r="E110" s="124">
        <v>0.35</v>
      </c>
      <c r="F110" s="124">
        <v>0.35</v>
      </c>
      <c r="G110" s="124">
        <v>0.35</v>
      </c>
      <c r="H110" s="124">
        <v>0.35</v>
      </c>
      <c r="I110" s="124">
        <v>0.35</v>
      </c>
      <c r="J110" s="124">
        <v>0.35</v>
      </c>
      <c r="K110" s="124">
        <v>0.35</v>
      </c>
      <c r="L110" s="124">
        <v>0.35</v>
      </c>
      <c r="M110" s="124">
        <v>0.35</v>
      </c>
      <c r="N110" s="54"/>
    </row>
    <row r="111" spans="1:14" x14ac:dyDescent="0.25">
      <c r="A111" s="208"/>
      <c r="B111" s="225"/>
      <c r="C111" s="25" t="s">
        <v>117</v>
      </c>
      <c r="D111" s="1" t="s">
        <v>8</v>
      </c>
      <c r="E111" s="122"/>
      <c r="F111" s="122"/>
      <c r="G111" s="122"/>
      <c r="H111" s="122"/>
      <c r="I111" s="122"/>
      <c r="J111" s="122"/>
      <c r="K111" s="122"/>
      <c r="L111" s="122"/>
      <c r="M111" s="122"/>
      <c r="N111" s="54"/>
    </row>
    <row r="112" spans="1:14" x14ac:dyDescent="0.25">
      <c r="A112" s="208"/>
      <c r="B112" s="225"/>
      <c r="C112" s="25" t="s">
        <v>118</v>
      </c>
      <c r="D112" s="1" t="s">
        <v>9</v>
      </c>
      <c r="E112" s="122"/>
      <c r="F112" s="122"/>
      <c r="G112" s="122"/>
      <c r="H112" s="122"/>
      <c r="I112" s="122"/>
      <c r="J112" s="122"/>
      <c r="K112" s="122"/>
      <c r="L112" s="122"/>
      <c r="M112" s="122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2.1700000000000001E-3</v>
      </c>
      <c r="M113" s="123">
        <v>2.1700000000000001E-3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122">
        <v>3.09</v>
      </c>
      <c r="F116" s="122">
        <v>3.09</v>
      </c>
      <c r="G116" s="122">
        <v>3.09</v>
      </c>
      <c r="H116" s="122">
        <v>3.09</v>
      </c>
      <c r="I116" s="122">
        <v>3.09</v>
      </c>
      <c r="J116" s="122">
        <v>3.09</v>
      </c>
      <c r="K116" s="122">
        <v>3.09</v>
      </c>
      <c r="L116" s="122">
        <v>3.09</v>
      </c>
      <c r="M116" s="122">
        <v>3.09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122"/>
      <c r="F117" s="122"/>
      <c r="G117" s="122"/>
      <c r="H117" s="122"/>
      <c r="I117" s="122"/>
      <c r="J117" s="122"/>
      <c r="K117" s="122"/>
      <c r="L117" s="122"/>
      <c r="M117" s="122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122"/>
      <c r="F118" s="122"/>
      <c r="G118" s="122"/>
      <c r="H118" s="122"/>
      <c r="I118" s="122"/>
      <c r="J118" s="122"/>
      <c r="K118" s="122"/>
      <c r="L118" s="122"/>
      <c r="M118" s="122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122">
        <v>1</v>
      </c>
      <c r="F119" s="122">
        <v>1</v>
      </c>
      <c r="G119" s="122">
        <v>1</v>
      </c>
      <c r="H119" s="122">
        <v>1</v>
      </c>
      <c r="I119" s="122">
        <v>1</v>
      </c>
      <c r="J119" s="122">
        <v>1</v>
      </c>
      <c r="K119" s="122">
        <v>1</v>
      </c>
      <c r="L119" s="122">
        <v>1</v>
      </c>
      <c r="M119" s="122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122">
        <v>0.35</v>
      </c>
      <c r="F120" s="122">
        <v>0.35</v>
      </c>
      <c r="G120" s="122">
        <v>0.35</v>
      </c>
      <c r="H120" s="122">
        <v>0.35</v>
      </c>
      <c r="I120" s="122">
        <v>0.35</v>
      </c>
      <c r="J120" s="122">
        <v>0.35</v>
      </c>
      <c r="K120" s="122">
        <v>0.35</v>
      </c>
      <c r="L120" s="122">
        <v>0.35</v>
      </c>
      <c r="M120" s="122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122">
        <v>20</v>
      </c>
      <c r="F121" s="122">
        <v>20</v>
      </c>
      <c r="G121" s="122">
        <v>20</v>
      </c>
      <c r="H121" s="122">
        <v>20</v>
      </c>
      <c r="I121" s="122">
        <v>20</v>
      </c>
      <c r="J121" s="122">
        <v>20</v>
      </c>
      <c r="K121" s="122">
        <v>20</v>
      </c>
      <c r="L121" s="122">
        <v>20</v>
      </c>
      <c r="M121" s="122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123">
        <v>218.34121214018199</v>
      </c>
      <c r="F122" s="123">
        <v>184.87398682120613</v>
      </c>
      <c r="G122" s="123">
        <v>143.96390422813076</v>
      </c>
      <c r="H122" s="123">
        <v>115.96852782183296</v>
      </c>
      <c r="I122" s="123">
        <v>107.31263157894738</v>
      </c>
      <c r="J122" s="123">
        <v>107.00631578947369</v>
      </c>
      <c r="K122" s="123">
        <v>105.98526315789475</v>
      </c>
      <c r="L122" s="123">
        <v>103.84105263157896</v>
      </c>
      <c r="M122" s="123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124">
        <v>0</v>
      </c>
      <c r="F123" s="124">
        <v>0</v>
      </c>
      <c r="G123" s="124">
        <v>0</v>
      </c>
      <c r="H123" s="124">
        <v>0</v>
      </c>
      <c r="I123" s="124">
        <v>0</v>
      </c>
      <c r="J123" s="124">
        <v>0</v>
      </c>
      <c r="K123" s="124">
        <v>0</v>
      </c>
      <c r="L123" s="124">
        <v>0</v>
      </c>
      <c r="M123" s="124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122"/>
      <c r="F124" s="122"/>
      <c r="G124" s="122"/>
      <c r="H124" s="122"/>
      <c r="I124" s="122"/>
      <c r="J124" s="122"/>
      <c r="K124" s="122"/>
      <c r="L124" s="122"/>
      <c r="M124" s="122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123">
        <v>6.5502363642054595</v>
      </c>
      <c r="F125" s="123">
        <v>5.5462196046361836</v>
      </c>
      <c r="G125" s="123">
        <v>4.3189171268439228</v>
      </c>
      <c r="H125" s="123">
        <v>3.4790558346549889</v>
      </c>
      <c r="I125" s="123">
        <v>2.0378947368421052</v>
      </c>
      <c r="J125" s="123">
        <v>2.0189473684210526</v>
      </c>
      <c r="K125" s="123">
        <v>1.9557894736842103</v>
      </c>
      <c r="L125" s="123">
        <v>1.8231578947368419</v>
      </c>
      <c r="M125" s="123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1.6357894736842103E-3</v>
      </c>
      <c r="L126" s="123">
        <v>1.5031578947368419E-3</v>
      </c>
      <c r="M126" s="123">
        <v>1.2378947368421051E-3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124">
        <v>0.94349999999999989</v>
      </c>
      <c r="F128" s="124">
        <v>0.94349999999999989</v>
      </c>
      <c r="G128" s="124">
        <v>0.94349999999999989</v>
      </c>
      <c r="H128" s="124">
        <v>0.94349999999999989</v>
      </c>
      <c r="I128" s="124">
        <v>0.94349999999999989</v>
      </c>
      <c r="J128" s="124">
        <v>0.94349999999999989</v>
      </c>
      <c r="K128" s="124">
        <v>0.99</v>
      </c>
      <c r="L128" s="124">
        <v>0.99</v>
      </c>
      <c r="M128" s="124">
        <v>0.99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123">
        <v>1524.6</v>
      </c>
      <c r="F129" s="123">
        <v>1749.6</v>
      </c>
      <c r="G129" s="123">
        <v>2349.6</v>
      </c>
      <c r="H129" s="123">
        <v>3174.6</v>
      </c>
      <c r="I129" s="123">
        <v>4299.6000000000004</v>
      </c>
      <c r="J129" s="123">
        <v>14213</v>
      </c>
      <c r="K129" s="123">
        <v>21713</v>
      </c>
      <c r="L129" s="123">
        <v>37463</v>
      </c>
      <c r="M129" s="123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122">
        <v>40</v>
      </c>
      <c r="F130" s="122">
        <v>40</v>
      </c>
      <c r="G130" s="122">
        <v>40</v>
      </c>
      <c r="H130" s="122">
        <v>40</v>
      </c>
      <c r="I130" s="122">
        <v>40</v>
      </c>
      <c r="J130" s="122">
        <v>40</v>
      </c>
      <c r="K130" s="122">
        <v>40</v>
      </c>
      <c r="L130" s="122">
        <v>40</v>
      </c>
      <c r="M130" s="122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122">
        <v>0.35</v>
      </c>
      <c r="F131" s="122">
        <v>0.35</v>
      </c>
      <c r="G131" s="122">
        <v>0.35</v>
      </c>
      <c r="H131" s="122">
        <v>0.35</v>
      </c>
      <c r="I131" s="122">
        <v>0.35</v>
      </c>
      <c r="J131" s="122">
        <v>0.35</v>
      </c>
      <c r="K131" s="122">
        <v>0.35</v>
      </c>
      <c r="L131" s="122">
        <v>0.35</v>
      </c>
      <c r="M131" s="122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122">
        <v>1.8571428571428572</v>
      </c>
      <c r="F132" s="122">
        <v>1.8571428571428572</v>
      </c>
      <c r="G132" s="122">
        <v>1.8571428571428572</v>
      </c>
      <c r="H132" s="122">
        <v>1.8571428571428572</v>
      </c>
      <c r="I132" s="122">
        <v>1.8571428571428572</v>
      </c>
      <c r="J132" s="122">
        <v>1.8571428571428572</v>
      </c>
      <c r="K132" s="122">
        <v>1.8571428571428572</v>
      </c>
      <c r="L132" s="122">
        <v>1.8571428571428572</v>
      </c>
      <c r="M132" s="122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122">
        <v>20</v>
      </c>
      <c r="F133" s="122">
        <v>20</v>
      </c>
      <c r="G133" s="122">
        <v>20</v>
      </c>
      <c r="H133" s="122">
        <v>20</v>
      </c>
      <c r="I133" s="122">
        <v>20</v>
      </c>
      <c r="J133" s="122">
        <v>20</v>
      </c>
      <c r="K133" s="122">
        <v>20</v>
      </c>
      <c r="L133" s="122">
        <v>20</v>
      </c>
      <c r="M133" s="122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123">
        <v>6439.2406849033259</v>
      </c>
      <c r="F134" s="123">
        <v>4332.7824241831977</v>
      </c>
      <c r="G134" s="123">
        <v>2669.5160351066907</v>
      </c>
      <c r="H134" s="123">
        <v>2110.1894367812192</v>
      </c>
      <c r="I134" s="123">
        <v>1784.2871082104245</v>
      </c>
      <c r="J134" s="123">
        <v>1409.7428212977536</v>
      </c>
      <c r="K134" s="123">
        <v>1109.4282603302854</v>
      </c>
      <c r="L134" s="123">
        <v>892.85832488167068</v>
      </c>
      <c r="M134" s="123">
        <v>730.28644907126954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122"/>
      <c r="F136" s="122"/>
      <c r="G136" s="122"/>
      <c r="H136" s="122"/>
      <c r="I136" s="122"/>
      <c r="J136" s="122"/>
      <c r="K136" s="122"/>
      <c r="L136" s="122"/>
      <c r="M136" s="122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122"/>
      <c r="F137" s="122"/>
      <c r="G137" s="122"/>
      <c r="H137" s="122"/>
      <c r="I137" s="122"/>
      <c r="J137" s="122"/>
      <c r="K137" s="122"/>
      <c r="L137" s="122"/>
      <c r="M137" s="122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123">
        <v>5.4632155805897732E-2</v>
      </c>
      <c r="F138" s="123">
        <v>6.9225169277652349E-2</v>
      </c>
      <c r="G138" s="123">
        <v>5.5072970988733948E-2</v>
      </c>
      <c r="H138" s="123">
        <v>4.6604222305577481E-2</v>
      </c>
      <c r="I138" s="123">
        <v>4.0289223212275231E-2</v>
      </c>
      <c r="J138" s="123">
        <v>2.4583755873341454E-2</v>
      </c>
      <c r="K138" s="123">
        <v>1.9104989606490121E-2</v>
      </c>
      <c r="L138" s="123">
        <v>1.5182594783541725E-2</v>
      </c>
      <c r="M138" s="123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122"/>
      <c r="F140" s="122"/>
      <c r="G140" s="122"/>
      <c r="H140" s="122"/>
      <c r="I140" s="122"/>
      <c r="J140" s="122"/>
      <c r="K140" s="122"/>
      <c r="L140" s="122"/>
      <c r="M140" s="122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122"/>
      <c r="F141" s="122"/>
      <c r="G141" s="122"/>
      <c r="H141" s="122"/>
      <c r="I141" s="122"/>
      <c r="J141" s="122"/>
      <c r="K141" s="122"/>
      <c r="L141" s="122"/>
      <c r="M141" s="122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125">
        <v>0.25</v>
      </c>
      <c r="F142" s="125">
        <v>0.25</v>
      </c>
      <c r="G142" s="125">
        <v>0.25</v>
      </c>
      <c r="H142" s="125">
        <v>0.25</v>
      </c>
      <c r="I142" s="125">
        <v>0.25</v>
      </c>
      <c r="J142" s="125">
        <v>0.25</v>
      </c>
      <c r="K142" s="125">
        <v>0.25</v>
      </c>
      <c r="L142" s="125">
        <v>0.25</v>
      </c>
      <c r="M142" s="125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124">
        <v>0.66625430833964439</v>
      </c>
      <c r="F143" s="124">
        <v>0.66367464936796561</v>
      </c>
      <c r="G143" s="124">
        <v>0.65679555877682227</v>
      </c>
      <c r="H143" s="124">
        <v>0.64733680921400016</v>
      </c>
      <c r="I143" s="124">
        <v>0.63443851435560639</v>
      </c>
      <c r="J143" s="124">
        <v>0.4680070358050421</v>
      </c>
      <c r="K143" s="124">
        <v>0.46713859851464173</v>
      </c>
      <c r="L143" s="124">
        <v>0.46531488020480088</v>
      </c>
      <c r="M143" s="124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124">
        <v>0.25092243745356524</v>
      </c>
      <c r="F144" s="124">
        <v>0.25657675134016689</v>
      </c>
      <c r="G144" s="124">
        <v>0.27165492170443795</v>
      </c>
      <c r="H144" s="124">
        <v>0.29238740595531065</v>
      </c>
      <c r="I144" s="124">
        <v>0.32065897538831889</v>
      </c>
      <c r="J144" s="124">
        <v>0.41290384467151914</v>
      </c>
      <c r="K144" s="124">
        <v>0.41363974384019625</v>
      </c>
      <c r="L144" s="124">
        <v>0.41518513209441815</v>
      </c>
      <c r="M144" s="124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123">
        <v>0.16</v>
      </c>
      <c r="F145" s="123">
        <v>0.16</v>
      </c>
      <c r="G145" s="123">
        <v>0.16</v>
      </c>
      <c r="H145" s="123">
        <v>0.16</v>
      </c>
      <c r="I145" s="123">
        <v>0.06</v>
      </c>
      <c r="J145" s="123">
        <v>0.05</v>
      </c>
      <c r="K145" s="123">
        <v>4.3999999999999997E-2</v>
      </c>
      <c r="L145" s="123">
        <v>4.3999999999999997E-2</v>
      </c>
      <c r="M145" s="123">
        <v>4.3999999999999997E-2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123">
        <v>0.08</v>
      </c>
      <c r="F146" s="123">
        <v>0.08</v>
      </c>
      <c r="G146" s="123">
        <v>0.08</v>
      </c>
      <c r="H146" s="123">
        <v>0.08</v>
      </c>
      <c r="I146" s="123">
        <v>0.03</v>
      </c>
      <c r="J146" s="123">
        <v>0</v>
      </c>
      <c r="K146" s="123">
        <v>0</v>
      </c>
      <c r="L146" s="123">
        <v>0</v>
      </c>
      <c r="M146" s="123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122">
        <v>5.4999999999999997E-3</v>
      </c>
      <c r="F147" s="122">
        <v>5.4999999999999997E-3</v>
      </c>
      <c r="G147" s="122">
        <v>5.4999999999999997E-3</v>
      </c>
      <c r="H147" s="122">
        <v>5.4999999999999997E-3</v>
      </c>
      <c r="I147" s="122">
        <v>5.4999999999999997E-3</v>
      </c>
      <c r="J147" s="122">
        <v>5.4999999999999997E-3</v>
      </c>
      <c r="K147" s="122">
        <v>5.4999999999999997E-3</v>
      </c>
      <c r="L147" s="122">
        <v>5.4999999999999997E-3</v>
      </c>
      <c r="M147" s="122">
        <v>5.4999999999999997E-3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122">
        <v>1</v>
      </c>
      <c r="F148" s="122">
        <v>1</v>
      </c>
      <c r="G148" s="122">
        <v>1</v>
      </c>
      <c r="H148" s="122">
        <v>1</v>
      </c>
      <c r="I148" s="122">
        <v>1</v>
      </c>
      <c r="J148" s="122">
        <v>1</v>
      </c>
      <c r="K148" s="122">
        <v>1</v>
      </c>
      <c r="L148" s="122">
        <v>1</v>
      </c>
      <c r="M148" s="122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122">
        <v>0.35</v>
      </c>
      <c r="F149" s="122">
        <v>0.35</v>
      </c>
      <c r="G149" s="122">
        <v>0.35</v>
      </c>
      <c r="H149" s="122">
        <v>0.35</v>
      </c>
      <c r="I149" s="122">
        <v>0.35</v>
      </c>
      <c r="J149" s="122">
        <v>0.35</v>
      </c>
      <c r="K149" s="122">
        <v>0.35</v>
      </c>
      <c r="L149" s="122">
        <v>0.35</v>
      </c>
      <c r="M149" s="122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122">
        <v>20</v>
      </c>
      <c r="F150" s="122">
        <v>20</v>
      </c>
      <c r="G150" s="122">
        <v>20</v>
      </c>
      <c r="H150" s="122">
        <v>20</v>
      </c>
      <c r="I150" s="122">
        <v>20</v>
      </c>
      <c r="J150" s="122">
        <v>20</v>
      </c>
      <c r="K150" s="122">
        <v>20</v>
      </c>
      <c r="L150" s="122">
        <v>20</v>
      </c>
      <c r="M150" s="122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123">
        <v>218.34121214018199</v>
      </c>
      <c r="F151" s="123">
        <v>184.87398682120613</v>
      </c>
      <c r="G151" s="123">
        <v>143.96390422813076</v>
      </c>
      <c r="H151" s="123">
        <v>115.96852782183296</v>
      </c>
      <c r="I151" s="123">
        <v>107.31263157894738</v>
      </c>
      <c r="J151" s="123">
        <v>107.00631578947369</v>
      </c>
      <c r="K151" s="123">
        <v>105.98526315789475</v>
      </c>
      <c r="L151" s="123">
        <v>103.84105263157896</v>
      </c>
      <c r="M151" s="123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122"/>
      <c r="F153" s="122"/>
      <c r="G153" s="122"/>
      <c r="H153" s="122"/>
      <c r="I153" s="122"/>
      <c r="J153" s="122"/>
      <c r="K153" s="122"/>
      <c r="L153" s="122"/>
      <c r="M153" s="122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123">
        <v>6.5502363642054595</v>
      </c>
      <c r="F154" s="123">
        <v>5.5462196046361836</v>
      </c>
      <c r="G154" s="123">
        <v>4.3189171268439228</v>
      </c>
      <c r="H154" s="123">
        <v>3.4790558346549889</v>
      </c>
      <c r="I154" s="123">
        <v>2.0378947368421052</v>
      </c>
      <c r="J154" s="123">
        <v>2.0189473684210526</v>
      </c>
      <c r="K154" s="123">
        <v>1.9557894736842103</v>
      </c>
      <c r="L154" s="123">
        <v>1.8231578947368419</v>
      </c>
      <c r="M154" s="123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1.6357894736842103E-3</v>
      </c>
      <c r="L155" s="123">
        <v>1.5031578947368419E-3</v>
      </c>
      <c r="M155" s="123">
        <v>1.2378947368421051E-3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122">
        <v>0.94349999999999989</v>
      </c>
      <c r="F157" s="122">
        <v>0.94349999999999989</v>
      </c>
      <c r="G157" s="122">
        <v>0.94349999999999989</v>
      </c>
      <c r="H157" s="122">
        <v>0.94349999999999989</v>
      </c>
      <c r="I157" s="122">
        <v>0.94349999999999989</v>
      </c>
      <c r="J157" s="122">
        <v>0.94349999999999989</v>
      </c>
      <c r="K157" s="122">
        <v>0.99</v>
      </c>
      <c r="L157" s="122">
        <v>0.99</v>
      </c>
      <c r="M157" s="122">
        <v>0.99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123">
        <v>1524.6</v>
      </c>
      <c r="F158" s="123">
        <v>1749.6</v>
      </c>
      <c r="G158" s="123">
        <v>2349.6</v>
      </c>
      <c r="H158" s="123">
        <v>3174.6</v>
      </c>
      <c r="I158" s="123">
        <v>4299.6000000000004</v>
      </c>
      <c r="J158" s="123">
        <v>14213</v>
      </c>
      <c r="K158" s="123">
        <v>21713</v>
      </c>
      <c r="L158" s="123">
        <v>37463</v>
      </c>
      <c r="M158" s="123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122">
        <v>40</v>
      </c>
      <c r="F159" s="122">
        <v>40</v>
      </c>
      <c r="G159" s="122">
        <v>40</v>
      </c>
      <c r="H159" s="122">
        <v>40</v>
      </c>
      <c r="I159" s="122">
        <v>40</v>
      </c>
      <c r="J159" s="122">
        <v>40</v>
      </c>
      <c r="K159" s="122">
        <v>40</v>
      </c>
      <c r="L159" s="122">
        <v>40</v>
      </c>
      <c r="M159" s="122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122">
        <v>0.35</v>
      </c>
      <c r="F160" s="122">
        <v>0.35</v>
      </c>
      <c r="G160" s="122">
        <v>0.35</v>
      </c>
      <c r="H160" s="122">
        <v>0.35</v>
      </c>
      <c r="I160" s="122">
        <v>0.35</v>
      </c>
      <c r="J160" s="122">
        <v>0.35</v>
      </c>
      <c r="K160" s="122">
        <v>0.35</v>
      </c>
      <c r="L160" s="122">
        <v>0.35</v>
      </c>
      <c r="M160" s="122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122">
        <v>1.8571428571428572</v>
      </c>
      <c r="F161" s="122">
        <v>1.8571428571428572</v>
      </c>
      <c r="G161" s="122">
        <v>1.8571428571428572</v>
      </c>
      <c r="H161" s="122">
        <v>1.8571428571428572</v>
      </c>
      <c r="I161" s="122">
        <v>1.8571428571428572</v>
      </c>
      <c r="J161" s="122">
        <v>1.8571428571428572</v>
      </c>
      <c r="K161" s="122">
        <v>1.8571428571428572</v>
      </c>
      <c r="L161" s="122">
        <v>1.8571428571428572</v>
      </c>
      <c r="M161" s="122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122">
        <v>20</v>
      </c>
      <c r="F162" s="122">
        <v>20</v>
      </c>
      <c r="G162" s="122">
        <v>20</v>
      </c>
      <c r="H162" s="122">
        <v>20</v>
      </c>
      <c r="I162" s="122">
        <v>20</v>
      </c>
      <c r="J162" s="122">
        <v>20</v>
      </c>
      <c r="K162" s="122">
        <v>20</v>
      </c>
      <c r="L162" s="122">
        <v>20</v>
      </c>
      <c r="M162" s="122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123">
        <v>6439.2406849033259</v>
      </c>
      <c r="F163" s="123">
        <v>4332.7824241831977</v>
      </c>
      <c r="G163" s="123">
        <v>2669.5160351066907</v>
      </c>
      <c r="H163" s="123">
        <v>2110.1894367812192</v>
      </c>
      <c r="I163" s="123">
        <v>1784.2871082104245</v>
      </c>
      <c r="J163" s="123">
        <v>1409.7428212977536</v>
      </c>
      <c r="K163" s="123">
        <v>1109.4282603302854</v>
      </c>
      <c r="L163" s="123">
        <v>892.85832488167068</v>
      </c>
      <c r="M163" s="123">
        <v>730.28644907126954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122"/>
      <c r="F165" s="122"/>
      <c r="G165" s="122"/>
      <c r="H165" s="122"/>
      <c r="I165" s="122"/>
      <c r="J165" s="122"/>
      <c r="K165" s="122"/>
      <c r="L165" s="122"/>
      <c r="M165" s="122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122"/>
      <c r="F166" s="122"/>
      <c r="G166" s="122"/>
      <c r="H166" s="122"/>
      <c r="I166" s="122"/>
      <c r="J166" s="122"/>
      <c r="K166" s="122"/>
      <c r="L166" s="122"/>
      <c r="M166" s="122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123">
        <v>5.4632155805897732E-2</v>
      </c>
      <c r="F167" s="123">
        <v>6.9225169277652349E-2</v>
      </c>
      <c r="G167" s="123">
        <v>5.5072970988733948E-2</v>
      </c>
      <c r="H167" s="123">
        <v>4.6604222305577481E-2</v>
      </c>
      <c r="I167" s="123">
        <v>4.0289223212275231E-2</v>
      </c>
      <c r="J167" s="123">
        <v>2.4583755873341454E-2</v>
      </c>
      <c r="K167" s="123">
        <v>1.9104989606490121E-2</v>
      </c>
      <c r="L167" s="123">
        <v>1.5182594783541725E-2</v>
      </c>
      <c r="M167" s="123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122"/>
      <c r="F169" s="122"/>
      <c r="G169" s="122"/>
      <c r="H169" s="122"/>
      <c r="I169" s="122"/>
      <c r="J169" s="122"/>
      <c r="K169" s="122"/>
      <c r="L169" s="122"/>
      <c r="M169" s="122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122"/>
      <c r="F170" s="122"/>
      <c r="G170" s="122"/>
      <c r="H170" s="122"/>
      <c r="I170" s="122"/>
      <c r="J170" s="122"/>
      <c r="K170" s="122"/>
      <c r="L170" s="122"/>
      <c r="M170" s="122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125">
        <v>0.5</v>
      </c>
      <c r="F171" s="125">
        <v>0.5</v>
      </c>
      <c r="G171" s="125">
        <v>0.5</v>
      </c>
      <c r="H171" s="125">
        <v>0.5</v>
      </c>
      <c r="I171" s="125">
        <v>0.5</v>
      </c>
      <c r="J171" s="125">
        <v>0.5</v>
      </c>
      <c r="K171" s="125">
        <v>0.5</v>
      </c>
      <c r="L171" s="125">
        <v>0.5</v>
      </c>
      <c r="M171" s="125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124">
        <v>0.66625430833964439</v>
      </c>
      <c r="F172" s="124">
        <v>0.66367464936796561</v>
      </c>
      <c r="G172" s="124">
        <v>0.65679555877682227</v>
      </c>
      <c r="H172" s="124">
        <v>0.64733680921400016</v>
      </c>
      <c r="I172" s="124">
        <v>0.63443851435560639</v>
      </c>
      <c r="J172" s="124">
        <v>0.4680070358050421</v>
      </c>
      <c r="K172" s="124">
        <v>0.46713859851464173</v>
      </c>
      <c r="L172" s="124">
        <v>0.46531488020480088</v>
      </c>
      <c r="M172" s="124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124">
        <v>0.25092243745356524</v>
      </c>
      <c r="F173" s="124">
        <v>0.25657675134016689</v>
      </c>
      <c r="G173" s="124">
        <v>0.27165492170443795</v>
      </c>
      <c r="H173" s="124">
        <v>0.29238740595531065</v>
      </c>
      <c r="I173" s="124">
        <v>0.32065897538831889</v>
      </c>
      <c r="J173" s="124">
        <v>0.41290384467151914</v>
      </c>
      <c r="K173" s="124">
        <v>0.41363974384019625</v>
      </c>
      <c r="L173" s="124">
        <v>0.41518513209441815</v>
      </c>
      <c r="M173" s="124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123">
        <v>0.16</v>
      </c>
      <c r="F174" s="123">
        <v>0.16</v>
      </c>
      <c r="G174" s="123">
        <v>0.16</v>
      </c>
      <c r="H174" s="123">
        <v>0.16</v>
      </c>
      <c r="I174" s="123">
        <v>0.06</v>
      </c>
      <c r="J174" s="123">
        <v>0.05</v>
      </c>
      <c r="K174" s="123">
        <v>4.3999999999999997E-2</v>
      </c>
      <c r="L174" s="123">
        <v>4.3999999999999997E-2</v>
      </c>
      <c r="M174" s="123">
        <v>4.3999999999999997E-2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123">
        <v>0.08</v>
      </c>
      <c r="F175" s="123">
        <v>0.08</v>
      </c>
      <c r="G175" s="123">
        <v>0.08</v>
      </c>
      <c r="H175" s="123">
        <v>0.08</v>
      </c>
      <c r="I175" s="123">
        <v>0.03</v>
      </c>
      <c r="J175" s="123">
        <v>0</v>
      </c>
      <c r="K175" s="123">
        <v>0</v>
      </c>
      <c r="L175" s="123">
        <v>0</v>
      </c>
      <c r="M175" s="123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122">
        <v>5.4999999999999997E-3</v>
      </c>
      <c r="F176" s="122">
        <v>5.4999999999999997E-3</v>
      </c>
      <c r="G176" s="122">
        <v>5.4999999999999997E-3</v>
      </c>
      <c r="H176" s="122">
        <v>5.4999999999999997E-3</v>
      </c>
      <c r="I176" s="122">
        <v>5.4999999999999997E-3</v>
      </c>
      <c r="J176" s="122">
        <v>5.4999999999999997E-3</v>
      </c>
      <c r="K176" s="122">
        <v>5.4999999999999997E-3</v>
      </c>
      <c r="L176" s="122">
        <v>5.4999999999999997E-3</v>
      </c>
      <c r="M176" s="122">
        <v>5.4999999999999997E-3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126">
        <v>1</v>
      </c>
      <c r="F177" s="126">
        <v>1</v>
      </c>
      <c r="G177" s="126">
        <v>1</v>
      </c>
      <c r="H177" s="126">
        <v>1</v>
      </c>
      <c r="I177" s="126">
        <v>1</v>
      </c>
      <c r="J177" s="126">
        <v>1</v>
      </c>
      <c r="K177" s="126">
        <v>1</v>
      </c>
      <c r="L177" s="126">
        <v>1</v>
      </c>
      <c r="M177" s="126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122">
        <v>0.8</v>
      </c>
      <c r="F178" s="122">
        <v>0.8</v>
      </c>
      <c r="G178" s="122">
        <v>0.8</v>
      </c>
      <c r="H178" s="122">
        <v>0.8</v>
      </c>
      <c r="I178" s="122">
        <v>0.8</v>
      </c>
      <c r="J178" s="122">
        <v>0.8</v>
      </c>
      <c r="K178" s="122">
        <v>0.8</v>
      </c>
      <c r="L178" s="122">
        <v>0.8</v>
      </c>
      <c r="M178" s="122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122">
        <v>20</v>
      </c>
      <c r="F179" s="122">
        <v>20</v>
      </c>
      <c r="G179" s="122">
        <v>20</v>
      </c>
      <c r="H179" s="122">
        <v>20</v>
      </c>
      <c r="I179" s="122">
        <v>20</v>
      </c>
      <c r="J179" s="122">
        <v>20</v>
      </c>
      <c r="K179" s="122">
        <v>20</v>
      </c>
      <c r="L179" s="122">
        <v>20</v>
      </c>
      <c r="M179" s="122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123">
        <v>218.34121214018199</v>
      </c>
      <c r="F180" s="123">
        <v>184.87398682120613</v>
      </c>
      <c r="G180" s="123">
        <v>143.96390422813076</v>
      </c>
      <c r="H180" s="123">
        <v>115.96852782183296</v>
      </c>
      <c r="I180" s="123">
        <v>107.31263157894738</v>
      </c>
      <c r="J180" s="123">
        <v>107.00631578947369</v>
      </c>
      <c r="K180" s="123">
        <v>105.98526315789475</v>
      </c>
      <c r="L180" s="123">
        <v>103.84105263157896</v>
      </c>
      <c r="M180" s="123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124">
        <v>0.2</v>
      </c>
      <c r="F181" s="124">
        <v>0.2</v>
      </c>
      <c r="G181" s="124">
        <v>0.2</v>
      </c>
      <c r="H181" s="124">
        <v>0.2</v>
      </c>
      <c r="I181" s="124">
        <v>0.2</v>
      </c>
      <c r="J181" s="124">
        <v>0.2</v>
      </c>
      <c r="K181" s="124">
        <v>0.2</v>
      </c>
      <c r="L181" s="124">
        <v>0.2</v>
      </c>
      <c r="M181" s="124">
        <v>0.2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122"/>
      <c r="F182" s="122"/>
      <c r="G182" s="122"/>
      <c r="H182" s="122"/>
      <c r="I182" s="122"/>
      <c r="J182" s="122"/>
      <c r="K182" s="122"/>
      <c r="L182" s="122"/>
      <c r="M182" s="122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123">
        <v>6.5502363642054595</v>
      </c>
      <c r="F183" s="123">
        <v>5.5462196046361836</v>
      </c>
      <c r="G183" s="123">
        <v>4.3189171268439228</v>
      </c>
      <c r="H183" s="123">
        <v>3.4790558346549889</v>
      </c>
      <c r="I183" s="123">
        <v>2.0378947368421052</v>
      </c>
      <c r="J183" s="123">
        <v>2.0189473684210526</v>
      </c>
      <c r="K183" s="123">
        <v>1.9557894736842103</v>
      </c>
      <c r="L183" s="123">
        <v>1.8231578947368419</v>
      </c>
      <c r="M183" s="123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1.6357894736842103E-3</v>
      </c>
      <c r="L184" s="123">
        <v>1.5031578947368419E-3</v>
      </c>
      <c r="M184" s="123">
        <v>1.2378947368421051E-3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122">
        <v>0.94349999999999989</v>
      </c>
      <c r="F186" s="122">
        <v>0.94349999999999989</v>
      </c>
      <c r="G186" s="122">
        <v>0.94349999999999989</v>
      </c>
      <c r="H186" s="122">
        <v>0.94349999999999989</v>
      </c>
      <c r="I186" s="122">
        <v>0.94349999999999989</v>
      </c>
      <c r="J186" s="122">
        <v>0.94349999999999989</v>
      </c>
      <c r="K186" s="122">
        <v>0.99</v>
      </c>
      <c r="L186" s="122">
        <v>0.99</v>
      </c>
      <c r="M186" s="122">
        <v>0.99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123">
        <v>1524.6</v>
      </c>
      <c r="F187" s="123">
        <v>1749.6</v>
      </c>
      <c r="G187" s="123">
        <v>2349.6</v>
      </c>
      <c r="H187" s="123">
        <v>3174.6</v>
      </c>
      <c r="I187" s="123">
        <v>4299.6000000000004</v>
      </c>
      <c r="J187" s="123">
        <v>14213</v>
      </c>
      <c r="K187" s="123">
        <v>21713</v>
      </c>
      <c r="L187" s="123">
        <v>37463</v>
      </c>
      <c r="M187" s="123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122">
        <v>40</v>
      </c>
      <c r="F188" s="122">
        <v>40</v>
      </c>
      <c r="G188" s="122">
        <v>40</v>
      </c>
      <c r="H188" s="122">
        <v>40</v>
      </c>
      <c r="I188" s="122">
        <v>40</v>
      </c>
      <c r="J188" s="122">
        <v>40</v>
      </c>
      <c r="K188" s="122">
        <v>40</v>
      </c>
      <c r="L188" s="122">
        <v>40</v>
      </c>
      <c r="M188" s="122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126">
        <v>0.3125</v>
      </c>
      <c r="F189" s="126">
        <v>0.3125</v>
      </c>
      <c r="G189" s="126">
        <v>0.3125</v>
      </c>
      <c r="H189" s="126">
        <v>0.3125</v>
      </c>
      <c r="I189" s="126">
        <v>0.3125</v>
      </c>
      <c r="J189" s="126">
        <v>0.3125</v>
      </c>
      <c r="K189" s="126">
        <v>0.3125</v>
      </c>
      <c r="L189" s="126">
        <v>0.3125</v>
      </c>
      <c r="M189" s="126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122">
        <v>0.64</v>
      </c>
      <c r="F190" s="122">
        <v>0.64</v>
      </c>
      <c r="G190" s="122">
        <v>0.64</v>
      </c>
      <c r="H190" s="122">
        <v>0.64</v>
      </c>
      <c r="I190" s="122">
        <v>0.64</v>
      </c>
      <c r="J190" s="122">
        <v>0.64</v>
      </c>
      <c r="K190" s="122">
        <v>0.64</v>
      </c>
      <c r="L190" s="122">
        <v>0.64</v>
      </c>
      <c r="M190" s="122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122">
        <v>20</v>
      </c>
      <c r="F191" s="122">
        <v>20</v>
      </c>
      <c r="G191" s="122">
        <v>20</v>
      </c>
      <c r="H191" s="122">
        <v>20</v>
      </c>
      <c r="I191" s="122">
        <v>20</v>
      </c>
      <c r="J191" s="122">
        <v>20</v>
      </c>
      <c r="K191" s="122">
        <v>20</v>
      </c>
      <c r="L191" s="122">
        <v>20</v>
      </c>
      <c r="M191" s="122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127">
        <v>969.96443035977279</v>
      </c>
      <c r="F192" s="123">
        <v>955.88615085209335</v>
      </c>
      <c r="G192" s="123">
        <v>918.34407216494844</v>
      </c>
      <c r="H192" s="123">
        <v>866.72371397012409</v>
      </c>
      <c r="I192" s="123">
        <v>796.33231643172724</v>
      </c>
      <c r="J192" s="123">
        <v>655.54952135493363</v>
      </c>
      <c r="K192" s="123">
        <v>563.57142857142856</v>
      </c>
      <c r="L192" s="123">
        <v>563.57142857142856</v>
      </c>
      <c r="M192" s="123">
        <v>563.57142857142856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124">
        <v>0</v>
      </c>
      <c r="F193" s="124">
        <v>0.35</v>
      </c>
      <c r="G193" s="124">
        <v>0.35</v>
      </c>
      <c r="H193" s="124">
        <v>0.35</v>
      </c>
      <c r="I193" s="124">
        <v>0.35</v>
      </c>
      <c r="J193" s="124">
        <v>0.35</v>
      </c>
      <c r="K193" s="124">
        <v>0.35</v>
      </c>
      <c r="L193" s="124">
        <v>0.35</v>
      </c>
      <c r="M193" s="124">
        <v>0.35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123">
        <v>59.884830633284238</v>
      </c>
      <c r="F194" s="123">
        <v>77.502650957290129</v>
      </c>
      <c r="G194" s="123">
        <v>124.48350515463918</v>
      </c>
      <c r="H194" s="123">
        <v>189.0821796759941</v>
      </c>
      <c r="I194" s="123">
        <v>277.17128129602355</v>
      </c>
      <c r="J194" s="123">
        <v>453.34948453608251</v>
      </c>
      <c r="K194" s="123">
        <v>629.52768777614153</v>
      </c>
      <c r="L194" s="123">
        <v>629.52768777614153</v>
      </c>
      <c r="M194" s="123">
        <v>629.52768777614153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122"/>
      <c r="F195" s="122"/>
      <c r="G195" s="122"/>
      <c r="H195" s="122"/>
      <c r="I195" s="122"/>
      <c r="J195" s="122"/>
      <c r="K195" s="122"/>
      <c r="L195" s="122"/>
      <c r="M195" s="122"/>
    </row>
    <row r="196" spans="1:14" x14ac:dyDescent="0.25">
      <c r="A196" s="208"/>
      <c r="B196" s="225"/>
      <c r="C196" s="25" t="s">
        <v>135</v>
      </c>
      <c r="D196" s="1" t="s">
        <v>10</v>
      </c>
      <c r="E196" s="122"/>
      <c r="F196" s="122"/>
      <c r="G196" s="122"/>
      <c r="H196" s="122"/>
      <c r="I196" s="122"/>
      <c r="J196" s="122"/>
      <c r="K196" s="122"/>
      <c r="L196" s="122"/>
      <c r="M196" s="122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122"/>
      <c r="F197" s="122"/>
      <c r="G197" s="122"/>
      <c r="H197" s="122"/>
      <c r="I197" s="122"/>
      <c r="J197" s="122"/>
      <c r="K197" s="122"/>
      <c r="L197" s="122"/>
      <c r="M197" s="122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122">
        <v>1</v>
      </c>
      <c r="F198" s="122">
        <v>1</v>
      </c>
      <c r="G198" s="122">
        <v>1</v>
      </c>
      <c r="H198" s="122">
        <v>1</v>
      </c>
      <c r="I198" s="122">
        <v>1</v>
      </c>
      <c r="J198" s="122">
        <v>1</v>
      </c>
      <c r="K198" s="122">
        <v>1</v>
      </c>
      <c r="L198" s="122">
        <v>1</v>
      </c>
      <c r="M198" s="122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122">
        <v>0.65</v>
      </c>
      <c r="F199" s="122">
        <v>0.65</v>
      </c>
      <c r="G199" s="122">
        <v>0.65</v>
      </c>
      <c r="H199" s="122">
        <v>0.65</v>
      </c>
      <c r="I199" s="122">
        <v>0.65</v>
      </c>
      <c r="J199" s="122">
        <v>0.65</v>
      </c>
      <c r="K199" s="122">
        <v>0.65</v>
      </c>
      <c r="L199" s="122">
        <v>0.65</v>
      </c>
      <c r="M199" s="122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122">
        <v>20</v>
      </c>
      <c r="F200" s="122">
        <v>20</v>
      </c>
      <c r="G200" s="122">
        <v>20</v>
      </c>
      <c r="H200" s="122">
        <v>20</v>
      </c>
      <c r="I200" s="122">
        <v>20</v>
      </c>
      <c r="J200" s="122">
        <v>20</v>
      </c>
      <c r="K200" s="122">
        <v>20</v>
      </c>
      <c r="L200" s="122">
        <v>20</v>
      </c>
      <c r="M200" s="122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123">
        <v>218.34121214018199</v>
      </c>
      <c r="F201" s="123">
        <v>184.87398682120613</v>
      </c>
      <c r="G201" s="123">
        <v>143.96390422813076</v>
      </c>
      <c r="H201" s="123">
        <v>115.96852782183296</v>
      </c>
      <c r="I201" s="123">
        <v>107.31263157894738</v>
      </c>
      <c r="J201" s="123">
        <v>107.00631578947369</v>
      </c>
      <c r="K201" s="123">
        <v>105.98526315789475</v>
      </c>
      <c r="L201" s="123">
        <v>103.84105263157896</v>
      </c>
      <c r="M201" s="123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124">
        <v>0.2</v>
      </c>
      <c r="F202" s="124">
        <v>0.2</v>
      </c>
      <c r="G202" s="124">
        <v>0.2</v>
      </c>
      <c r="H202" s="124">
        <v>0.2</v>
      </c>
      <c r="I202" s="124">
        <v>0.2</v>
      </c>
      <c r="J202" s="124">
        <v>0.2</v>
      </c>
      <c r="K202" s="124">
        <v>0.2</v>
      </c>
      <c r="L202" s="124">
        <v>0.2</v>
      </c>
      <c r="M202" s="124">
        <v>0.2</v>
      </c>
    </row>
    <row r="203" spans="1:14" x14ac:dyDescent="0.25">
      <c r="A203" s="208"/>
      <c r="B203" s="225"/>
      <c r="C203" s="25" t="s">
        <v>114</v>
      </c>
      <c r="D203" s="1" t="s">
        <v>8</v>
      </c>
      <c r="E203" s="122"/>
      <c r="F203" s="122"/>
      <c r="G203" s="122"/>
      <c r="H203" s="122"/>
      <c r="I203" s="122"/>
      <c r="J203" s="122"/>
      <c r="K203" s="122"/>
      <c r="L203" s="122"/>
      <c r="M203" s="122"/>
    </row>
    <row r="204" spans="1:14" x14ac:dyDescent="0.25">
      <c r="A204" s="208"/>
      <c r="B204" s="225"/>
      <c r="C204" s="25" t="s">
        <v>115</v>
      </c>
      <c r="D204" s="1" t="s">
        <v>9</v>
      </c>
      <c r="E204" s="123">
        <v>6.5502363642054595</v>
      </c>
      <c r="F204" s="123">
        <v>5.5462196046361836</v>
      </c>
      <c r="G204" s="123">
        <v>4.3189171268439228</v>
      </c>
      <c r="H204" s="123">
        <v>3.4790558346549889</v>
      </c>
      <c r="I204" s="123">
        <v>2.0378947368421052</v>
      </c>
      <c r="J204" s="123">
        <v>2.0189473684210526</v>
      </c>
      <c r="K204" s="123">
        <v>1.9557894736842103</v>
      </c>
      <c r="L204" s="123">
        <v>1.8231578947368419</v>
      </c>
      <c r="M204" s="123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1.6357894736842103E-3</v>
      </c>
      <c r="L205" s="123">
        <v>1.5031578947368419E-3</v>
      </c>
      <c r="M205" s="123">
        <v>1.2378947368421051E-3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122">
        <v>0.94349999999999989</v>
      </c>
      <c r="F207" s="122">
        <v>0.94349999999999989</v>
      </c>
      <c r="G207" s="122">
        <v>0.94349999999999989</v>
      </c>
      <c r="H207" s="122">
        <v>0.94349999999999989</v>
      </c>
      <c r="I207" s="122">
        <v>0.94349999999999989</v>
      </c>
      <c r="J207" s="122">
        <v>0.94349999999999989</v>
      </c>
      <c r="K207" s="122">
        <v>0.99</v>
      </c>
      <c r="L207" s="122">
        <v>0.99</v>
      </c>
      <c r="M207" s="122">
        <v>0.99</v>
      </c>
    </row>
    <row r="208" spans="1:14" x14ac:dyDescent="0.25">
      <c r="A208" s="208"/>
      <c r="B208" s="225"/>
      <c r="C208" s="25" t="s">
        <v>26</v>
      </c>
      <c r="D208" s="1" t="s">
        <v>14</v>
      </c>
      <c r="E208" s="123">
        <v>1524.6</v>
      </c>
      <c r="F208" s="123">
        <v>1749.6</v>
      </c>
      <c r="G208" s="123">
        <v>2349.6</v>
      </c>
      <c r="H208" s="123">
        <v>3174.6</v>
      </c>
      <c r="I208" s="123">
        <v>4299.6000000000004</v>
      </c>
      <c r="J208" s="123">
        <v>14213</v>
      </c>
      <c r="K208" s="123">
        <v>21713</v>
      </c>
      <c r="L208" s="123">
        <v>37463</v>
      </c>
      <c r="M208" s="123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122">
        <v>40</v>
      </c>
      <c r="F209" s="122">
        <v>40</v>
      </c>
      <c r="G209" s="122">
        <v>40</v>
      </c>
      <c r="H209" s="122">
        <v>40</v>
      </c>
      <c r="I209" s="122">
        <v>40</v>
      </c>
      <c r="J209" s="122">
        <v>40</v>
      </c>
      <c r="K209" s="122">
        <v>40</v>
      </c>
      <c r="L209" s="122">
        <v>40</v>
      </c>
      <c r="M209" s="122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126">
        <v>0.546875</v>
      </c>
      <c r="F210" s="126">
        <v>0.546875</v>
      </c>
      <c r="G210" s="126">
        <v>0.54687499999999989</v>
      </c>
      <c r="H210" s="126">
        <v>0.546875</v>
      </c>
      <c r="I210" s="126">
        <v>0.546875</v>
      </c>
      <c r="J210" s="126">
        <v>0.546875</v>
      </c>
      <c r="K210" s="126">
        <v>0.546875</v>
      </c>
      <c r="L210" s="126">
        <v>0.546875</v>
      </c>
      <c r="M210" s="126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122">
        <v>0.64</v>
      </c>
      <c r="F211" s="122">
        <v>0.64</v>
      </c>
      <c r="G211" s="122">
        <v>0.64</v>
      </c>
      <c r="H211" s="122">
        <v>0.64</v>
      </c>
      <c r="I211" s="122">
        <v>0.64</v>
      </c>
      <c r="J211" s="122">
        <v>0.64</v>
      </c>
      <c r="K211" s="122">
        <v>0.64</v>
      </c>
      <c r="L211" s="122">
        <v>0.64</v>
      </c>
      <c r="M211" s="122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122">
        <v>20</v>
      </c>
      <c r="F212" s="122">
        <v>20</v>
      </c>
      <c r="G212" s="122">
        <v>20</v>
      </c>
      <c r="H212" s="122">
        <v>20</v>
      </c>
      <c r="I212" s="122">
        <v>20</v>
      </c>
      <c r="J212" s="122">
        <v>20</v>
      </c>
      <c r="K212" s="122">
        <v>20</v>
      </c>
      <c r="L212" s="122">
        <v>20</v>
      </c>
      <c r="M212" s="122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127">
        <v>959.40572072901318</v>
      </c>
      <c r="F213" s="123">
        <v>934.76873159057436</v>
      </c>
      <c r="G213" s="123">
        <v>869.07009388807069</v>
      </c>
      <c r="H213" s="123">
        <v>778.73446704712808</v>
      </c>
      <c r="I213" s="123">
        <v>655.54952135493363</v>
      </c>
      <c r="J213" s="123">
        <v>563.57142857142856</v>
      </c>
      <c r="K213" s="123">
        <v>563.57142857142856</v>
      </c>
      <c r="L213" s="123">
        <v>563.57142857142856</v>
      </c>
      <c r="M213" s="123">
        <v>563.57142857142856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124">
        <v>0.35</v>
      </c>
      <c r="F214" s="124">
        <v>0.35</v>
      </c>
      <c r="G214" s="124">
        <v>0.35</v>
      </c>
      <c r="H214" s="124">
        <v>0.35</v>
      </c>
      <c r="I214" s="124">
        <v>0.35</v>
      </c>
      <c r="J214" s="124">
        <v>0.35</v>
      </c>
      <c r="K214" s="124">
        <v>0.35</v>
      </c>
      <c r="L214" s="124">
        <v>0.35</v>
      </c>
      <c r="M214" s="124">
        <v>0.35</v>
      </c>
    </row>
    <row r="215" spans="1:13" x14ac:dyDescent="0.25">
      <c r="A215" s="208"/>
      <c r="B215" s="225"/>
      <c r="C215" s="25" t="s">
        <v>133</v>
      </c>
      <c r="D215" s="1" t="s">
        <v>8</v>
      </c>
      <c r="E215" s="123">
        <v>59.884830633284238</v>
      </c>
      <c r="F215" s="123">
        <v>77.502650957290129</v>
      </c>
      <c r="G215" s="123">
        <v>124.48350515463918</v>
      </c>
      <c r="H215" s="123">
        <v>189.0821796759941</v>
      </c>
      <c r="I215" s="123">
        <v>277.17128129602355</v>
      </c>
      <c r="J215" s="123">
        <v>453.34948453608251</v>
      </c>
      <c r="K215" s="123">
        <v>629.52768777614153</v>
      </c>
      <c r="L215" s="123">
        <v>629.52768777614153</v>
      </c>
      <c r="M215" s="123">
        <v>629.52768777614153</v>
      </c>
    </row>
    <row r="216" spans="1:13" x14ac:dyDescent="0.25">
      <c r="A216" s="208"/>
      <c r="B216" s="225"/>
      <c r="C216" s="25" t="s">
        <v>134</v>
      </c>
      <c r="D216" s="1" t="s">
        <v>9</v>
      </c>
      <c r="E216" s="122"/>
      <c r="F216" s="122"/>
      <c r="G216" s="122"/>
      <c r="H216" s="122"/>
      <c r="I216" s="122"/>
      <c r="J216" s="122"/>
      <c r="K216" s="122"/>
      <c r="L216" s="122"/>
      <c r="M216" s="122"/>
    </row>
    <row r="217" spans="1:13" x14ac:dyDescent="0.25">
      <c r="A217" s="208"/>
      <c r="B217" s="225"/>
      <c r="C217" s="25" t="s">
        <v>135</v>
      </c>
      <c r="D217" s="1" t="s">
        <v>10</v>
      </c>
      <c r="E217" s="122"/>
      <c r="F217" s="122"/>
      <c r="G217" s="122"/>
      <c r="H217" s="122"/>
      <c r="I217" s="122"/>
      <c r="J217" s="122"/>
      <c r="K217" s="122"/>
      <c r="L217" s="122"/>
      <c r="M217" s="122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122"/>
      <c r="F218" s="122"/>
      <c r="G218" s="122"/>
      <c r="H218" s="122"/>
      <c r="I218" s="122"/>
      <c r="J218" s="122"/>
      <c r="K218" s="122"/>
      <c r="L218" s="122"/>
      <c r="M218" s="122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126">
        <v>1</v>
      </c>
      <c r="F219" s="126">
        <v>1</v>
      </c>
      <c r="G219" s="126">
        <v>1</v>
      </c>
      <c r="H219" s="126">
        <v>1</v>
      </c>
      <c r="I219" s="126">
        <v>1</v>
      </c>
      <c r="J219" s="126">
        <v>1</v>
      </c>
      <c r="K219" s="126">
        <v>1</v>
      </c>
      <c r="L219" s="126">
        <v>1</v>
      </c>
      <c r="M219" s="126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122">
        <v>0.8</v>
      </c>
      <c r="F220" s="122">
        <v>0.8</v>
      </c>
      <c r="G220" s="122">
        <v>0.8</v>
      </c>
      <c r="H220" s="122">
        <v>0.8</v>
      </c>
      <c r="I220" s="122">
        <v>0.8</v>
      </c>
      <c r="J220" s="122">
        <v>0.8</v>
      </c>
      <c r="K220" s="122">
        <v>0.8</v>
      </c>
      <c r="L220" s="122">
        <v>0.8</v>
      </c>
      <c r="M220" s="122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122">
        <v>20</v>
      </c>
      <c r="F221" s="122">
        <v>20</v>
      </c>
      <c r="G221" s="122">
        <v>20</v>
      </c>
      <c r="H221" s="122">
        <v>20</v>
      </c>
      <c r="I221" s="122">
        <v>20</v>
      </c>
      <c r="J221" s="122">
        <v>20</v>
      </c>
      <c r="K221" s="122">
        <v>20</v>
      </c>
      <c r="L221" s="122">
        <v>20</v>
      </c>
      <c r="M221" s="122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123">
        <v>939.47924488610727</v>
      </c>
      <c r="F222" s="123">
        <v>670.86780042435419</v>
      </c>
      <c r="G222" s="123">
        <v>523.42631254470632</v>
      </c>
      <c r="H222" s="123">
        <v>523.42631254470632</v>
      </c>
      <c r="I222" s="123">
        <v>523.42631254470632</v>
      </c>
      <c r="J222" s="123">
        <v>523.42631254470632</v>
      </c>
      <c r="K222" s="123">
        <v>1136.3124641115969</v>
      </c>
      <c r="L222" s="123">
        <v>988.42533284709032</v>
      </c>
      <c r="M222" s="123">
        <v>868.76381718516643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124">
        <v>0.35</v>
      </c>
      <c r="F223" s="124">
        <v>0.35</v>
      </c>
      <c r="G223" s="124">
        <v>0.35</v>
      </c>
      <c r="H223" s="124">
        <v>0.35</v>
      </c>
      <c r="I223" s="124">
        <v>0.35</v>
      </c>
      <c r="J223" s="124">
        <v>0.35</v>
      </c>
      <c r="K223" s="124">
        <v>0.35</v>
      </c>
      <c r="L223" s="124">
        <v>0.35</v>
      </c>
      <c r="M223" s="124">
        <v>0.35</v>
      </c>
    </row>
    <row r="224" spans="1:13" x14ac:dyDescent="0.25">
      <c r="A224" s="227"/>
      <c r="B224" s="230"/>
      <c r="C224" s="25" t="s">
        <v>117</v>
      </c>
      <c r="D224" s="1" t="s">
        <v>8</v>
      </c>
      <c r="E224" s="122"/>
      <c r="F224" s="122"/>
      <c r="G224" s="122"/>
      <c r="H224" s="122"/>
      <c r="I224" s="122"/>
      <c r="J224" s="122"/>
      <c r="K224" s="122"/>
      <c r="L224" s="122"/>
      <c r="M224" s="122"/>
    </row>
    <row r="225" spans="1:13" x14ac:dyDescent="0.25">
      <c r="A225" s="227"/>
      <c r="B225" s="230"/>
      <c r="C225" s="25" t="s">
        <v>118</v>
      </c>
      <c r="D225" s="1" t="s">
        <v>9</v>
      </c>
      <c r="E225" s="122"/>
      <c r="F225" s="122"/>
      <c r="G225" s="122"/>
      <c r="H225" s="122"/>
      <c r="I225" s="122"/>
      <c r="J225" s="122"/>
      <c r="K225" s="122"/>
      <c r="L225" s="122"/>
      <c r="M225" s="122"/>
    </row>
    <row r="226" spans="1:13" x14ac:dyDescent="0.25">
      <c r="A226" s="227"/>
      <c r="B226" s="230"/>
      <c r="C226" s="25" t="s">
        <v>119</v>
      </c>
      <c r="D226" s="1" t="s">
        <v>10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2.1700000000000001E-3</v>
      </c>
      <c r="L226" s="123">
        <v>2.1700000000000001E-3</v>
      </c>
      <c r="M226" s="123">
        <v>2.1700000000000001E-3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123">
        <v>0</v>
      </c>
      <c r="F227" s="123">
        <v>0</v>
      </c>
      <c r="G227" s="123">
        <v>0</v>
      </c>
      <c r="H227" s="123">
        <v>0</v>
      </c>
      <c r="I227" s="123">
        <v>0</v>
      </c>
      <c r="J227" s="123">
        <v>0</v>
      </c>
      <c r="K227" s="123">
        <v>0</v>
      </c>
      <c r="L227" s="123">
        <v>0</v>
      </c>
      <c r="M227" s="123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123">
        <v>0</v>
      </c>
      <c r="F228" s="123">
        <v>0</v>
      </c>
      <c r="G228" s="123">
        <v>0</v>
      </c>
      <c r="H228" s="123">
        <v>0</v>
      </c>
      <c r="I228" s="123">
        <v>0</v>
      </c>
      <c r="J228" s="123">
        <v>0</v>
      </c>
      <c r="K228" s="123">
        <v>0</v>
      </c>
      <c r="L228" s="123">
        <v>0</v>
      </c>
      <c r="M228" s="123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122">
        <v>3.09</v>
      </c>
      <c r="F229" s="122">
        <v>3.09</v>
      </c>
      <c r="G229" s="122">
        <v>3.09</v>
      </c>
      <c r="H229" s="122">
        <v>3.09</v>
      </c>
      <c r="I229" s="122">
        <v>3.09</v>
      </c>
      <c r="J229" s="122">
        <v>3.09</v>
      </c>
      <c r="K229" s="122">
        <v>3.09</v>
      </c>
      <c r="L229" s="122">
        <v>3.09</v>
      </c>
      <c r="M229" s="122">
        <v>3.09</v>
      </c>
    </row>
    <row r="230" spans="1:13" x14ac:dyDescent="0.25">
      <c r="A230" s="227"/>
      <c r="B230" s="230"/>
      <c r="C230" s="25" t="s">
        <v>33</v>
      </c>
      <c r="D230" s="2" t="s">
        <v>14</v>
      </c>
      <c r="E230" s="122"/>
      <c r="F230" s="122"/>
      <c r="G230" s="122"/>
      <c r="H230" s="122"/>
      <c r="I230" s="122"/>
      <c r="J230" s="122"/>
      <c r="K230" s="122"/>
      <c r="L230" s="122"/>
      <c r="M230" s="122"/>
    </row>
    <row r="231" spans="1:13" x14ac:dyDescent="0.25">
      <c r="A231" s="227"/>
      <c r="B231" s="230"/>
      <c r="C231" s="25" t="s">
        <v>34</v>
      </c>
      <c r="D231" s="2" t="s">
        <v>4</v>
      </c>
      <c r="E231" s="122"/>
      <c r="F231" s="122"/>
      <c r="G231" s="122"/>
      <c r="H231" s="122"/>
      <c r="I231" s="122"/>
      <c r="J231" s="122"/>
      <c r="K231" s="122"/>
      <c r="L231" s="122"/>
      <c r="M231" s="122"/>
    </row>
    <row r="232" spans="1:13" x14ac:dyDescent="0.25">
      <c r="A232" s="227"/>
      <c r="B232" s="230"/>
      <c r="C232" s="25" t="s">
        <v>129</v>
      </c>
      <c r="D232" s="1" t="s">
        <v>19</v>
      </c>
      <c r="E232" s="126">
        <v>0.3125</v>
      </c>
      <c r="F232" s="126">
        <v>0.3125</v>
      </c>
      <c r="G232" s="126">
        <v>0.3125</v>
      </c>
      <c r="H232" s="126">
        <v>0.3125</v>
      </c>
      <c r="I232" s="126">
        <v>0.3125</v>
      </c>
      <c r="J232" s="126">
        <v>0.3125</v>
      </c>
      <c r="K232" s="126">
        <v>0.3125</v>
      </c>
      <c r="L232" s="126">
        <v>0.3125</v>
      </c>
      <c r="M232" s="126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122">
        <v>0.64</v>
      </c>
      <c r="F233" s="122">
        <v>0.64</v>
      </c>
      <c r="G233" s="122">
        <v>0.64</v>
      </c>
      <c r="H233" s="122">
        <v>0.64</v>
      </c>
      <c r="I233" s="122">
        <v>0.64</v>
      </c>
      <c r="J233" s="122">
        <v>0.64</v>
      </c>
      <c r="K233" s="122">
        <v>0.64</v>
      </c>
      <c r="L233" s="122">
        <v>0.64</v>
      </c>
      <c r="M233" s="122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122">
        <v>20</v>
      </c>
      <c r="F234" s="122">
        <v>20</v>
      </c>
      <c r="G234" s="122">
        <v>20</v>
      </c>
      <c r="H234" s="122">
        <v>20</v>
      </c>
      <c r="I234" s="122">
        <v>20</v>
      </c>
      <c r="J234" s="122">
        <v>20</v>
      </c>
      <c r="K234" s="122">
        <v>20</v>
      </c>
      <c r="L234" s="122">
        <v>20</v>
      </c>
      <c r="M234" s="122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127">
        <v>969.96443035977279</v>
      </c>
      <c r="F235" s="127">
        <v>955.88615085209335</v>
      </c>
      <c r="G235" s="127">
        <v>918.34407216494844</v>
      </c>
      <c r="H235" s="127">
        <v>866.72371397012409</v>
      </c>
      <c r="I235" s="127">
        <v>796.33231643172724</v>
      </c>
      <c r="J235" s="127">
        <v>655.54952135493363</v>
      </c>
      <c r="K235" s="127">
        <v>563.57142857142856</v>
      </c>
      <c r="L235" s="127">
        <v>563.57142857142856</v>
      </c>
      <c r="M235" s="127">
        <v>563.57142857142856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124">
        <v>0.35</v>
      </c>
      <c r="F236" s="124">
        <v>0.35</v>
      </c>
      <c r="G236" s="124">
        <v>0.35</v>
      </c>
      <c r="H236" s="124">
        <v>0.35</v>
      </c>
      <c r="I236" s="124">
        <v>0.35</v>
      </c>
      <c r="J236" s="124">
        <v>0.35</v>
      </c>
      <c r="K236" s="124">
        <v>0.35</v>
      </c>
      <c r="L236" s="124">
        <v>0.35</v>
      </c>
      <c r="M236" s="124">
        <v>0.35</v>
      </c>
    </row>
    <row r="237" spans="1:13" x14ac:dyDescent="0.25">
      <c r="A237" s="227"/>
      <c r="B237" s="230"/>
      <c r="C237" s="25" t="s">
        <v>133</v>
      </c>
      <c r="D237" s="1" t="s">
        <v>8</v>
      </c>
      <c r="E237" s="123">
        <v>59.884830633284238</v>
      </c>
      <c r="F237" s="123">
        <v>77.502650957290129</v>
      </c>
      <c r="G237" s="123">
        <v>124.48350515463918</v>
      </c>
      <c r="H237" s="123">
        <v>189.0821796759941</v>
      </c>
      <c r="I237" s="123">
        <v>277.17128129602355</v>
      </c>
      <c r="J237" s="123">
        <v>453.34948453608251</v>
      </c>
      <c r="K237" s="123">
        <v>629.52768777614153</v>
      </c>
      <c r="L237" s="123">
        <v>629.52768777614153</v>
      </c>
      <c r="M237" s="123">
        <v>629.52768777614153</v>
      </c>
    </row>
    <row r="238" spans="1:13" x14ac:dyDescent="0.25">
      <c r="A238" s="227"/>
      <c r="B238" s="230"/>
      <c r="C238" s="25" t="s">
        <v>134</v>
      </c>
      <c r="D238" s="1" t="s">
        <v>9</v>
      </c>
      <c r="E238" s="122"/>
      <c r="F238" s="122"/>
      <c r="G238" s="122"/>
      <c r="H238" s="122"/>
      <c r="I238" s="122"/>
      <c r="J238" s="122"/>
      <c r="K238" s="122"/>
      <c r="L238" s="122"/>
      <c r="M238" s="122"/>
    </row>
    <row r="239" spans="1:13" x14ac:dyDescent="0.25">
      <c r="A239" s="227"/>
      <c r="B239" s="230"/>
      <c r="C239" s="25" t="s">
        <v>135</v>
      </c>
      <c r="D239" s="1" t="s">
        <v>10</v>
      </c>
      <c r="E239" s="122"/>
      <c r="F239" s="122"/>
      <c r="G239" s="122"/>
      <c r="H239" s="122"/>
      <c r="I239" s="122"/>
      <c r="J239" s="122"/>
      <c r="K239" s="122"/>
      <c r="L239" s="122"/>
      <c r="M239" s="122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122"/>
      <c r="F240" s="122"/>
      <c r="G240" s="122"/>
      <c r="H240" s="122"/>
      <c r="I240" s="122"/>
      <c r="J240" s="122"/>
      <c r="K240" s="122"/>
      <c r="L240" s="122"/>
      <c r="M240" s="122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126">
        <v>1</v>
      </c>
      <c r="F241" s="126">
        <v>1</v>
      </c>
      <c r="G241" s="126">
        <v>1</v>
      </c>
      <c r="H241" s="126">
        <v>1</v>
      </c>
      <c r="I241" s="126">
        <v>1</v>
      </c>
      <c r="J241" s="126">
        <v>1</v>
      </c>
      <c r="K241" s="126">
        <v>1</v>
      </c>
      <c r="L241" s="126">
        <v>1</v>
      </c>
      <c r="M241" s="126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122">
        <v>0.65</v>
      </c>
      <c r="F242" s="122">
        <v>0.65</v>
      </c>
      <c r="G242" s="122">
        <v>0.65</v>
      </c>
      <c r="H242" s="122">
        <v>0.65</v>
      </c>
      <c r="I242" s="122">
        <v>0.65</v>
      </c>
      <c r="J242" s="122">
        <v>0.65</v>
      </c>
      <c r="K242" s="122">
        <v>0.65</v>
      </c>
      <c r="L242" s="122">
        <v>0.65</v>
      </c>
      <c r="M242" s="122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122">
        <v>20</v>
      </c>
      <c r="F243" s="122">
        <v>20</v>
      </c>
      <c r="G243" s="122">
        <v>20</v>
      </c>
      <c r="H243" s="122">
        <v>20</v>
      </c>
      <c r="I243" s="122">
        <v>20</v>
      </c>
      <c r="J243" s="122">
        <v>20</v>
      </c>
      <c r="K243" s="122">
        <v>20</v>
      </c>
      <c r="L243" s="122">
        <v>20</v>
      </c>
      <c r="M243" s="122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123">
        <v>939.47924488610727</v>
      </c>
      <c r="F244" s="123">
        <v>670.86780042435419</v>
      </c>
      <c r="G244" s="123">
        <v>523.42631254470632</v>
      </c>
      <c r="H244" s="123">
        <v>523.42631254470632</v>
      </c>
      <c r="I244" s="123">
        <v>523.42631254470632</v>
      </c>
      <c r="J244" s="123">
        <v>523.42631254470632</v>
      </c>
      <c r="K244" s="123">
        <v>1136.3124641115969</v>
      </c>
      <c r="L244" s="123">
        <v>988.42533284709032</v>
      </c>
      <c r="M244" s="123">
        <v>868.76381718516643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124">
        <v>0.35</v>
      </c>
      <c r="F245" s="124">
        <v>0.35</v>
      </c>
      <c r="G245" s="124">
        <v>0.35</v>
      </c>
      <c r="H245" s="124">
        <v>0.35</v>
      </c>
      <c r="I245" s="124">
        <v>0.35</v>
      </c>
      <c r="J245" s="124">
        <v>0.35</v>
      </c>
      <c r="K245" s="124">
        <v>0.35</v>
      </c>
      <c r="L245" s="124">
        <v>0.35</v>
      </c>
      <c r="M245" s="124">
        <v>0.35</v>
      </c>
    </row>
    <row r="246" spans="1:13" x14ac:dyDescent="0.25">
      <c r="A246" s="227"/>
      <c r="B246" s="230"/>
      <c r="C246" s="25" t="s">
        <v>117</v>
      </c>
      <c r="D246" s="1" t="s">
        <v>8</v>
      </c>
      <c r="E246" s="122"/>
      <c r="F246" s="122"/>
      <c r="G246" s="122"/>
      <c r="H246" s="122"/>
      <c r="I246" s="122"/>
      <c r="J246" s="122"/>
      <c r="K246" s="122"/>
      <c r="L246" s="122"/>
      <c r="M246" s="122"/>
    </row>
    <row r="247" spans="1:13" x14ac:dyDescent="0.25">
      <c r="A247" s="227"/>
      <c r="B247" s="230"/>
      <c r="C247" s="25" t="s">
        <v>118</v>
      </c>
      <c r="D247" s="1" t="s">
        <v>9</v>
      </c>
      <c r="E247" s="122"/>
      <c r="F247" s="122"/>
      <c r="G247" s="122"/>
      <c r="H247" s="122"/>
      <c r="I247" s="122"/>
      <c r="J247" s="122"/>
      <c r="K247" s="122"/>
      <c r="L247" s="122"/>
      <c r="M247" s="122"/>
    </row>
    <row r="248" spans="1:13" x14ac:dyDescent="0.25">
      <c r="A248" s="227"/>
      <c r="B248" s="230"/>
      <c r="C248" s="25" t="s">
        <v>119</v>
      </c>
      <c r="D248" s="1" t="s">
        <v>10</v>
      </c>
      <c r="E248" s="123">
        <v>0</v>
      </c>
      <c r="F248" s="123">
        <v>0</v>
      </c>
      <c r="G248" s="123">
        <v>0</v>
      </c>
      <c r="H248" s="123">
        <v>0</v>
      </c>
      <c r="I248" s="123">
        <v>0</v>
      </c>
      <c r="J248" s="123">
        <v>0</v>
      </c>
      <c r="K248" s="123">
        <v>2.1700000000000001E-3</v>
      </c>
      <c r="L248" s="123">
        <v>2.1700000000000001E-3</v>
      </c>
      <c r="M248" s="123">
        <v>2.1700000000000001E-3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122">
        <v>3.09</v>
      </c>
      <c r="F251" s="122">
        <v>3.09</v>
      </c>
      <c r="G251" s="122">
        <v>3.09</v>
      </c>
      <c r="H251" s="122">
        <v>3.09</v>
      </c>
      <c r="I251" s="122">
        <v>3.09</v>
      </c>
      <c r="J251" s="122">
        <v>3.09</v>
      </c>
      <c r="K251" s="122">
        <v>3.09</v>
      </c>
      <c r="L251" s="122">
        <v>3.09</v>
      </c>
      <c r="M251" s="122">
        <v>3.09</v>
      </c>
    </row>
    <row r="252" spans="1:13" x14ac:dyDescent="0.25">
      <c r="A252" s="227"/>
      <c r="B252" s="230"/>
      <c r="C252" s="25" t="s">
        <v>33</v>
      </c>
      <c r="D252" s="2" t="s">
        <v>14</v>
      </c>
      <c r="E252" s="122"/>
      <c r="F252" s="122"/>
      <c r="G252" s="122"/>
      <c r="H252" s="122"/>
      <c r="I252" s="122"/>
      <c r="J252" s="122"/>
      <c r="K252" s="122"/>
      <c r="L252" s="122"/>
      <c r="M252" s="122"/>
    </row>
    <row r="253" spans="1:13" x14ac:dyDescent="0.25">
      <c r="A253" s="227"/>
      <c r="B253" s="230"/>
      <c r="C253" s="25" t="s">
        <v>34</v>
      </c>
      <c r="D253" s="2" t="s">
        <v>4</v>
      </c>
      <c r="E253" s="122"/>
      <c r="F253" s="122"/>
      <c r="G253" s="122"/>
      <c r="H253" s="122"/>
      <c r="I253" s="122"/>
      <c r="J253" s="122"/>
      <c r="K253" s="122"/>
      <c r="L253" s="122"/>
      <c r="M253" s="122"/>
    </row>
    <row r="254" spans="1:13" x14ac:dyDescent="0.25">
      <c r="A254" s="227"/>
      <c r="B254" s="230"/>
      <c r="C254" s="25" t="s">
        <v>129</v>
      </c>
      <c r="D254" s="1" t="s">
        <v>19</v>
      </c>
      <c r="E254" s="126">
        <v>0.546875</v>
      </c>
      <c r="F254" s="126">
        <v>0.546875</v>
      </c>
      <c r="G254" s="126">
        <v>0.54687499999999989</v>
      </c>
      <c r="H254" s="126">
        <v>0.546875</v>
      </c>
      <c r="I254" s="126">
        <v>0.546875</v>
      </c>
      <c r="J254" s="126">
        <v>0.546875</v>
      </c>
      <c r="K254" s="126">
        <v>0.546875</v>
      </c>
      <c r="L254" s="126">
        <v>0.546875</v>
      </c>
      <c r="M254" s="126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122">
        <v>0.64</v>
      </c>
      <c r="F255" s="122">
        <v>0.64</v>
      </c>
      <c r="G255" s="122">
        <v>0.64</v>
      </c>
      <c r="H255" s="122">
        <v>0.64</v>
      </c>
      <c r="I255" s="122">
        <v>0.64</v>
      </c>
      <c r="J255" s="122">
        <v>0.64</v>
      </c>
      <c r="K255" s="122">
        <v>0.64</v>
      </c>
      <c r="L255" s="122">
        <v>0.64</v>
      </c>
      <c r="M255" s="122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122">
        <v>20</v>
      </c>
      <c r="F256" s="122">
        <v>20</v>
      </c>
      <c r="G256" s="122">
        <v>20</v>
      </c>
      <c r="H256" s="122">
        <v>20</v>
      </c>
      <c r="I256" s="122">
        <v>20</v>
      </c>
      <c r="J256" s="122">
        <v>20</v>
      </c>
      <c r="K256" s="122">
        <v>20</v>
      </c>
      <c r="L256" s="122">
        <v>20</v>
      </c>
      <c r="M256" s="122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127">
        <v>959.40572072901318</v>
      </c>
      <c r="F257" s="127">
        <v>934.76873159057436</v>
      </c>
      <c r="G257" s="127">
        <v>869.07009388807069</v>
      </c>
      <c r="H257" s="127">
        <v>778.73446704712808</v>
      </c>
      <c r="I257" s="127">
        <v>655.54952135493363</v>
      </c>
      <c r="J257" s="127">
        <v>563.57142857142856</v>
      </c>
      <c r="K257" s="127">
        <v>563.57142857142856</v>
      </c>
      <c r="L257" s="127">
        <v>563.57142857142856</v>
      </c>
      <c r="M257" s="127">
        <v>563.57142857142856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124">
        <v>0.35</v>
      </c>
      <c r="F258" s="124">
        <v>0.35</v>
      </c>
      <c r="G258" s="124">
        <v>0.35</v>
      </c>
      <c r="H258" s="124">
        <v>0.35</v>
      </c>
      <c r="I258" s="124">
        <v>0.35</v>
      </c>
      <c r="J258" s="124">
        <v>0.35</v>
      </c>
      <c r="K258" s="124">
        <v>0.35</v>
      </c>
      <c r="L258" s="124">
        <v>0.35</v>
      </c>
      <c r="M258" s="124">
        <v>0.35</v>
      </c>
    </row>
    <row r="259" spans="1:13" x14ac:dyDescent="0.25">
      <c r="A259" s="227"/>
      <c r="B259" s="230"/>
      <c r="C259" s="25" t="s">
        <v>133</v>
      </c>
      <c r="D259" s="1" t="s">
        <v>8</v>
      </c>
      <c r="E259" s="123">
        <v>59.884830633284238</v>
      </c>
      <c r="F259" s="123">
        <v>77.502650957290129</v>
      </c>
      <c r="G259" s="123">
        <v>124.48350515463918</v>
      </c>
      <c r="H259" s="123">
        <v>189.0821796759941</v>
      </c>
      <c r="I259" s="123">
        <v>277.17128129602355</v>
      </c>
      <c r="J259" s="123">
        <v>453.34948453608251</v>
      </c>
      <c r="K259" s="123">
        <v>629.52768777614153</v>
      </c>
      <c r="L259" s="123">
        <v>629.52768777614153</v>
      </c>
      <c r="M259" s="123">
        <v>629.52768777614153</v>
      </c>
    </row>
    <row r="260" spans="1:13" x14ac:dyDescent="0.25">
      <c r="A260" s="227"/>
      <c r="B260" s="230"/>
      <c r="C260" s="25" t="s">
        <v>134</v>
      </c>
      <c r="D260" s="1" t="s">
        <v>9</v>
      </c>
      <c r="E260" s="122"/>
      <c r="F260" s="122"/>
      <c r="G260" s="122"/>
      <c r="H260" s="122"/>
      <c r="I260" s="122"/>
      <c r="J260" s="122"/>
      <c r="K260" s="122"/>
      <c r="L260" s="122"/>
      <c r="M260" s="122"/>
    </row>
    <row r="261" spans="1:13" x14ac:dyDescent="0.25">
      <c r="A261" s="227"/>
      <c r="B261" s="230"/>
      <c r="C261" s="25" t="s">
        <v>135</v>
      </c>
      <c r="D261" s="1" t="s">
        <v>10</v>
      </c>
      <c r="E261" s="122"/>
      <c r="F261" s="122"/>
      <c r="G261" s="122"/>
      <c r="H261" s="122"/>
      <c r="I261" s="122"/>
      <c r="J261" s="122"/>
      <c r="K261" s="122"/>
      <c r="L261" s="122"/>
      <c r="M261" s="122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122"/>
      <c r="F262" s="122"/>
      <c r="G262" s="122"/>
      <c r="H262" s="122"/>
      <c r="I262" s="122"/>
      <c r="J262" s="122"/>
      <c r="K262" s="122"/>
      <c r="L262" s="122"/>
      <c r="M262" s="122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122">
        <v>40</v>
      </c>
      <c r="F263" s="122">
        <v>40</v>
      </c>
      <c r="G263" s="122">
        <v>40</v>
      </c>
      <c r="H263" s="122">
        <v>40</v>
      </c>
      <c r="I263" s="122">
        <v>40</v>
      </c>
      <c r="J263" s="122">
        <v>40</v>
      </c>
      <c r="K263" s="122">
        <v>40</v>
      </c>
      <c r="L263" s="122">
        <v>40</v>
      </c>
      <c r="M263" s="122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123">
        <v>300</v>
      </c>
      <c r="F264" s="123">
        <v>183.33333333333334</v>
      </c>
      <c r="G264" s="123">
        <v>100</v>
      </c>
      <c r="H264" s="123">
        <v>76</v>
      </c>
      <c r="I264" s="123">
        <v>60</v>
      </c>
      <c r="J264" s="123">
        <v>42.857142857142854</v>
      </c>
      <c r="K264" s="123">
        <v>27.058823529411764</v>
      </c>
      <c r="L264" s="123">
        <v>18.421052631578949</v>
      </c>
      <c r="M264" s="123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124">
        <v>0.35</v>
      </c>
      <c r="F265" s="124">
        <v>0.35</v>
      </c>
      <c r="G265" s="124">
        <v>0.35</v>
      </c>
      <c r="H265" s="124">
        <v>0.35</v>
      </c>
      <c r="I265" s="124">
        <v>0.35</v>
      </c>
      <c r="J265" s="124">
        <v>0.35</v>
      </c>
      <c r="K265" s="124">
        <v>0.35</v>
      </c>
      <c r="L265" s="124">
        <v>0.35</v>
      </c>
      <c r="M265" s="124">
        <v>0.35</v>
      </c>
    </row>
    <row r="266" spans="1:13" x14ac:dyDescent="0.25">
      <c r="A266" s="208"/>
      <c r="B266" s="225"/>
      <c r="C266" s="25" t="s">
        <v>106</v>
      </c>
      <c r="D266" s="1" t="s">
        <v>8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23">
        <v>0</v>
      </c>
      <c r="M266" s="123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122"/>
      <c r="F267" s="122"/>
      <c r="G267" s="122"/>
      <c r="H267" s="122"/>
      <c r="I267" s="122"/>
      <c r="J267" s="122"/>
      <c r="K267" s="122"/>
      <c r="L267" s="122"/>
      <c r="M267" s="122"/>
    </row>
    <row r="268" spans="1:13" x14ac:dyDescent="0.25">
      <c r="A268" s="208"/>
      <c r="B268" s="225"/>
      <c r="C268" s="25" t="s">
        <v>108</v>
      </c>
      <c r="D268" s="1" t="s">
        <v>10</v>
      </c>
      <c r="E268" s="122"/>
      <c r="F268" s="122"/>
      <c r="G268" s="122"/>
      <c r="H268" s="122"/>
      <c r="I268" s="122"/>
      <c r="J268" s="122"/>
      <c r="K268" s="122"/>
      <c r="L268" s="122"/>
      <c r="M268" s="122"/>
    </row>
    <row r="269" spans="1:13" x14ac:dyDescent="0.25">
      <c r="A269" s="208"/>
      <c r="B269" s="225"/>
      <c r="C269" s="26" t="s">
        <v>11</v>
      </c>
      <c r="D269" s="27" t="s">
        <v>10</v>
      </c>
      <c r="E269" s="122"/>
      <c r="F269" s="122"/>
      <c r="G269" s="122"/>
      <c r="H269" s="122"/>
      <c r="I269" s="122"/>
      <c r="J269" s="122"/>
      <c r="K269" s="122"/>
      <c r="L269" s="122"/>
      <c r="M269" s="122"/>
    </row>
    <row r="270" spans="1:13" x14ac:dyDescent="0.25">
      <c r="A270" s="208"/>
      <c r="B270" s="225"/>
      <c r="C270" s="25" t="s">
        <v>12</v>
      </c>
      <c r="D270" s="1" t="s">
        <v>7</v>
      </c>
      <c r="E270" s="124">
        <v>1</v>
      </c>
      <c r="F270" s="124">
        <v>1</v>
      </c>
      <c r="G270" s="124">
        <v>1</v>
      </c>
      <c r="H270" s="124">
        <v>1</v>
      </c>
      <c r="I270" s="124">
        <v>1</v>
      </c>
      <c r="J270" s="124">
        <v>1</v>
      </c>
      <c r="K270" s="124">
        <v>1</v>
      </c>
      <c r="L270" s="124">
        <v>1</v>
      </c>
      <c r="M270" s="124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123">
        <v>20161.05</v>
      </c>
      <c r="F271" s="123">
        <v>20736.3</v>
      </c>
      <c r="G271" s="123">
        <v>22270.3</v>
      </c>
      <c r="H271" s="123">
        <v>24379.55</v>
      </c>
      <c r="I271" s="123">
        <v>27255.8</v>
      </c>
      <c r="J271" s="123">
        <v>33008.300000000003</v>
      </c>
      <c r="K271" s="123">
        <v>52183.3</v>
      </c>
      <c r="L271" s="123">
        <v>98768.8</v>
      </c>
      <c r="M271" s="123">
        <v>190105.68460000001</v>
      </c>
    </row>
    <row r="272" spans="1:13" x14ac:dyDescent="0.25">
      <c r="A272" s="208"/>
      <c r="B272" s="225"/>
      <c r="C272" s="25" t="s">
        <v>15</v>
      </c>
      <c r="D272" s="1" t="s">
        <v>4</v>
      </c>
      <c r="E272" s="122">
        <v>40</v>
      </c>
      <c r="F272" s="122">
        <v>40</v>
      </c>
      <c r="G272" s="122">
        <v>40</v>
      </c>
      <c r="H272" s="122">
        <v>40</v>
      </c>
      <c r="I272" s="122">
        <v>40</v>
      </c>
      <c r="J272" s="122">
        <v>40</v>
      </c>
      <c r="K272" s="122">
        <v>40</v>
      </c>
      <c r="L272" s="122">
        <v>40</v>
      </c>
      <c r="M272" s="122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122">
        <v>40</v>
      </c>
      <c r="F273" s="122">
        <v>40</v>
      </c>
      <c r="G273" s="122">
        <v>40</v>
      </c>
      <c r="H273" s="122">
        <v>40</v>
      </c>
      <c r="I273" s="122">
        <v>40</v>
      </c>
      <c r="J273" s="122">
        <v>40</v>
      </c>
      <c r="K273" s="122">
        <v>40</v>
      </c>
      <c r="L273" s="122">
        <v>40</v>
      </c>
      <c r="M273" s="122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122"/>
      <c r="F274" s="122"/>
      <c r="G274" s="122"/>
      <c r="H274" s="122"/>
      <c r="I274" s="122"/>
      <c r="J274" s="122"/>
      <c r="K274" s="122"/>
      <c r="L274" s="122"/>
      <c r="M274" s="122"/>
    </row>
    <row r="275" spans="1:13" x14ac:dyDescent="0.25">
      <c r="A275" s="208"/>
      <c r="B275" s="225"/>
      <c r="C275" s="25" t="s">
        <v>176</v>
      </c>
      <c r="D275" s="1" t="s">
        <v>19</v>
      </c>
      <c r="E275" s="124">
        <v>0.35</v>
      </c>
      <c r="F275" s="124">
        <v>0.35</v>
      </c>
      <c r="G275" s="124">
        <v>0.35</v>
      </c>
      <c r="H275" s="124">
        <v>0.35</v>
      </c>
      <c r="I275" s="124">
        <v>0.35</v>
      </c>
      <c r="J275" s="124">
        <v>0.35</v>
      </c>
      <c r="K275" s="124">
        <v>0.35</v>
      </c>
      <c r="L275" s="124">
        <v>0.35</v>
      </c>
      <c r="M275" s="124">
        <v>0.35</v>
      </c>
    </row>
    <row r="276" spans="1:13" x14ac:dyDescent="0.25">
      <c r="A276" s="208"/>
      <c r="B276" s="225"/>
      <c r="C276" s="25" t="s">
        <v>106</v>
      </c>
      <c r="D276" s="1" t="s">
        <v>8</v>
      </c>
      <c r="E276" s="123">
        <v>0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123">
        <v>0</v>
      </c>
      <c r="L276" s="123">
        <v>0</v>
      </c>
      <c r="M276" s="123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122"/>
      <c r="F277" s="122"/>
      <c r="G277" s="122"/>
      <c r="H277" s="122"/>
      <c r="I277" s="122"/>
      <c r="J277" s="122"/>
      <c r="K277" s="122"/>
      <c r="L277" s="122"/>
      <c r="M277" s="122"/>
    </row>
    <row r="278" spans="1:13" x14ac:dyDescent="0.25">
      <c r="A278" s="208"/>
      <c r="B278" s="225"/>
      <c r="C278" s="25" t="s">
        <v>108</v>
      </c>
      <c r="D278" s="1" t="s">
        <v>10</v>
      </c>
      <c r="E278" s="122"/>
      <c r="F278" s="122"/>
      <c r="G278" s="122"/>
      <c r="H278" s="122"/>
      <c r="I278" s="122"/>
      <c r="J278" s="122"/>
      <c r="K278" s="122"/>
      <c r="L278" s="122"/>
      <c r="M278" s="122"/>
    </row>
    <row r="279" spans="1:13" x14ac:dyDescent="0.25">
      <c r="A279" s="208"/>
      <c r="B279" s="225"/>
      <c r="C279" s="26" t="s">
        <v>11</v>
      </c>
      <c r="D279" s="27" t="s">
        <v>10</v>
      </c>
      <c r="E279" s="122"/>
      <c r="F279" s="122"/>
      <c r="G279" s="122"/>
      <c r="H279" s="122"/>
      <c r="I279" s="122"/>
      <c r="J279" s="122"/>
      <c r="K279" s="122"/>
      <c r="L279" s="122"/>
      <c r="M279" s="122"/>
    </row>
    <row r="280" spans="1:13" x14ac:dyDescent="0.25">
      <c r="A280" s="208"/>
      <c r="B280" s="225"/>
      <c r="C280" s="25" t="s">
        <v>12</v>
      </c>
      <c r="D280" s="1" t="s">
        <v>7</v>
      </c>
      <c r="E280" s="124">
        <v>1</v>
      </c>
      <c r="F280" s="124">
        <v>1</v>
      </c>
      <c r="G280" s="124">
        <v>1</v>
      </c>
      <c r="H280" s="124">
        <v>1</v>
      </c>
      <c r="I280" s="124">
        <v>1</v>
      </c>
      <c r="J280" s="124">
        <v>1</v>
      </c>
      <c r="K280" s="124">
        <v>1</v>
      </c>
      <c r="L280" s="124">
        <v>1</v>
      </c>
      <c r="M280" s="124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123">
        <v>59966.789999999994</v>
      </c>
      <c r="F281" s="123">
        <v>60249.539999999994</v>
      </c>
      <c r="G281" s="123">
        <v>61003.539999999994</v>
      </c>
      <c r="H281" s="123">
        <v>62040.289999999994</v>
      </c>
      <c r="I281" s="123">
        <v>63454.039999999994</v>
      </c>
      <c r="J281" s="123">
        <v>66281.539999999994</v>
      </c>
      <c r="K281" s="123">
        <v>75706.539999999994</v>
      </c>
      <c r="L281" s="123">
        <v>95499.04</v>
      </c>
      <c r="M281" s="123">
        <v>135084.03999999998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123">
        <v>40</v>
      </c>
      <c r="F282" s="123">
        <v>40</v>
      </c>
      <c r="G282" s="123">
        <v>40</v>
      </c>
      <c r="H282" s="123">
        <v>40</v>
      </c>
      <c r="I282" s="123">
        <v>40</v>
      </c>
      <c r="J282" s="123">
        <v>40</v>
      </c>
      <c r="K282" s="123">
        <v>40</v>
      </c>
      <c r="L282" s="123">
        <v>40</v>
      </c>
      <c r="M282" s="123">
        <v>40</v>
      </c>
    </row>
  </sheetData>
  <sheetProtection algorithmName="SHA-512" hashValue="Jj+Wiy9mvzi2TvrnLvHCTf8HeFZt9o2xks3Ji0xyBJTXaACzkDZ4A7ITuJOjcbtivw/cZ1D706SGl61ATQLTBw==" saltValue="H8I0DEVCBRD+qgzII8h+sQ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4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128">
        <v>15</v>
      </c>
      <c r="F1" s="129">
        <v>30</v>
      </c>
      <c r="G1" s="129">
        <v>70</v>
      </c>
      <c r="H1" s="129">
        <v>125</v>
      </c>
      <c r="I1" s="129">
        <v>200</v>
      </c>
      <c r="J1" s="129">
        <v>350</v>
      </c>
      <c r="K1" s="129">
        <v>850</v>
      </c>
      <c r="L1" s="129">
        <v>1900</v>
      </c>
      <c r="M1" s="129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122">
        <v>20</v>
      </c>
      <c r="F2" s="122">
        <v>20</v>
      </c>
      <c r="G2" s="122">
        <v>20</v>
      </c>
      <c r="H2" s="122">
        <v>20</v>
      </c>
      <c r="I2" s="122">
        <v>20</v>
      </c>
      <c r="J2" s="122">
        <v>20</v>
      </c>
      <c r="K2" s="122">
        <v>20</v>
      </c>
      <c r="L2" s="122">
        <v>20</v>
      </c>
      <c r="M2" s="122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123">
        <v>212.90273464055423</v>
      </c>
      <c r="F3" s="123">
        <v>180.29847756137553</v>
      </c>
      <c r="G3" s="123">
        <v>140.44328080448224</v>
      </c>
      <c r="H3" s="123">
        <v>113.16977842477434</v>
      </c>
      <c r="I3" s="123">
        <v>107.31263157894738</v>
      </c>
      <c r="J3" s="123">
        <v>107.00631578947369</v>
      </c>
      <c r="K3" s="123">
        <v>105.98526315789475</v>
      </c>
      <c r="L3" s="123">
        <v>103.84105263157896</v>
      </c>
      <c r="M3" s="123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124">
        <v>0</v>
      </c>
      <c r="F4" s="124">
        <v>0</v>
      </c>
      <c r="G4" s="124">
        <v>0</v>
      </c>
      <c r="H4" s="124">
        <v>0</v>
      </c>
      <c r="I4" s="124">
        <v>0</v>
      </c>
      <c r="J4" s="124">
        <v>0</v>
      </c>
      <c r="K4" s="124">
        <v>0</v>
      </c>
      <c r="L4" s="124">
        <v>0</v>
      </c>
      <c r="M4" s="124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122"/>
      <c r="F5" s="122"/>
      <c r="G5" s="122"/>
      <c r="H5" s="122"/>
      <c r="I5" s="122"/>
      <c r="J5" s="122"/>
      <c r="K5" s="122"/>
      <c r="L5" s="122"/>
      <c r="M5" s="122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123">
        <v>6.3870820392166268</v>
      </c>
      <c r="F6" s="123">
        <v>5.4089543268412656</v>
      </c>
      <c r="G6" s="123">
        <v>4.2132984241344671</v>
      </c>
      <c r="H6" s="123">
        <v>3.3950933527432299</v>
      </c>
      <c r="I6" s="123">
        <v>2.0378947368421052</v>
      </c>
      <c r="J6" s="123">
        <v>2.0189473684210526</v>
      </c>
      <c r="K6" s="123">
        <v>1.9557894736842103</v>
      </c>
      <c r="L6" s="123">
        <v>1.8231578947368419</v>
      </c>
      <c r="M6" s="123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123">
        <v>0</v>
      </c>
      <c r="F7" s="123">
        <v>0</v>
      </c>
      <c r="G7" s="123">
        <v>0</v>
      </c>
      <c r="H7" s="123">
        <v>0</v>
      </c>
      <c r="I7" s="123">
        <v>0</v>
      </c>
      <c r="J7" s="123">
        <v>0</v>
      </c>
      <c r="K7" s="123">
        <v>1.6357894736842103E-3</v>
      </c>
      <c r="L7" s="123">
        <v>1.5031578947368419E-3</v>
      </c>
      <c r="M7" s="123">
        <v>1.2378947368421051E-3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123">
        <v>0</v>
      </c>
      <c r="F8" s="122"/>
      <c r="G8" s="122"/>
      <c r="H8" s="122"/>
      <c r="I8" s="122"/>
      <c r="J8" s="122"/>
      <c r="K8" s="122"/>
      <c r="L8" s="122"/>
      <c r="M8" s="122"/>
      <c r="N8" s="54"/>
    </row>
    <row r="9" spans="1:14" x14ac:dyDescent="0.25">
      <c r="A9" s="208"/>
      <c r="B9" s="224"/>
      <c r="C9" s="25" t="s">
        <v>12</v>
      </c>
      <c r="D9" s="1" t="s">
        <v>7</v>
      </c>
      <c r="E9" s="124">
        <v>0.96599999999999986</v>
      </c>
      <c r="F9" s="124">
        <v>0.96599999999999986</v>
      </c>
      <c r="G9" s="124">
        <v>0.96599999999999986</v>
      </c>
      <c r="H9" s="124">
        <v>0.96599999999999986</v>
      </c>
      <c r="I9" s="124">
        <v>0.96599999999999986</v>
      </c>
      <c r="J9" s="124">
        <v>0.96599999999999986</v>
      </c>
      <c r="K9" s="124">
        <v>0.99</v>
      </c>
      <c r="L9" s="124">
        <v>0.99</v>
      </c>
      <c r="M9" s="124">
        <v>0.99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123">
        <v>1524.6</v>
      </c>
      <c r="F10" s="123">
        <v>1749.6</v>
      </c>
      <c r="G10" s="123">
        <v>2349.6</v>
      </c>
      <c r="H10" s="123">
        <v>3174.6</v>
      </c>
      <c r="I10" s="123">
        <v>4299.6000000000004</v>
      </c>
      <c r="J10" s="123">
        <v>14213</v>
      </c>
      <c r="K10" s="123">
        <v>21713</v>
      </c>
      <c r="L10" s="123">
        <v>37463</v>
      </c>
      <c r="M10" s="123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122">
        <v>40</v>
      </c>
      <c r="F11" s="122">
        <v>40</v>
      </c>
      <c r="G11" s="122">
        <v>40</v>
      </c>
      <c r="H11" s="122">
        <v>40</v>
      </c>
      <c r="I11" s="122">
        <v>40</v>
      </c>
      <c r="J11" s="122">
        <v>40</v>
      </c>
      <c r="K11" s="122">
        <v>40</v>
      </c>
      <c r="L11" s="122">
        <v>40</v>
      </c>
      <c r="M11" s="122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122">
        <v>20</v>
      </c>
      <c r="F12" s="122">
        <v>20</v>
      </c>
      <c r="G12" s="122">
        <v>20</v>
      </c>
      <c r="H12" s="122">
        <v>20</v>
      </c>
      <c r="I12" s="122">
        <v>20</v>
      </c>
      <c r="J12" s="122">
        <v>20</v>
      </c>
      <c r="K12" s="122">
        <v>20</v>
      </c>
      <c r="L12" s="122">
        <v>20</v>
      </c>
      <c r="M12" s="122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123">
        <v>546.16621384855091</v>
      </c>
      <c r="F13" s="123">
        <v>344.85151773440816</v>
      </c>
      <c r="G13" s="123">
        <v>196.57546506841882</v>
      </c>
      <c r="H13" s="123">
        <v>133.8092461921685</v>
      </c>
      <c r="I13" s="123">
        <v>116.6</v>
      </c>
      <c r="J13" s="123">
        <v>116.6</v>
      </c>
      <c r="K13" s="123">
        <v>183.58935144726829</v>
      </c>
      <c r="L13" s="123">
        <v>266.9570997947219</v>
      </c>
      <c r="M13" s="123">
        <v>433.69259648962918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124">
        <v>0</v>
      </c>
      <c r="F14" s="124">
        <v>0</v>
      </c>
      <c r="G14" s="124">
        <v>0</v>
      </c>
      <c r="H14" s="124">
        <v>0</v>
      </c>
      <c r="I14" s="124">
        <v>0</v>
      </c>
      <c r="J14" s="124">
        <v>0</v>
      </c>
      <c r="K14" s="124">
        <v>0</v>
      </c>
      <c r="L14" s="124">
        <v>0</v>
      </c>
      <c r="M14" s="124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122"/>
      <c r="F15" s="122"/>
      <c r="G15" s="122"/>
      <c r="H15" s="122"/>
      <c r="I15" s="122"/>
      <c r="J15" s="122"/>
      <c r="K15" s="122"/>
      <c r="L15" s="122"/>
      <c r="M15" s="122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123">
        <v>32.769972830913019</v>
      </c>
      <c r="F16" s="123">
        <v>20.691091064064466</v>
      </c>
      <c r="G16" s="123">
        <v>11.79452790410512</v>
      </c>
      <c r="H16" s="123">
        <v>8.0285547715301089</v>
      </c>
      <c r="I16" s="123">
        <v>7.5737355939785713</v>
      </c>
      <c r="J16" s="123">
        <v>7.5737355939785713</v>
      </c>
      <c r="K16" s="123">
        <v>7.1924080591053237</v>
      </c>
      <c r="L16" s="123">
        <v>6.5764174258485379</v>
      </c>
      <c r="M16" s="123">
        <v>5.3444361593349683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2.1041043506444756E-3</v>
      </c>
      <c r="L17" s="123">
        <v>2.1041043506444756E-3</v>
      </c>
      <c r="M17" s="123">
        <v>2.1041043506444756E-3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123">
        <v>0</v>
      </c>
      <c r="F18" s="123">
        <v>0</v>
      </c>
      <c r="G18" s="123">
        <v>0</v>
      </c>
      <c r="H18" s="123">
        <v>0</v>
      </c>
      <c r="I18" s="123">
        <v>0</v>
      </c>
      <c r="J18" s="123">
        <v>0</v>
      </c>
      <c r="K18" s="123">
        <v>0</v>
      </c>
      <c r="L18" s="123">
        <v>0</v>
      </c>
      <c r="M18" s="123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124">
        <v>0.76000000000000023</v>
      </c>
      <c r="F19" s="124">
        <v>0.76000000000000023</v>
      </c>
      <c r="G19" s="124">
        <v>0.76000000000000023</v>
      </c>
      <c r="H19" s="124">
        <v>0.76000000000000023</v>
      </c>
      <c r="I19" s="124">
        <v>0.76000000000000023</v>
      </c>
      <c r="J19" s="124">
        <v>0.76000000000000023</v>
      </c>
      <c r="K19" s="124">
        <v>0.76000000000000023</v>
      </c>
      <c r="L19" s="124">
        <v>0.95733333333333326</v>
      </c>
      <c r="M19" s="124">
        <v>0.95733333333333326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122"/>
      <c r="F20" s="122"/>
      <c r="G20" s="122"/>
      <c r="H20" s="122"/>
      <c r="I20" s="122"/>
      <c r="J20" s="122"/>
      <c r="K20" s="122"/>
      <c r="L20" s="122"/>
      <c r="M20" s="122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122"/>
      <c r="F21" s="122"/>
      <c r="G21" s="122"/>
      <c r="H21" s="122"/>
      <c r="I21" s="122"/>
      <c r="J21" s="122"/>
      <c r="K21" s="122"/>
      <c r="L21" s="122"/>
      <c r="M21" s="122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122">
        <v>20</v>
      </c>
      <c r="F22" s="122">
        <v>20</v>
      </c>
      <c r="G22" s="122">
        <v>20</v>
      </c>
      <c r="H22" s="122">
        <v>20</v>
      </c>
      <c r="I22" s="122">
        <v>20</v>
      </c>
      <c r="J22" s="122">
        <v>20</v>
      </c>
      <c r="K22" s="122">
        <v>20</v>
      </c>
      <c r="L22" s="122">
        <v>20</v>
      </c>
      <c r="M22" s="122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123">
        <v>865.6981523557846</v>
      </c>
      <c r="F23" s="123">
        <v>618.18184751144668</v>
      </c>
      <c r="G23" s="123">
        <v>482.31953407260886</v>
      </c>
      <c r="H23" s="123">
        <v>482.31953407260886</v>
      </c>
      <c r="I23" s="123">
        <v>482.31953407260886</v>
      </c>
      <c r="J23" s="123">
        <v>482.31953407260886</v>
      </c>
      <c r="K23" s="123">
        <v>1136.3124641115969</v>
      </c>
      <c r="L23" s="123">
        <v>988.42533284709032</v>
      </c>
      <c r="M23" s="123">
        <v>868.76381718516643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124">
        <v>0.35</v>
      </c>
      <c r="F24" s="124">
        <v>0.35</v>
      </c>
      <c r="G24" s="124">
        <v>0.35</v>
      </c>
      <c r="H24" s="124">
        <v>0.35</v>
      </c>
      <c r="I24" s="124">
        <v>0.35</v>
      </c>
      <c r="J24" s="124">
        <v>0.35</v>
      </c>
      <c r="K24" s="124">
        <v>0.35</v>
      </c>
      <c r="L24" s="124">
        <v>0.35</v>
      </c>
      <c r="M24" s="124">
        <v>0.35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122"/>
      <c r="F25" s="122"/>
      <c r="G25" s="122"/>
      <c r="H25" s="122"/>
      <c r="I25" s="122"/>
      <c r="J25" s="122"/>
      <c r="K25" s="122"/>
      <c r="L25" s="122"/>
      <c r="M25" s="122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123">
        <v>12.985472285336769</v>
      </c>
      <c r="F26" s="123">
        <v>9.2727277126716992</v>
      </c>
      <c r="G26" s="123">
        <v>7.234793011089133</v>
      </c>
      <c r="H26" s="123">
        <v>7.234793011089133</v>
      </c>
      <c r="I26" s="123">
        <v>7.234793011089133</v>
      </c>
      <c r="J26" s="123">
        <v>7.234793011089133</v>
      </c>
      <c r="K26" s="123">
        <v>1.76</v>
      </c>
      <c r="L26" s="123">
        <v>1.76</v>
      </c>
      <c r="M26" s="123">
        <v>1.76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2.1199999999999999E-3</v>
      </c>
      <c r="L27" s="123">
        <v>2.1199999999999999E-3</v>
      </c>
      <c r="M27" s="123">
        <v>2.1199999999999999E-3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123">
        <v>0</v>
      </c>
      <c r="F28" s="123">
        <v>0</v>
      </c>
      <c r="G28" s="123">
        <v>0</v>
      </c>
      <c r="H28" s="123">
        <v>0</v>
      </c>
      <c r="I28" s="123">
        <v>0</v>
      </c>
      <c r="J28" s="123">
        <v>0</v>
      </c>
      <c r="K28" s="123">
        <v>0</v>
      </c>
      <c r="L28" s="123">
        <v>0</v>
      </c>
      <c r="M28" s="123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122">
        <v>3.7399999999999998</v>
      </c>
      <c r="F30" s="122">
        <v>3.7399999999999998</v>
      </c>
      <c r="G30" s="122">
        <v>3.7399999999999998</v>
      </c>
      <c r="H30" s="122">
        <v>3.7399999999999998</v>
      </c>
      <c r="I30" s="122">
        <v>3.7399999999999998</v>
      </c>
      <c r="J30" s="122">
        <v>3.7399999999999998</v>
      </c>
      <c r="K30" s="122">
        <v>3.7399999999999998</v>
      </c>
      <c r="L30" s="122">
        <v>3.7399999999999998</v>
      </c>
      <c r="M30" s="122">
        <v>3.7399999999999998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122"/>
      <c r="F31" s="122"/>
      <c r="G31" s="122"/>
      <c r="H31" s="122"/>
      <c r="I31" s="122"/>
      <c r="J31" s="122"/>
      <c r="K31" s="122"/>
      <c r="L31" s="122"/>
      <c r="M31" s="122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122"/>
      <c r="F32" s="122"/>
      <c r="G32" s="122"/>
      <c r="H32" s="122"/>
      <c r="I32" s="122"/>
      <c r="J32" s="122"/>
      <c r="K32" s="122"/>
      <c r="L32" s="122"/>
      <c r="M32" s="122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122">
        <v>20</v>
      </c>
      <c r="F33" s="122">
        <v>20</v>
      </c>
      <c r="G33" s="122">
        <v>20</v>
      </c>
      <c r="H33" s="122">
        <v>20</v>
      </c>
      <c r="I33" s="122">
        <v>20</v>
      </c>
      <c r="J33" s="122">
        <v>20</v>
      </c>
      <c r="K33" s="122">
        <v>20</v>
      </c>
      <c r="L33" s="122">
        <v>20</v>
      </c>
      <c r="M33" s="122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123">
        <v>865.6981523557846</v>
      </c>
      <c r="F34" s="123">
        <v>618.18184751144668</v>
      </c>
      <c r="G34" s="123">
        <v>482.31953407260886</v>
      </c>
      <c r="H34" s="123">
        <v>482.31953407260886</v>
      </c>
      <c r="I34" s="123">
        <v>482.31953407260886</v>
      </c>
      <c r="J34" s="123">
        <v>482.31953407260886</v>
      </c>
      <c r="K34" s="123">
        <v>1136.3124641115969</v>
      </c>
      <c r="L34" s="123">
        <v>988.42533284709032</v>
      </c>
      <c r="M34" s="123">
        <v>868.76381718516643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124">
        <v>0.35</v>
      </c>
      <c r="F35" s="124">
        <v>0.35</v>
      </c>
      <c r="G35" s="124">
        <v>0.35</v>
      </c>
      <c r="H35" s="124">
        <v>0.35</v>
      </c>
      <c r="I35" s="124">
        <v>0.35</v>
      </c>
      <c r="J35" s="124">
        <v>0.35</v>
      </c>
      <c r="K35" s="124">
        <v>0.35</v>
      </c>
      <c r="L35" s="124">
        <v>0.35</v>
      </c>
      <c r="M35" s="124">
        <v>0.35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122"/>
      <c r="F36" s="122"/>
      <c r="G36" s="122"/>
      <c r="H36" s="122"/>
      <c r="I36" s="122"/>
      <c r="J36" s="122"/>
      <c r="K36" s="122"/>
      <c r="L36" s="122"/>
      <c r="M36" s="122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123">
        <v>12.985472285336769</v>
      </c>
      <c r="F37" s="123">
        <v>9.2727277126716992</v>
      </c>
      <c r="G37" s="123">
        <v>7.234793011089133</v>
      </c>
      <c r="H37" s="123">
        <v>7.234793011089133</v>
      </c>
      <c r="I37" s="123">
        <v>7.234793011089133</v>
      </c>
      <c r="J37" s="123">
        <v>7.234793011089133</v>
      </c>
      <c r="K37" s="123">
        <v>1.76</v>
      </c>
      <c r="L37" s="123">
        <v>1.76</v>
      </c>
      <c r="M37" s="123">
        <v>1.76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123">
        <v>0</v>
      </c>
      <c r="F38" s="123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2.1199999999999999E-3</v>
      </c>
      <c r="L38" s="123">
        <v>2.1199999999999999E-3</v>
      </c>
      <c r="M38" s="123">
        <v>2.1199999999999999E-3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123">
        <v>0</v>
      </c>
      <c r="F39" s="123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123">
        <v>0</v>
      </c>
      <c r="F40" s="123">
        <v>0</v>
      </c>
      <c r="G40" s="123">
        <v>0</v>
      </c>
      <c r="H40" s="123">
        <v>0</v>
      </c>
      <c r="I40" s="123">
        <v>0</v>
      </c>
      <c r="J40" s="123">
        <v>0</v>
      </c>
      <c r="K40" s="123">
        <v>0</v>
      </c>
      <c r="L40" s="123">
        <v>0</v>
      </c>
      <c r="M40" s="123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122">
        <v>3.4899999999999998</v>
      </c>
      <c r="F41" s="122">
        <v>3.4899999999999998</v>
      </c>
      <c r="G41" s="122">
        <v>3.4899999999999998</v>
      </c>
      <c r="H41" s="122">
        <v>3.4899999999999998</v>
      </c>
      <c r="I41" s="122">
        <v>3.4899999999999998</v>
      </c>
      <c r="J41" s="122">
        <v>3.4899999999999998</v>
      </c>
      <c r="K41" s="122">
        <v>3.4899999999999998</v>
      </c>
      <c r="L41" s="122">
        <v>3.4899999999999998</v>
      </c>
      <c r="M41" s="122">
        <v>3.4899999999999998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122"/>
      <c r="F42" s="122"/>
      <c r="G42" s="122"/>
      <c r="H42" s="122"/>
      <c r="I42" s="122"/>
      <c r="J42" s="122"/>
      <c r="K42" s="122"/>
      <c r="L42" s="122"/>
      <c r="M42" s="122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122"/>
      <c r="F43" s="122"/>
      <c r="G43" s="122"/>
      <c r="H43" s="122"/>
      <c r="I43" s="122"/>
      <c r="J43" s="122"/>
      <c r="K43" s="122"/>
      <c r="L43" s="122"/>
      <c r="M43" s="122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122">
        <v>20</v>
      </c>
      <c r="F44" s="122">
        <v>20</v>
      </c>
      <c r="G44" s="122">
        <v>20</v>
      </c>
      <c r="H44" s="122">
        <v>20</v>
      </c>
      <c r="I44" s="122">
        <v>20</v>
      </c>
      <c r="J44" s="122">
        <v>20</v>
      </c>
      <c r="K44" s="122">
        <v>20</v>
      </c>
      <c r="L44" s="122">
        <v>20</v>
      </c>
      <c r="M44" s="122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123">
        <v>865.6981523557846</v>
      </c>
      <c r="F45" s="123">
        <v>618.18184751144668</v>
      </c>
      <c r="G45" s="123">
        <v>482.31953407260886</v>
      </c>
      <c r="H45" s="123">
        <v>482.31953407260886</v>
      </c>
      <c r="I45" s="123">
        <v>482.31953407260886</v>
      </c>
      <c r="J45" s="123">
        <v>482.31953407260886</v>
      </c>
      <c r="K45" s="123">
        <v>1136.3124641115969</v>
      </c>
      <c r="L45" s="123">
        <v>988.42533284709032</v>
      </c>
      <c r="M45" s="123">
        <v>868.76381718516643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124">
        <v>0.35</v>
      </c>
      <c r="F46" s="124">
        <v>0.35</v>
      </c>
      <c r="G46" s="124">
        <v>0.35</v>
      </c>
      <c r="H46" s="124">
        <v>0.35</v>
      </c>
      <c r="I46" s="124">
        <v>0.35</v>
      </c>
      <c r="J46" s="124">
        <v>0.35</v>
      </c>
      <c r="K46" s="124">
        <v>0.35</v>
      </c>
      <c r="L46" s="124">
        <v>0.35</v>
      </c>
      <c r="M46" s="124">
        <v>0.35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123">
        <v>12.985472285336769</v>
      </c>
      <c r="F48" s="123">
        <v>9.2727277126716992</v>
      </c>
      <c r="G48" s="123">
        <v>7.234793011089133</v>
      </c>
      <c r="H48" s="123">
        <v>7.234793011089133</v>
      </c>
      <c r="I48" s="123">
        <v>7.234793011089133</v>
      </c>
      <c r="J48" s="123">
        <v>7.234793011089133</v>
      </c>
      <c r="K48" s="123">
        <v>1.76</v>
      </c>
      <c r="L48" s="123">
        <v>1.76</v>
      </c>
      <c r="M48" s="123">
        <v>1.76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2.1199999999999999E-3</v>
      </c>
      <c r="L49" s="123">
        <v>2.1199999999999999E-3</v>
      </c>
      <c r="M49" s="123">
        <v>2.1199999999999999E-3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122">
        <v>3.2399999999999998</v>
      </c>
      <c r="F52" s="122">
        <v>3.2399999999999998</v>
      </c>
      <c r="G52" s="122">
        <v>3.2399999999999998</v>
      </c>
      <c r="H52" s="122">
        <v>3.2399999999999998</v>
      </c>
      <c r="I52" s="122">
        <v>3.2399999999999998</v>
      </c>
      <c r="J52" s="122">
        <v>3.2399999999999998</v>
      </c>
      <c r="K52" s="122">
        <v>3.2399999999999998</v>
      </c>
      <c r="L52" s="122">
        <v>3.2399999999999998</v>
      </c>
      <c r="M52" s="122">
        <v>3.2399999999999998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122"/>
      <c r="F53" s="122"/>
      <c r="G53" s="122"/>
      <c r="H53" s="122"/>
      <c r="I53" s="122"/>
      <c r="J53" s="122"/>
      <c r="K53" s="122"/>
      <c r="L53" s="122"/>
      <c r="M53" s="122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122"/>
      <c r="F54" s="122"/>
      <c r="G54" s="122"/>
      <c r="H54" s="122"/>
      <c r="I54" s="122"/>
      <c r="J54" s="122"/>
      <c r="K54" s="122"/>
      <c r="L54" s="122"/>
      <c r="M54" s="122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122">
        <v>20</v>
      </c>
      <c r="F55" s="122">
        <v>20</v>
      </c>
      <c r="G55" s="122">
        <v>20</v>
      </c>
      <c r="H55" s="122">
        <v>20</v>
      </c>
      <c r="I55" s="122">
        <v>20</v>
      </c>
      <c r="J55" s="122">
        <v>20</v>
      </c>
      <c r="K55" s="122">
        <v>20</v>
      </c>
      <c r="L55" s="122">
        <v>20</v>
      </c>
      <c r="M55" s="122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123">
        <v>876.88417547131348</v>
      </c>
      <c r="F56" s="123">
        <v>610.32909690692122</v>
      </c>
      <c r="G56" s="123">
        <v>466.55672962478747</v>
      </c>
      <c r="H56" s="123">
        <v>466.55672962478747</v>
      </c>
      <c r="I56" s="123">
        <v>466.55672962478747</v>
      </c>
      <c r="J56" s="123">
        <v>466.55672962478747</v>
      </c>
      <c r="K56" s="123">
        <v>637.82399999999996</v>
      </c>
      <c r="L56" s="123">
        <v>637.82399999999996</v>
      </c>
      <c r="M56" s="123">
        <v>637.82399999999996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124">
        <v>0.35</v>
      </c>
      <c r="F57" s="124">
        <v>0.35</v>
      </c>
      <c r="G57" s="124">
        <v>0.35</v>
      </c>
      <c r="H57" s="124">
        <v>0.35</v>
      </c>
      <c r="I57" s="124">
        <v>0.35</v>
      </c>
      <c r="J57" s="124">
        <v>0.35</v>
      </c>
      <c r="K57" s="124">
        <v>0.35</v>
      </c>
      <c r="L57" s="124">
        <v>0.35</v>
      </c>
      <c r="M57" s="124">
        <v>0.35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122"/>
      <c r="F58" s="122"/>
      <c r="G58" s="122"/>
      <c r="H58" s="122"/>
      <c r="I58" s="122"/>
      <c r="J58" s="122"/>
      <c r="K58" s="122"/>
      <c r="L58" s="122"/>
      <c r="M58" s="122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123">
        <v>13.153262632069701</v>
      </c>
      <c r="F59" s="123">
        <v>9.1549364536038187</v>
      </c>
      <c r="G59" s="123">
        <v>6.9983509443718122</v>
      </c>
      <c r="H59" s="123">
        <v>6.9983509443718122</v>
      </c>
      <c r="I59" s="123">
        <v>6.9983509443718122</v>
      </c>
      <c r="J59" s="123">
        <v>6.9983509443718122</v>
      </c>
      <c r="K59" s="123">
        <v>1.76</v>
      </c>
      <c r="L59" s="123">
        <v>1.76</v>
      </c>
      <c r="M59" s="123">
        <v>1.76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123">
        <v>0</v>
      </c>
      <c r="F60" s="123">
        <v>0</v>
      </c>
      <c r="G60" s="123">
        <v>0</v>
      </c>
      <c r="H60" s="123">
        <v>0</v>
      </c>
      <c r="I60" s="123">
        <v>0</v>
      </c>
      <c r="J60" s="123">
        <v>0</v>
      </c>
      <c r="K60" s="123">
        <v>2.1199999999999999E-3</v>
      </c>
      <c r="L60" s="123">
        <v>2.1199999999999999E-3</v>
      </c>
      <c r="M60" s="123">
        <v>2.1199999999999999E-3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123">
        <v>0</v>
      </c>
      <c r="F61" s="123">
        <v>0</v>
      </c>
      <c r="G61" s="123">
        <v>0</v>
      </c>
      <c r="H61" s="123">
        <v>0</v>
      </c>
      <c r="I61" s="123">
        <v>0</v>
      </c>
      <c r="J61" s="123">
        <v>0</v>
      </c>
      <c r="K61" s="123">
        <v>0</v>
      </c>
      <c r="L61" s="123">
        <v>0</v>
      </c>
      <c r="M61" s="123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123">
        <v>0</v>
      </c>
      <c r="F62" s="123">
        <v>0</v>
      </c>
      <c r="G62" s="123">
        <v>0</v>
      </c>
      <c r="H62" s="123">
        <v>0</v>
      </c>
      <c r="I62" s="123">
        <v>0</v>
      </c>
      <c r="J62" s="123">
        <v>0</v>
      </c>
      <c r="K62" s="123">
        <v>0</v>
      </c>
      <c r="L62" s="123">
        <v>0</v>
      </c>
      <c r="M62" s="123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122">
        <v>4.42</v>
      </c>
      <c r="F63" s="122">
        <v>4.42</v>
      </c>
      <c r="G63" s="122">
        <v>4.42</v>
      </c>
      <c r="H63" s="122">
        <v>4.42</v>
      </c>
      <c r="I63" s="122">
        <v>4.42</v>
      </c>
      <c r="J63" s="122">
        <v>4.42</v>
      </c>
      <c r="K63" s="122">
        <v>4.42</v>
      </c>
      <c r="L63" s="122">
        <v>4.42</v>
      </c>
      <c r="M63" s="122">
        <v>4.42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122"/>
      <c r="F64" s="122"/>
      <c r="G64" s="122"/>
      <c r="H64" s="122"/>
      <c r="I64" s="122"/>
      <c r="J64" s="122"/>
      <c r="K64" s="122"/>
      <c r="L64" s="122"/>
      <c r="M64" s="122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122"/>
      <c r="F65" s="122"/>
      <c r="G65" s="122"/>
      <c r="H65" s="122"/>
      <c r="I65" s="122"/>
      <c r="J65" s="122"/>
      <c r="K65" s="122"/>
      <c r="L65" s="122"/>
      <c r="M65" s="122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123">
        <v>2542.5468857578812</v>
      </c>
      <c r="F66" s="123">
        <v>1739.7683009926391</v>
      </c>
      <c r="G66" s="123">
        <v>1094.1291208875389</v>
      </c>
      <c r="H66" s="123">
        <v>380.08243340521</v>
      </c>
      <c r="I66" s="123">
        <v>259.16347752478634</v>
      </c>
      <c r="J66" s="123">
        <v>164.27135179750144</v>
      </c>
      <c r="K66" s="123">
        <v>79.72644599626463</v>
      </c>
      <c r="L66" s="123">
        <v>69.838906006886361</v>
      </c>
      <c r="M66" s="123">
        <v>69.838906006886361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122"/>
      <c r="F67" s="122"/>
      <c r="G67" s="122"/>
      <c r="H67" s="122"/>
      <c r="I67" s="122"/>
      <c r="J67" s="122"/>
      <c r="K67" s="122"/>
      <c r="L67" s="122"/>
      <c r="M67" s="122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122">
        <v>20</v>
      </c>
      <c r="F68" s="122">
        <v>20</v>
      </c>
      <c r="G68" s="122">
        <v>20</v>
      </c>
      <c r="H68" s="122">
        <v>20</v>
      </c>
      <c r="I68" s="122">
        <v>20</v>
      </c>
      <c r="J68" s="122">
        <v>20</v>
      </c>
      <c r="K68" s="122">
        <v>20</v>
      </c>
      <c r="L68" s="122">
        <v>20</v>
      </c>
      <c r="M68" s="122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123">
        <v>876.88417547131348</v>
      </c>
      <c r="F69" s="123">
        <v>610.32909690692122</v>
      </c>
      <c r="G69" s="123">
        <v>466.55672962478747</v>
      </c>
      <c r="H69" s="123">
        <v>466.55672962478747</v>
      </c>
      <c r="I69" s="123">
        <v>466.55672962478747</v>
      </c>
      <c r="J69" s="123">
        <v>466.55672962478747</v>
      </c>
      <c r="K69" s="123">
        <v>637.82399999999996</v>
      </c>
      <c r="L69" s="123">
        <v>637.82399999999996</v>
      </c>
      <c r="M69" s="123">
        <v>637.82399999999996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124">
        <v>0.35</v>
      </c>
      <c r="F70" s="124">
        <v>0.35</v>
      </c>
      <c r="G70" s="124">
        <v>0.35</v>
      </c>
      <c r="H70" s="124">
        <v>0.35</v>
      </c>
      <c r="I70" s="124">
        <v>0.35</v>
      </c>
      <c r="J70" s="124">
        <v>0.35</v>
      </c>
      <c r="K70" s="124">
        <v>0.35</v>
      </c>
      <c r="L70" s="124">
        <v>0.35</v>
      </c>
      <c r="M70" s="124">
        <v>0.35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122"/>
      <c r="F71" s="122"/>
      <c r="G71" s="122"/>
      <c r="H71" s="122"/>
      <c r="I71" s="122"/>
      <c r="J71" s="122"/>
      <c r="K71" s="122"/>
      <c r="L71" s="122"/>
      <c r="M71" s="122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123">
        <v>13.153262632069701</v>
      </c>
      <c r="F72" s="123">
        <v>9.1549364536038187</v>
      </c>
      <c r="G72" s="123">
        <v>6.9983509443718122</v>
      </c>
      <c r="H72" s="123">
        <v>6.9983509443718122</v>
      </c>
      <c r="I72" s="123">
        <v>6.9983509443718122</v>
      </c>
      <c r="J72" s="123">
        <v>6.9983509443718122</v>
      </c>
      <c r="K72" s="123">
        <v>1.76</v>
      </c>
      <c r="L72" s="123">
        <v>1.76</v>
      </c>
      <c r="M72" s="123">
        <v>1.76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123">
        <v>0</v>
      </c>
      <c r="F73" s="123">
        <v>0</v>
      </c>
      <c r="G73" s="123">
        <v>0</v>
      </c>
      <c r="H73" s="123">
        <v>0</v>
      </c>
      <c r="I73" s="123">
        <v>0</v>
      </c>
      <c r="J73" s="123">
        <v>0</v>
      </c>
      <c r="K73" s="123">
        <v>2.1199999999999999E-3</v>
      </c>
      <c r="L73" s="123">
        <v>2.1199999999999999E-3</v>
      </c>
      <c r="M73" s="123">
        <v>2.1199999999999999E-3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123">
        <v>0</v>
      </c>
      <c r="F74" s="123">
        <v>0</v>
      </c>
      <c r="G74" s="123">
        <v>0</v>
      </c>
      <c r="H74" s="123">
        <v>0</v>
      </c>
      <c r="I74" s="123">
        <v>0</v>
      </c>
      <c r="J74" s="123">
        <v>0</v>
      </c>
      <c r="K74" s="123">
        <v>0</v>
      </c>
      <c r="L74" s="123">
        <v>0</v>
      </c>
      <c r="M74" s="123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123">
        <v>0</v>
      </c>
      <c r="F75" s="123">
        <v>0</v>
      </c>
      <c r="G75" s="123">
        <v>0</v>
      </c>
      <c r="H75" s="123">
        <v>0</v>
      </c>
      <c r="I75" s="123">
        <v>0</v>
      </c>
      <c r="J75" s="123">
        <v>0</v>
      </c>
      <c r="K75" s="123">
        <v>0</v>
      </c>
      <c r="L75" s="123">
        <v>0</v>
      </c>
      <c r="M75" s="123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122">
        <v>4.12</v>
      </c>
      <c r="F76" s="122">
        <v>4.12</v>
      </c>
      <c r="G76" s="122">
        <v>4.12</v>
      </c>
      <c r="H76" s="122">
        <v>4.12</v>
      </c>
      <c r="I76" s="122">
        <v>4.12</v>
      </c>
      <c r="J76" s="122">
        <v>4.12</v>
      </c>
      <c r="K76" s="122">
        <v>4.12</v>
      </c>
      <c r="L76" s="122">
        <v>4.12</v>
      </c>
      <c r="M76" s="122">
        <v>4.12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122"/>
      <c r="F77" s="122"/>
      <c r="G77" s="122"/>
      <c r="H77" s="122"/>
      <c r="I77" s="122"/>
      <c r="J77" s="122"/>
      <c r="K77" s="122"/>
      <c r="L77" s="122"/>
      <c r="M77" s="122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122"/>
      <c r="F78" s="122"/>
      <c r="G78" s="122"/>
      <c r="H78" s="122"/>
      <c r="I78" s="122"/>
      <c r="J78" s="122"/>
      <c r="K78" s="122"/>
      <c r="L78" s="122"/>
      <c r="M78" s="122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123">
        <v>2542.5468857578812</v>
      </c>
      <c r="F79" s="123">
        <v>1739.7683009926391</v>
      </c>
      <c r="G79" s="123">
        <v>1094.1291208875389</v>
      </c>
      <c r="H79" s="123">
        <v>380.08243340521</v>
      </c>
      <c r="I79" s="123">
        <v>259.16347752478634</v>
      </c>
      <c r="J79" s="123">
        <v>164.27135179750144</v>
      </c>
      <c r="K79" s="123">
        <v>79.72644599626463</v>
      </c>
      <c r="L79" s="123">
        <v>69.838906006886361</v>
      </c>
      <c r="M79" s="123">
        <v>69.838906006886361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122"/>
      <c r="F80" s="122"/>
      <c r="G80" s="122"/>
      <c r="H80" s="122"/>
      <c r="I80" s="122"/>
      <c r="J80" s="122"/>
      <c r="K80" s="122"/>
      <c r="L80" s="122"/>
      <c r="M80" s="122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122">
        <v>20</v>
      </c>
      <c r="F81" s="122">
        <v>20</v>
      </c>
      <c r="G81" s="122">
        <v>20</v>
      </c>
      <c r="H81" s="122">
        <v>20</v>
      </c>
      <c r="I81" s="122">
        <v>20</v>
      </c>
      <c r="J81" s="122">
        <v>20</v>
      </c>
      <c r="K81" s="122">
        <v>20</v>
      </c>
      <c r="L81" s="122">
        <v>20</v>
      </c>
      <c r="M81" s="122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123">
        <v>876.88417547131348</v>
      </c>
      <c r="F82" s="123">
        <v>610.32909690692122</v>
      </c>
      <c r="G82" s="123">
        <v>466.55672962478747</v>
      </c>
      <c r="H82" s="123">
        <v>466.55672962478747</v>
      </c>
      <c r="I82" s="123">
        <v>466.55672962478747</v>
      </c>
      <c r="J82" s="123">
        <v>466.55672962478747</v>
      </c>
      <c r="K82" s="123">
        <v>637.82399999999996</v>
      </c>
      <c r="L82" s="123">
        <v>637.82399999999996</v>
      </c>
      <c r="M82" s="123">
        <v>637.82399999999996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124">
        <v>0.35</v>
      </c>
      <c r="F83" s="124">
        <v>0.35</v>
      </c>
      <c r="G83" s="124">
        <v>0.35</v>
      </c>
      <c r="H83" s="124">
        <v>0.35</v>
      </c>
      <c r="I83" s="124">
        <v>0.35</v>
      </c>
      <c r="J83" s="124">
        <v>0.35</v>
      </c>
      <c r="K83" s="124">
        <v>0.35</v>
      </c>
      <c r="L83" s="124">
        <v>0.35</v>
      </c>
      <c r="M83" s="124">
        <v>0.35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122"/>
      <c r="F84" s="122"/>
      <c r="G84" s="122"/>
      <c r="H84" s="122"/>
      <c r="I84" s="122"/>
      <c r="J84" s="122"/>
      <c r="K84" s="122"/>
      <c r="L84" s="122"/>
      <c r="M84" s="122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123">
        <v>13.153262632069701</v>
      </c>
      <c r="F85" s="123">
        <v>9.1549364536038187</v>
      </c>
      <c r="G85" s="123">
        <v>6.9983509443718122</v>
      </c>
      <c r="H85" s="123">
        <v>6.9983509443718122</v>
      </c>
      <c r="I85" s="123">
        <v>6.9983509443718122</v>
      </c>
      <c r="J85" s="123">
        <v>6.9983509443718122</v>
      </c>
      <c r="K85" s="123">
        <v>1.76</v>
      </c>
      <c r="L85" s="123">
        <v>1.76</v>
      </c>
      <c r="M85" s="123">
        <v>1.76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2.1199999999999999E-3</v>
      </c>
      <c r="L86" s="123">
        <v>2.1199999999999999E-3</v>
      </c>
      <c r="M86" s="123">
        <v>2.1199999999999999E-3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123">
        <v>0</v>
      </c>
      <c r="F87" s="123">
        <v>0</v>
      </c>
      <c r="G87" s="123">
        <v>0</v>
      </c>
      <c r="H87" s="123">
        <v>0</v>
      </c>
      <c r="I87" s="123">
        <v>0</v>
      </c>
      <c r="J87" s="123">
        <v>0</v>
      </c>
      <c r="K87" s="123">
        <v>0</v>
      </c>
      <c r="L87" s="123">
        <v>0</v>
      </c>
      <c r="M87" s="123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123">
        <v>0</v>
      </c>
      <c r="F88" s="123">
        <v>0</v>
      </c>
      <c r="G88" s="123">
        <v>0</v>
      </c>
      <c r="H88" s="123">
        <v>0</v>
      </c>
      <c r="I88" s="123">
        <v>0</v>
      </c>
      <c r="J88" s="123">
        <v>0</v>
      </c>
      <c r="K88" s="123">
        <v>0</v>
      </c>
      <c r="L88" s="123">
        <v>0</v>
      </c>
      <c r="M88" s="123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122">
        <v>3.82</v>
      </c>
      <c r="F89" s="122">
        <v>3.82</v>
      </c>
      <c r="G89" s="122">
        <v>3.82</v>
      </c>
      <c r="H89" s="122">
        <v>3.82</v>
      </c>
      <c r="I89" s="122">
        <v>3.82</v>
      </c>
      <c r="J89" s="122">
        <v>3.82</v>
      </c>
      <c r="K89" s="122">
        <v>3.82</v>
      </c>
      <c r="L89" s="122">
        <v>3.82</v>
      </c>
      <c r="M89" s="122">
        <v>3.82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122"/>
      <c r="F90" s="122"/>
      <c r="G90" s="122"/>
      <c r="H90" s="122"/>
      <c r="I90" s="122"/>
      <c r="J90" s="122"/>
      <c r="K90" s="122"/>
      <c r="L90" s="122"/>
      <c r="M90" s="122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122"/>
      <c r="F91" s="122"/>
      <c r="G91" s="122"/>
      <c r="H91" s="122"/>
      <c r="I91" s="122"/>
      <c r="J91" s="122"/>
      <c r="K91" s="122"/>
      <c r="L91" s="122"/>
      <c r="M91" s="122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123">
        <v>2542.5468857578812</v>
      </c>
      <c r="F92" s="123">
        <v>1739.7683009926391</v>
      </c>
      <c r="G92" s="123">
        <v>1094.1291208875389</v>
      </c>
      <c r="H92" s="123">
        <v>380.08243340521</v>
      </c>
      <c r="I92" s="123">
        <v>259.16347752478634</v>
      </c>
      <c r="J92" s="123">
        <v>164.27135179750144</v>
      </c>
      <c r="K92" s="123">
        <v>79.72644599626463</v>
      </c>
      <c r="L92" s="123">
        <v>69.838906006886361</v>
      </c>
      <c r="M92" s="123">
        <v>69.838906006886361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122"/>
      <c r="F93" s="122"/>
      <c r="G93" s="122"/>
      <c r="H93" s="122"/>
      <c r="I93" s="122"/>
      <c r="J93" s="122"/>
      <c r="K93" s="122"/>
      <c r="L93" s="122"/>
      <c r="M93" s="122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122">
        <v>1</v>
      </c>
      <c r="F94" s="122">
        <v>1</v>
      </c>
      <c r="G94" s="122">
        <v>1</v>
      </c>
      <c r="H94" s="122">
        <v>1</v>
      </c>
      <c r="I94" s="122">
        <v>1</v>
      </c>
      <c r="J94" s="122">
        <v>1</v>
      </c>
      <c r="K94" s="122">
        <v>1</v>
      </c>
      <c r="L94" s="122">
        <v>1</v>
      </c>
      <c r="M94" s="122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122">
        <v>0.35</v>
      </c>
      <c r="F95" s="122">
        <v>0.35</v>
      </c>
      <c r="G95" s="122">
        <v>0.35</v>
      </c>
      <c r="H95" s="122">
        <v>0.35</v>
      </c>
      <c r="I95" s="122">
        <v>0.35</v>
      </c>
      <c r="J95" s="122">
        <v>0.35</v>
      </c>
      <c r="K95" s="122">
        <v>0.35</v>
      </c>
      <c r="L95" s="122">
        <v>0.35</v>
      </c>
      <c r="M95" s="122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122">
        <v>20</v>
      </c>
      <c r="F96" s="122">
        <v>20</v>
      </c>
      <c r="G96" s="122">
        <v>20</v>
      </c>
      <c r="H96" s="122">
        <v>20</v>
      </c>
      <c r="I96" s="122">
        <v>20</v>
      </c>
      <c r="J96" s="122">
        <v>20</v>
      </c>
      <c r="K96" s="122">
        <v>20</v>
      </c>
      <c r="L96" s="122">
        <v>20</v>
      </c>
      <c r="M96" s="122">
        <v>20</v>
      </c>
      <c r="N96" s="54"/>
    </row>
    <row r="97" spans="1:14" x14ac:dyDescent="0.25">
      <c r="A97" s="208"/>
      <c r="B97" s="225"/>
      <c r="C97" s="25" t="s">
        <v>23</v>
      </c>
      <c r="D97" s="1" t="s">
        <v>6</v>
      </c>
      <c r="E97" s="123">
        <v>212.90273464055423</v>
      </c>
      <c r="F97" s="123">
        <v>180.29847756137553</v>
      </c>
      <c r="G97" s="123">
        <v>140.44328080448224</v>
      </c>
      <c r="H97" s="123">
        <v>113.16977842477434</v>
      </c>
      <c r="I97" s="123">
        <v>107.31263157894738</v>
      </c>
      <c r="J97" s="123">
        <v>107.00631578947369</v>
      </c>
      <c r="K97" s="123">
        <v>105.98526315789475</v>
      </c>
      <c r="L97" s="123">
        <v>103.84105263157896</v>
      </c>
      <c r="M97" s="123">
        <v>99.55263157894737</v>
      </c>
      <c r="N97" s="54"/>
    </row>
    <row r="98" spans="1:14" x14ac:dyDescent="0.25">
      <c r="A98" s="208"/>
      <c r="B98" s="225"/>
      <c r="C98" s="25" t="s">
        <v>177</v>
      </c>
      <c r="D98" s="1" t="s">
        <v>19</v>
      </c>
      <c r="E98" s="124">
        <v>0.2</v>
      </c>
      <c r="F98" s="124">
        <v>0.2</v>
      </c>
      <c r="G98" s="124">
        <v>0.2</v>
      </c>
      <c r="H98" s="124">
        <v>0.2</v>
      </c>
      <c r="I98" s="124">
        <v>0.2</v>
      </c>
      <c r="J98" s="124">
        <v>0.2</v>
      </c>
      <c r="K98" s="124">
        <v>0.2</v>
      </c>
      <c r="L98" s="124">
        <v>0.2</v>
      </c>
      <c r="M98" s="124">
        <v>0.2</v>
      </c>
      <c r="N98" s="54"/>
    </row>
    <row r="99" spans="1:14" x14ac:dyDescent="0.25">
      <c r="A99" s="208"/>
      <c r="B99" s="225"/>
      <c r="C99" s="25" t="s">
        <v>114</v>
      </c>
      <c r="D99" s="1" t="s">
        <v>8</v>
      </c>
      <c r="E99" s="122"/>
      <c r="F99" s="122"/>
      <c r="G99" s="122"/>
      <c r="H99" s="122"/>
      <c r="I99" s="122"/>
      <c r="J99" s="122"/>
      <c r="K99" s="122"/>
      <c r="L99" s="122"/>
      <c r="M99" s="122"/>
      <c r="N99" s="54"/>
    </row>
    <row r="100" spans="1:14" x14ac:dyDescent="0.25">
      <c r="A100" s="208"/>
      <c r="B100" s="225"/>
      <c r="C100" s="25" t="s">
        <v>115</v>
      </c>
      <c r="D100" s="1" t="s">
        <v>9</v>
      </c>
      <c r="E100" s="123">
        <v>6.3870820392166268</v>
      </c>
      <c r="F100" s="123">
        <v>5.4089543268412656</v>
      </c>
      <c r="G100" s="123">
        <v>4.2132984241344671</v>
      </c>
      <c r="H100" s="123">
        <v>3.3950933527432299</v>
      </c>
      <c r="I100" s="123">
        <v>2.0378947368421052</v>
      </c>
      <c r="J100" s="123">
        <v>2.0189473684210526</v>
      </c>
      <c r="K100" s="123">
        <v>1.9557894736842103</v>
      </c>
      <c r="L100" s="123">
        <v>1.8231578947368419</v>
      </c>
      <c r="M100" s="123">
        <v>1.557894736842105</v>
      </c>
      <c r="N100" s="54"/>
    </row>
    <row r="101" spans="1:14" x14ac:dyDescent="0.25">
      <c r="A101" s="208"/>
      <c r="B101" s="225"/>
      <c r="C101" s="25" t="s">
        <v>35</v>
      </c>
      <c r="D101" s="1" t="s">
        <v>10</v>
      </c>
      <c r="E101" s="123">
        <v>0</v>
      </c>
      <c r="F101" s="123">
        <v>0</v>
      </c>
      <c r="G101" s="123">
        <v>0</v>
      </c>
      <c r="H101" s="123">
        <v>0</v>
      </c>
      <c r="I101" s="123">
        <v>0</v>
      </c>
      <c r="J101" s="123">
        <v>0</v>
      </c>
      <c r="K101" s="123">
        <v>1.6357894736842103E-3</v>
      </c>
      <c r="L101" s="123">
        <v>1.5031578947368419E-3</v>
      </c>
      <c r="M101" s="123">
        <v>1.2378947368421051E-3</v>
      </c>
      <c r="N101" s="54"/>
    </row>
    <row r="102" spans="1:14" x14ac:dyDescent="0.25">
      <c r="A102" s="208"/>
      <c r="B102" s="225"/>
      <c r="C102" s="26" t="s">
        <v>24</v>
      </c>
      <c r="D102" s="27" t="s">
        <v>10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54"/>
    </row>
    <row r="103" spans="1:14" x14ac:dyDescent="0.25">
      <c r="A103" s="208"/>
      <c r="B103" s="225"/>
      <c r="C103" s="25" t="s">
        <v>25</v>
      </c>
      <c r="D103" s="1" t="s">
        <v>7</v>
      </c>
      <c r="E103" s="124">
        <v>0.96599999999999986</v>
      </c>
      <c r="F103" s="124">
        <v>0.96599999999999986</v>
      </c>
      <c r="G103" s="124">
        <v>0.96599999999999986</v>
      </c>
      <c r="H103" s="124">
        <v>0.96599999999999986</v>
      </c>
      <c r="I103" s="124">
        <v>0.96599999999999986</v>
      </c>
      <c r="J103" s="124">
        <v>0.96599999999999986</v>
      </c>
      <c r="K103" s="124">
        <v>0.99</v>
      </c>
      <c r="L103" s="124">
        <v>0.99</v>
      </c>
      <c r="M103" s="124">
        <v>0.99</v>
      </c>
      <c r="N103" s="54"/>
    </row>
    <row r="104" spans="1:14" x14ac:dyDescent="0.25">
      <c r="A104" s="208"/>
      <c r="B104" s="225"/>
      <c r="C104" s="25" t="s">
        <v>26</v>
      </c>
      <c r="D104" s="1" t="s">
        <v>14</v>
      </c>
      <c r="E104" s="123">
        <v>1524.6</v>
      </c>
      <c r="F104" s="123">
        <v>1749.6</v>
      </c>
      <c r="G104" s="123">
        <v>2349.6</v>
      </c>
      <c r="H104" s="123">
        <v>3174.6</v>
      </c>
      <c r="I104" s="123">
        <v>4299.6000000000004</v>
      </c>
      <c r="J104" s="123">
        <v>14213</v>
      </c>
      <c r="K104" s="123">
        <v>21713</v>
      </c>
      <c r="L104" s="123">
        <v>37463</v>
      </c>
      <c r="M104" s="123">
        <v>68963</v>
      </c>
      <c r="N104" s="54"/>
    </row>
    <row r="105" spans="1:14" x14ac:dyDescent="0.25">
      <c r="A105" s="208"/>
      <c r="B105" s="225"/>
      <c r="C105" s="25" t="s">
        <v>27</v>
      </c>
      <c r="D105" s="1" t="s">
        <v>4</v>
      </c>
      <c r="E105" s="122">
        <v>40</v>
      </c>
      <c r="F105" s="122">
        <v>40</v>
      </c>
      <c r="G105" s="122">
        <v>40</v>
      </c>
      <c r="H105" s="122">
        <v>40</v>
      </c>
      <c r="I105" s="122">
        <v>40</v>
      </c>
      <c r="J105" s="122">
        <v>40</v>
      </c>
      <c r="K105" s="122">
        <v>40</v>
      </c>
      <c r="L105" s="122">
        <v>40</v>
      </c>
      <c r="M105" s="122">
        <v>40</v>
      </c>
      <c r="N105" s="54"/>
    </row>
    <row r="106" spans="1:14" x14ac:dyDescent="0.25">
      <c r="A106" s="208"/>
      <c r="B106" s="225"/>
      <c r="C106" s="25" t="s">
        <v>116</v>
      </c>
      <c r="D106" s="1" t="s">
        <v>19</v>
      </c>
      <c r="E106" s="122">
        <v>0.5</v>
      </c>
      <c r="F106" s="122">
        <v>0.5</v>
      </c>
      <c r="G106" s="122">
        <v>0.5</v>
      </c>
      <c r="H106" s="122">
        <v>0.5</v>
      </c>
      <c r="I106" s="122">
        <v>0.5</v>
      </c>
      <c r="J106" s="122">
        <v>0.5</v>
      </c>
      <c r="K106" s="122">
        <v>0.5</v>
      </c>
      <c r="L106" s="122">
        <v>0.5</v>
      </c>
      <c r="M106" s="122">
        <v>0.5</v>
      </c>
      <c r="N106" s="54"/>
    </row>
    <row r="107" spans="1:14" x14ac:dyDescent="0.25">
      <c r="A107" s="208"/>
      <c r="B107" s="225"/>
      <c r="C107" s="25" t="s">
        <v>28</v>
      </c>
      <c r="D107" s="1" t="s">
        <v>19</v>
      </c>
      <c r="E107" s="122">
        <v>1.3</v>
      </c>
      <c r="F107" s="122">
        <v>1.3</v>
      </c>
      <c r="G107" s="122">
        <v>1.3</v>
      </c>
      <c r="H107" s="122">
        <v>1.3</v>
      </c>
      <c r="I107" s="122">
        <v>1.3</v>
      </c>
      <c r="J107" s="122">
        <v>1.3</v>
      </c>
      <c r="K107" s="122">
        <v>1.3</v>
      </c>
      <c r="L107" s="122">
        <v>1.3</v>
      </c>
      <c r="M107" s="122">
        <v>1.3</v>
      </c>
      <c r="N107" s="54"/>
    </row>
    <row r="108" spans="1:14" x14ac:dyDescent="0.25">
      <c r="A108" s="208"/>
      <c r="B108" s="225"/>
      <c r="C108" s="25" t="s">
        <v>29</v>
      </c>
      <c r="D108" s="1" t="s">
        <v>4</v>
      </c>
      <c r="E108" s="122">
        <v>20</v>
      </c>
      <c r="F108" s="122">
        <v>20</v>
      </c>
      <c r="G108" s="122">
        <v>20</v>
      </c>
      <c r="H108" s="122">
        <v>20</v>
      </c>
      <c r="I108" s="122">
        <v>20</v>
      </c>
      <c r="J108" s="122">
        <v>20</v>
      </c>
      <c r="K108" s="122">
        <v>20</v>
      </c>
      <c r="L108" s="122">
        <v>20</v>
      </c>
      <c r="M108" s="122">
        <v>20</v>
      </c>
      <c r="N108" s="54"/>
    </row>
    <row r="109" spans="1:14" x14ac:dyDescent="0.25">
      <c r="A109" s="208"/>
      <c r="B109" s="225"/>
      <c r="C109" s="25" t="s">
        <v>30</v>
      </c>
      <c r="D109" s="1" t="s">
        <v>6</v>
      </c>
      <c r="E109" s="123">
        <v>1212.3185014395658</v>
      </c>
      <c r="F109" s="123">
        <v>865.6981523557846</v>
      </c>
      <c r="G109" s="123">
        <v>573.57643801209713</v>
      </c>
      <c r="H109" s="123">
        <v>482.31953407260886</v>
      </c>
      <c r="I109" s="123">
        <v>482.31953407260886</v>
      </c>
      <c r="J109" s="123">
        <v>482.31953407260886</v>
      </c>
      <c r="K109" s="123">
        <v>1281.3816732362875</v>
      </c>
      <c r="L109" s="123">
        <v>1114.6142868924398</v>
      </c>
      <c r="M109" s="123">
        <v>979.67598602574503</v>
      </c>
      <c r="N109" s="54"/>
    </row>
    <row r="110" spans="1:14" x14ac:dyDescent="0.25">
      <c r="A110" s="208"/>
      <c r="B110" s="225"/>
      <c r="C110" s="25" t="s">
        <v>178</v>
      </c>
      <c r="D110" s="1" t="s">
        <v>19</v>
      </c>
      <c r="E110" s="124">
        <v>0.35</v>
      </c>
      <c r="F110" s="124">
        <v>0.35</v>
      </c>
      <c r="G110" s="124">
        <v>0.35</v>
      </c>
      <c r="H110" s="124">
        <v>0.35</v>
      </c>
      <c r="I110" s="124">
        <v>0.35</v>
      </c>
      <c r="J110" s="124">
        <v>0.35</v>
      </c>
      <c r="K110" s="124">
        <v>0.35</v>
      </c>
      <c r="L110" s="124">
        <v>0.35</v>
      </c>
      <c r="M110" s="124">
        <v>0.35</v>
      </c>
      <c r="N110" s="54"/>
    </row>
    <row r="111" spans="1:14" x14ac:dyDescent="0.25">
      <c r="A111" s="208"/>
      <c r="B111" s="225"/>
      <c r="C111" s="25" t="s">
        <v>117</v>
      </c>
      <c r="D111" s="1" t="s">
        <v>8</v>
      </c>
      <c r="E111" s="122"/>
      <c r="F111" s="122"/>
      <c r="G111" s="122"/>
      <c r="H111" s="122"/>
      <c r="I111" s="122"/>
      <c r="J111" s="122"/>
      <c r="K111" s="122"/>
      <c r="L111" s="122"/>
      <c r="M111" s="122"/>
      <c r="N111" s="54"/>
    </row>
    <row r="112" spans="1:14" x14ac:dyDescent="0.25">
      <c r="A112" s="208"/>
      <c r="B112" s="225"/>
      <c r="C112" s="25" t="s">
        <v>118</v>
      </c>
      <c r="D112" s="1" t="s">
        <v>9</v>
      </c>
      <c r="E112" s="122"/>
      <c r="F112" s="122"/>
      <c r="G112" s="122"/>
      <c r="H112" s="122"/>
      <c r="I112" s="122"/>
      <c r="J112" s="122"/>
      <c r="K112" s="122"/>
      <c r="L112" s="122"/>
      <c r="M112" s="122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2.1199999999999999E-3</v>
      </c>
      <c r="M113" s="123">
        <v>2.1199999999999999E-3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122">
        <v>3.2399999999999998</v>
      </c>
      <c r="F116" s="122">
        <v>3.2399999999999998</v>
      </c>
      <c r="G116" s="122">
        <v>3.2399999999999998</v>
      </c>
      <c r="H116" s="122">
        <v>3.2399999999999998</v>
      </c>
      <c r="I116" s="122">
        <v>3.2399999999999998</v>
      </c>
      <c r="J116" s="122">
        <v>3.2399999999999998</v>
      </c>
      <c r="K116" s="122">
        <v>3.2399999999999998</v>
      </c>
      <c r="L116" s="122">
        <v>3.2399999999999998</v>
      </c>
      <c r="M116" s="122">
        <v>3.2399999999999998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122"/>
      <c r="F117" s="122"/>
      <c r="G117" s="122"/>
      <c r="H117" s="122"/>
      <c r="I117" s="122"/>
      <c r="J117" s="122"/>
      <c r="K117" s="122"/>
      <c r="L117" s="122"/>
      <c r="M117" s="122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122"/>
      <c r="F118" s="122"/>
      <c r="G118" s="122"/>
      <c r="H118" s="122"/>
      <c r="I118" s="122"/>
      <c r="J118" s="122"/>
      <c r="K118" s="122"/>
      <c r="L118" s="122"/>
      <c r="M118" s="122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122">
        <v>1</v>
      </c>
      <c r="F119" s="122">
        <v>1</v>
      </c>
      <c r="G119" s="122">
        <v>1</v>
      </c>
      <c r="H119" s="122">
        <v>1</v>
      </c>
      <c r="I119" s="122">
        <v>1</v>
      </c>
      <c r="J119" s="122">
        <v>1</v>
      </c>
      <c r="K119" s="122">
        <v>1</v>
      </c>
      <c r="L119" s="122">
        <v>1</v>
      </c>
      <c r="M119" s="122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122">
        <v>0.35</v>
      </c>
      <c r="F120" s="122">
        <v>0.35</v>
      </c>
      <c r="G120" s="122">
        <v>0.35</v>
      </c>
      <c r="H120" s="122">
        <v>0.35</v>
      </c>
      <c r="I120" s="122">
        <v>0.35</v>
      </c>
      <c r="J120" s="122">
        <v>0.35</v>
      </c>
      <c r="K120" s="122">
        <v>0.35</v>
      </c>
      <c r="L120" s="122">
        <v>0.35</v>
      </c>
      <c r="M120" s="122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122">
        <v>20</v>
      </c>
      <c r="F121" s="122">
        <v>20</v>
      </c>
      <c r="G121" s="122">
        <v>20</v>
      </c>
      <c r="H121" s="122">
        <v>20</v>
      </c>
      <c r="I121" s="122">
        <v>20</v>
      </c>
      <c r="J121" s="122">
        <v>20</v>
      </c>
      <c r="K121" s="122">
        <v>20</v>
      </c>
      <c r="L121" s="122">
        <v>20</v>
      </c>
      <c r="M121" s="122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123">
        <v>212.90273464055423</v>
      </c>
      <c r="F122" s="123">
        <v>180.29847756137553</v>
      </c>
      <c r="G122" s="123">
        <v>140.44328080448224</v>
      </c>
      <c r="H122" s="123">
        <v>113.16977842477434</v>
      </c>
      <c r="I122" s="123">
        <v>107.31263157894738</v>
      </c>
      <c r="J122" s="123">
        <v>107.00631578947369</v>
      </c>
      <c r="K122" s="123">
        <v>105.98526315789475</v>
      </c>
      <c r="L122" s="123">
        <v>103.84105263157896</v>
      </c>
      <c r="M122" s="123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124">
        <v>0</v>
      </c>
      <c r="F123" s="124">
        <v>0</v>
      </c>
      <c r="G123" s="124">
        <v>0</v>
      </c>
      <c r="H123" s="124">
        <v>0</v>
      </c>
      <c r="I123" s="124">
        <v>0</v>
      </c>
      <c r="J123" s="124">
        <v>0</v>
      </c>
      <c r="K123" s="124">
        <v>0</v>
      </c>
      <c r="L123" s="124">
        <v>0</v>
      </c>
      <c r="M123" s="124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122"/>
      <c r="F124" s="122"/>
      <c r="G124" s="122"/>
      <c r="H124" s="122"/>
      <c r="I124" s="122"/>
      <c r="J124" s="122"/>
      <c r="K124" s="122"/>
      <c r="L124" s="122"/>
      <c r="M124" s="122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123">
        <v>6.3870820392166268</v>
      </c>
      <c r="F125" s="123">
        <v>5.4089543268412656</v>
      </c>
      <c r="G125" s="123">
        <v>4.2132984241344671</v>
      </c>
      <c r="H125" s="123">
        <v>3.3950933527432299</v>
      </c>
      <c r="I125" s="123">
        <v>2.0378947368421052</v>
      </c>
      <c r="J125" s="123">
        <v>2.0189473684210526</v>
      </c>
      <c r="K125" s="123">
        <v>1.9557894736842103</v>
      </c>
      <c r="L125" s="123">
        <v>1.8231578947368419</v>
      </c>
      <c r="M125" s="123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1.6357894736842103E-3</v>
      </c>
      <c r="L126" s="123">
        <v>1.5031578947368419E-3</v>
      </c>
      <c r="M126" s="123">
        <v>1.2378947368421051E-3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124">
        <v>0.96599999999999986</v>
      </c>
      <c r="F128" s="124">
        <v>0.96599999999999986</v>
      </c>
      <c r="G128" s="124">
        <v>0.96599999999999986</v>
      </c>
      <c r="H128" s="124">
        <v>0.96599999999999986</v>
      </c>
      <c r="I128" s="124">
        <v>0.96599999999999986</v>
      </c>
      <c r="J128" s="124">
        <v>0.96599999999999986</v>
      </c>
      <c r="K128" s="124">
        <v>0.99</v>
      </c>
      <c r="L128" s="124">
        <v>0.99</v>
      </c>
      <c r="M128" s="124">
        <v>0.99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123">
        <v>1524.6</v>
      </c>
      <c r="F129" s="123">
        <v>1749.6</v>
      </c>
      <c r="G129" s="123">
        <v>2349.6</v>
      </c>
      <c r="H129" s="123">
        <v>3174.6</v>
      </c>
      <c r="I129" s="123">
        <v>4299.6000000000004</v>
      </c>
      <c r="J129" s="123">
        <v>14213</v>
      </c>
      <c r="K129" s="123">
        <v>21713</v>
      </c>
      <c r="L129" s="123">
        <v>37463</v>
      </c>
      <c r="M129" s="123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122">
        <v>40</v>
      </c>
      <c r="F130" s="122">
        <v>40</v>
      </c>
      <c r="G130" s="122">
        <v>40</v>
      </c>
      <c r="H130" s="122">
        <v>40</v>
      </c>
      <c r="I130" s="122">
        <v>40</v>
      </c>
      <c r="J130" s="122">
        <v>40</v>
      </c>
      <c r="K130" s="122">
        <v>40</v>
      </c>
      <c r="L130" s="122">
        <v>40</v>
      </c>
      <c r="M130" s="122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122">
        <v>0.35</v>
      </c>
      <c r="F131" s="122">
        <v>0.35</v>
      </c>
      <c r="G131" s="122">
        <v>0.35</v>
      </c>
      <c r="H131" s="122">
        <v>0.35</v>
      </c>
      <c r="I131" s="122">
        <v>0.35</v>
      </c>
      <c r="J131" s="122">
        <v>0.35</v>
      </c>
      <c r="K131" s="122">
        <v>0.35</v>
      </c>
      <c r="L131" s="122">
        <v>0.35</v>
      </c>
      <c r="M131" s="122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122">
        <v>1.8571428571428572</v>
      </c>
      <c r="F132" s="122">
        <v>1.8571428571428572</v>
      </c>
      <c r="G132" s="122">
        <v>1.8571428571428572</v>
      </c>
      <c r="H132" s="122">
        <v>1.8571428571428572</v>
      </c>
      <c r="I132" s="122">
        <v>1.8571428571428572</v>
      </c>
      <c r="J132" s="122">
        <v>1.8571428571428572</v>
      </c>
      <c r="K132" s="122">
        <v>1.8571428571428572</v>
      </c>
      <c r="L132" s="122">
        <v>1.8571428571428572</v>
      </c>
      <c r="M132" s="122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122">
        <v>20</v>
      </c>
      <c r="F133" s="122">
        <v>20</v>
      </c>
      <c r="G133" s="122">
        <v>20</v>
      </c>
      <c r="H133" s="122">
        <v>20</v>
      </c>
      <c r="I133" s="122">
        <v>20</v>
      </c>
      <c r="J133" s="122">
        <v>20</v>
      </c>
      <c r="K133" s="122">
        <v>20</v>
      </c>
      <c r="L133" s="122">
        <v>20</v>
      </c>
      <c r="M133" s="122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123">
        <v>6505.2925894863074</v>
      </c>
      <c r="F134" s="123">
        <v>4401.6753460736363</v>
      </c>
      <c r="G134" s="123">
        <v>2730.489848151858</v>
      </c>
      <c r="H134" s="123">
        <v>2119.9941480339958</v>
      </c>
      <c r="I134" s="123">
        <v>1761.8425600025264</v>
      </c>
      <c r="J134" s="123">
        <v>1439.7537496450543</v>
      </c>
      <c r="K134" s="123">
        <v>1128.0333292524301</v>
      </c>
      <c r="L134" s="123">
        <v>904.18982423028638</v>
      </c>
      <c r="M134" s="123">
        <v>736.80866636730173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122"/>
      <c r="F136" s="122"/>
      <c r="G136" s="122"/>
      <c r="H136" s="122"/>
      <c r="I136" s="122"/>
      <c r="J136" s="122"/>
      <c r="K136" s="122"/>
      <c r="L136" s="122"/>
      <c r="M136" s="122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122"/>
      <c r="F137" s="122"/>
      <c r="G137" s="122"/>
      <c r="H137" s="122"/>
      <c r="I137" s="122"/>
      <c r="J137" s="122"/>
      <c r="K137" s="122"/>
      <c r="L137" s="122"/>
      <c r="M137" s="122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123">
        <v>5.4632155805897732E-2</v>
      </c>
      <c r="F138" s="123">
        <v>6.9225169277652349E-2</v>
      </c>
      <c r="G138" s="123">
        <v>5.5072970988733948E-2</v>
      </c>
      <c r="H138" s="123">
        <v>4.6604222305577481E-2</v>
      </c>
      <c r="I138" s="123">
        <v>4.0289223212275231E-2</v>
      </c>
      <c r="J138" s="123">
        <v>2.4583755873341454E-2</v>
      </c>
      <c r="K138" s="123">
        <v>1.9104989606490121E-2</v>
      </c>
      <c r="L138" s="123">
        <v>1.5182594783541725E-2</v>
      </c>
      <c r="M138" s="123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122"/>
      <c r="F140" s="122"/>
      <c r="G140" s="122"/>
      <c r="H140" s="122"/>
      <c r="I140" s="122"/>
      <c r="J140" s="122"/>
      <c r="K140" s="122"/>
      <c r="L140" s="122"/>
      <c r="M140" s="122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122"/>
      <c r="F141" s="122"/>
      <c r="G141" s="122"/>
      <c r="H141" s="122"/>
      <c r="I141" s="122"/>
      <c r="J141" s="122"/>
      <c r="K141" s="122"/>
      <c r="L141" s="122"/>
      <c r="M141" s="122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125">
        <v>0.25</v>
      </c>
      <c r="F142" s="125">
        <v>0.25</v>
      </c>
      <c r="G142" s="125">
        <v>0.25</v>
      </c>
      <c r="H142" s="125">
        <v>0.25</v>
      </c>
      <c r="I142" s="125">
        <v>0.25</v>
      </c>
      <c r="J142" s="125">
        <v>0.25</v>
      </c>
      <c r="K142" s="125">
        <v>0.25</v>
      </c>
      <c r="L142" s="125">
        <v>0.25</v>
      </c>
      <c r="M142" s="125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124">
        <v>0.66625430833964439</v>
      </c>
      <c r="F143" s="124">
        <v>0.66367464936796561</v>
      </c>
      <c r="G143" s="124">
        <v>0.65679555877682227</v>
      </c>
      <c r="H143" s="124">
        <v>0.64733680921400016</v>
      </c>
      <c r="I143" s="124">
        <v>0.63443851435560639</v>
      </c>
      <c r="J143" s="124">
        <v>0.4680070358050421</v>
      </c>
      <c r="K143" s="124">
        <v>0.46713859851464173</v>
      </c>
      <c r="L143" s="124">
        <v>0.46531488020480088</v>
      </c>
      <c r="M143" s="124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124">
        <v>0.25092243745356524</v>
      </c>
      <c r="F144" s="124">
        <v>0.25657675134016689</v>
      </c>
      <c r="G144" s="124">
        <v>0.27165492170443795</v>
      </c>
      <c r="H144" s="124">
        <v>0.29238740595531065</v>
      </c>
      <c r="I144" s="124">
        <v>0.32065897538831889</v>
      </c>
      <c r="J144" s="124">
        <v>0.41290384467151914</v>
      </c>
      <c r="K144" s="124">
        <v>0.41363974384019625</v>
      </c>
      <c r="L144" s="124">
        <v>0.41518513209441815</v>
      </c>
      <c r="M144" s="124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123">
        <v>0.16</v>
      </c>
      <c r="F145" s="123">
        <v>0.16</v>
      </c>
      <c r="G145" s="123">
        <v>0.16</v>
      </c>
      <c r="H145" s="123">
        <v>0.16</v>
      </c>
      <c r="I145" s="123">
        <v>0.06</v>
      </c>
      <c r="J145" s="123">
        <v>0.05</v>
      </c>
      <c r="K145" s="123">
        <v>4.3999999999999997E-2</v>
      </c>
      <c r="L145" s="123">
        <v>4.3999999999999997E-2</v>
      </c>
      <c r="M145" s="123">
        <v>4.3999999999999997E-2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123">
        <v>0.08</v>
      </c>
      <c r="F146" s="123">
        <v>0.08</v>
      </c>
      <c r="G146" s="123">
        <v>0.08</v>
      </c>
      <c r="H146" s="123">
        <v>0.08</v>
      </c>
      <c r="I146" s="123">
        <v>0.03</v>
      </c>
      <c r="J146" s="123">
        <v>0</v>
      </c>
      <c r="K146" s="123">
        <v>0</v>
      </c>
      <c r="L146" s="123">
        <v>0</v>
      </c>
      <c r="M146" s="123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122">
        <v>5.4999999999999997E-3</v>
      </c>
      <c r="F147" s="122">
        <v>5.4999999999999997E-3</v>
      </c>
      <c r="G147" s="122">
        <v>5.4999999999999997E-3</v>
      </c>
      <c r="H147" s="122">
        <v>5.4999999999999997E-3</v>
      </c>
      <c r="I147" s="122">
        <v>5.4999999999999997E-3</v>
      </c>
      <c r="J147" s="122">
        <v>5.4999999999999997E-3</v>
      </c>
      <c r="K147" s="122">
        <v>5.4999999999999997E-3</v>
      </c>
      <c r="L147" s="122">
        <v>5.4999999999999997E-3</v>
      </c>
      <c r="M147" s="122">
        <v>5.4999999999999997E-3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122">
        <v>1</v>
      </c>
      <c r="F148" s="122">
        <v>1</v>
      </c>
      <c r="G148" s="122">
        <v>1</v>
      </c>
      <c r="H148" s="122">
        <v>1</v>
      </c>
      <c r="I148" s="122">
        <v>1</v>
      </c>
      <c r="J148" s="122">
        <v>1</v>
      </c>
      <c r="K148" s="122">
        <v>1</v>
      </c>
      <c r="L148" s="122">
        <v>1</v>
      </c>
      <c r="M148" s="122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122">
        <v>0.35</v>
      </c>
      <c r="F149" s="122">
        <v>0.35</v>
      </c>
      <c r="G149" s="122">
        <v>0.35</v>
      </c>
      <c r="H149" s="122">
        <v>0.35</v>
      </c>
      <c r="I149" s="122">
        <v>0.35</v>
      </c>
      <c r="J149" s="122">
        <v>0.35</v>
      </c>
      <c r="K149" s="122">
        <v>0.35</v>
      </c>
      <c r="L149" s="122">
        <v>0.35</v>
      </c>
      <c r="M149" s="122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122">
        <v>20</v>
      </c>
      <c r="F150" s="122">
        <v>20</v>
      </c>
      <c r="G150" s="122">
        <v>20</v>
      </c>
      <c r="H150" s="122">
        <v>20</v>
      </c>
      <c r="I150" s="122">
        <v>20</v>
      </c>
      <c r="J150" s="122">
        <v>20</v>
      </c>
      <c r="K150" s="122">
        <v>20</v>
      </c>
      <c r="L150" s="122">
        <v>20</v>
      </c>
      <c r="M150" s="122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123">
        <v>212.90273464055423</v>
      </c>
      <c r="F151" s="123">
        <v>180.29847756137553</v>
      </c>
      <c r="G151" s="123">
        <v>140.44328080448224</v>
      </c>
      <c r="H151" s="123">
        <v>113.16977842477434</v>
      </c>
      <c r="I151" s="123">
        <v>107.31263157894738</v>
      </c>
      <c r="J151" s="123">
        <v>107.00631578947369</v>
      </c>
      <c r="K151" s="123">
        <v>105.98526315789475</v>
      </c>
      <c r="L151" s="123">
        <v>103.84105263157896</v>
      </c>
      <c r="M151" s="123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122"/>
      <c r="F153" s="122"/>
      <c r="G153" s="122"/>
      <c r="H153" s="122"/>
      <c r="I153" s="122"/>
      <c r="J153" s="122"/>
      <c r="K153" s="122"/>
      <c r="L153" s="122"/>
      <c r="M153" s="122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123">
        <v>6.3870820392166268</v>
      </c>
      <c r="F154" s="123">
        <v>5.4089543268412656</v>
      </c>
      <c r="G154" s="123">
        <v>4.2132984241344671</v>
      </c>
      <c r="H154" s="123">
        <v>3.3950933527432299</v>
      </c>
      <c r="I154" s="123">
        <v>2.0378947368421052</v>
      </c>
      <c r="J154" s="123">
        <v>2.0189473684210526</v>
      </c>
      <c r="K154" s="123">
        <v>1.9557894736842103</v>
      </c>
      <c r="L154" s="123">
        <v>1.8231578947368419</v>
      </c>
      <c r="M154" s="123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1.6357894736842103E-3</v>
      </c>
      <c r="L155" s="123">
        <v>1.5031578947368419E-3</v>
      </c>
      <c r="M155" s="123">
        <v>1.2378947368421051E-3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122">
        <v>0.96599999999999986</v>
      </c>
      <c r="F157" s="122">
        <v>0.96599999999999986</v>
      </c>
      <c r="G157" s="122">
        <v>0.96599999999999986</v>
      </c>
      <c r="H157" s="122">
        <v>0.96599999999999986</v>
      </c>
      <c r="I157" s="122">
        <v>0.96599999999999986</v>
      </c>
      <c r="J157" s="122">
        <v>0.96599999999999986</v>
      </c>
      <c r="K157" s="122">
        <v>0.99</v>
      </c>
      <c r="L157" s="122">
        <v>0.99</v>
      </c>
      <c r="M157" s="122">
        <v>0.99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123">
        <v>1524.6</v>
      </c>
      <c r="F158" s="123">
        <v>1749.6</v>
      </c>
      <c r="G158" s="123">
        <v>2349.6</v>
      </c>
      <c r="H158" s="123">
        <v>3174.6</v>
      </c>
      <c r="I158" s="123">
        <v>4299.6000000000004</v>
      </c>
      <c r="J158" s="123">
        <v>14213</v>
      </c>
      <c r="K158" s="123">
        <v>21713</v>
      </c>
      <c r="L158" s="123">
        <v>37463</v>
      </c>
      <c r="M158" s="123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122">
        <v>40</v>
      </c>
      <c r="F159" s="122">
        <v>40</v>
      </c>
      <c r="G159" s="122">
        <v>40</v>
      </c>
      <c r="H159" s="122">
        <v>40</v>
      </c>
      <c r="I159" s="122">
        <v>40</v>
      </c>
      <c r="J159" s="122">
        <v>40</v>
      </c>
      <c r="K159" s="122">
        <v>40</v>
      </c>
      <c r="L159" s="122">
        <v>40</v>
      </c>
      <c r="M159" s="122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122">
        <v>0.35</v>
      </c>
      <c r="F160" s="122">
        <v>0.35</v>
      </c>
      <c r="G160" s="122">
        <v>0.35</v>
      </c>
      <c r="H160" s="122">
        <v>0.35</v>
      </c>
      <c r="I160" s="122">
        <v>0.35</v>
      </c>
      <c r="J160" s="122">
        <v>0.35</v>
      </c>
      <c r="K160" s="122">
        <v>0.35</v>
      </c>
      <c r="L160" s="122">
        <v>0.35</v>
      </c>
      <c r="M160" s="122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122">
        <v>1.8571428571428572</v>
      </c>
      <c r="F161" s="122">
        <v>1.8571428571428572</v>
      </c>
      <c r="G161" s="122">
        <v>1.8571428571428572</v>
      </c>
      <c r="H161" s="122">
        <v>1.8571428571428572</v>
      </c>
      <c r="I161" s="122">
        <v>1.8571428571428572</v>
      </c>
      <c r="J161" s="122">
        <v>1.8571428571428572</v>
      </c>
      <c r="K161" s="122">
        <v>1.8571428571428572</v>
      </c>
      <c r="L161" s="122">
        <v>1.8571428571428572</v>
      </c>
      <c r="M161" s="122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122">
        <v>20</v>
      </c>
      <c r="F162" s="122">
        <v>20</v>
      </c>
      <c r="G162" s="122">
        <v>20</v>
      </c>
      <c r="H162" s="122">
        <v>20</v>
      </c>
      <c r="I162" s="122">
        <v>20</v>
      </c>
      <c r="J162" s="122">
        <v>20</v>
      </c>
      <c r="K162" s="122">
        <v>20</v>
      </c>
      <c r="L162" s="122">
        <v>20</v>
      </c>
      <c r="M162" s="122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123">
        <v>6505.2925894863074</v>
      </c>
      <c r="F163" s="123">
        <v>4401.6753460736363</v>
      </c>
      <c r="G163" s="123">
        <v>2730.489848151858</v>
      </c>
      <c r="H163" s="123">
        <v>2119.9941480339958</v>
      </c>
      <c r="I163" s="123">
        <v>1761.8425600025264</v>
      </c>
      <c r="J163" s="123">
        <v>1439.7537496450543</v>
      </c>
      <c r="K163" s="123">
        <v>1128.0333292524301</v>
      </c>
      <c r="L163" s="123">
        <v>904.18982423028638</v>
      </c>
      <c r="M163" s="123">
        <v>736.80866636730173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122"/>
      <c r="F165" s="122"/>
      <c r="G165" s="122"/>
      <c r="H165" s="122"/>
      <c r="I165" s="122"/>
      <c r="J165" s="122"/>
      <c r="K165" s="122"/>
      <c r="L165" s="122"/>
      <c r="M165" s="122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122"/>
      <c r="F166" s="122"/>
      <c r="G166" s="122"/>
      <c r="H166" s="122"/>
      <c r="I166" s="122"/>
      <c r="J166" s="122"/>
      <c r="K166" s="122"/>
      <c r="L166" s="122"/>
      <c r="M166" s="122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123">
        <v>5.4632155805897732E-2</v>
      </c>
      <c r="F167" s="123">
        <v>6.9225169277652349E-2</v>
      </c>
      <c r="G167" s="123">
        <v>5.5072970988733948E-2</v>
      </c>
      <c r="H167" s="123">
        <v>4.6604222305577481E-2</v>
      </c>
      <c r="I167" s="123">
        <v>4.0289223212275231E-2</v>
      </c>
      <c r="J167" s="123">
        <v>2.4583755873341454E-2</v>
      </c>
      <c r="K167" s="123">
        <v>1.9104989606490121E-2</v>
      </c>
      <c r="L167" s="123">
        <v>1.5182594783541725E-2</v>
      </c>
      <c r="M167" s="123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122"/>
      <c r="F169" s="122"/>
      <c r="G169" s="122"/>
      <c r="H169" s="122"/>
      <c r="I169" s="122"/>
      <c r="J169" s="122"/>
      <c r="K169" s="122"/>
      <c r="L169" s="122"/>
      <c r="M169" s="122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122"/>
      <c r="F170" s="122"/>
      <c r="G170" s="122"/>
      <c r="H170" s="122"/>
      <c r="I170" s="122"/>
      <c r="J170" s="122"/>
      <c r="K170" s="122"/>
      <c r="L170" s="122"/>
      <c r="M170" s="122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125">
        <v>0.5</v>
      </c>
      <c r="F171" s="125">
        <v>0.5</v>
      </c>
      <c r="G171" s="125">
        <v>0.5</v>
      </c>
      <c r="H171" s="125">
        <v>0.5</v>
      </c>
      <c r="I171" s="125">
        <v>0.5</v>
      </c>
      <c r="J171" s="125">
        <v>0.5</v>
      </c>
      <c r="K171" s="125">
        <v>0.5</v>
      </c>
      <c r="L171" s="125">
        <v>0.5</v>
      </c>
      <c r="M171" s="125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124">
        <v>0.66625430833964439</v>
      </c>
      <c r="F172" s="124">
        <v>0.66367464936796561</v>
      </c>
      <c r="G172" s="124">
        <v>0.65679555877682227</v>
      </c>
      <c r="H172" s="124">
        <v>0.64733680921400016</v>
      </c>
      <c r="I172" s="124">
        <v>0.63443851435560639</v>
      </c>
      <c r="J172" s="124">
        <v>0.4680070358050421</v>
      </c>
      <c r="K172" s="124">
        <v>0.46713859851464173</v>
      </c>
      <c r="L172" s="124">
        <v>0.46531488020480088</v>
      </c>
      <c r="M172" s="124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124">
        <v>0.25092243745356524</v>
      </c>
      <c r="F173" s="124">
        <v>0.25657675134016689</v>
      </c>
      <c r="G173" s="124">
        <v>0.27165492170443795</v>
      </c>
      <c r="H173" s="124">
        <v>0.29238740595531065</v>
      </c>
      <c r="I173" s="124">
        <v>0.32065897538831889</v>
      </c>
      <c r="J173" s="124">
        <v>0.41290384467151914</v>
      </c>
      <c r="K173" s="124">
        <v>0.41363974384019625</v>
      </c>
      <c r="L173" s="124">
        <v>0.41518513209441815</v>
      </c>
      <c r="M173" s="124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123">
        <v>0.16</v>
      </c>
      <c r="F174" s="123">
        <v>0.16</v>
      </c>
      <c r="G174" s="123">
        <v>0.16</v>
      </c>
      <c r="H174" s="123">
        <v>0.16</v>
      </c>
      <c r="I174" s="123">
        <v>0.06</v>
      </c>
      <c r="J174" s="123">
        <v>0.05</v>
      </c>
      <c r="K174" s="123">
        <v>4.3999999999999997E-2</v>
      </c>
      <c r="L174" s="123">
        <v>4.3999999999999997E-2</v>
      </c>
      <c r="M174" s="123">
        <v>4.3999999999999997E-2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123">
        <v>0.08</v>
      </c>
      <c r="F175" s="123">
        <v>0.08</v>
      </c>
      <c r="G175" s="123">
        <v>0.08</v>
      </c>
      <c r="H175" s="123">
        <v>0.08</v>
      </c>
      <c r="I175" s="123">
        <v>0.03</v>
      </c>
      <c r="J175" s="123">
        <v>0</v>
      </c>
      <c r="K175" s="123">
        <v>0</v>
      </c>
      <c r="L175" s="123">
        <v>0</v>
      </c>
      <c r="M175" s="123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122">
        <v>5.4999999999999997E-3</v>
      </c>
      <c r="F176" s="122">
        <v>5.4999999999999997E-3</v>
      </c>
      <c r="G176" s="122">
        <v>5.4999999999999997E-3</v>
      </c>
      <c r="H176" s="122">
        <v>5.4999999999999997E-3</v>
      </c>
      <c r="I176" s="122">
        <v>5.4999999999999997E-3</v>
      </c>
      <c r="J176" s="122">
        <v>5.4999999999999997E-3</v>
      </c>
      <c r="K176" s="122">
        <v>5.4999999999999997E-3</v>
      </c>
      <c r="L176" s="122">
        <v>5.4999999999999997E-3</v>
      </c>
      <c r="M176" s="122">
        <v>5.4999999999999997E-3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126">
        <v>1</v>
      </c>
      <c r="F177" s="126">
        <v>1</v>
      </c>
      <c r="G177" s="126">
        <v>1</v>
      </c>
      <c r="H177" s="126">
        <v>1</v>
      </c>
      <c r="I177" s="126">
        <v>1</v>
      </c>
      <c r="J177" s="126">
        <v>1</v>
      </c>
      <c r="K177" s="126">
        <v>1</v>
      </c>
      <c r="L177" s="126">
        <v>1</v>
      </c>
      <c r="M177" s="126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122">
        <v>0.8</v>
      </c>
      <c r="F178" s="122">
        <v>0.8</v>
      </c>
      <c r="G178" s="122">
        <v>0.8</v>
      </c>
      <c r="H178" s="122">
        <v>0.8</v>
      </c>
      <c r="I178" s="122">
        <v>0.8</v>
      </c>
      <c r="J178" s="122">
        <v>0.8</v>
      </c>
      <c r="K178" s="122">
        <v>0.8</v>
      </c>
      <c r="L178" s="122">
        <v>0.8</v>
      </c>
      <c r="M178" s="122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122">
        <v>20</v>
      </c>
      <c r="F179" s="122">
        <v>20</v>
      </c>
      <c r="G179" s="122">
        <v>20</v>
      </c>
      <c r="H179" s="122">
        <v>20</v>
      </c>
      <c r="I179" s="122">
        <v>20</v>
      </c>
      <c r="J179" s="122">
        <v>20</v>
      </c>
      <c r="K179" s="122">
        <v>20</v>
      </c>
      <c r="L179" s="122">
        <v>20</v>
      </c>
      <c r="M179" s="122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123">
        <v>212.90273464055423</v>
      </c>
      <c r="F180" s="123">
        <v>180.29847756137553</v>
      </c>
      <c r="G180" s="123">
        <v>140.44328080448224</v>
      </c>
      <c r="H180" s="123">
        <v>113.16977842477434</v>
      </c>
      <c r="I180" s="123">
        <v>107.31263157894738</v>
      </c>
      <c r="J180" s="123">
        <v>107.00631578947369</v>
      </c>
      <c r="K180" s="123">
        <v>105.98526315789475</v>
      </c>
      <c r="L180" s="123">
        <v>103.84105263157896</v>
      </c>
      <c r="M180" s="123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124">
        <v>0.2</v>
      </c>
      <c r="F181" s="124">
        <v>0.2</v>
      </c>
      <c r="G181" s="124">
        <v>0.2</v>
      </c>
      <c r="H181" s="124">
        <v>0.2</v>
      </c>
      <c r="I181" s="124">
        <v>0.2</v>
      </c>
      <c r="J181" s="124">
        <v>0.2</v>
      </c>
      <c r="K181" s="124">
        <v>0.2</v>
      </c>
      <c r="L181" s="124">
        <v>0.2</v>
      </c>
      <c r="M181" s="124">
        <v>0.2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122"/>
      <c r="F182" s="122"/>
      <c r="G182" s="122"/>
      <c r="H182" s="122"/>
      <c r="I182" s="122"/>
      <c r="J182" s="122"/>
      <c r="K182" s="122"/>
      <c r="L182" s="122"/>
      <c r="M182" s="122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123">
        <v>6.3870820392166268</v>
      </c>
      <c r="F183" s="123">
        <v>5.4089543268412656</v>
      </c>
      <c r="G183" s="123">
        <v>4.2132984241344671</v>
      </c>
      <c r="H183" s="123">
        <v>3.3950933527432299</v>
      </c>
      <c r="I183" s="123">
        <v>2.0378947368421052</v>
      </c>
      <c r="J183" s="123">
        <v>2.0189473684210526</v>
      </c>
      <c r="K183" s="123">
        <v>1.9557894736842103</v>
      </c>
      <c r="L183" s="123">
        <v>1.8231578947368419</v>
      </c>
      <c r="M183" s="123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1.6357894736842103E-3</v>
      </c>
      <c r="L184" s="123">
        <v>1.5031578947368419E-3</v>
      </c>
      <c r="M184" s="123">
        <v>1.2378947368421051E-3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122">
        <v>0.96599999999999986</v>
      </c>
      <c r="F186" s="122">
        <v>0.96599999999999986</v>
      </c>
      <c r="G186" s="122">
        <v>0.96599999999999986</v>
      </c>
      <c r="H186" s="122">
        <v>0.96599999999999986</v>
      </c>
      <c r="I186" s="122">
        <v>0.96599999999999986</v>
      </c>
      <c r="J186" s="122">
        <v>0.96599999999999986</v>
      </c>
      <c r="K186" s="122">
        <v>0.99</v>
      </c>
      <c r="L186" s="122">
        <v>0.99</v>
      </c>
      <c r="M186" s="122">
        <v>0.99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123">
        <v>1524.6</v>
      </c>
      <c r="F187" s="123">
        <v>1749.6</v>
      </c>
      <c r="G187" s="123">
        <v>2349.6</v>
      </c>
      <c r="H187" s="123">
        <v>3174.6</v>
      </c>
      <c r="I187" s="123">
        <v>4299.6000000000004</v>
      </c>
      <c r="J187" s="123">
        <v>14213</v>
      </c>
      <c r="K187" s="123">
        <v>21713</v>
      </c>
      <c r="L187" s="123">
        <v>37463</v>
      </c>
      <c r="M187" s="123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122">
        <v>40</v>
      </c>
      <c r="F188" s="122">
        <v>40</v>
      </c>
      <c r="G188" s="122">
        <v>40</v>
      </c>
      <c r="H188" s="122">
        <v>40</v>
      </c>
      <c r="I188" s="122">
        <v>40</v>
      </c>
      <c r="J188" s="122">
        <v>40</v>
      </c>
      <c r="K188" s="122">
        <v>40</v>
      </c>
      <c r="L188" s="122">
        <v>40</v>
      </c>
      <c r="M188" s="122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126">
        <v>0.3125</v>
      </c>
      <c r="F189" s="126">
        <v>0.3125</v>
      </c>
      <c r="G189" s="126">
        <v>0.3125</v>
      </c>
      <c r="H189" s="126">
        <v>0.3125</v>
      </c>
      <c r="I189" s="126">
        <v>0.3125</v>
      </c>
      <c r="J189" s="126">
        <v>0.3125</v>
      </c>
      <c r="K189" s="126">
        <v>0.3125</v>
      </c>
      <c r="L189" s="126">
        <v>0.3125</v>
      </c>
      <c r="M189" s="126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122">
        <v>0.64</v>
      </c>
      <c r="F190" s="122">
        <v>0.64</v>
      </c>
      <c r="G190" s="122">
        <v>0.64</v>
      </c>
      <c r="H190" s="122">
        <v>0.64</v>
      </c>
      <c r="I190" s="122">
        <v>0.64</v>
      </c>
      <c r="J190" s="122">
        <v>0.64</v>
      </c>
      <c r="K190" s="122">
        <v>0.64</v>
      </c>
      <c r="L190" s="122">
        <v>0.64</v>
      </c>
      <c r="M190" s="122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122">
        <v>20</v>
      </c>
      <c r="F191" s="122">
        <v>20</v>
      </c>
      <c r="G191" s="122">
        <v>20</v>
      </c>
      <c r="H191" s="122">
        <v>20</v>
      </c>
      <c r="I191" s="122">
        <v>20</v>
      </c>
      <c r="J191" s="122">
        <v>20</v>
      </c>
      <c r="K191" s="122">
        <v>20</v>
      </c>
      <c r="L191" s="122">
        <v>20</v>
      </c>
      <c r="M191" s="122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127">
        <v>946.15063293358571</v>
      </c>
      <c r="F192" s="123">
        <v>932.03126095799144</v>
      </c>
      <c r="G192" s="123">
        <v>894.37960235640639</v>
      </c>
      <c r="H192" s="123">
        <v>842.60857177922708</v>
      </c>
      <c r="I192" s="123">
        <v>772.01171190125524</v>
      </c>
      <c r="J192" s="123">
        <v>630.81799214531168</v>
      </c>
      <c r="K192" s="123">
        <v>538.57142857142856</v>
      </c>
      <c r="L192" s="123">
        <v>538.57142857142856</v>
      </c>
      <c r="M192" s="123">
        <v>538.57142857142856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124">
        <v>0</v>
      </c>
      <c r="F193" s="124">
        <v>0.35</v>
      </c>
      <c r="G193" s="124">
        <v>0.35</v>
      </c>
      <c r="H193" s="124">
        <v>0.35</v>
      </c>
      <c r="I193" s="124">
        <v>0.35</v>
      </c>
      <c r="J193" s="124">
        <v>0.35</v>
      </c>
      <c r="K193" s="124">
        <v>0.35</v>
      </c>
      <c r="L193" s="124">
        <v>0.35</v>
      </c>
      <c r="M193" s="124">
        <v>0.35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123">
        <v>56.686008836524309</v>
      </c>
      <c r="F194" s="123">
        <v>74.027687776141391</v>
      </c>
      <c r="G194" s="123">
        <v>120.27216494845361</v>
      </c>
      <c r="H194" s="123">
        <v>183.85832106038291</v>
      </c>
      <c r="I194" s="123">
        <v>270.56671575846832</v>
      </c>
      <c r="J194" s="123">
        <v>443.98350515463915</v>
      </c>
      <c r="K194" s="123">
        <v>617.40029455081003</v>
      </c>
      <c r="L194" s="123">
        <v>617.40029455081003</v>
      </c>
      <c r="M194" s="123">
        <v>617.40029455081003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122"/>
      <c r="F195" s="122"/>
      <c r="G195" s="122"/>
      <c r="H195" s="122"/>
      <c r="I195" s="122"/>
      <c r="J195" s="122"/>
      <c r="K195" s="122"/>
      <c r="L195" s="122"/>
      <c r="M195" s="122"/>
    </row>
    <row r="196" spans="1:14" x14ac:dyDescent="0.25">
      <c r="A196" s="208"/>
      <c r="B196" s="225"/>
      <c r="C196" s="25" t="s">
        <v>135</v>
      </c>
      <c r="D196" s="1" t="s">
        <v>10</v>
      </c>
      <c r="E196" s="122"/>
      <c r="F196" s="122"/>
      <c r="G196" s="122"/>
      <c r="H196" s="122"/>
      <c r="I196" s="122"/>
      <c r="J196" s="122"/>
      <c r="K196" s="122"/>
      <c r="L196" s="122"/>
      <c r="M196" s="122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122"/>
      <c r="F197" s="122"/>
      <c r="G197" s="122"/>
      <c r="H197" s="122"/>
      <c r="I197" s="122"/>
      <c r="J197" s="122"/>
      <c r="K197" s="122"/>
      <c r="L197" s="122"/>
      <c r="M197" s="122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122">
        <v>1</v>
      </c>
      <c r="F198" s="122">
        <v>1</v>
      </c>
      <c r="G198" s="122">
        <v>1</v>
      </c>
      <c r="H198" s="122">
        <v>1</v>
      </c>
      <c r="I198" s="122">
        <v>1</v>
      </c>
      <c r="J198" s="122">
        <v>1</v>
      </c>
      <c r="K198" s="122">
        <v>1</v>
      </c>
      <c r="L198" s="122">
        <v>1</v>
      </c>
      <c r="M198" s="122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122">
        <v>0.65</v>
      </c>
      <c r="F199" s="122">
        <v>0.65</v>
      </c>
      <c r="G199" s="122">
        <v>0.65</v>
      </c>
      <c r="H199" s="122">
        <v>0.65</v>
      </c>
      <c r="I199" s="122">
        <v>0.65</v>
      </c>
      <c r="J199" s="122">
        <v>0.65</v>
      </c>
      <c r="K199" s="122">
        <v>0.65</v>
      </c>
      <c r="L199" s="122">
        <v>0.65</v>
      </c>
      <c r="M199" s="122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122">
        <v>20</v>
      </c>
      <c r="F200" s="122">
        <v>20</v>
      </c>
      <c r="G200" s="122">
        <v>20</v>
      </c>
      <c r="H200" s="122">
        <v>20</v>
      </c>
      <c r="I200" s="122">
        <v>20</v>
      </c>
      <c r="J200" s="122">
        <v>20</v>
      </c>
      <c r="K200" s="122">
        <v>20</v>
      </c>
      <c r="L200" s="122">
        <v>20</v>
      </c>
      <c r="M200" s="122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123">
        <v>212.90273464055423</v>
      </c>
      <c r="F201" s="123">
        <v>180.29847756137553</v>
      </c>
      <c r="G201" s="123">
        <v>140.44328080448224</v>
      </c>
      <c r="H201" s="123">
        <v>113.16977842477434</v>
      </c>
      <c r="I201" s="123">
        <v>107.31263157894738</v>
      </c>
      <c r="J201" s="123">
        <v>107.00631578947369</v>
      </c>
      <c r="K201" s="123">
        <v>105.98526315789475</v>
      </c>
      <c r="L201" s="123">
        <v>103.84105263157896</v>
      </c>
      <c r="M201" s="123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124">
        <v>0.2</v>
      </c>
      <c r="F202" s="124">
        <v>0.2</v>
      </c>
      <c r="G202" s="124">
        <v>0.2</v>
      </c>
      <c r="H202" s="124">
        <v>0.2</v>
      </c>
      <c r="I202" s="124">
        <v>0.2</v>
      </c>
      <c r="J202" s="124">
        <v>0.2</v>
      </c>
      <c r="K202" s="124">
        <v>0.2</v>
      </c>
      <c r="L202" s="124">
        <v>0.2</v>
      </c>
      <c r="M202" s="124">
        <v>0.2</v>
      </c>
    </row>
    <row r="203" spans="1:14" x14ac:dyDescent="0.25">
      <c r="A203" s="208"/>
      <c r="B203" s="225"/>
      <c r="C203" s="25" t="s">
        <v>114</v>
      </c>
      <c r="D203" s="1" t="s">
        <v>8</v>
      </c>
      <c r="E203" s="122"/>
      <c r="F203" s="122"/>
      <c r="G203" s="122"/>
      <c r="H203" s="122"/>
      <c r="I203" s="122"/>
      <c r="J203" s="122"/>
      <c r="K203" s="122"/>
      <c r="L203" s="122"/>
      <c r="M203" s="122"/>
    </row>
    <row r="204" spans="1:14" x14ac:dyDescent="0.25">
      <c r="A204" s="208"/>
      <c r="B204" s="225"/>
      <c r="C204" s="25" t="s">
        <v>115</v>
      </c>
      <c r="D204" s="1" t="s">
        <v>9</v>
      </c>
      <c r="E204" s="123">
        <v>6.3870820392166268</v>
      </c>
      <c r="F204" s="123">
        <v>5.4089543268412656</v>
      </c>
      <c r="G204" s="123">
        <v>4.2132984241344671</v>
      </c>
      <c r="H204" s="123">
        <v>3.3950933527432299</v>
      </c>
      <c r="I204" s="123">
        <v>2.0378947368421052</v>
      </c>
      <c r="J204" s="123">
        <v>2.0189473684210526</v>
      </c>
      <c r="K204" s="123">
        <v>1.9557894736842103</v>
      </c>
      <c r="L204" s="123">
        <v>1.8231578947368419</v>
      </c>
      <c r="M204" s="123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1.6357894736842103E-3</v>
      </c>
      <c r="L205" s="123">
        <v>1.5031578947368419E-3</v>
      </c>
      <c r="M205" s="123">
        <v>1.2378947368421051E-3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122">
        <v>0.96599999999999986</v>
      </c>
      <c r="F207" s="122">
        <v>0.96599999999999986</v>
      </c>
      <c r="G207" s="122">
        <v>0.96599999999999986</v>
      </c>
      <c r="H207" s="122">
        <v>0.96599999999999986</v>
      </c>
      <c r="I207" s="122">
        <v>0.96599999999999986</v>
      </c>
      <c r="J207" s="122">
        <v>0.96599999999999986</v>
      </c>
      <c r="K207" s="122">
        <v>0.99</v>
      </c>
      <c r="L207" s="122">
        <v>0.99</v>
      </c>
      <c r="M207" s="122">
        <v>0.99</v>
      </c>
    </row>
    <row r="208" spans="1:14" x14ac:dyDescent="0.25">
      <c r="A208" s="208"/>
      <c r="B208" s="225"/>
      <c r="C208" s="25" t="s">
        <v>26</v>
      </c>
      <c r="D208" s="1" t="s">
        <v>14</v>
      </c>
      <c r="E208" s="123">
        <v>1524.6</v>
      </c>
      <c r="F208" s="123">
        <v>1749.6</v>
      </c>
      <c r="G208" s="123">
        <v>2349.6</v>
      </c>
      <c r="H208" s="123">
        <v>3174.6</v>
      </c>
      <c r="I208" s="123">
        <v>4299.6000000000004</v>
      </c>
      <c r="J208" s="123">
        <v>14213</v>
      </c>
      <c r="K208" s="123">
        <v>21713</v>
      </c>
      <c r="L208" s="123">
        <v>37463</v>
      </c>
      <c r="M208" s="123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122">
        <v>40</v>
      </c>
      <c r="F209" s="122">
        <v>40</v>
      </c>
      <c r="G209" s="122">
        <v>40</v>
      </c>
      <c r="H209" s="122">
        <v>40</v>
      </c>
      <c r="I209" s="122">
        <v>40</v>
      </c>
      <c r="J209" s="122">
        <v>40</v>
      </c>
      <c r="K209" s="122">
        <v>40</v>
      </c>
      <c r="L209" s="122">
        <v>40</v>
      </c>
      <c r="M209" s="122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126">
        <v>0.546875</v>
      </c>
      <c r="F210" s="126">
        <v>0.546875</v>
      </c>
      <c r="G210" s="126">
        <v>0.54687499999999989</v>
      </c>
      <c r="H210" s="126">
        <v>0.546875</v>
      </c>
      <c r="I210" s="126">
        <v>0.546875</v>
      </c>
      <c r="J210" s="126">
        <v>0.546875</v>
      </c>
      <c r="K210" s="126">
        <v>0.546875</v>
      </c>
      <c r="L210" s="126">
        <v>0.546875</v>
      </c>
      <c r="M210" s="126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122">
        <v>0.64</v>
      </c>
      <c r="F211" s="122">
        <v>0.64</v>
      </c>
      <c r="G211" s="122">
        <v>0.64</v>
      </c>
      <c r="H211" s="122">
        <v>0.64</v>
      </c>
      <c r="I211" s="122">
        <v>0.64</v>
      </c>
      <c r="J211" s="122">
        <v>0.64</v>
      </c>
      <c r="K211" s="122">
        <v>0.64</v>
      </c>
      <c r="L211" s="122">
        <v>0.64</v>
      </c>
      <c r="M211" s="122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122">
        <v>20</v>
      </c>
      <c r="F212" s="122">
        <v>20</v>
      </c>
      <c r="G212" s="122">
        <v>20</v>
      </c>
      <c r="H212" s="122">
        <v>20</v>
      </c>
      <c r="I212" s="122">
        <v>20</v>
      </c>
      <c r="J212" s="122">
        <v>20</v>
      </c>
      <c r="K212" s="122">
        <v>20</v>
      </c>
      <c r="L212" s="122">
        <v>20</v>
      </c>
      <c r="M212" s="122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127">
        <v>935.56110395189</v>
      </c>
      <c r="F213" s="123">
        <v>910.85220299459979</v>
      </c>
      <c r="G213" s="123">
        <v>844.9618004418262</v>
      </c>
      <c r="H213" s="123">
        <v>754.36249693176228</v>
      </c>
      <c r="I213" s="123">
        <v>630.81799214531168</v>
      </c>
      <c r="J213" s="123">
        <v>538.57142857142856</v>
      </c>
      <c r="K213" s="123">
        <v>538.57142857142856</v>
      </c>
      <c r="L213" s="123">
        <v>538.57142857142856</v>
      </c>
      <c r="M213" s="123">
        <v>538.57142857142856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124">
        <v>0.35</v>
      </c>
      <c r="F214" s="124">
        <v>0.35</v>
      </c>
      <c r="G214" s="124">
        <v>0.35</v>
      </c>
      <c r="H214" s="124">
        <v>0.35</v>
      </c>
      <c r="I214" s="124">
        <v>0.35</v>
      </c>
      <c r="J214" s="124">
        <v>0.35</v>
      </c>
      <c r="K214" s="124">
        <v>0.35</v>
      </c>
      <c r="L214" s="124">
        <v>0.35</v>
      </c>
      <c r="M214" s="124">
        <v>0.35</v>
      </c>
    </row>
    <row r="215" spans="1:13" x14ac:dyDescent="0.25">
      <c r="A215" s="208"/>
      <c r="B215" s="225"/>
      <c r="C215" s="25" t="s">
        <v>133</v>
      </c>
      <c r="D215" s="1" t="s">
        <v>8</v>
      </c>
      <c r="E215" s="123">
        <v>56.686008836524309</v>
      </c>
      <c r="F215" s="123">
        <v>74.027687776141391</v>
      </c>
      <c r="G215" s="123">
        <v>120.27216494845361</v>
      </c>
      <c r="H215" s="123">
        <v>183.85832106038291</v>
      </c>
      <c r="I215" s="123">
        <v>270.56671575846832</v>
      </c>
      <c r="J215" s="123">
        <v>443.98350515463915</v>
      </c>
      <c r="K215" s="123">
        <v>617.40029455081003</v>
      </c>
      <c r="L215" s="123">
        <v>617.40029455081003</v>
      </c>
      <c r="M215" s="123">
        <v>617.40029455081003</v>
      </c>
    </row>
    <row r="216" spans="1:13" x14ac:dyDescent="0.25">
      <c r="A216" s="208"/>
      <c r="B216" s="225"/>
      <c r="C216" s="25" t="s">
        <v>134</v>
      </c>
      <c r="D216" s="1" t="s">
        <v>9</v>
      </c>
      <c r="E216" s="122"/>
      <c r="F216" s="122"/>
      <c r="G216" s="122"/>
      <c r="H216" s="122"/>
      <c r="I216" s="122"/>
      <c r="J216" s="122"/>
      <c r="K216" s="122"/>
      <c r="L216" s="122"/>
      <c r="M216" s="122"/>
    </row>
    <row r="217" spans="1:13" x14ac:dyDescent="0.25">
      <c r="A217" s="208"/>
      <c r="B217" s="225"/>
      <c r="C217" s="25" t="s">
        <v>135</v>
      </c>
      <c r="D217" s="1" t="s">
        <v>10</v>
      </c>
      <c r="E217" s="122"/>
      <c r="F217" s="122"/>
      <c r="G217" s="122"/>
      <c r="H217" s="122"/>
      <c r="I217" s="122"/>
      <c r="J217" s="122"/>
      <c r="K217" s="122"/>
      <c r="L217" s="122"/>
      <c r="M217" s="122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122"/>
      <c r="F218" s="122"/>
      <c r="G218" s="122"/>
      <c r="H218" s="122"/>
      <c r="I218" s="122"/>
      <c r="J218" s="122"/>
      <c r="K218" s="122"/>
      <c r="L218" s="122"/>
      <c r="M218" s="122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126">
        <v>1</v>
      </c>
      <c r="F219" s="126">
        <v>1</v>
      </c>
      <c r="G219" s="126">
        <v>1</v>
      </c>
      <c r="H219" s="126">
        <v>1</v>
      </c>
      <c r="I219" s="126">
        <v>1</v>
      </c>
      <c r="J219" s="126">
        <v>1</v>
      </c>
      <c r="K219" s="126">
        <v>1</v>
      </c>
      <c r="L219" s="126">
        <v>1</v>
      </c>
      <c r="M219" s="126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122">
        <v>0.8</v>
      </c>
      <c r="F220" s="122">
        <v>0.8</v>
      </c>
      <c r="G220" s="122">
        <v>0.8</v>
      </c>
      <c r="H220" s="122">
        <v>0.8</v>
      </c>
      <c r="I220" s="122">
        <v>0.8</v>
      </c>
      <c r="J220" s="122">
        <v>0.8</v>
      </c>
      <c r="K220" s="122">
        <v>0.8</v>
      </c>
      <c r="L220" s="122">
        <v>0.8</v>
      </c>
      <c r="M220" s="122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122">
        <v>20</v>
      </c>
      <c r="F221" s="122">
        <v>20</v>
      </c>
      <c r="G221" s="122">
        <v>20</v>
      </c>
      <c r="H221" s="122">
        <v>20</v>
      </c>
      <c r="I221" s="122">
        <v>20</v>
      </c>
      <c r="J221" s="122">
        <v>20</v>
      </c>
      <c r="K221" s="122">
        <v>20</v>
      </c>
      <c r="L221" s="122">
        <v>20</v>
      </c>
      <c r="M221" s="122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123">
        <v>865.6981523557846</v>
      </c>
      <c r="F222" s="123">
        <v>618.18184751144668</v>
      </c>
      <c r="G222" s="123">
        <v>482.31953407260886</v>
      </c>
      <c r="H222" s="123">
        <v>482.31953407260886</v>
      </c>
      <c r="I222" s="123">
        <v>482.31953407260886</v>
      </c>
      <c r="J222" s="123">
        <v>482.31953407260886</v>
      </c>
      <c r="K222" s="123">
        <v>1136.3124641115969</v>
      </c>
      <c r="L222" s="123">
        <v>988.42533284709032</v>
      </c>
      <c r="M222" s="123">
        <v>868.76381718516643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124">
        <v>0.35</v>
      </c>
      <c r="F223" s="124">
        <v>0.35</v>
      </c>
      <c r="G223" s="124">
        <v>0.35</v>
      </c>
      <c r="H223" s="124">
        <v>0.35</v>
      </c>
      <c r="I223" s="124">
        <v>0.35</v>
      </c>
      <c r="J223" s="124">
        <v>0.35</v>
      </c>
      <c r="K223" s="124">
        <v>0.35</v>
      </c>
      <c r="L223" s="124">
        <v>0.35</v>
      </c>
      <c r="M223" s="124">
        <v>0.35</v>
      </c>
    </row>
    <row r="224" spans="1:13" x14ac:dyDescent="0.25">
      <c r="A224" s="227"/>
      <c r="B224" s="230"/>
      <c r="C224" s="25" t="s">
        <v>117</v>
      </c>
      <c r="D224" s="1" t="s">
        <v>8</v>
      </c>
      <c r="E224" s="122"/>
      <c r="F224" s="122"/>
      <c r="G224" s="122"/>
      <c r="H224" s="122"/>
      <c r="I224" s="122"/>
      <c r="J224" s="122"/>
      <c r="K224" s="122"/>
      <c r="L224" s="122"/>
      <c r="M224" s="122"/>
    </row>
    <row r="225" spans="1:13" x14ac:dyDescent="0.25">
      <c r="A225" s="227"/>
      <c r="B225" s="230"/>
      <c r="C225" s="25" t="s">
        <v>118</v>
      </c>
      <c r="D225" s="1" t="s">
        <v>9</v>
      </c>
      <c r="E225" s="122"/>
      <c r="F225" s="122"/>
      <c r="G225" s="122"/>
      <c r="H225" s="122"/>
      <c r="I225" s="122"/>
      <c r="J225" s="122"/>
      <c r="K225" s="122"/>
      <c r="L225" s="122"/>
      <c r="M225" s="122"/>
    </row>
    <row r="226" spans="1:13" x14ac:dyDescent="0.25">
      <c r="A226" s="227"/>
      <c r="B226" s="230"/>
      <c r="C226" s="25" t="s">
        <v>119</v>
      </c>
      <c r="D226" s="1" t="s">
        <v>10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2.1199999999999999E-3</v>
      </c>
      <c r="L226" s="123">
        <v>2.1199999999999999E-3</v>
      </c>
      <c r="M226" s="123">
        <v>2.1199999999999999E-3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123">
        <v>0</v>
      </c>
      <c r="F227" s="123">
        <v>0</v>
      </c>
      <c r="G227" s="123">
        <v>0</v>
      </c>
      <c r="H227" s="123">
        <v>0</v>
      </c>
      <c r="I227" s="123">
        <v>0</v>
      </c>
      <c r="J227" s="123">
        <v>0</v>
      </c>
      <c r="K227" s="123">
        <v>0</v>
      </c>
      <c r="L227" s="123">
        <v>0</v>
      </c>
      <c r="M227" s="123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123">
        <v>0</v>
      </c>
      <c r="F228" s="123">
        <v>0</v>
      </c>
      <c r="G228" s="123">
        <v>0</v>
      </c>
      <c r="H228" s="123">
        <v>0</v>
      </c>
      <c r="I228" s="123">
        <v>0</v>
      </c>
      <c r="J228" s="123">
        <v>0</v>
      </c>
      <c r="K228" s="123">
        <v>0</v>
      </c>
      <c r="L228" s="123">
        <v>0</v>
      </c>
      <c r="M228" s="123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122">
        <v>3.2399999999999998</v>
      </c>
      <c r="F229" s="122">
        <v>3.2399999999999998</v>
      </c>
      <c r="G229" s="122">
        <v>3.2399999999999998</v>
      </c>
      <c r="H229" s="122">
        <v>3.2399999999999998</v>
      </c>
      <c r="I229" s="122">
        <v>3.2399999999999998</v>
      </c>
      <c r="J229" s="122">
        <v>3.2399999999999998</v>
      </c>
      <c r="K229" s="122">
        <v>3.2399999999999998</v>
      </c>
      <c r="L229" s="122">
        <v>3.2399999999999998</v>
      </c>
      <c r="M229" s="122">
        <v>3.2399999999999998</v>
      </c>
    </row>
    <row r="230" spans="1:13" x14ac:dyDescent="0.25">
      <c r="A230" s="227"/>
      <c r="B230" s="230"/>
      <c r="C230" s="25" t="s">
        <v>33</v>
      </c>
      <c r="D230" s="2" t="s">
        <v>14</v>
      </c>
      <c r="E230" s="122"/>
      <c r="F230" s="122"/>
      <c r="G230" s="122"/>
      <c r="H230" s="122"/>
      <c r="I230" s="122"/>
      <c r="J230" s="122"/>
      <c r="K230" s="122"/>
      <c r="L230" s="122"/>
      <c r="M230" s="122"/>
    </row>
    <row r="231" spans="1:13" x14ac:dyDescent="0.25">
      <c r="A231" s="227"/>
      <c r="B231" s="230"/>
      <c r="C231" s="25" t="s">
        <v>34</v>
      </c>
      <c r="D231" s="2" t="s">
        <v>4</v>
      </c>
      <c r="E231" s="122"/>
      <c r="F231" s="122"/>
      <c r="G231" s="122"/>
      <c r="H231" s="122"/>
      <c r="I231" s="122"/>
      <c r="J231" s="122"/>
      <c r="K231" s="122"/>
      <c r="L231" s="122"/>
      <c r="M231" s="122"/>
    </row>
    <row r="232" spans="1:13" x14ac:dyDescent="0.25">
      <c r="A232" s="227"/>
      <c r="B232" s="230"/>
      <c r="C232" s="25" t="s">
        <v>129</v>
      </c>
      <c r="D232" s="1" t="s">
        <v>19</v>
      </c>
      <c r="E232" s="126">
        <v>0.3125</v>
      </c>
      <c r="F232" s="126">
        <v>0.3125</v>
      </c>
      <c r="G232" s="126">
        <v>0.3125</v>
      </c>
      <c r="H232" s="126">
        <v>0.3125</v>
      </c>
      <c r="I232" s="126">
        <v>0.3125</v>
      </c>
      <c r="J232" s="126">
        <v>0.3125</v>
      </c>
      <c r="K232" s="126">
        <v>0.3125</v>
      </c>
      <c r="L232" s="126">
        <v>0.3125</v>
      </c>
      <c r="M232" s="126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122">
        <v>0.64</v>
      </c>
      <c r="F233" s="122">
        <v>0.64</v>
      </c>
      <c r="G233" s="122">
        <v>0.64</v>
      </c>
      <c r="H233" s="122">
        <v>0.64</v>
      </c>
      <c r="I233" s="122">
        <v>0.64</v>
      </c>
      <c r="J233" s="122">
        <v>0.64</v>
      </c>
      <c r="K233" s="122">
        <v>0.64</v>
      </c>
      <c r="L233" s="122">
        <v>0.64</v>
      </c>
      <c r="M233" s="122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122">
        <v>20</v>
      </c>
      <c r="F234" s="122">
        <v>20</v>
      </c>
      <c r="G234" s="122">
        <v>20</v>
      </c>
      <c r="H234" s="122">
        <v>20</v>
      </c>
      <c r="I234" s="122">
        <v>20</v>
      </c>
      <c r="J234" s="122">
        <v>20</v>
      </c>
      <c r="K234" s="122">
        <v>20</v>
      </c>
      <c r="L234" s="122">
        <v>20</v>
      </c>
      <c r="M234" s="122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127">
        <v>946.15063293358571</v>
      </c>
      <c r="F235" s="127">
        <v>932.03126095799144</v>
      </c>
      <c r="G235" s="127">
        <v>894.37960235640639</v>
      </c>
      <c r="H235" s="127">
        <v>842.60857177922708</v>
      </c>
      <c r="I235" s="127">
        <v>772.01171190125524</v>
      </c>
      <c r="J235" s="127">
        <v>630.81799214531168</v>
      </c>
      <c r="K235" s="127">
        <v>538.57142857142856</v>
      </c>
      <c r="L235" s="127">
        <v>538.57142857142856</v>
      </c>
      <c r="M235" s="127">
        <v>538.57142857142856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124">
        <v>0.35</v>
      </c>
      <c r="F236" s="124">
        <v>0.35</v>
      </c>
      <c r="G236" s="124">
        <v>0.35</v>
      </c>
      <c r="H236" s="124">
        <v>0.35</v>
      </c>
      <c r="I236" s="124">
        <v>0.35</v>
      </c>
      <c r="J236" s="124">
        <v>0.35</v>
      </c>
      <c r="K236" s="124">
        <v>0.35</v>
      </c>
      <c r="L236" s="124">
        <v>0.35</v>
      </c>
      <c r="M236" s="124">
        <v>0.35</v>
      </c>
    </row>
    <row r="237" spans="1:13" x14ac:dyDescent="0.25">
      <c r="A237" s="227"/>
      <c r="B237" s="230"/>
      <c r="C237" s="25" t="s">
        <v>133</v>
      </c>
      <c r="D237" s="1" t="s">
        <v>8</v>
      </c>
      <c r="E237" s="123">
        <v>56.686008836524309</v>
      </c>
      <c r="F237" s="123">
        <v>74.027687776141391</v>
      </c>
      <c r="G237" s="123">
        <v>120.27216494845361</v>
      </c>
      <c r="H237" s="123">
        <v>183.85832106038291</v>
      </c>
      <c r="I237" s="123">
        <v>270.56671575846832</v>
      </c>
      <c r="J237" s="123">
        <v>443.98350515463915</v>
      </c>
      <c r="K237" s="123">
        <v>617.40029455081003</v>
      </c>
      <c r="L237" s="123">
        <v>617.40029455081003</v>
      </c>
      <c r="M237" s="123">
        <v>617.40029455081003</v>
      </c>
    </row>
    <row r="238" spans="1:13" x14ac:dyDescent="0.25">
      <c r="A238" s="227"/>
      <c r="B238" s="230"/>
      <c r="C238" s="25" t="s">
        <v>134</v>
      </c>
      <c r="D238" s="1" t="s">
        <v>9</v>
      </c>
      <c r="E238" s="122"/>
      <c r="F238" s="122"/>
      <c r="G238" s="122"/>
      <c r="H238" s="122"/>
      <c r="I238" s="122"/>
      <c r="J238" s="122"/>
      <c r="K238" s="122"/>
      <c r="L238" s="122"/>
      <c r="M238" s="122"/>
    </row>
    <row r="239" spans="1:13" x14ac:dyDescent="0.25">
      <c r="A239" s="227"/>
      <c r="B239" s="230"/>
      <c r="C239" s="25" t="s">
        <v>135</v>
      </c>
      <c r="D239" s="1" t="s">
        <v>10</v>
      </c>
      <c r="E239" s="122"/>
      <c r="F239" s="122"/>
      <c r="G239" s="122"/>
      <c r="H239" s="122"/>
      <c r="I239" s="122"/>
      <c r="J239" s="122"/>
      <c r="K239" s="122"/>
      <c r="L239" s="122"/>
      <c r="M239" s="122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122"/>
      <c r="F240" s="122"/>
      <c r="G240" s="122"/>
      <c r="H240" s="122"/>
      <c r="I240" s="122"/>
      <c r="J240" s="122"/>
      <c r="K240" s="122"/>
      <c r="L240" s="122"/>
      <c r="M240" s="122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126">
        <v>1</v>
      </c>
      <c r="F241" s="126">
        <v>1</v>
      </c>
      <c r="G241" s="126">
        <v>1</v>
      </c>
      <c r="H241" s="126">
        <v>1</v>
      </c>
      <c r="I241" s="126">
        <v>1</v>
      </c>
      <c r="J241" s="126">
        <v>1</v>
      </c>
      <c r="K241" s="126">
        <v>1</v>
      </c>
      <c r="L241" s="126">
        <v>1</v>
      </c>
      <c r="M241" s="126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122">
        <v>0.65</v>
      </c>
      <c r="F242" s="122">
        <v>0.65</v>
      </c>
      <c r="G242" s="122">
        <v>0.65</v>
      </c>
      <c r="H242" s="122">
        <v>0.65</v>
      </c>
      <c r="I242" s="122">
        <v>0.65</v>
      </c>
      <c r="J242" s="122">
        <v>0.65</v>
      </c>
      <c r="K242" s="122">
        <v>0.65</v>
      </c>
      <c r="L242" s="122">
        <v>0.65</v>
      </c>
      <c r="M242" s="122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122">
        <v>20</v>
      </c>
      <c r="F243" s="122">
        <v>20</v>
      </c>
      <c r="G243" s="122">
        <v>20</v>
      </c>
      <c r="H243" s="122">
        <v>20</v>
      </c>
      <c r="I243" s="122">
        <v>20</v>
      </c>
      <c r="J243" s="122">
        <v>20</v>
      </c>
      <c r="K243" s="122">
        <v>20</v>
      </c>
      <c r="L243" s="122">
        <v>20</v>
      </c>
      <c r="M243" s="122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123">
        <v>865.6981523557846</v>
      </c>
      <c r="F244" s="123">
        <v>618.18184751144668</v>
      </c>
      <c r="G244" s="123">
        <v>482.31953407260886</v>
      </c>
      <c r="H244" s="123">
        <v>482.31953407260886</v>
      </c>
      <c r="I244" s="123">
        <v>482.31953407260886</v>
      </c>
      <c r="J244" s="123">
        <v>482.31953407260886</v>
      </c>
      <c r="K244" s="123">
        <v>1136.3124641115969</v>
      </c>
      <c r="L244" s="123">
        <v>988.42533284709032</v>
      </c>
      <c r="M244" s="123">
        <v>868.76381718516643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124">
        <v>0.35</v>
      </c>
      <c r="F245" s="124">
        <v>0.35</v>
      </c>
      <c r="G245" s="124">
        <v>0.35</v>
      </c>
      <c r="H245" s="124">
        <v>0.35</v>
      </c>
      <c r="I245" s="124">
        <v>0.35</v>
      </c>
      <c r="J245" s="124">
        <v>0.35</v>
      </c>
      <c r="K245" s="124">
        <v>0.35</v>
      </c>
      <c r="L245" s="124">
        <v>0.35</v>
      </c>
      <c r="M245" s="124">
        <v>0.35</v>
      </c>
    </row>
    <row r="246" spans="1:13" x14ac:dyDescent="0.25">
      <c r="A246" s="227"/>
      <c r="B246" s="230"/>
      <c r="C246" s="25" t="s">
        <v>117</v>
      </c>
      <c r="D246" s="1" t="s">
        <v>8</v>
      </c>
      <c r="E246" s="122"/>
      <c r="F246" s="122"/>
      <c r="G246" s="122"/>
      <c r="H246" s="122"/>
      <c r="I246" s="122"/>
      <c r="J246" s="122"/>
      <c r="K246" s="122"/>
      <c r="L246" s="122"/>
      <c r="M246" s="122"/>
    </row>
    <row r="247" spans="1:13" x14ac:dyDescent="0.25">
      <c r="A247" s="227"/>
      <c r="B247" s="230"/>
      <c r="C247" s="25" t="s">
        <v>118</v>
      </c>
      <c r="D247" s="1" t="s">
        <v>9</v>
      </c>
      <c r="E247" s="122"/>
      <c r="F247" s="122"/>
      <c r="G247" s="122"/>
      <c r="H247" s="122"/>
      <c r="I247" s="122"/>
      <c r="J247" s="122"/>
      <c r="K247" s="122"/>
      <c r="L247" s="122"/>
      <c r="M247" s="122"/>
    </row>
    <row r="248" spans="1:13" x14ac:dyDescent="0.25">
      <c r="A248" s="227"/>
      <c r="B248" s="230"/>
      <c r="C248" s="25" t="s">
        <v>119</v>
      </c>
      <c r="D248" s="1" t="s">
        <v>10</v>
      </c>
      <c r="E248" s="123">
        <v>0</v>
      </c>
      <c r="F248" s="123">
        <v>0</v>
      </c>
      <c r="G248" s="123">
        <v>0</v>
      </c>
      <c r="H248" s="123">
        <v>0</v>
      </c>
      <c r="I248" s="123">
        <v>0</v>
      </c>
      <c r="J248" s="123">
        <v>0</v>
      </c>
      <c r="K248" s="123">
        <v>2.1199999999999999E-3</v>
      </c>
      <c r="L248" s="123">
        <v>2.1199999999999999E-3</v>
      </c>
      <c r="M248" s="123">
        <v>2.1199999999999999E-3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122">
        <v>3.2399999999999998</v>
      </c>
      <c r="F251" s="122">
        <v>3.2399999999999998</v>
      </c>
      <c r="G251" s="122">
        <v>3.2399999999999998</v>
      </c>
      <c r="H251" s="122">
        <v>3.2399999999999998</v>
      </c>
      <c r="I251" s="122">
        <v>3.2399999999999998</v>
      </c>
      <c r="J251" s="122">
        <v>3.2399999999999998</v>
      </c>
      <c r="K251" s="122">
        <v>3.2399999999999998</v>
      </c>
      <c r="L251" s="122">
        <v>3.2399999999999998</v>
      </c>
      <c r="M251" s="122">
        <v>3.2399999999999998</v>
      </c>
    </row>
    <row r="252" spans="1:13" x14ac:dyDescent="0.25">
      <c r="A252" s="227"/>
      <c r="B252" s="230"/>
      <c r="C252" s="25" t="s">
        <v>33</v>
      </c>
      <c r="D252" s="2" t="s">
        <v>14</v>
      </c>
      <c r="E252" s="122"/>
      <c r="F252" s="122"/>
      <c r="G252" s="122"/>
      <c r="H252" s="122"/>
      <c r="I252" s="122"/>
      <c r="J252" s="122"/>
      <c r="K252" s="122"/>
      <c r="L252" s="122"/>
      <c r="M252" s="122"/>
    </row>
    <row r="253" spans="1:13" x14ac:dyDescent="0.25">
      <c r="A253" s="227"/>
      <c r="B253" s="230"/>
      <c r="C253" s="25" t="s">
        <v>34</v>
      </c>
      <c r="D253" s="2" t="s">
        <v>4</v>
      </c>
      <c r="E253" s="122"/>
      <c r="F253" s="122"/>
      <c r="G253" s="122"/>
      <c r="H253" s="122"/>
      <c r="I253" s="122"/>
      <c r="J253" s="122"/>
      <c r="K253" s="122"/>
      <c r="L253" s="122"/>
      <c r="M253" s="122"/>
    </row>
    <row r="254" spans="1:13" x14ac:dyDescent="0.25">
      <c r="A254" s="227"/>
      <c r="B254" s="230"/>
      <c r="C254" s="25" t="s">
        <v>129</v>
      </c>
      <c r="D254" s="1" t="s">
        <v>19</v>
      </c>
      <c r="E254" s="126">
        <v>0.546875</v>
      </c>
      <c r="F254" s="126">
        <v>0.546875</v>
      </c>
      <c r="G254" s="126">
        <v>0.54687499999999989</v>
      </c>
      <c r="H254" s="126">
        <v>0.546875</v>
      </c>
      <c r="I254" s="126">
        <v>0.546875</v>
      </c>
      <c r="J254" s="126">
        <v>0.546875</v>
      </c>
      <c r="K254" s="126">
        <v>0.546875</v>
      </c>
      <c r="L254" s="126">
        <v>0.546875</v>
      </c>
      <c r="M254" s="126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122">
        <v>0.64</v>
      </c>
      <c r="F255" s="122">
        <v>0.64</v>
      </c>
      <c r="G255" s="122">
        <v>0.64</v>
      </c>
      <c r="H255" s="122">
        <v>0.64</v>
      </c>
      <c r="I255" s="122">
        <v>0.64</v>
      </c>
      <c r="J255" s="122">
        <v>0.64</v>
      </c>
      <c r="K255" s="122">
        <v>0.64</v>
      </c>
      <c r="L255" s="122">
        <v>0.64</v>
      </c>
      <c r="M255" s="122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122">
        <v>20</v>
      </c>
      <c r="F256" s="122">
        <v>20</v>
      </c>
      <c r="G256" s="122">
        <v>20</v>
      </c>
      <c r="H256" s="122">
        <v>20</v>
      </c>
      <c r="I256" s="122">
        <v>20</v>
      </c>
      <c r="J256" s="122">
        <v>20</v>
      </c>
      <c r="K256" s="122">
        <v>20</v>
      </c>
      <c r="L256" s="122">
        <v>20</v>
      </c>
      <c r="M256" s="122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127">
        <v>935.56110395189</v>
      </c>
      <c r="F257" s="127">
        <v>910.85220299459979</v>
      </c>
      <c r="G257" s="127">
        <v>844.9618004418262</v>
      </c>
      <c r="H257" s="127">
        <v>754.36249693176228</v>
      </c>
      <c r="I257" s="127">
        <v>630.81799214531168</v>
      </c>
      <c r="J257" s="127">
        <v>538.57142857142856</v>
      </c>
      <c r="K257" s="127">
        <v>538.57142857142856</v>
      </c>
      <c r="L257" s="127">
        <v>538.57142857142856</v>
      </c>
      <c r="M257" s="127">
        <v>538.57142857142856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124">
        <v>0.35</v>
      </c>
      <c r="F258" s="124">
        <v>0.35</v>
      </c>
      <c r="G258" s="124">
        <v>0.35</v>
      </c>
      <c r="H258" s="124">
        <v>0.35</v>
      </c>
      <c r="I258" s="124">
        <v>0.35</v>
      </c>
      <c r="J258" s="124">
        <v>0.35</v>
      </c>
      <c r="K258" s="124">
        <v>0.35</v>
      </c>
      <c r="L258" s="124">
        <v>0.35</v>
      </c>
      <c r="M258" s="124">
        <v>0.35</v>
      </c>
    </row>
    <row r="259" spans="1:13" x14ac:dyDescent="0.25">
      <c r="A259" s="227"/>
      <c r="B259" s="230"/>
      <c r="C259" s="25" t="s">
        <v>133</v>
      </c>
      <c r="D259" s="1" t="s">
        <v>8</v>
      </c>
      <c r="E259" s="123">
        <v>56.686008836524309</v>
      </c>
      <c r="F259" s="123">
        <v>74.027687776141391</v>
      </c>
      <c r="G259" s="123">
        <v>120.27216494845361</v>
      </c>
      <c r="H259" s="123">
        <v>183.85832106038291</v>
      </c>
      <c r="I259" s="123">
        <v>270.56671575846832</v>
      </c>
      <c r="J259" s="123">
        <v>443.98350515463915</v>
      </c>
      <c r="K259" s="123">
        <v>617.40029455081003</v>
      </c>
      <c r="L259" s="123">
        <v>617.40029455081003</v>
      </c>
      <c r="M259" s="123">
        <v>617.40029455081003</v>
      </c>
    </row>
    <row r="260" spans="1:13" x14ac:dyDescent="0.25">
      <c r="A260" s="227"/>
      <c r="B260" s="230"/>
      <c r="C260" s="25" t="s">
        <v>134</v>
      </c>
      <c r="D260" s="1" t="s">
        <v>9</v>
      </c>
      <c r="E260" s="122"/>
      <c r="F260" s="122"/>
      <c r="G260" s="122"/>
      <c r="H260" s="122"/>
      <c r="I260" s="122"/>
      <c r="J260" s="122"/>
      <c r="K260" s="122"/>
      <c r="L260" s="122"/>
      <c r="M260" s="122"/>
    </row>
    <row r="261" spans="1:13" x14ac:dyDescent="0.25">
      <c r="A261" s="227"/>
      <c r="B261" s="230"/>
      <c r="C261" s="25" t="s">
        <v>135</v>
      </c>
      <c r="D261" s="1" t="s">
        <v>10</v>
      </c>
      <c r="E261" s="122"/>
      <c r="F261" s="122"/>
      <c r="G261" s="122"/>
      <c r="H261" s="122"/>
      <c r="I261" s="122"/>
      <c r="J261" s="122"/>
      <c r="K261" s="122"/>
      <c r="L261" s="122"/>
      <c r="M261" s="122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122"/>
      <c r="F262" s="122"/>
      <c r="G262" s="122"/>
      <c r="H262" s="122"/>
      <c r="I262" s="122"/>
      <c r="J262" s="122"/>
      <c r="K262" s="122"/>
      <c r="L262" s="122"/>
      <c r="M262" s="122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122">
        <v>40</v>
      </c>
      <c r="F263" s="122">
        <v>40</v>
      </c>
      <c r="G263" s="122">
        <v>40</v>
      </c>
      <c r="H263" s="122">
        <v>40</v>
      </c>
      <c r="I263" s="122">
        <v>40</v>
      </c>
      <c r="J263" s="122">
        <v>40</v>
      </c>
      <c r="K263" s="122">
        <v>40</v>
      </c>
      <c r="L263" s="122">
        <v>40</v>
      </c>
      <c r="M263" s="122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123">
        <v>300</v>
      </c>
      <c r="F264" s="123">
        <v>183.33333333333334</v>
      </c>
      <c r="G264" s="123">
        <v>100</v>
      </c>
      <c r="H264" s="123">
        <v>76</v>
      </c>
      <c r="I264" s="123">
        <v>60</v>
      </c>
      <c r="J264" s="123">
        <v>42.857142857142854</v>
      </c>
      <c r="K264" s="123">
        <v>27.058823529411764</v>
      </c>
      <c r="L264" s="123">
        <v>18.421052631578949</v>
      </c>
      <c r="M264" s="123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124">
        <v>0.35</v>
      </c>
      <c r="F265" s="124">
        <v>0.35</v>
      </c>
      <c r="G265" s="124">
        <v>0.35</v>
      </c>
      <c r="H265" s="124">
        <v>0.35</v>
      </c>
      <c r="I265" s="124">
        <v>0.35</v>
      </c>
      <c r="J265" s="124">
        <v>0.35</v>
      </c>
      <c r="K265" s="124">
        <v>0.35</v>
      </c>
      <c r="L265" s="124">
        <v>0.35</v>
      </c>
      <c r="M265" s="124">
        <v>0.35</v>
      </c>
    </row>
    <row r="266" spans="1:13" x14ac:dyDescent="0.25">
      <c r="A266" s="208"/>
      <c r="B266" s="225"/>
      <c r="C266" s="25" t="s">
        <v>106</v>
      </c>
      <c r="D266" s="1" t="s">
        <v>8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23">
        <v>0</v>
      </c>
      <c r="M266" s="123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122"/>
      <c r="F267" s="122"/>
      <c r="G267" s="122"/>
      <c r="H267" s="122"/>
      <c r="I267" s="122"/>
      <c r="J267" s="122"/>
      <c r="K267" s="122"/>
      <c r="L267" s="122"/>
      <c r="M267" s="122"/>
    </row>
    <row r="268" spans="1:13" x14ac:dyDescent="0.25">
      <c r="A268" s="208"/>
      <c r="B268" s="225"/>
      <c r="C268" s="25" t="s">
        <v>108</v>
      </c>
      <c r="D268" s="1" t="s">
        <v>10</v>
      </c>
      <c r="E268" s="122"/>
      <c r="F268" s="122"/>
      <c r="G268" s="122"/>
      <c r="H268" s="122"/>
      <c r="I268" s="122"/>
      <c r="J268" s="122"/>
      <c r="K268" s="122"/>
      <c r="L268" s="122"/>
      <c r="M268" s="122"/>
    </row>
    <row r="269" spans="1:13" x14ac:dyDescent="0.25">
      <c r="A269" s="208"/>
      <c r="B269" s="225"/>
      <c r="C269" s="26" t="s">
        <v>11</v>
      </c>
      <c r="D269" s="27" t="s">
        <v>10</v>
      </c>
      <c r="E269" s="122"/>
      <c r="F269" s="122"/>
      <c r="G269" s="122"/>
      <c r="H269" s="122"/>
      <c r="I269" s="122"/>
      <c r="J269" s="122"/>
      <c r="K269" s="122"/>
      <c r="L269" s="122"/>
      <c r="M269" s="122"/>
    </row>
    <row r="270" spans="1:13" x14ac:dyDescent="0.25">
      <c r="A270" s="208"/>
      <c r="B270" s="225"/>
      <c r="C270" s="25" t="s">
        <v>12</v>
      </c>
      <c r="D270" s="1" t="s">
        <v>7</v>
      </c>
      <c r="E270" s="124">
        <v>1</v>
      </c>
      <c r="F270" s="124">
        <v>1</v>
      </c>
      <c r="G270" s="124">
        <v>1</v>
      </c>
      <c r="H270" s="124">
        <v>1</v>
      </c>
      <c r="I270" s="124">
        <v>1</v>
      </c>
      <c r="J270" s="124">
        <v>1</v>
      </c>
      <c r="K270" s="124">
        <v>1</v>
      </c>
      <c r="L270" s="124">
        <v>1</v>
      </c>
      <c r="M270" s="124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123">
        <v>20161.05</v>
      </c>
      <c r="F271" s="123">
        <v>20736.3</v>
      </c>
      <c r="G271" s="123">
        <v>22270.3</v>
      </c>
      <c r="H271" s="123">
        <v>24379.55</v>
      </c>
      <c r="I271" s="123">
        <v>27255.8</v>
      </c>
      <c r="J271" s="123">
        <v>33008.300000000003</v>
      </c>
      <c r="K271" s="123">
        <v>52183.3</v>
      </c>
      <c r="L271" s="123">
        <v>98768.8</v>
      </c>
      <c r="M271" s="123">
        <v>190105.68460000001</v>
      </c>
    </row>
    <row r="272" spans="1:13" x14ac:dyDescent="0.25">
      <c r="A272" s="208"/>
      <c r="B272" s="225"/>
      <c r="C272" s="25" t="s">
        <v>15</v>
      </c>
      <c r="D272" s="1" t="s">
        <v>4</v>
      </c>
      <c r="E272" s="122">
        <v>40</v>
      </c>
      <c r="F272" s="122">
        <v>40</v>
      </c>
      <c r="G272" s="122">
        <v>40</v>
      </c>
      <c r="H272" s="122">
        <v>40</v>
      </c>
      <c r="I272" s="122">
        <v>40</v>
      </c>
      <c r="J272" s="122">
        <v>40</v>
      </c>
      <c r="K272" s="122">
        <v>40</v>
      </c>
      <c r="L272" s="122">
        <v>40</v>
      </c>
      <c r="M272" s="122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122">
        <v>40</v>
      </c>
      <c r="F273" s="122">
        <v>40</v>
      </c>
      <c r="G273" s="122">
        <v>40</v>
      </c>
      <c r="H273" s="122">
        <v>40</v>
      </c>
      <c r="I273" s="122">
        <v>40</v>
      </c>
      <c r="J273" s="122">
        <v>40</v>
      </c>
      <c r="K273" s="122">
        <v>40</v>
      </c>
      <c r="L273" s="122">
        <v>40</v>
      </c>
      <c r="M273" s="122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122"/>
      <c r="F274" s="122"/>
      <c r="G274" s="122"/>
      <c r="H274" s="122"/>
      <c r="I274" s="122"/>
      <c r="J274" s="122"/>
      <c r="K274" s="122"/>
      <c r="L274" s="122"/>
      <c r="M274" s="122"/>
    </row>
    <row r="275" spans="1:13" x14ac:dyDescent="0.25">
      <c r="A275" s="208"/>
      <c r="B275" s="225"/>
      <c r="C275" s="25" t="s">
        <v>176</v>
      </c>
      <c r="D275" s="1" t="s">
        <v>19</v>
      </c>
      <c r="E275" s="124">
        <v>0.35</v>
      </c>
      <c r="F275" s="124">
        <v>0.35</v>
      </c>
      <c r="G275" s="124">
        <v>0.35</v>
      </c>
      <c r="H275" s="124">
        <v>0.35</v>
      </c>
      <c r="I275" s="124">
        <v>0.35</v>
      </c>
      <c r="J275" s="124">
        <v>0.35</v>
      </c>
      <c r="K275" s="124">
        <v>0.35</v>
      </c>
      <c r="L275" s="124">
        <v>0.35</v>
      </c>
      <c r="M275" s="124">
        <v>0.35</v>
      </c>
    </row>
    <row r="276" spans="1:13" x14ac:dyDescent="0.25">
      <c r="A276" s="208"/>
      <c r="B276" s="225"/>
      <c r="C276" s="25" t="s">
        <v>106</v>
      </c>
      <c r="D276" s="1" t="s">
        <v>8</v>
      </c>
      <c r="E276" s="123">
        <v>0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123">
        <v>0</v>
      </c>
      <c r="L276" s="123">
        <v>0</v>
      </c>
      <c r="M276" s="123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122"/>
      <c r="F277" s="122"/>
      <c r="G277" s="122"/>
      <c r="H277" s="122"/>
      <c r="I277" s="122"/>
      <c r="J277" s="122"/>
      <c r="K277" s="122"/>
      <c r="L277" s="122"/>
      <c r="M277" s="122"/>
    </row>
    <row r="278" spans="1:13" x14ac:dyDescent="0.25">
      <c r="A278" s="208"/>
      <c r="B278" s="225"/>
      <c r="C278" s="25" t="s">
        <v>108</v>
      </c>
      <c r="D278" s="1" t="s">
        <v>10</v>
      </c>
      <c r="E278" s="122"/>
      <c r="F278" s="122"/>
      <c r="G278" s="122"/>
      <c r="H278" s="122"/>
      <c r="I278" s="122"/>
      <c r="J278" s="122"/>
      <c r="K278" s="122"/>
      <c r="L278" s="122"/>
      <c r="M278" s="122"/>
    </row>
    <row r="279" spans="1:13" x14ac:dyDescent="0.25">
      <c r="A279" s="208"/>
      <c r="B279" s="225"/>
      <c r="C279" s="26" t="s">
        <v>11</v>
      </c>
      <c r="D279" s="27" t="s">
        <v>10</v>
      </c>
      <c r="E279" s="122"/>
      <c r="F279" s="122"/>
      <c r="G279" s="122"/>
      <c r="H279" s="122"/>
      <c r="I279" s="122"/>
      <c r="J279" s="122"/>
      <c r="K279" s="122"/>
      <c r="L279" s="122"/>
      <c r="M279" s="122"/>
    </row>
    <row r="280" spans="1:13" x14ac:dyDescent="0.25">
      <c r="A280" s="208"/>
      <c r="B280" s="225"/>
      <c r="C280" s="25" t="s">
        <v>12</v>
      </c>
      <c r="D280" s="1" t="s">
        <v>7</v>
      </c>
      <c r="E280" s="124">
        <v>1</v>
      </c>
      <c r="F280" s="124">
        <v>1</v>
      </c>
      <c r="G280" s="124">
        <v>1</v>
      </c>
      <c r="H280" s="124">
        <v>1</v>
      </c>
      <c r="I280" s="124">
        <v>1</v>
      </c>
      <c r="J280" s="124">
        <v>1</v>
      </c>
      <c r="K280" s="124">
        <v>1</v>
      </c>
      <c r="L280" s="124">
        <v>1</v>
      </c>
      <c r="M280" s="124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123">
        <v>59966.789999999994</v>
      </c>
      <c r="F281" s="123">
        <v>60249.539999999994</v>
      </c>
      <c r="G281" s="123">
        <v>61003.539999999994</v>
      </c>
      <c r="H281" s="123">
        <v>62040.289999999994</v>
      </c>
      <c r="I281" s="123">
        <v>63454.039999999994</v>
      </c>
      <c r="J281" s="123">
        <v>66281.539999999994</v>
      </c>
      <c r="K281" s="123">
        <v>75706.539999999994</v>
      </c>
      <c r="L281" s="123">
        <v>95499.04</v>
      </c>
      <c r="M281" s="123">
        <v>135084.03999999998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123">
        <v>40</v>
      </c>
      <c r="F282" s="123">
        <v>40</v>
      </c>
      <c r="G282" s="123">
        <v>40</v>
      </c>
      <c r="H282" s="123">
        <v>40</v>
      </c>
      <c r="I282" s="123">
        <v>40</v>
      </c>
      <c r="J282" s="123">
        <v>40</v>
      </c>
      <c r="K282" s="123">
        <v>40</v>
      </c>
      <c r="L282" s="123">
        <v>40</v>
      </c>
      <c r="M282" s="123">
        <v>40</v>
      </c>
    </row>
  </sheetData>
  <sheetProtection algorithmName="SHA-512" hashValue="/PJONhaqGVGFDK6S1b+WIVhimenhjMvfg59rcvlIqnrsQUmWvlo//xc3LJKRvBd882vYUMHXaE/IL4+JpAiWAw==" saltValue="PbqtK+RRuNeum2ONhJI0aA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7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130" bestFit="1" customWidth="1"/>
    <col min="13" max="13" width="13.42578125" style="130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128">
        <v>15</v>
      </c>
      <c r="F1" s="129">
        <v>30</v>
      </c>
      <c r="G1" s="129">
        <v>70</v>
      </c>
      <c r="H1" s="129">
        <v>125</v>
      </c>
      <c r="I1" s="129">
        <v>200</v>
      </c>
      <c r="J1" s="129">
        <v>350</v>
      </c>
      <c r="K1" s="129">
        <v>850</v>
      </c>
      <c r="L1" s="129">
        <v>1900</v>
      </c>
      <c r="M1" s="129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122">
        <v>20</v>
      </c>
      <c r="F2" s="122">
        <v>20</v>
      </c>
      <c r="G2" s="122">
        <v>20</v>
      </c>
      <c r="H2" s="122">
        <v>20</v>
      </c>
      <c r="I2" s="122">
        <v>20</v>
      </c>
      <c r="J2" s="122">
        <v>20</v>
      </c>
      <c r="K2" s="122">
        <v>20</v>
      </c>
      <c r="L2" s="122">
        <v>20</v>
      </c>
      <c r="M2" s="122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123">
        <v>207.70052243006694</v>
      </c>
      <c r="F3" s="123">
        <v>175.92180364293515</v>
      </c>
      <c r="G3" s="123">
        <v>137.07573863776301</v>
      </c>
      <c r="H3" s="123">
        <v>110.49280008590137</v>
      </c>
      <c r="I3" s="123">
        <v>107.31263157894738</v>
      </c>
      <c r="J3" s="123">
        <v>107.00631578947369</v>
      </c>
      <c r="K3" s="123">
        <v>105.98526315789475</v>
      </c>
      <c r="L3" s="123">
        <v>103.84105263157896</v>
      </c>
      <c r="M3" s="123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124">
        <v>0</v>
      </c>
      <c r="F4" s="124">
        <v>0</v>
      </c>
      <c r="G4" s="124">
        <v>0</v>
      </c>
      <c r="H4" s="124">
        <v>0</v>
      </c>
      <c r="I4" s="124">
        <v>0</v>
      </c>
      <c r="J4" s="124">
        <v>0</v>
      </c>
      <c r="K4" s="124">
        <v>0</v>
      </c>
      <c r="L4" s="124">
        <v>0</v>
      </c>
      <c r="M4" s="124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122"/>
      <c r="F5" s="122"/>
      <c r="G5" s="122"/>
      <c r="H5" s="122"/>
      <c r="I5" s="122"/>
      <c r="J5" s="122"/>
      <c r="K5" s="122"/>
      <c r="L5" s="122"/>
      <c r="M5" s="122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123">
        <v>6.2310156729020081</v>
      </c>
      <c r="F6" s="123">
        <v>5.2776541092880542</v>
      </c>
      <c r="G6" s="123">
        <v>4.1122721591328899</v>
      </c>
      <c r="H6" s="123">
        <v>3.3147840025770408</v>
      </c>
      <c r="I6" s="123">
        <v>2.0378947368421052</v>
      </c>
      <c r="J6" s="123">
        <v>2.0189473684210526</v>
      </c>
      <c r="K6" s="123">
        <v>1.9557894736842103</v>
      </c>
      <c r="L6" s="123">
        <v>1.8231578947368419</v>
      </c>
      <c r="M6" s="123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123">
        <v>0</v>
      </c>
      <c r="F7" s="123">
        <v>0</v>
      </c>
      <c r="G7" s="123">
        <v>0</v>
      </c>
      <c r="H7" s="123">
        <v>0</v>
      </c>
      <c r="I7" s="123">
        <v>0</v>
      </c>
      <c r="J7" s="123">
        <v>0</v>
      </c>
      <c r="K7" s="123">
        <v>1.6473473684210525E-3</v>
      </c>
      <c r="L7" s="123">
        <v>1.5133894736842103E-3</v>
      </c>
      <c r="M7" s="123">
        <v>1.2454736842105263E-3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123">
        <v>0</v>
      </c>
      <c r="F8" s="122"/>
      <c r="G8" s="122"/>
      <c r="H8" s="122"/>
      <c r="I8" s="122"/>
      <c r="J8" s="122"/>
      <c r="K8" s="122"/>
      <c r="L8" s="122"/>
      <c r="M8" s="122"/>
      <c r="N8" s="54"/>
    </row>
    <row r="9" spans="1:14" x14ac:dyDescent="0.25">
      <c r="A9" s="208"/>
      <c r="B9" s="224"/>
      <c r="C9" s="25" t="s">
        <v>12</v>
      </c>
      <c r="D9" s="1" t="s">
        <v>7</v>
      </c>
      <c r="E9" s="124">
        <v>0.9787499999999999</v>
      </c>
      <c r="F9" s="124">
        <v>0.9787499999999999</v>
      </c>
      <c r="G9" s="124">
        <v>0.9787499999999999</v>
      </c>
      <c r="H9" s="124">
        <v>0.9787499999999999</v>
      </c>
      <c r="I9" s="124">
        <v>0.9787499999999999</v>
      </c>
      <c r="J9" s="124">
        <v>0.9787499999999999</v>
      </c>
      <c r="K9" s="124">
        <v>0.99150000000000005</v>
      </c>
      <c r="L9" s="124">
        <v>0.99150000000000005</v>
      </c>
      <c r="M9" s="124">
        <v>0.99150000000000005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123">
        <v>1524.6</v>
      </c>
      <c r="F10" s="123">
        <v>1749.6</v>
      </c>
      <c r="G10" s="123">
        <v>2349.6</v>
      </c>
      <c r="H10" s="123">
        <v>3174.6</v>
      </c>
      <c r="I10" s="123">
        <v>4299.6000000000004</v>
      </c>
      <c r="J10" s="123">
        <v>14213</v>
      </c>
      <c r="K10" s="123">
        <v>21713</v>
      </c>
      <c r="L10" s="123">
        <v>37463</v>
      </c>
      <c r="M10" s="123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122">
        <v>40</v>
      </c>
      <c r="F11" s="122">
        <v>40</v>
      </c>
      <c r="G11" s="122">
        <v>40</v>
      </c>
      <c r="H11" s="122">
        <v>40</v>
      </c>
      <c r="I11" s="122">
        <v>40</v>
      </c>
      <c r="J11" s="122">
        <v>40</v>
      </c>
      <c r="K11" s="122">
        <v>40</v>
      </c>
      <c r="L11" s="122">
        <v>40</v>
      </c>
      <c r="M11" s="122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122">
        <v>20</v>
      </c>
      <c r="F12" s="122">
        <v>20</v>
      </c>
      <c r="G12" s="122">
        <v>20</v>
      </c>
      <c r="H12" s="122">
        <v>20</v>
      </c>
      <c r="I12" s="122">
        <v>20</v>
      </c>
      <c r="J12" s="122">
        <v>20</v>
      </c>
      <c r="K12" s="122">
        <v>20</v>
      </c>
      <c r="L12" s="122">
        <v>20</v>
      </c>
      <c r="M12" s="122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123">
        <v>533.42832380521168</v>
      </c>
      <c r="F13" s="123">
        <v>336.80876334426267</v>
      </c>
      <c r="G13" s="123">
        <v>191.99085951104519</v>
      </c>
      <c r="H13" s="123">
        <v>130.68849756004869</v>
      </c>
      <c r="I13" s="123">
        <v>114.1</v>
      </c>
      <c r="J13" s="123">
        <v>114.1</v>
      </c>
      <c r="K13" s="123">
        <v>180.48166857059701</v>
      </c>
      <c r="L13" s="123">
        <v>263.63042786023721</v>
      </c>
      <c r="M13" s="123">
        <v>429.92794643951765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124">
        <v>0</v>
      </c>
      <c r="F14" s="124">
        <v>0</v>
      </c>
      <c r="G14" s="124">
        <v>0</v>
      </c>
      <c r="H14" s="124">
        <v>0</v>
      </c>
      <c r="I14" s="124">
        <v>0</v>
      </c>
      <c r="J14" s="124">
        <v>0</v>
      </c>
      <c r="K14" s="124">
        <v>0</v>
      </c>
      <c r="L14" s="124">
        <v>0</v>
      </c>
      <c r="M14" s="124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122"/>
      <c r="F15" s="122"/>
      <c r="G15" s="122"/>
      <c r="H15" s="122"/>
      <c r="I15" s="122"/>
      <c r="J15" s="122"/>
      <c r="K15" s="122"/>
      <c r="L15" s="122"/>
      <c r="M15" s="122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123">
        <v>32.00569942831266</v>
      </c>
      <c r="F16" s="123">
        <v>20.208525800655735</v>
      </c>
      <c r="G16" s="123">
        <v>11.519451570662699</v>
      </c>
      <c r="H16" s="123">
        <v>7.8413098536029162</v>
      </c>
      <c r="I16" s="123">
        <v>7.3972147894767417</v>
      </c>
      <c r="J16" s="123">
        <v>7.3972147894767417</v>
      </c>
      <c r="K16" s="123">
        <v>7.0259562857838622</v>
      </c>
      <c r="L16" s="123">
        <v>6.4262310105876717</v>
      </c>
      <c r="M16" s="123">
        <v>5.2267804601952914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2.2616043154498459E-3</v>
      </c>
      <c r="L17" s="123">
        <v>2.2616043154498459E-3</v>
      </c>
      <c r="M17" s="123">
        <v>2.2616043154498459E-3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123">
        <v>0</v>
      </c>
      <c r="F18" s="123">
        <v>0</v>
      </c>
      <c r="G18" s="123">
        <v>0</v>
      </c>
      <c r="H18" s="123">
        <v>0</v>
      </c>
      <c r="I18" s="123">
        <v>0</v>
      </c>
      <c r="J18" s="123">
        <v>0</v>
      </c>
      <c r="K18" s="123">
        <v>0</v>
      </c>
      <c r="L18" s="123">
        <v>0</v>
      </c>
      <c r="M18" s="123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124">
        <v>0.81200000000000028</v>
      </c>
      <c r="F19" s="124">
        <v>0.81200000000000028</v>
      </c>
      <c r="G19" s="124">
        <v>0.81200000000000028</v>
      </c>
      <c r="H19" s="124">
        <v>0.81200000000000028</v>
      </c>
      <c r="I19" s="124">
        <v>0.81200000000000028</v>
      </c>
      <c r="J19" s="124">
        <v>0.81200000000000028</v>
      </c>
      <c r="K19" s="124">
        <v>0.81200000000000028</v>
      </c>
      <c r="L19" s="124">
        <v>0.95641666666666658</v>
      </c>
      <c r="M19" s="124">
        <v>0.95641666666666658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122"/>
      <c r="F20" s="122"/>
      <c r="G20" s="122"/>
      <c r="H20" s="122"/>
      <c r="I20" s="122"/>
      <c r="J20" s="122"/>
      <c r="K20" s="122"/>
      <c r="L20" s="122"/>
      <c r="M20" s="122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122"/>
      <c r="F21" s="122"/>
      <c r="G21" s="122"/>
      <c r="H21" s="122"/>
      <c r="I21" s="122"/>
      <c r="J21" s="122"/>
      <c r="K21" s="122"/>
      <c r="L21" s="122"/>
      <c r="M21" s="122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122">
        <v>20</v>
      </c>
      <c r="F22" s="122">
        <v>20</v>
      </c>
      <c r="G22" s="122">
        <v>20</v>
      </c>
      <c r="H22" s="122">
        <v>20</v>
      </c>
      <c r="I22" s="122">
        <v>20</v>
      </c>
      <c r="J22" s="122">
        <v>20</v>
      </c>
      <c r="K22" s="122">
        <v>20</v>
      </c>
      <c r="L22" s="122">
        <v>20</v>
      </c>
      <c r="M22" s="122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123">
        <v>822.90511868819738</v>
      </c>
      <c r="F23" s="123">
        <v>587.62399482196031</v>
      </c>
      <c r="G23" s="123">
        <v>458.47760255879234</v>
      </c>
      <c r="H23" s="123">
        <v>458.47760255879234</v>
      </c>
      <c r="I23" s="123">
        <v>458.47760255879234</v>
      </c>
      <c r="J23" s="123">
        <v>458.47760255879234</v>
      </c>
      <c r="K23" s="123">
        <v>1133.7480098003448</v>
      </c>
      <c r="L23" s="123">
        <v>986.22674801231153</v>
      </c>
      <c r="M23" s="123">
        <v>866.85752357634294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122"/>
      <c r="F25" s="122"/>
      <c r="G25" s="122"/>
      <c r="H25" s="122"/>
      <c r="I25" s="122"/>
      <c r="J25" s="122"/>
      <c r="K25" s="122"/>
      <c r="L25" s="122"/>
      <c r="M25" s="122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123">
        <v>12.343576780322961</v>
      </c>
      <c r="F26" s="123">
        <v>8.8143599223294036</v>
      </c>
      <c r="G26" s="123">
        <v>6.8771640383818848</v>
      </c>
      <c r="H26" s="123">
        <v>6.8771640383818848</v>
      </c>
      <c r="I26" s="123">
        <v>6.8771640383818848</v>
      </c>
      <c r="J26" s="123">
        <v>6.8771640383818848</v>
      </c>
      <c r="K26" s="123">
        <v>1.673</v>
      </c>
      <c r="L26" s="123">
        <v>1.673</v>
      </c>
      <c r="M26" s="123">
        <v>1.673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2.085E-3</v>
      </c>
      <c r="L27" s="123">
        <v>2.085E-3</v>
      </c>
      <c r="M27" s="123">
        <v>2.085E-3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123">
        <v>0</v>
      </c>
      <c r="F28" s="123">
        <v>0</v>
      </c>
      <c r="G28" s="123">
        <v>0</v>
      </c>
      <c r="H28" s="123">
        <v>0</v>
      </c>
      <c r="I28" s="123">
        <v>0</v>
      </c>
      <c r="J28" s="123">
        <v>0</v>
      </c>
      <c r="K28" s="123">
        <v>0</v>
      </c>
      <c r="L28" s="123">
        <v>0</v>
      </c>
      <c r="M28" s="123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122">
        <v>3.83</v>
      </c>
      <c r="F30" s="122">
        <v>3.83</v>
      </c>
      <c r="G30" s="122">
        <v>3.83</v>
      </c>
      <c r="H30" s="122">
        <v>3.83</v>
      </c>
      <c r="I30" s="122">
        <v>3.83</v>
      </c>
      <c r="J30" s="122">
        <v>3.83</v>
      </c>
      <c r="K30" s="122">
        <v>3.83</v>
      </c>
      <c r="L30" s="122">
        <v>3.83</v>
      </c>
      <c r="M30" s="122">
        <v>3.83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122"/>
      <c r="F31" s="122"/>
      <c r="G31" s="122"/>
      <c r="H31" s="122"/>
      <c r="I31" s="122"/>
      <c r="J31" s="122"/>
      <c r="K31" s="122"/>
      <c r="L31" s="122"/>
      <c r="M31" s="122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122"/>
      <c r="F32" s="122"/>
      <c r="G32" s="122"/>
      <c r="H32" s="122"/>
      <c r="I32" s="122"/>
      <c r="J32" s="122"/>
      <c r="K32" s="122"/>
      <c r="L32" s="122"/>
      <c r="M32" s="122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122">
        <v>20</v>
      </c>
      <c r="F33" s="122">
        <v>20</v>
      </c>
      <c r="G33" s="122">
        <v>20</v>
      </c>
      <c r="H33" s="122">
        <v>20</v>
      </c>
      <c r="I33" s="122">
        <v>20</v>
      </c>
      <c r="J33" s="122">
        <v>20</v>
      </c>
      <c r="K33" s="122">
        <v>20</v>
      </c>
      <c r="L33" s="122">
        <v>20</v>
      </c>
      <c r="M33" s="122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123">
        <v>822.90511868819738</v>
      </c>
      <c r="F34" s="123">
        <v>587.62399482196031</v>
      </c>
      <c r="G34" s="123">
        <v>458.47760255879234</v>
      </c>
      <c r="H34" s="123">
        <v>458.47760255879234</v>
      </c>
      <c r="I34" s="123">
        <v>458.47760255879234</v>
      </c>
      <c r="J34" s="123">
        <v>458.47760255879234</v>
      </c>
      <c r="K34" s="123">
        <v>1133.7480098003448</v>
      </c>
      <c r="L34" s="123">
        <v>986.22674801231153</v>
      </c>
      <c r="M34" s="123">
        <v>866.85752357634294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124">
        <v>0</v>
      </c>
      <c r="F35" s="124">
        <v>0</v>
      </c>
      <c r="G35" s="124">
        <v>0</v>
      </c>
      <c r="H35" s="124">
        <v>0</v>
      </c>
      <c r="I35" s="124">
        <v>0</v>
      </c>
      <c r="J35" s="124">
        <v>0</v>
      </c>
      <c r="K35" s="124">
        <v>0</v>
      </c>
      <c r="L35" s="124">
        <v>0</v>
      </c>
      <c r="M35" s="124">
        <v>0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122"/>
      <c r="F36" s="122"/>
      <c r="G36" s="122"/>
      <c r="H36" s="122"/>
      <c r="I36" s="122"/>
      <c r="J36" s="122"/>
      <c r="K36" s="122"/>
      <c r="L36" s="122"/>
      <c r="M36" s="122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123">
        <v>12.343576780322961</v>
      </c>
      <c r="F37" s="123">
        <v>8.8143599223294036</v>
      </c>
      <c r="G37" s="123">
        <v>6.8771640383818848</v>
      </c>
      <c r="H37" s="123">
        <v>6.8771640383818848</v>
      </c>
      <c r="I37" s="123">
        <v>6.8771640383818848</v>
      </c>
      <c r="J37" s="123">
        <v>6.8771640383818848</v>
      </c>
      <c r="K37" s="123">
        <v>1.673</v>
      </c>
      <c r="L37" s="123">
        <v>1.673</v>
      </c>
      <c r="M37" s="123">
        <v>1.673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123">
        <v>0</v>
      </c>
      <c r="F38" s="123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2.085E-3</v>
      </c>
      <c r="L38" s="123">
        <v>2.085E-3</v>
      </c>
      <c r="M38" s="123">
        <v>2.085E-3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123">
        <v>0</v>
      </c>
      <c r="F39" s="123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123">
        <v>0</v>
      </c>
      <c r="F40" s="123">
        <v>0</v>
      </c>
      <c r="G40" s="123">
        <v>0</v>
      </c>
      <c r="H40" s="123">
        <v>0</v>
      </c>
      <c r="I40" s="123">
        <v>0</v>
      </c>
      <c r="J40" s="123">
        <v>0</v>
      </c>
      <c r="K40" s="123">
        <v>0</v>
      </c>
      <c r="L40" s="123">
        <v>0</v>
      </c>
      <c r="M40" s="123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122">
        <v>3.58</v>
      </c>
      <c r="F41" s="122">
        <v>3.58</v>
      </c>
      <c r="G41" s="122">
        <v>3.58</v>
      </c>
      <c r="H41" s="122">
        <v>3.58</v>
      </c>
      <c r="I41" s="122">
        <v>3.58</v>
      </c>
      <c r="J41" s="122">
        <v>3.58</v>
      </c>
      <c r="K41" s="122">
        <v>3.58</v>
      </c>
      <c r="L41" s="122">
        <v>3.58</v>
      </c>
      <c r="M41" s="122">
        <v>3.58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122"/>
      <c r="F42" s="122"/>
      <c r="G42" s="122"/>
      <c r="H42" s="122"/>
      <c r="I42" s="122"/>
      <c r="J42" s="122"/>
      <c r="K42" s="122"/>
      <c r="L42" s="122"/>
      <c r="M42" s="122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122"/>
      <c r="F43" s="122"/>
      <c r="G43" s="122"/>
      <c r="H43" s="122"/>
      <c r="I43" s="122"/>
      <c r="J43" s="122"/>
      <c r="K43" s="122"/>
      <c r="L43" s="122"/>
      <c r="M43" s="122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122">
        <v>20</v>
      </c>
      <c r="F44" s="122">
        <v>20</v>
      </c>
      <c r="G44" s="122">
        <v>20</v>
      </c>
      <c r="H44" s="122">
        <v>20</v>
      </c>
      <c r="I44" s="122">
        <v>20</v>
      </c>
      <c r="J44" s="122">
        <v>20</v>
      </c>
      <c r="K44" s="122">
        <v>20</v>
      </c>
      <c r="L44" s="122">
        <v>20</v>
      </c>
      <c r="M44" s="122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123">
        <v>822.90511868819738</v>
      </c>
      <c r="F45" s="123">
        <v>587.62399482196031</v>
      </c>
      <c r="G45" s="123">
        <v>458.47760255879234</v>
      </c>
      <c r="H45" s="123">
        <v>458.47760255879234</v>
      </c>
      <c r="I45" s="123">
        <v>458.47760255879234</v>
      </c>
      <c r="J45" s="123">
        <v>458.47760255879234</v>
      </c>
      <c r="K45" s="123">
        <v>1133.7480098003448</v>
      </c>
      <c r="L45" s="123">
        <v>986.22674801231153</v>
      </c>
      <c r="M45" s="123">
        <v>866.85752357634294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124">
        <v>0</v>
      </c>
      <c r="F46" s="124">
        <v>0</v>
      </c>
      <c r="G46" s="124">
        <v>0</v>
      </c>
      <c r="H46" s="124">
        <v>0</v>
      </c>
      <c r="I46" s="124">
        <v>0</v>
      </c>
      <c r="J46" s="124">
        <v>0</v>
      </c>
      <c r="K46" s="124">
        <v>0</v>
      </c>
      <c r="L46" s="124">
        <v>0</v>
      </c>
      <c r="M46" s="124">
        <v>0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123">
        <v>12.343576780322961</v>
      </c>
      <c r="F48" s="123">
        <v>8.8143599223294036</v>
      </c>
      <c r="G48" s="123">
        <v>6.8771640383818848</v>
      </c>
      <c r="H48" s="123">
        <v>6.8771640383818848</v>
      </c>
      <c r="I48" s="123">
        <v>6.8771640383818848</v>
      </c>
      <c r="J48" s="123">
        <v>6.8771640383818848</v>
      </c>
      <c r="K48" s="123">
        <v>1.673</v>
      </c>
      <c r="L48" s="123">
        <v>1.673</v>
      </c>
      <c r="M48" s="123">
        <v>1.673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2.085E-3</v>
      </c>
      <c r="L49" s="123">
        <v>2.085E-3</v>
      </c>
      <c r="M49" s="123">
        <v>2.085E-3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122">
        <v>3.33</v>
      </c>
      <c r="F52" s="122">
        <v>3.33</v>
      </c>
      <c r="G52" s="122">
        <v>3.33</v>
      </c>
      <c r="H52" s="122">
        <v>3.33</v>
      </c>
      <c r="I52" s="122">
        <v>3.33</v>
      </c>
      <c r="J52" s="122">
        <v>3.33</v>
      </c>
      <c r="K52" s="122">
        <v>3.33</v>
      </c>
      <c r="L52" s="122">
        <v>3.33</v>
      </c>
      <c r="M52" s="122">
        <v>3.33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122"/>
      <c r="F53" s="122"/>
      <c r="G53" s="122"/>
      <c r="H53" s="122"/>
      <c r="I53" s="122"/>
      <c r="J53" s="122"/>
      <c r="K53" s="122"/>
      <c r="L53" s="122"/>
      <c r="M53" s="122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122"/>
      <c r="F54" s="122"/>
      <c r="G54" s="122"/>
      <c r="H54" s="122"/>
      <c r="I54" s="122"/>
      <c r="J54" s="122"/>
      <c r="K54" s="122"/>
      <c r="L54" s="122"/>
      <c r="M54" s="122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122">
        <v>20</v>
      </c>
      <c r="F55" s="122">
        <v>20</v>
      </c>
      <c r="G55" s="122">
        <v>20</v>
      </c>
      <c r="H55" s="122">
        <v>20</v>
      </c>
      <c r="I55" s="122">
        <v>20</v>
      </c>
      <c r="J55" s="122">
        <v>20</v>
      </c>
      <c r="K55" s="122">
        <v>20</v>
      </c>
      <c r="L55" s="122">
        <v>20</v>
      </c>
      <c r="M55" s="122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123">
        <v>834.20131814045635</v>
      </c>
      <c r="F56" s="123">
        <v>582.75336672185188</v>
      </c>
      <c r="G56" s="123">
        <v>447.37922190941873</v>
      </c>
      <c r="H56" s="123">
        <v>447.37922190941873</v>
      </c>
      <c r="I56" s="123">
        <v>447.37922190941873</v>
      </c>
      <c r="J56" s="123">
        <v>447.37922190941873</v>
      </c>
      <c r="K56" s="123">
        <v>613.58399999999995</v>
      </c>
      <c r="L56" s="123">
        <v>613.58399999999995</v>
      </c>
      <c r="M56" s="123">
        <v>613.58399999999995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124">
        <v>0</v>
      </c>
      <c r="F57" s="124">
        <v>0</v>
      </c>
      <c r="G57" s="124">
        <v>0</v>
      </c>
      <c r="H57" s="124">
        <v>0</v>
      </c>
      <c r="I57" s="124">
        <v>0</v>
      </c>
      <c r="J57" s="124">
        <v>0</v>
      </c>
      <c r="K57" s="124">
        <v>0</v>
      </c>
      <c r="L57" s="124">
        <v>0</v>
      </c>
      <c r="M57" s="124">
        <v>0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122"/>
      <c r="F58" s="122"/>
      <c r="G58" s="122"/>
      <c r="H58" s="122"/>
      <c r="I58" s="122"/>
      <c r="J58" s="122"/>
      <c r="K58" s="122"/>
      <c r="L58" s="122"/>
      <c r="M58" s="122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123">
        <v>12.513019772106844</v>
      </c>
      <c r="F59" s="123">
        <v>8.7413005008277782</v>
      </c>
      <c r="G59" s="123">
        <v>6.7106883286412806</v>
      </c>
      <c r="H59" s="123">
        <v>6.7106883286412806</v>
      </c>
      <c r="I59" s="123">
        <v>6.7106883286412806</v>
      </c>
      <c r="J59" s="123">
        <v>6.7106883286412806</v>
      </c>
      <c r="K59" s="123">
        <v>1.673</v>
      </c>
      <c r="L59" s="123">
        <v>1.673</v>
      </c>
      <c r="M59" s="123">
        <v>1.673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123">
        <v>0</v>
      </c>
      <c r="F60" s="123">
        <v>0</v>
      </c>
      <c r="G60" s="123">
        <v>0</v>
      </c>
      <c r="H60" s="123">
        <v>0</v>
      </c>
      <c r="I60" s="123">
        <v>0</v>
      </c>
      <c r="J60" s="123">
        <v>0</v>
      </c>
      <c r="K60" s="123">
        <v>2.085E-3</v>
      </c>
      <c r="L60" s="123">
        <v>2.085E-3</v>
      </c>
      <c r="M60" s="123">
        <v>2.085E-3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123">
        <v>0</v>
      </c>
      <c r="F61" s="123">
        <v>0</v>
      </c>
      <c r="G61" s="123">
        <v>0</v>
      </c>
      <c r="H61" s="123">
        <v>0</v>
      </c>
      <c r="I61" s="123">
        <v>0</v>
      </c>
      <c r="J61" s="123">
        <v>0</v>
      </c>
      <c r="K61" s="123">
        <v>0</v>
      </c>
      <c r="L61" s="123">
        <v>0</v>
      </c>
      <c r="M61" s="123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123">
        <v>0</v>
      </c>
      <c r="F62" s="123">
        <v>0</v>
      </c>
      <c r="G62" s="123">
        <v>0</v>
      </c>
      <c r="H62" s="123">
        <v>0</v>
      </c>
      <c r="I62" s="123">
        <v>0</v>
      </c>
      <c r="J62" s="123">
        <v>0</v>
      </c>
      <c r="K62" s="123">
        <v>0</v>
      </c>
      <c r="L62" s="123">
        <v>0</v>
      </c>
      <c r="M62" s="123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122">
        <v>4.62</v>
      </c>
      <c r="F63" s="122">
        <v>4.62</v>
      </c>
      <c r="G63" s="122">
        <v>4.62</v>
      </c>
      <c r="H63" s="122">
        <v>4.62</v>
      </c>
      <c r="I63" s="122">
        <v>4.62</v>
      </c>
      <c r="J63" s="122">
        <v>4.62</v>
      </c>
      <c r="K63" s="122">
        <v>4.62</v>
      </c>
      <c r="L63" s="122">
        <v>4.62</v>
      </c>
      <c r="M63" s="122">
        <v>4.62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122"/>
      <c r="F64" s="122"/>
      <c r="G64" s="122"/>
      <c r="H64" s="122"/>
      <c r="I64" s="122"/>
      <c r="J64" s="122"/>
      <c r="K64" s="122"/>
      <c r="L64" s="122"/>
      <c r="M64" s="122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122"/>
      <c r="F65" s="122"/>
      <c r="G65" s="122"/>
      <c r="H65" s="122"/>
      <c r="I65" s="122"/>
      <c r="J65" s="122"/>
      <c r="K65" s="122"/>
      <c r="L65" s="122"/>
      <c r="M65" s="122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123">
        <v>2677.2372697755504</v>
      </c>
      <c r="F66" s="123">
        <v>1831.9318169832663</v>
      </c>
      <c r="G66" s="123">
        <v>1152.0901647065316</v>
      </c>
      <c r="H66" s="123">
        <v>400.2171452567311</v>
      </c>
      <c r="I66" s="123">
        <v>272.89255701854074</v>
      </c>
      <c r="J66" s="123">
        <v>172.97355964296725</v>
      </c>
      <c r="K66" s="123">
        <v>83.949921947780794</v>
      </c>
      <c r="L66" s="123">
        <v>73.53859356117799</v>
      </c>
      <c r="M66" s="123">
        <v>73.53859356117799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122"/>
      <c r="F67" s="122"/>
      <c r="G67" s="122"/>
      <c r="H67" s="122"/>
      <c r="I67" s="122"/>
      <c r="J67" s="122"/>
      <c r="K67" s="122"/>
      <c r="L67" s="122"/>
      <c r="M67" s="122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122">
        <v>20</v>
      </c>
      <c r="F68" s="122">
        <v>20</v>
      </c>
      <c r="G68" s="122">
        <v>20</v>
      </c>
      <c r="H68" s="122">
        <v>20</v>
      </c>
      <c r="I68" s="122">
        <v>20</v>
      </c>
      <c r="J68" s="122">
        <v>20</v>
      </c>
      <c r="K68" s="122">
        <v>20</v>
      </c>
      <c r="L68" s="122">
        <v>20</v>
      </c>
      <c r="M68" s="122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123">
        <v>834.20131814045635</v>
      </c>
      <c r="F69" s="123">
        <v>582.75336672185188</v>
      </c>
      <c r="G69" s="123">
        <v>447.37922190941873</v>
      </c>
      <c r="H69" s="123">
        <v>447.37922190941873</v>
      </c>
      <c r="I69" s="123">
        <v>447.37922190941873</v>
      </c>
      <c r="J69" s="123">
        <v>447.37922190941873</v>
      </c>
      <c r="K69" s="123">
        <v>613.58399999999995</v>
      </c>
      <c r="L69" s="123">
        <v>613.58399999999995</v>
      </c>
      <c r="M69" s="123">
        <v>613.58399999999995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124">
        <v>0</v>
      </c>
      <c r="F70" s="124">
        <v>0</v>
      </c>
      <c r="G70" s="124">
        <v>0</v>
      </c>
      <c r="H70" s="124">
        <v>0</v>
      </c>
      <c r="I70" s="124">
        <v>0</v>
      </c>
      <c r="J70" s="124">
        <v>0</v>
      </c>
      <c r="K70" s="124">
        <v>0</v>
      </c>
      <c r="L70" s="124">
        <v>0</v>
      </c>
      <c r="M70" s="124">
        <v>0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122"/>
      <c r="F71" s="122"/>
      <c r="G71" s="122"/>
      <c r="H71" s="122"/>
      <c r="I71" s="122"/>
      <c r="J71" s="122"/>
      <c r="K71" s="122"/>
      <c r="L71" s="122"/>
      <c r="M71" s="122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123">
        <v>12.513019772106844</v>
      </c>
      <c r="F72" s="123">
        <v>8.7413005008277782</v>
      </c>
      <c r="G72" s="123">
        <v>6.7106883286412806</v>
      </c>
      <c r="H72" s="123">
        <v>6.7106883286412806</v>
      </c>
      <c r="I72" s="123">
        <v>6.7106883286412806</v>
      </c>
      <c r="J72" s="123">
        <v>6.7106883286412806</v>
      </c>
      <c r="K72" s="123">
        <v>1.673</v>
      </c>
      <c r="L72" s="123">
        <v>1.673</v>
      </c>
      <c r="M72" s="123">
        <v>1.673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123">
        <v>0</v>
      </c>
      <c r="F73" s="123">
        <v>0</v>
      </c>
      <c r="G73" s="123">
        <v>0</v>
      </c>
      <c r="H73" s="123">
        <v>0</v>
      </c>
      <c r="I73" s="123">
        <v>0</v>
      </c>
      <c r="J73" s="123">
        <v>0</v>
      </c>
      <c r="K73" s="123">
        <v>2.085E-3</v>
      </c>
      <c r="L73" s="123">
        <v>2.085E-3</v>
      </c>
      <c r="M73" s="123">
        <v>2.085E-3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123">
        <v>0</v>
      </c>
      <c r="F74" s="123">
        <v>0</v>
      </c>
      <c r="G74" s="123">
        <v>0</v>
      </c>
      <c r="H74" s="123">
        <v>0</v>
      </c>
      <c r="I74" s="123">
        <v>0</v>
      </c>
      <c r="J74" s="123">
        <v>0</v>
      </c>
      <c r="K74" s="123">
        <v>0</v>
      </c>
      <c r="L74" s="123">
        <v>0</v>
      </c>
      <c r="M74" s="123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123">
        <v>0</v>
      </c>
      <c r="F75" s="123">
        <v>0</v>
      </c>
      <c r="G75" s="123">
        <v>0</v>
      </c>
      <c r="H75" s="123">
        <v>0</v>
      </c>
      <c r="I75" s="123">
        <v>0</v>
      </c>
      <c r="J75" s="123">
        <v>0</v>
      </c>
      <c r="K75" s="123">
        <v>0</v>
      </c>
      <c r="L75" s="123">
        <v>0</v>
      </c>
      <c r="M75" s="123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122">
        <v>4.3125</v>
      </c>
      <c r="F76" s="122">
        <v>4.3125</v>
      </c>
      <c r="G76" s="122">
        <v>4.3125</v>
      </c>
      <c r="H76" s="122">
        <v>4.3125</v>
      </c>
      <c r="I76" s="122">
        <v>4.3125</v>
      </c>
      <c r="J76" s="122">
        <v>4.3125</v>
      </c>
      <c r="K76" s="122">
        <v>4.3125</v>
      </c>
      <c r="L76" s="122">
        <v>4.3125</v>
      </c>
      <c r="M76" s="122">
        <v>4.3125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122"/>
      <c r="F77" s="122"/>
      <c r="G77" s="122"/>
      <c r="H77" s="122"/>
      <c r="I77" s="122"/>
      <c r="J77" s="122"/>
      <c r="K77" s="122"/>
      <c r="L77" s="122"/>
      <c r="M77" s="122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122"/>
      <c r="F78" s="122"/>
      <c r="G78" s="122"/>
      <c r="H78" s="122"/>
      <c r="I78" s="122"/>
      <c r="J78" s="122"/>
      <c r="K78" s="122"/>
      <c r="L78" s="122"/>
      <c r="M78" s="122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123">
        <v>2677.2372697755504</v>
      </c>
      <c r="F79" s="123">
        <v>1831.9318169832663</v>
      </c>
      <c r="G79" s="123">
        <v>1152.0901647065316</v>
      </c>
      <c r="H79" s="123">
        <v>400.2171452567311</v>
      </c>
      <c r="I79" s="123">
        <v>272.89255701854074</v>
      </c>
      <c r="J79" s="123">
        <v>172.97355964296725</v>
      </c>
      <c r="K79" s="123">
        <v>83.949921947780794</v>
      </c>
      <c r="L79" s="123">
        <v>73.53859356117799</v>
      </c>
      <c r="M79" s="123">
        <v>73.53859356117799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122"/>
      <c r="F80" s="122"/>
      <c r="G80" s="122"/>
      <c r="H80" s="122"/>
      <c r="I80" s="122"/>
      <c r="J80" s="122"/>
      <c r="K80" s="122"/>
      <c r="L80" s="122"/>
      <c r="M80" s="122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122">
        <v>20</v>
      </c>
      <c r="F81" s="122">
        <v>20</v>
      </c>
      <c r="G81" s="122">
        <v>20</v>
      </c>
      <c r="H81" s="122">
        <v>20</v>
      </c>
      <c r="I81" s="122">
        <v>20</v>
      </c>
      <c r="J81" s="122">
        <v>20</v>
      </c>
      <c r="K81" s="122">
        <v>20</v>
      </c>
      <c r="L81" s="122">
        <v>20</v>
      </c>
      <c r="M81" s="122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123">
        <v>834.20131814045635</v>
      </c>
      <c r="F82" s="123">
        <v>582.75336672185188</v>
      </c>
      <c r="G82" s="123">
        <v>447.37922190941873</v>
      </c>
      <c r="H82" s="123">
        <v>447.37922190941873</v>
      </c>
      <c r="I82" s="123">
        <v>447.37922190941873</v>
      </c>
      <c r="J82" s="123">
        <v>447.37922190941873</v>
      </c>
      <c r="K82" s="123">
        <v>613.58399999999995</v>
      </c>
      <c r="L82" s="123">
        <v>613.58399999999995</v>
      </c>
      <c r="M82" s="123">
        <v>613.58399999999995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124">
        <v>0</v>
      </c>
      <c r="F83" s="124">
        <v>0</v>
      </c>
      <c r="G83" s="124">
        <v>0</v>
      </c>
      <c r="H83" s="124">
        <v>0</v>
      </c>
      <c r="I83" s="124">
        <v>0</v>
      </c>
      <c r="J83" s="124">
        <v>0</v>
      </c>
      <c r="K83" s="124">
        <v>0</v>
      </c>
      <c r="L83" s="124">
        <v>0</v>
      </c>
      <c r="M83" s="124">
        <v>0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122"/>
      <c r="F84" s="122"/>
      <c r="G84" s="122"/>
      <c r="H84" s="122"/>
      <c r="I84" s="122"/>
      <c r="J84" s="122"/>
      <c r="K84" s="122"/>
      <c r="L84" s="122"/>
      <c r="M84" s="122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123">
        <v>12.513019772106844</v>
      </c>
      <c r="F85" s="123">
        <v>8.7413005008277782</v>
      </c>
      <c r="G85" s="123">
        <v>6.7106883286412806</v>
      </c>
      <c r="H85" s="123">
        <v>6.7106883286412806</v>
      </c>
      <c r="I85" s="123">
        <v>6.7106883286412806</v>
      </c>
      <c r="J85" s="123">
        <v>6.7106883286412806</v>
      </c>
      <c r="K85" s="123">
        <v>1.673</v>
      </c>
      <c r="L85" s="123">
        <v>1.673</v>
      </c>
      <c r="M85" s="123">
        <v>1.673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2.085E-3</v>
      </c>
      <c r="L86" s="123">
        <v>2.085E-3</v>
      </c>
      <c r="M86" s="123">
        <v>2.085E-3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123">
        <v>0</v>
      </c>
      <c r="F87" s="123">
        <v>0</v>
      </c>
      <c r="G87" s="123">
        <v>0</v>
      </c>
      <c r="H87" s="123">
        <v>0</v>
      </c>
      <c r="I87" s="123">
        <v>0</v>
      </c>
      <c r="J87" s="123">
        <v>0</v>
      </c>
      <c r="K87" s="123">
        <v>0</v>
      </c>
      <c r="L87" s="123">
        <v>0</v>
      </c>
      <c r="M87" s="123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123">
        <v>0</v>
      </c>
      <c r="F88" s="123">
        <v>0</v>
      </c>
      <c r="G88" s="123">
        <v>0</v>
      </c>
      <c r="H88" s="123">
        <v>0</v>
      </c>
      <c r="I88" s="123">
        <v>0</v>
      </c>
      <c r="J88" s="123">
        <v>0</v>
      </c>
      <c r="K88" s="123">
        <v>0</v>
      </c>
      <c r="L88" s="123">
        <v>0</v>
      </c>
      <c r="M88" s="123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122">
        <v>4.0049999999999999</v>
      </c>
      <c r="F89" s="122">
        <v>4.0049999999999999</v>
      </c>
      <c r="G89" s="122">
        <v>4.0049999999999999</v>
      </c>
      <c r="H89" s="122">
        <v>4.0049999999999999</v>
      </c>
      <c r="I89" s="122">
        <v>4.0049999999999999</v>
      </c>
      <c r="J89" s="122">
        <v>4.0049999999999999</v>
      </c>
      <c r="K89" s="122">
        <v>4.0049999999999999</v>
      </c>
      <c r="L89" s="122">
        <v>4.0049999999999999</v>
      </c>
      <c r="M89" s="122">
        <v>4.0049999999999999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122"/>
      <c r="F90" s="122"/>
      <c r="G90" s="122"/>
      <c r="H90" s="122"/>
      <c r="I90" s="122"/>
      <c r="J90" s="122"/>
      <c r="K90" s="122"/>
      <c r="L90" s="122"/>
      <c r="M90" s="122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122"/>
      <c r="F91" s="122"/>
      <c r="G91" s="122"/>
      <c r="H91" s="122"/>
      <c r="I91" s="122"/>
      <c r="J91" s="122"/>
      <c r="K91" s="122"/>
      <c r="L91" s="122"/>
      <c r="M91" s="122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123">
        <v>2677.2372697755504</v>
      </c>
      <c r="F92" s="123">
        <v>1831.9318169832663</v>
      </c>
      <c r="G92" s="123">
        <v>1152.0901647065316</v>
      </c>
      <c r="H92" s="123">
        <v>400.2171452567311</v>
      </c>
      <c r="I92" s="123">
        <v>272.89255701854074</v>
      </c>
      <c r="J92" s="123">
        <v>172.97355964296725</v>
      </c>
      <c r="K92" s="123">
        <v>83.949921947780794</v>
      </c>
      <c r="L92" s="123">
        <v>73.53859356117799</v>
      </c>
      <c r="M92" s="123">
        <v>73.53859356117799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122"/>
      <c r="F93" s="122"/>
      <c r="G93" s="122"/>
      <c r="H93" s="122"/>
      <c r="I93" s="122"/>
      <c r="J93" s="122"/>
      <c r="K93" s="122"/>
      <c r="L93" s="122"/>
      <c r="M93" s="122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122">
        <v>1</v>
      </c>
      <c r="F94" s="122">
        <v>1</v>
      </c>
      <c r="G94" s="122">
        <v>1</v>
      </c>
      <c r="H94" s="122">
        <v>1</v>
      </c>
      <c r="I94" s="122">
        <v>1</v>
      </c>
      <c r="J94" s="122">
        <v>1</v>
      </c>
      <c r="K94" s="122">
        <v>1</v>
      </c>
      <c r="L94" s="122">
        <v>1</v>
      </c>
      <c r="M94" s="122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122">
        <v>0.35</v>
      </c>
      <c r="F95" s="122">
        <v>0.35</v>
      </c>
      <c r="G95" s="122">
        <v>0.35</v>
      </c>
      <c r="H95" s="122">
        <v>0.35</v>
      </c>
      <c r="I95" s="122">
        <v>0.35</v>
      </c>
      <c r="J95" s="122">
        <v>0.35</v>
      </c>
      <c r="K95" s="122">
        <v>0.35</v>
      </c>
      <c r="L95" s="122">
        <v>0.35</v>
      </c>
      <c r="M95" s="122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122">
        <v>20</v>
      </c>
      <c r="F96" s="122">
        <v>20</v>
      </c>
      <c r="G96" s="122">
        <v>20</v>
      </c>
      <c r="H96" s="122">
        <v>20</v>
      </c>
      <c r="I96" s="122">
        <v>20</v>
      </c>
      <c r="J96" s="122">
        <v>20</v>
      </c>
      <c r="K96" s="122">
        <v>20</v>
      </c>
      <c r="L96" s="122">
        <v>20</v>
      </c>
      <c r="M96" s="122">
        <v>20</v>
      </c>
      <c r="N96" s="54"/>
    </row>
    <row r="97" spans="1:14" x14ac:dyDescent="0.25">
      <c r="A97" s="208"/>
      <c r="B97" s="225"/>
      <c r="C97" s="25" t="s">
        <v>23</v>
      </c>
      <c r="D97" s="1" t="s">
        <v>6</v>
      </c>
      <c r="E97" s="123">
        <v>207.70052243006694</v>
      </c>
      <c r="F97" s="123">
        <v>175.92180364293515</v>
      </c>
      <c r="G97" s="123">
        <v>137.07573863776301</v>
      </c>
      <c r="H97" s="123">
        <v>110.49280008590137</v>
      </c>
      <c r="I97" s="123">
        <v>107.31263157894738</v>
      </c>
      <c r="J97" s="123">
        <v>107.00631578947369</v>
      </c>
      <c r="K97" s="123">
        <v>105.98526315789475</v>
      </c>
      <c r="L97" s="123">
        <v>103.84105263157896</v>
      </c>
      <c r="M97" s="123">
        <v>99.55263157894737</v>
      </c>
      <c r="N97" s="54"/>
    </row>
    <row r="98" spans="1:14" x14ac:dyDescent="0.25">
      <c r="A98" s="208"/>
      <c r="B98" s="225"/>
      <c r="C98" s="25" t="s">
        <v>177</v>
      </c>
      <c r="D98" s="1" t="s">
        <v>19</v>
      </c>
      <c r="E98" s="124">
        <v>0</v>
      </c>
      <c r="F98" s="124">
        <v>0</v>
      </c>
      <c r="G98" s="124">
        <v>0</v>
      </c>
      <c r="H98" s="124">
        <v>0</v>
      </c>
      <c r="I98" s="124">
        <v>0</v>
      </c>
      <c r="J98" s="124">
        <v>0</v>
      </c>
      <c r="K98" s="124">
        <v>0</v>
      </c>
      <c r="L98" s="124">
        <v>0</v>
      </c>
      <c r="M98" s="124">
        <v>0</v>
      </c>
      <c r="N98" s="54"/>
    </row>
    <row r="99" spans="1:14" x14ac:dyDescent="0.25">
      <c r="A99" s="208"/>
      <c r="B99" s="225"/>
      <c r="C99" s="25" t="s">
        <v>114</v>
      </c>
      <c r="D99" s="1" t="s">
        <v>8</v>
      </c>
      <c r="E99" s="122"/>
      <c r="F99" s="122"/>
      <c r="G99" s="122"/>
      <c r="H99" s="122"/>
      <c r="I99" s="122"/>
      <c r="J99" s="122"/>
      <c r="K99" s="122"/>
      <c r="L99" s="122"/>
      <c r="M99" s="122"/>
      <c r="N99" s="54"/>
    </row>
    <row r="100" spans="1:14" x14ac:dyDescent="0.25">
      <c r="A100" s="208"/>
      <c r="B100" s="225"/>
      <c r="C100" s="25" t="s">
        <v>115</v>
      </c>
      <c r="D100" s="1" t="s">
        <v>9</v>
      </c>
      <c r="E100" s="123">
        <v>6.2310156729020081</v>
      </c>
      <c r="F100" s="123">
        <v>5.2776541092880542</v>
      </c>
      <c r="G100" s="123">
        <v>4.1122721591328899</v>
      </c>
      <c r="H100" s="123">
        <v>3.3147840025770408</v>
      </c>
      <c r="I100" s="123">
        <v>2.0378947368421052</v>
      </c>
      <c r="J100" s="123">
        <v>2.0189473684210526</v>
      </c>
      <c r="K100" s="123">
        <v>1.9557894736842103</v>
      </c>
      <c r="L100" s="123">
        <v>1.8231578947368419</v>
      </c>
      <c r="M100" s="123">
        <v>1.557894736842105</v>
      </c>
      <c r="N100" s="54"/>
    </row>
    <row r="101" spans="1:14" x14ac:dyDescent="0.25">
      <c r="A101" s="208"/>
      <c r="B101" s="225"/>
      <c r="C101" s="25" t="s">
        <v>35</v>
      </c>
      <c r="D101" s="1" t="s">
        <v>10</v>
      </c>
      <c r="E101" s="123">
        <v>0</v>
      </c>
      <c r="F101" s="123">
        <v>0</v>
      </c>
      <c r="G101" s="123">
        <v>0</v>
      </c>
      <c r="H101" s="123">
        <v>0</v>
      </c>
      <c r="I101" s="123">
        <v>0</v>
      </c>
      <c r="J101" s="123">
        <v>0</v>
      </c>
      <c r="K101" s="123">
        <v>1.6473473684210525E-3</v>
      </c>
      <c r="L101" s="123">
        <v>1.5133894736842103E-3</v>
      </c>
      <c r="M101" s="123">
        <v>1.2454736842105263E-3</v>
      </c>
      <c r="N101" s="54"/>
    </row>
    <row r="102" spans="1:14" x14ac:dyDescent="0.25">
      <c r="A102" s="208"/>
      <c r="B102" s="225"/>
      <c r="C102" s="26" t="s">
        <v>24</v>
      </c>
      <c r="D102" s="27" t="s">
        <v>10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54"/>
    </row>
    <row r="103" spans="1:14" x14ac:dyDescent="0.25">
      <c r="A103" s="208"/>
      <c r="B103" s="225"/>
      <c r="C103" s="25" t="s">
        <v>25</v>
      </c>
      <c r="D103" s="1" t="s">
        <v>7</v>
      </c>
      <c r="E103" s="124">
        <v>0.9787499999999999</v>
      </c>
      <c r="F103" s="124">
        <v>0.9787499999999999</v>
      </c>
      <c r="G103" s="124">
        <v>0.9787499999999999</v>
      </c>
      <c r="H103" s="124">
        <v>0.9787499999999999</v>
      </c>
      <c r="I103" s="124">
        <v>0.9787499999999999</v>
      </c>
      <c r="J103" s="124">
        <v>0.9787499999999999</v>
      </c>
      <c r="K103" s="124">
        <v>0.99150000000000005</v>
      </c>
      <c r="L103" s="124">
        <v>0.99150000000000005</v>
      </c>
      <c r="M103" s="124">
        <v>0.99150000000000005</v>
      </c>
      <c r="N103" s="54"/>
    </row>
    <row r="104" spans="1:14" x14ac:dyDescent="0.25">
      <c r="A104" s="208"/>
      <c r="B104" s="225"/>
      <c r="C104" s="25" t="s">
        <v>26</v>
      </c>
      <c r="D104" s="1" t="s">
        <v>14</v>
      </c>
      <c r="E104" s="123">
        <v>1524.6</v>
      </c>
      <c r="F104" s="123">
        <v>1749.6</v>
      </c>
      <c r="G104" s="123">
        <v>2349.6</v>
      </c>
      <c r="H104" s="123">
        <v>3174.6</v>
      </c>
      <c r="I104" s="123">
        <v>4299.6000000000004</v>
      </c>
      <c r="J104" s="123">
        <v>14213</v>
      </c>
      <c r="K104" s="123">
        <v>21713</v>
      </c>
      <c r="L104" s="123">
        <v>37463</v>
      </c>
      <c r="M104" s="123">
        <v>68963</v>
      </c>
      <c r="N104" s="54"/>
    </row>
    <row r="105" spans="1:14" x14ac:dyDescent="0.25">
      <c r="A105" s="208"/>
      <c r="B105" s="225"/>
      <c r="C105" s="25" t="s">
        <v>27</v>
      </c>
      <c r="D105" s="1" t="s">
        <v>4</v>
      </c>
      <c r="E105" s="122">
        <v>40</v>
      </c>
      <c r="F105" s="122">
        <v>40</v>
      </c>
      <c r="G105" s="122">
        <v>40</v>
      </c>
      <c r="H105" s="122">
        <v>40</v>
      </c>
      <c r="I105" s="122">
        <v>40</v>
      </c>
      <c r="J105" s="122">
        <v>40</v>
      </c>
      <c r="K105" s="122">
        <v>40</v>
      </c>
      <c r="L105" s="122">
        <v>40</v>
      </c>
      <c r="M105" s="122">
        <v>40</v>
      </c>
      <c r="N105" s="54"/>
    </row>
    <row r="106" spans="1:14" x14ac:dyDescent="0.25">
      <c r="A106" s="208"/>
      <c r="B106" s="225"/>
      <c r="C106" s="25" t="s">
        <v>116</v>
      </c>
      <c r="D106" s="1" t="s">
        <v>19</v>
      </c>
      <c r="E106" s="122">
        <v>0.5</v>
      </c>
      <c r="F106" s="122">
        <v>0.5</v>
      </c>
      <c r="G106" s="122">
        <v>0.5</v>
      </c>
      <c r="H106" s="122">
        <v>0.5</v>
      </c>
      <c r="I106" s="122">
        <v>0.5</v>
      </c>
      <c r="J106" s="122">
        <v>0.5</v>
      </c>
      <c r="K106" s="122">
        <v>0.5</v>
      </c>
      <c r="L106" s="122">
        <v>0.5</v>
      </c>
      <c r="M106" s="122">
        <v>0.5</v>
      </c>
      <c r="N106" s="54"/>
    </row>
    <row r="107" spans="1:14" x14ac:dyDescent="0.25">
      <c r="A107" s="208"/>
      <c r="B107" s="225"/>
      <c r="C107" s="25" t="s">
        <v>28</v>
      </c>
      <c r="D107" s="1" t="s">
        <v>19</v>
      </c>
      <c r="E107" s="122">
        <v>1.3</v>
      </c>
      <c r="F107" s="122">
        <v>1.3</v>
      </c>
      <c r="G107" s="122">
        <v>1.3</v>
      </c>
      <c r="H107" s="122">
        <v>1.3</v>
      </c>
      <c r="I107" s="122">
        <v>1.3</v>
      </c>
      <c r="J107" s="122">
        <v>1.3</v>
      </c>
      <c r="K107" s="122">
        <v>1.3</v>
      </c>
      <c r="L107" s="122">
        <v>1.3</v>
      </c>
      <c r="M107" s="122">
        <v>1.3</v>
      </c>
      <c r="N107" s="54"/>
    </row>
    <row r="108" spans="1:14" x14ac:dyDescent="0.25">
      <c r="A108" s="208"/>
      <c r="B108" s="225"/>
      <c r="C108" s="25" t="s">
        <v>29</v>
      </c>
      <c r="D108" s="1" t="s">
        <v>4</v>
      </c>
      <c r="E108" s="122">
        <v>20</v>
      </c>
      <c r="F108" s="122">
        <v>20</v>
      </c>
      <c r="G108" s="122">
        <v>20</v>
      </c>
      <c r="H108" s="122">
        <v>20</v>
      </c>
      <c r="I108" s="122">
        <v>20</v>
      </c>
      <c r="J108" s="122">
        <v>20</v>
      </c>
      <c r="K108" s="122">
        <v>20</v>
      </c>
      <c r="L108" s="122">
        <v>20</v>
      </c>
      <c r="M108" s="122">
        <v>20</v>
      </c>
      <c r="N108" s="54"/>
    </row>
    <row r="109" spans="1:14" x14ac:dyDescent="0.25">
      <c r="A109" s="208"/>
      <c r="B109" s="225"/>
      <c r="C109" s="25" t="s">
        <v>30</v>
      </c>
      <c r="D109" s="1" t="s">
        <v>6</v>
      </c>
      <c r="E109" s="123">
        <v>1152.3913936979507</v>
      </c>
      <c r="F109" s="123">
        <v>822.90511868819738</v>
      </c>
      <c r="G109" s="123">
        <v>545.22351181490808</v>
      </c>
      <c r="H109" s="123">
        <v>458.47760255879234</v>
      </c>
      <c r="I109" s="123">
        <v>458.47760255879234</v>
      </c>
      <c r="J109" s="123">
        <v>458.47760255879234</v>
      </c>
      <c r="K109" s="123">
        <v>1278.4539485788428</v>
      </c>
      <c r="L109" s="123">
        <v>1112.1038090399368</v>
      </c>
      <c r="M109" s="123">
        <v>977.49889242726499</v>
      </c>
      <c r="N109" s="54"/>
    </row>
    <row r="110" spans="1:14" x14ac:dyDescent="0.25">
      <c r="A110" s="208"/>
      <c r="B110" s="225"/>
      <c r="C110" s="25" t="s">
        <v>178</v>
      </c>
      <c r="D110" s="1" t="s">
        <v>19</v>
      </c>
      <c r="E110" s="124">
        <v>0</v>
      </c>
      <c r="F110" s="124">
        <v>0</v>
      </c>
      <c r="G110" s="124">
        <v>0</v>
      </c>
      <c r="H110" s="124">
        <v>0</v>
      </c>
      <c r="I110" s="124">
        <v>0</v>
      </c>
      <c r="J110" s="124">
        <v>0</v>
      </c>
      <c r="K110" s="124">
        <v>0</v>
      </c>
      <c r="L110" s="124">
        <v>0</v>
      </c>
      <c r="M110" s="124">
        <v>0</v>
      </c>
      <c r="N110" s="54"/>
    </row>
    <row r="111" spans="1:14" x14ac:dyDescent="0.25">
      <c r="A111" s="208"/>
      <c r="B111" s="225"/>
      <c r="C111" s="25" t="s">
        <v>117</v>
      </c>
      <c r="D111" s="1" t="s">
        <v>8</v>
      </c>
      <c r="E111" s="122"/>
      <c r="F111" s="122"/>
      <c r="G111" s="122"/>
      <c r="H111" s="122"/>
      <c r="I111" s="122"/>
      <c r="J111" s="122"/>
      <c r="K111" s="122"/>
      <c r="L111" s="122"/>
      <c r="M111" s="122"/>
      <c r="N111" s="54"/>
    </row>
    <row r="112" spans="1:14" x14ac:dyDescent="0.25">
      <c r="A112" s="208"/>
      <c r="B112" s="225"/>
      <c r="C112" s="25" t="s">
        <v>118</v>
      </c>
      <c r="D112" s="1" t="s">
        <v>9</v>
      </c>
      <c r="E112" s="122"/>
      <c r="F112" s="122"/>
      <c r="G112" s="122"/>
      <c r="H112" s="122"/>
      <c r="I112" s="122"/>
      <c r="J112" s="122"/>
      <c r="K112" s="122"/>
      <c r="L112" s="122"/>
      <c r="M112" s="122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2.085E-3</v>
      </c>
      <c r="M113" s="123">
        <v>2.085E-3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122">
        <v>3.33</v>
      </c>
      <c r="F116" s="122">
        <v>3.33</v>
      </c>
      <c r="G116" s="122">
        <v>3.33</v>
      </c>
      <c r="H116" s="122">
        <v>3.33</v>
      </c>
      <c r="I116" s="122">
        <v>3.33</v>
      </c>
      <c r="J116" s="122">
        <v>3.33</v>
      </c>
      <c r="K116" s="122">
        <v>3.33</v>
      </c>
      <c r="L116" s="122">
        <v>3.33</v>
      </c>
      <c r="M116" s="122">
        <v>3.33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122"/>
      <c r="F117" s="122"/>
      <c r="G117" s="122"/>
      <c r="H117" s="122"/>
      <c r="I117" s="122"/>
      <c r="J117" s="122"/>
      <c r="K117" s="122"/>
      <c r="L117" s="122"/>
      <c r="M117" s="122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122"/>
      <c r="F118" s="122"/>
      <c r="G118" s="122"/>
      <c r="H118" s="122"/>
      <c r="I118" s="122"/>
      <c r="J118" s="122"/>
      <c r="K118" s="122"/>
      <c r="L118" s="122"/>
      <c r="M118" s="122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122">
        <v>1</v>
      </c>
      <c r="F119" s="122">
        <v>1</v>
      </c>
      <c r="G119" s="122">
        <v>1</v>
      </c>
      <c r="H119" s="122">
        <v>1</v>
      </c>
      <c r="I119" s="122">
        <v>1</v>
      </c>
      <c r="J119" s="122">
        <v>1</v>
      </c>
      <c r="K119" s="122">
        <v>1</v>
      </c>
      <c r="L119" s="122">
        <v>1</v>
      </c>
      <c r="M119" s="122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122">
        <v>0.35</v>
      </c>
      <c r="F120" s="122">
        <v>0.35</v>
      </c>
      <c r="G120" s="122">
        <v>0.35</v>
      </c>
      <c r="H120" s="122">
        <v>0.35</v>
      </c>
      <c r="I120" s="122">
        <v>0.35</v>
      </c>
      <c r="J120" s="122">
        <v>0.35</v>
      </c>
      <c r="K120" s="122">
        <v>0.35</v>
      </c>
      <c r="L120" s="122">
        <v>0.35</v>
      </c>
      <c r="M120" s="122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122">
        <v>20</v>
      </c>
      <c r="F121" s="122">
        <v>20</v>
      </c>
      <c r="G121" s="122">
        <v>20</v>
      </c>
      <c r="H121" s="122">
        <v>20</v>
      </c>
      <c r="I121" s="122">
        <v>20</v>
      </c>
      <c r="J121" s="122">
        <v>20</v>
      </c>
      <c r="K121" s="122">
        <v>20</v>
      </c>
      <c r="L121" s="122">
        <v>20</v>
      </c>
      <c r="M121" s="122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123">
        <v>207.70052243006694</v>
      </c>
      <c r="F122" s="123">
        <v>175.92180364293515</v>
      </c>
      <c r="G122" s="123">
        <v>137.07573863776301</v>
      </c>
      <c r="H122" s="123">
        <v>110.49280008590137</v>
      </c>
      <c r="I122" s="123">
        <v>107.31263157894738</v>
      </c>
      <c r="J122" s="123">
        <v>107.00631578947369</v>
      </c>
      <c r="K122" s="123">
        <v>105.98526315789475</v>
      </c>
      <c r="L122" s="123">
        <v>103.84105263157896</v>
      </c>
      <c r="M122" s="123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124">
        <v>0</v>
      </c>
      <c r="F123" s="124">
        <v>0</v>
      </c>
      <c r="G123" s="124">
        <v>0</v>
      </c>
      <c r="H123" s="124">
        <v>0</v>
      </c>
      <c r="I123" s="124">
        <v>0</v>
      </c>
      <c r="J123" s="124">
        <v>0</v>
      </c>
      <c r="K123" s="124">
        <v>0</v>
      </c>
      <c r="L123" s="124">
        <v>0</v>
      </c>
      <c r="M123" s="124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122"/>
      <c r="F124" s="122"/>
      <c r="G124" s="122"/>
      <c r="H124" s="122"/>
      <c r="I124" s="122"/>
      <c r="J124" s="122"/>
      <c r="K124" s="122"/>
      <c r="L124" s="122"/>
      <c r="M124" s="122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123">
        <v>6.2310156729020081</v>
      </c>
      <c r="F125" s="123">
        <v>5.2776541092880542</v>
      </c>
      <c r="G125" s="123">
        <v>4.1122721591328899</v>
      </c>
      <c r="H125" s="123">
        <v>3.3147840025770408</v>
      </c>
      <c r="I125" s="123">
        <v>2.0378947368421052</v>
      </c>
      <c r="J125" s="123">
        <v>2.0189473684210526</v>
      </c>
      <c r="K125" s="123">
        <v>1.9557894736842103</v>
      </c>
      <c r="L125" s="123">
        <v>1.8231578947368419</v>
      </c>
      <c r="M125" s="123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1.6473473684210525E-3</v>
      </c>
      <c r="L126" s="123">
        <v>1.5133894736842103E-3</v>
      </c>
      <c r="M126" s="123">
        <v>1.2454736842105263E-3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124">
        <v>0.9787499999999999</v>
      </c>
      <c r="F128" s="124">
        <v>0.9787499999999999</v>
      </c>
      <c r="G128" s="124">
        <v>0.9787499999999999</v>
      </c>
      <c r="H128" s="124">
        <v>0.9787499999999999</v>
      </c>
      <c r="I128" s="124">
        <v>0.9787499999999999</v>
      </c>
      <c r="J128" s="124">
        <v>0.9787499999999999</v>
      </c>
      <c r="K128" s="124">
        <v>0.99150000000000005</v>
      </c>
      <c r="L128" s="124">
        <v>0.99150000000000005</v>
      </c>
      <c r="M128" s="124">
        <v>0.99150000000000005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123">
        <v>1524.6</v>
      </c>
      <c r="F129" s="123">
        <v>1749.6</v>
      </c>
      <c r="G129" s="123">
        <v>2349.6</v>
      </c>
      <c r="H129" s="123">
        <v>3174.6</v>
      </c>
      <c r="I129" s="123">
        <v>4299.6000000000004</v>
      </c>
      <c r="J129" s="123">
        <v>14213</v>
      </c>
      <c r="K129" s="123">
        <v>21713</v>
      </c>
      <c r="L129" s="123">
        <v>37463</v>
      </c>
      <c r="M129" s="123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122">
        <v>40</v>
      </c>
      <c r="F130" s="122">
        <v>40</v>
      </c>
      <c r="G130" s="122">
        <v>40</v>
      </c>
      <c r="H130" s="122">
        <v>40</v>
      </c>
      <c r="I130" s="122">
        <v>40</v>
      </c>
      <c r="J130" s="122">
        <v>40</v>
      </c>
      <c r="K130" s="122">
        <v>40</v>
      </c>
      <c r="L130" s="122">
        <v>40</v>
      </c>
      <c r="M130" s="122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122">
        <v>0.35</v>
      </c>
      <c r="F131" s="122">
        <v>0.35</v>
      </c>
      <c r="G131" s="122">
        <v>0.35</v>
      </c>
      <c r="H131" s="122">
        <v>0.35</v>
      </c>
      <c r="I131" s="122">
        <v>0.35</v>
      </c>
      <c r="J131" s="122">
        <v>0.35</v>
      </c>
      <c r="K131" s="122">
        <v>0.35</v>
      </c>
      <c r="L131" s="122">
        <v>0.35</v>
      </c>
      <c r="M131" s="122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122">
        <v>1.8571428571428572</v>
      </c>
      <c r="F132" s="122">
        <v>1.8571428571428572</v>
      </c>
      <c r="G132" s="122">
        <v>1.8571428571428572</v>
      </c>
      <c r="H132" s="122">
        <v>1.8571428571428572</v>
      </c>
      <c r="I132" s="122">
        <v>1.8571428571428572</v>
      </c>
      <c r="J132" s="122">
        <v>1.8571428571428572</v>
      </c>
      <c r="K132" s="122">
        <v>1.8571428571428572</v>
      </c>
      <c r="L132" s="122">
        <v>1.8571428571428572</v>
      </c>
      <c r="M132" s="122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122">
        <v>20</v>
      </c>
      <c r="F133" s="122">
        <v>20</v>
      </c>
      <c r="G133" s="122">
        <v>20</v>
      </c>
      <c r="H133" s="122">
        <v>20</v>
      </c>
      <c r="I133" s="122">
        <v>20</v>
      </c>
      <c r="J133" s="122">
        <v>20</v>
      </c>
      <c r="K133" s="122">
        <v>20</v>
      </c>
      <c r="L133" s="122">
        <v>20</v>
      </c>
      <c r="M133" s="122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123">
        <v>6446.1263682075942</v>
      </c>
      <c r="F134" s="123">
        <v>4363.6353162151654</v>
      </c>
      <c r="G134" s="123">
        <v>2708.404978638011</v>
      </c>
      <c r="H134" s="123">
        <v>2101.328882850632</v>
      </c>
      <c r="I134" s="123">
        <v>1742.9566020172474</v>
      </c>
      <c r="J134" s="123">
        <v>1429.4675711498674</v>
      </c>
      <c r="K134" s="123">
        <v>1119.0921583216257</v>
      </c>
      <c r="L134" s="123">
        <v>896.38245628520338</v>
      </c>
      <c r="M134" s="123">
        <v>729.96389830866713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122"/>
      <c r="F136" s="122"/>
      <c r="G136" s="122"/>
      <c r="H136" s="122"/>
      <c r="I136" s="122"/>
      <c r="J136" s="122"/>
      <c r="K136" s="122"/>
      <c r="L136" s="122"/>
      <c r="M136" s="122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122"/>
      <c r="F137" s="122"/>
      <c r="G137" s="122"/>
      <c r="H137" s="122"/>
      <c r="I137" s="122"/>
      <c r="J137" s="122"/>
      <c r="K137" s="122"/>
      <c r="L137" s="122"/>
      <c r="M137" s="122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123">
        <v>5.4632155805897732E-2</v>
      </c>
      <c r="F138" s="123">
        <v>6.9225169277652349E-2</v>
      </c>
      <c r="G138" s="123">
        <v>5.5072970988733948E-2</v>
      </c>
      <c r="H138" s="123">
        <v>4.6604222305577481E-2</v>
      </c>
      <c r="I138" s="123">
        <v>4.0289223212275231E-2</v>
      </c>
      <c r="J138" s="123">
        <v>2.4583755873341454E-2</v>
      </c>
      <c r="K138" s="123">
        <v>1.9104989606490121E-2</v>
      </c>
      <c r="L138" s="123">
        <v>1.5182594783541725E-2</v>
      </c>
      <c r="M138" s="123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122"/>
      <c r="F140" s="122"/>
      <c r="G140" s="122"/>
      <c r="H140" s="122"/>
      <c r="I140" s="122"/>
      <c r="J140" s="122"/>
      <c r="K140" s="122"/>
      <c r="L140" s="122"/>
      <c r="M140" s="122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122"/>
      <c r="F141" s="122"/>
      <c r="G141" s="122"/>
      <c r="H141" s="122"/>
      <c r="I141" s="122"/>
      <c r="J141" s="122"/>
      <c r="K141" s="122"/>
      <c r="L141" s="122"/>
      <c r="M141" s="122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125">
        <v>0.25</v>
      </c>
      <c r="F142" s="125">
        <v>0.25</v>
      </c>
      <c r="G142" s="125">
        <v>0.25</v>
      </c>
      <c r="H142" s="125">
        <v>0.25</v>
      </c>
      <c r="I142" s="125">
        <v>0.25</v>
      </c>
      <c r="J142" s="125">
        <v>0.25</v>
      </c>
      <c r="K142" s="125">
        <v>0.25</v>
      </c>
      <c r="L142" s="125">
        <v>0.25</v>
      </c>
      <c r="M142" s="125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124">
        <v>0.66625430833964439</v>
      </c>
      <c r="F143" s="124">
        <v>0.66367464936796561</v>
      </c>
      <c r="G143" s="124">
        <v>0.65679555877682227</v>
      </c>
      <c r="H143" s="124">
        <v>0.64733680921400016</v>
      </c>
      <c r="I143" s="124">
        <v>0.63443851435560639</v>
      </c>
      <c r="J143" s="124">
        <v>0.4680070358050421</v>
      </c>
      <c r="K143" s="124">
        <v>0.46713859851464173</v>
      </c>
      <c r="L143" s="124">
        <v>0.46531488020480088</v>
      </c>
      <c r="M143" s="124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124">
        <v>0.25092243745356524</v>
      </c>
      <c r="F144" s="124">
        <v>0.25657675134016689</v>
      </c>
      <c r="G144" s="124">
        <v>0.27165492170443795</v>
      </c>
      <c r="H144" s="124">
        <v>0.29238740595531065</v>
      </c>
      <c r="I144" s="124">
        <v>0.32065897538831889</v>
      </c>
      <c r="J144" s="124">
        <v>0.41290384467151914</v>
      </c>
      <c r="K144" s="124">
        <v>0.41363974384019625</v>
      </c>
      <c r="L144" s="124">
        <v>0.41518513209441815</v>
      </c>
      <c r="M144" s="124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122">
        <v>0</v>
      </c>
      <c r="F147" s="122">
        <v>0</v>
      </c>
      <c r="G147" s="122">
        <v>0</v>
      </c>
      <c r="H147" s="122">
        <v>0</v>
      </c>
      <c r="I147" s="122">
        <v>0</v>
      </c>
      <c r="J147" s="122">
        <v>0</v>
      </c>
      <c r="K147" s="122">
        <v>0</v>
      </c>
      <c r="L147" s="122">
        <v>0</v>
      </c>
      <c r="M147" s="122">
        <v>0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122">
        <v>1</v>
      </c>
      <c r="F148" s="122">
        <v>1</v>
      </c>
      <c r="G148" s="122">
        <v>1</v>
      </c>
      <c r="H148" s="122">
        <v>1</v>
      </c>
      <c r="I148" s="122">
        <v>1</v>
      </c>
      <c r="J148" s="122">
        <v>1</v>
      </c>
      <c r="K148" s="122">
        <v>1</v>
      </c>
      <c r="L148" s="122">
        <v>1</v>
      </c>
      <c r="M148" s="122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122">
        <v>0.35</v>
      </c>
      <c r="F149" s="122">
        <v>0.35</v>
      </c>
      <c r="G149" s="122">
        <v>0.35</v>
      </c>
      <c r="H149" s="122">
        <v>0.35</v>
      </c>
      <c r="I149" s="122">
        <v>0.35</v>
      </c>
      <c r="J149" s="122">
        <v>0.35</v>
      </c>
      <c r="K149" s="122">
        <v>0.35</v>
      </c>
      <c r="L149" s="122">
        <v>0.35</v>
      </c>
      <c r="M149" s="122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122">
        <v>20</v>
      </c>
      <c r="F150" s="122">
        <v>20</v>
      </c>
      <c r="G150" s="122">
        <v>20</v>
      </c>
      <c r="H150" s="122">
        <v>20</v>
      </c>
      <c r="I150" s="122">
        <v>20</v>
      </c>
      <c r="J150" s="122">
        <v>20</v>
      </c>
      <c r="K150" s="122">
        <v>20</v>
      </c>
      <c r="L150" s="122">
        <v>20</v>
      </c>
      <c r="M150" s="122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123">
        <v>207.70052243006694</v>
      </c>
      <c r="F151" s="123">
        <v>175.92180364293515</v>
      </c>
      <c r="G151" s="123">
        <v>137.07573863776301</v>
      </c>
      <c r="H151" s="123">
        <v>110.49280008590137</v>
      </c>
      <c r="I151" s="123">
        <v>107.31263157894738</v>
      </c>
      <c r="J151" s="123">
        <v>107.00631578947369</v>
      </c>
      <c r="K151" s="123">
        <v>105.98526315789475</v>
      </c>
      <c r="L151" s="123">
        <v>103.84105263157896</v>
      </c>
      <c r="M151" s="123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122"/>
      <c r="F153" s="122"/>
      <c r="G153" s="122"/>
      <c r="H153" s="122"/>
      <c r="I153" s="122"/>
      <c r="J153" s="122"/>
      <c r="K153" s="122"/>
      <c r="L153" s="122"/>
      <c r="M153" s="122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123">
        <v>6.2310156729020081</v>
      </c>
      <c r="F154" s="123">
        <v>5.2776541092880542</v>
      </c>
      <c r="G154" s="123">
        <v>4.1122721591328899</v>
      </c>
      <c r="H154" s="123">
        <v>3.3147840025770408</v>
      </c>
      <c r="I154" s="123">
        <v>2.0378947368421052</v>
      </c>
      <c r="J154" s="123">
        <v>2.0189473684210526</v>
      </c>
      <c r="K154" s="123">
        <v>1.9557894736842103</v>
      </c>
      <c r="L154" s="123">
        <v>1.8231578947368419</v>
      </c>
      <c r="M154" s="123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1.6473473684210525E-3</v>
      </c>
      <c r="L155" s="123">
        <v>1.5133894736842103E-3</v>
      </c>
      <c r="M155" s="123">
        <v>1.2454736842105263E-3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122">
        <v>0.9787499999999999</v>
      </c>
      <c r="F157" s="122">
        <v>0.9787499999999999</v>
      </c>
      <c r="G157" s="122">
        <v>0.9787499999999999</v>
      </c>
      <c r="H157" s="122">
        <v>0.9787499999999999</v>
      </c>
      <c r="I157" s="122">
        <v>0.9787499999999999</v>
      </c>
      <c r="J157" s="122">
        <v>0.9787499999999999</v>
      </c>
      <c r="K157" s="122">
        <v>0.99150000000000005</v>
      </c>
      <c r="L157" s="122">
        <v>0.99150000000000005</v>
      </c>
      <c r="M157" s="122">
        <v>0.99150000000000005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123">
        <v>1524.6</v>
      </c>
      <c r="F158" s="123">
        <v>1749.6</v>
      </c>
      <c r="G158" s="123">
        <v>2349.6</v>
      </c>
      <c r="H158" s="123">
        <v>3174.6</v>
      </c>
      <c r="I158" s="123">
        <v>4299.6000000000004</v>
      </c>
      <c r="J158" s="123">
        <v>14213</v>
      </c>
      <c r="K158" s="123">
        <v>21713</v>
      </c>
      <c r="L158" s="123">
        <v>37463</v>
      </c>
      <c r="M158" s="123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122">
        <v>40</v>
      </c>
      <c r="F159" s="122">
        <v>40</v>
      </c>
      <c r="G159" s="122">
        <v>40</v>
      </c>
      <c r="H159" s="122">
        <v>40</v>
      </c>
      <c r="I159" s="122">
        <v>40</v>
      </c>
      <c r="J159" s="122">
        <v>40</v>
      </c>
      <c r="K159" s="122">
        <v>40</v>
      </c>
      <c r="L159" s="122">
        <v>40</v>
      </c>
      <c r="M159" s="122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122">
        <v>0.35</v>
      </c>
      <c r="F160" s="122">
        <v>0.35</v>
      </c>
      <c r="G160" s="122">
        <v>0.35</v>
      </c>
      <c r="H160" s="122">
        <v>0.35</v>
      </c>
      <c r="I160" s="122">
        <v>0.35</v>
      </c>
      <c r="J160" s="122">
        <v>0.35</v>
      </c>
      <c r="K160" s="122">
        <v>0.35</v>
      </c>
      <c r="L160" s="122">
        <v>0.35</v>
      </c>
      <c r="M160" s="122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122">
        <v>1.8571428571428572</v>
      </c>
      <c r="F161" s="122">
        <v>1.8571428571428572</v>
      </c>
      <c r="G161" s="122">
        <v>1.8571428571428572</v>
      </c>
      <c r="H161" s="122">
        <v>1.8571428571428572</v>
      </c>
      <c r="I161" s="122">
        <v>1.8571428571428572</v>
      </c>
      <c r="J161" s="122">
        <v>1.8571428571428572</v>
      </c>
      <c r="K161" s="122">
        <v>1.8571428571428572</v>
      </c>
      <c r="L161" s="122">
        <v>1.8571428571428572</v>
      </c>
      <c r="M161" s="122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122">
        <v>20</v>
      </c>
      <c r="F162" s="122">
        <v>20</v>
      </c>
      <c r="G162" s="122">
        <v>20</v>
      </c>
      <c r="H162" s="122">
        <v>20</v>
      </c>
      <c r="I162" s="122">
        <v>20</v>
      </c>
      <c r="J162" s="122">
        <v>20</v>
      </c>
      <c r="K162" s="122">
        <v>20</v>
      </c>
      <c r="L162" s="122">
        <v>20</v>
      </c>
      <c r="M162" s="122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123">
        <v>6446.1263682075942</v>
      </c>
      <c r="F163" s="123">
        <v>4363.6353162151654</v>
      </c>
      <c r="G163" s="123">
        <v>2708.404978638011</v>
      </c>
      <c r="H163" s="123">
        <v>2101.328882850632</v>
      </c>
      <c r="I163" s="123">
        <v>1742.9566020172474</v>
      </c>
      <c r="J163" s="123">
        <v>1429.4675711498674</v>
      </c>
      <c r="K163" s="123">
        <v>1119.0921583216257</v>
      </c>
      <c r="L163" s="123">
        <v>896.38245628520338</v>
      </c>
      <c r="M163" s="123">
        <v>729.96389830866713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122"/>
      <c r="F165" s="122"/>
      <c r="G165" s="122"/>
      <c r="H165" s="122"/>
      <c r="I165" s="122"/>
      <c r="J165" s="122"/>
      <c r="K165" s="122"/>
      <c r="L165" s="122"/>
      <c r="M165" s="122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122"/>
      <c r="F166" s="122"/>
      <c r="G166" s="122"/>
      <c r="H166" s="122"/>
      <c r="I166" s="122"/>
      <c r="J166" s="122"/>
      <c r="K166" s="122"/>
      <c r="L166" s="122"/>
      <c r="M166" s="122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123">
        <v>5.4632155805897732E-2</v>
      </c>
      <c r="F167" s="123">
        <v>6.9225169277652349E-2</v>
      </c>
      <c r="G167" s="123">
        <v>5.5072970988733948E-2</v>
      </c>
      <c r="H167" s="123">
        <v>4.6604222305577481E-2</v>
      </c>
      <c r="I167" s="123">
        <v>4.0289223212275231E-2</v>
      </c>
      <c r="J167" s="123">
        <v>2.4583755873341454E-2</v>
      </c>
      <c r="K167" s="123">
        <v>1.9104989606490121E-2</v>
      </c>
      <c r="L167" s="123">
        <v>1.5182594783541725E-2</v>
      </c>
      <c r="M167" s="123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122"/>
      <c r="F169" s="122"/>
      <c r="G169" s="122"/>
      <c r="H169" s="122"/>
      <c r="I169" s="122"/>
      <c r="J169" s="122"/>
      <c r="K169" s="122"/>
      <c r="L169" s="122"/>
      <c r="M169" s="122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122"/>
      <c r="F170" s="122"/>
      <c r="G170" s="122"/>
      <c r="H170" s="122"/>
      <c r="I170" s="122"/>
      <c r="J170" s="122"/>
      <c r="K170" s="122"/>
      <c r="L170" s="122"/>
      <c r="M170" s="122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125">
        <v>0.5</v>
      </c>
      <c r="F171" s="125">
        <v>0.5</v>
      </c>
      <c r="G171" s="125">
        <v>0.5</v>
      </c>
      <c r="H171" s="125">
        <v>0.5</v>
      </c>
      <c r="I171" s="125">
        <v>0.5</v>
      </c>
      <c r="J171" s="125">
        <v>0.5</v>
      </c>
      <c r="K171" s="125">
        <v>0.5</v>
      </c>
      <c r="L171" s="125">
        <v>0.5</v>
      </c>
      <c r="M171" s="125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124">
        <v>0.66625430833964439</v>
      </c>
      <c r="F172" s="124">
        <v>0.66367464936796561</v>
      </c>
      <c r="G172" s="124">
        <v>0.65679555877682227</v>
      </c>
      <c r="H172" s="124">
        <v>0.64733680921400016</v>
      </c>
      <c r="I172" s="124">
        <v>0.63443851435560639</v>
      </c>
      <c r="J172" s="124">
        <v>0.4680070358050421</v>
      </c>
      <c r="K172" s="124">
        <v>0.46713859851464173</v>
      </c>
      <c r="L172" s="124">
        <v>0.46531488020480088</v>
      </c>
      <c r="M172" s="124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124">
        <v>0.25092243745356524</v>
      </c>
      <c r="F173" s="124">
        <v>0.25657675134016689</v>
      </c>
      <c r="G173" s="124">
        <v>0.27165492170443795</v>
      </c>
      <c r="H173" s="124">
        <v>0.29238740595531065</v>
      </c>
      <c r="I173" s="124">
        <v>0.32065897538831889</v>
      </c>
      <c r="J173" s="124">
        <v>0.41290384467151914</v>
      </c>
      <c r="K173" s="124">
        <v>0.41363974384019625</v>
      </c>
      <c r="L173" s="124">
        <v>0.41518513209441815</v>
      </c>
      <c r="M173" s="124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123">
        <v>0</v>
      </c>
      <c r="F174" s="123">
        <v>0</v>
      </c>
      <c r="G174" s="123">
        <v>0</v>
      </c>
      <c r="H174" s="123">
        <v>0</v>
      </c>
      <c r="I174" s="123">
        <v>0</v>
      </c>
      <c r="J174" s="123">
        <v>0</v>
      </c>
      <c r="K174" s="123">
        <v>0</v>
      </c>
      <c r="L174" s="123">
        <v>0</v>
      </c>
      <c r="M174" s="123">
        <v>0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123">
        <v>0</v>
      </c>
      <c r="F175" s="123">
        <v>0</v>
      </c>
      <c r="G175" s="123">
        <v>0</v>
      </c>
      <c r="H175" s="123">
        <v>0</v>
      </c>
      <c r="I175" s="123">
        <v>0</v>
      </c>
      <c r="J175" s="123">
        <v>0</v>
      </c>
      <c r="K175" s="123">
        <v>0</v>
      </c>
      <c r="L175" s="123">
        <v>0</v>
      </c>
      <c r="M175" s="123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122">
        <v>0</v>
      </c>
      <c r="F176" s="122">
        <v>0</v>
      </c>
      <c r="G176" s="122">
        <v>0</v>
      </c>
      <c r="H176" s="122">
        <v>0</v>
      </c>
      <c r="I176" s="122">
        <v>0</v>
      </c>
      <c r="J176" s="122">
        <v>0</v>
      </c>
      <c r="K176" s="122">
        <v>0</v>
      </c>
      <c r="L176" s="122">
        <v>0</v>
      </c>
      <c r="M176" s="122">
        <v>0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126">
        <v>1</v>
      </c>
      <c r="F177" s="126">
        <v>1</v>
      </c>
      <c r="G177" s="126">
        <v>1</v>
      </c>
      <c r="H177" s="126">
        <v>1</v>
      </c>
      <c r="I177" s="126">
        <v>1</v>
      </c>
      <c r="J177" s="126">
        <v>1</v>
      </c>
      <c r="K177" s="126">
        <v>1</v>
      </c>
      <c r="L177" s="126">
        <v>1</v>
      </c>
      <c r="M177" s="126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122">
        <v>0.8</v>
      </c>
      <c r="F178" s="122">
        <v>0.8</v>
      </c>
      <c r="G178" s="122">
        <v>0.8</v>
      </c>
      <c r="H178" s="122">
        <v>0.8</v>
      </c>
      <c r="I178" s="122">
        <v>0.8</v>
      </c>
      <c r="J178" s="122">
        <v>0.8</v>
      </c>
      <c r="K178" s="122">
        <v>0.8</v>
      </c>
      <c r="L178" s="122">
        <v>0.8</v>
      </c>
      <c r="M178" s="122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122">
        <v>20</v>
      </c>
      <c r="F179" s="122">
        <v>20</v>
      </c>
      <c r="G179" s="122">
        <v>20</v>
      </c>
      <c r="H179" s="122">
        <v>20</v>
      </c>
      <c r="I179" s="122">
        <v>20</v>
      </c>
      <c r="J179" s="122">
        <v>20</v>
      </c>
      <c r="K179" s="122">
        <v>20</v>
      </c>
      <c r="L179" s="122">
        <v>20</v>
      </c>
      <c r="M179" s="122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123">
        <v>207.70052243006694</v>
      </c>
      <c r="F180" s="123">
        <v>175.92180364293515</v>
      </c>
      <c r="G180" s="123">
        <v>137.07573863776301</v>
      </c>
      <c r="H180" s="123">
        <v>110.49280008590137</v>
      </c>
      <c r="I180" s="123">
        <v>107.31263157894738</v>
      </c>
      <c r="J180" s="123">
        <v>107.00631578947369</v>
      </c>
      <c r="K180" s="123">
        <v>105.98526315789475</v>
      </c>
      <c r="L180" s="123">
        <v>103.84105263157896</v>
      </c>
      <c r="M180" s="123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124">
        <v>0</v>
      </c>
      <c r="F181" s="124">
        <v>0</v>
      </c>
      <c r="G181" s="124">
        <v>0</v>
      </c>
      <c r="H181" s="124">
        <v>0</v>
      </c>
      <c r="I181" s="124">
        <v>0</v>
      </c>
      <c r="J181" s="124">
        <v>0</v>
      </c>
      <c r="K181" s="124">
        <v>0</v>
      </c>
      <c r="L181" s="124">
        <v>0</v>
      </c>
      <c r="M181" s="124">
        <v>0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122"/>
      <c r="F182" s="122"/>
      <c r="G182" s="122"/>
      <c r="H182" s="122"/>
      <c r="I182" s="122"/>
      <c r="J182" s="122"/>
      <c r="K182" s="122"/>
      <c r="L182" s="122"/>
      <c r="M182" s="122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123">
        <v>6.2310156729020081</v>
      </c>
      <c r="F183" s="123">
        <v>5.2776541092880542</v>
      </c>
      <c r="G183" s="123">
        <v>4.1122721591328899</v>
      </c>
      <c r="H183" s="123">
        <v>3.3147840025770408</v>
      </c>
      <c r="I183" s="123">
        <v>2.0378947368421052</v>
      </c>
      <c r="J183" s="123">
        <v>2.0189473684210526</v>
      </c>
      <c r="K183" s="123">
        <v>1.9557894736842103</v>
      </c>
      <c r="L183" s="123">
        <v>1.8231578947368419</v>
      </c>
      <c r="M183" s="123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1.6473473684210525E-3</v>
      </c>
      <c r="L184" s="123">
        <v>1.5133894736842103E-3</v>
      </c>
      <c r="M184" s="123">
        <v>1.2454736842105263E-3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122">
        <v>0.9787499999999999</v>
      </c>
      <c r="F186" s="122">
        <v>0.9787499999999999</v>
      </c>
      <c r="G186" s="122">
        <v>0.9787499999999999</v>
      </c>
      <c r="H186" s="122">
        <v>0.9787499999999999</v>
      </c>
      <c r="I186" s="122">
        <v>0.9787499999999999</v>
      </c>
      <c r="J186" s="122">
        <v>0.9787499999999999</v>
      </c>
      <c r="K186" s="122">
        <v>0.99150000000000005</v>
      </c>
      <c r="L186" s="122">
        <v>0.99150000000000005</v>
      </c>
      <c r="M186" s="122">
        <v>0.99150000000000005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123">
        <v>1524.6</v>
      </c>
      <c r="F187" s="123">
        <v>1749.6</v>
      </c>
      <c r="G187" s="123">
        <v>2349.6</v>
      </c>
      <c r="H187" s="123">
        <v>3174.6</v>
      </c>
      <c r="I187" s="123">
        <v>4299.6000000000004</v>
      </c>
      <c r="J187" s="123">
        <v>14213</v>
      </c>
      <c r="K187" s="123">
        <v>21713</v>
      </c>
      <c r="L187" s="123">
        <v>37463</v>
      </c>
      <c r="M187" s="123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122">
        <v>40</v>
      </c>
      <c r="F188" s="122">
        <v>40</v>
      </c>
      <c r="G188" s="122">
        <v>40</v>
      </c>
      <c r="H188" s="122">
        <v>40</v>
      </c>
      <c r="I188" s="122">
        <v>40</v>
      </c>
      <c r="J188" s="122">
        <v>40</v>
      </c>
      <c r="K188" s="122">
        <v>40</v>
      </c>
      <c r="L188" s="122">
        <v>40</v>
      </c>
      <c r="M188" s="122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126">
        <v>0.3125</v>
      </c>
      <c r="F189" s="126">
        <v>0.3125</v>
      </c>
      <c r="G189" s="126">
        <v>0.3125</v>
      </c>
      <c r="H189" s="126">
        <v>0.3125</v>
      </c>
      <c r="I189" s="126">
        <v>0.3125</v>
      </c>
      <c r="J189" s="126">
        <v>0.3125</v>
      </c>
      <c r="K189" s="126">
        <v>0.3125</v>
      </c>
      <c r="L189" s="126">
        <v>0.3125</v>
      </c>
      <c r="M189" s="126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122">
        <v>0.64</v>
      </c>
      <c r="F190" s="122">
        <v>0.64</v>
      </c>
      <c r="G190" s="122">
        <v>0.64</v>
      </c>
      <c r="H190" s="122">
        <v>0.64</v>
      </c>
      <c r="I190" s="122">
        <v>0.64</v>
      </c>
      <c r="J190" s="122">
        <v>0.64</v>
      </c>
      <c r="K190" s="122">
        <v>0.64</v>
      </c>
      <c r="L190" s="122">
        <v>0.64</v>
      </c>
      <c r="M190" s="122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122">
        <v>20</v>
      </c>
      <c r="F191" s="122">
        <v>20</v>
      </c>
      <c r="G191" s="122">
        <v>20</v>
      </c>
      <c r="H191" s="122">
        <v>20</v>
      </c>
      <c r="I191" s="122">
        <v>20</v>
      </c>
      <c r="J191" s="122">
        <v>20</v>
      </c>
      <c r="K191" s="122">
        <v>20</v>
      </c>
      <c r="L191" s="122">
        <v>20</v>
      </c>
      <c r="M191" s="122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127">
        <v>923.0754808366645</v>
      </c>
      <c r="F192" s="123">
        <v>909.14924346027067</v>
      </c>
      <c r="G192" s="123">
        <v>872.01261045655372</v>
      </c>
      <c r="H192" s="123">
        <v>820.94974007644282</v>
      </c>
      <c r="I192" s="123">
        <v>751.31855319447357</v>
      </c>
      <c r="J192" s="123">
        <v>612.05617943053505</v>
      </c>
      <c r="K192" s="123">
        <v>521.07142857142856</v>
      </c>
      <c r="L192" s="123">
        <v>521.07142857142856</v>
      </c>
      <c r="M192" s="123">
        <v>521.07142857142856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124">
        <v>0</v>
      </c>
      <c r="F193" s="124">
        <v>0</v>
      </c>
      <c r="G193" s="124">
        <v>0</v>
      </c>
      <c r="H193" s="124">
        <v>0</v>
      </c>
      <c r="I193" s="124">
        <v>0</v>
      </c>
      <c r="J193" s="124">
        <v>0</v>
      </c>
      <c r="K193" s="124">
        <v>0</v>
      </c>
      <c r="L193" s="124">
        <v>0</v>
      </c>
      <c r="M193" s="124">
        <v>0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123">
        <v>54.38718703976437</v>
      </c>
      <c r="F194" s="123">
        <v>71.452724594992645</v>
      </c>
      <c r="G194" s="123">
        <v>116.96082474226804</v>
      </c>
      <c r="H194" s="123">
        <v>179.53446244477172</v>
      </c>
      <c r="I194" s="123">
        <v>264.86215022091312</v>
      </c>
      <c r="J194" s="123">
        <v>435.51752577319587</v>
      </c>
      <c r="K194" s="123">
        <v>606.17290132547862</v>
      </c>
      <c r="L194" s="123">
        <v>606.17290132547862</v>
      </c>
      <c r="M194" s="123">
        <v>606.17290132547862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122"/>
      <c r="F195" s="122"/>
      <c r="G195" s="122"/>
      <c r="H195" s="122"/>
      <c r="I195" s="122"/>
      <c r="J195" s="122"/>
      <c r="K195" s="122"/>
      <c r="L195" s="122"/>
      <c r="M195" s="122"/>
    </row>
    <row r="196" spans="1:14" x14ac:dyDescent="0.25">
      <c r="A196" s="208"/>
      <c r="B196" s="225"/>
      <c r="C196" s="25" t="s">
        <v>135</v>
      </c>
      <c r="D196" s="1" t="s">
        <v>10</v>
      </c>
      <c r="E196" s="122"/>
      <c r="F196" s="122"/>
      <c r="G196" s="122"/>
      <c r="H196" s="122"/>
      <c r="I196" s="122"/>
      <c r="J196" s="122"/>
      <c r="K196" s="122"/>
      <c r="L196" s="122"/>
      <c r="M196" s="122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122"/>
      <c r="F197" s="122"/>
      <c r="G197" s="122"/>
      <c r="H197" s="122"/>
      <c r="I197" s="122"/>
      <c r="J197" s="122"/>
      <c r="K197" s="122"/>
      <c r="L197" s="122"/>
      <c r="M197" s="122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122">
        <v>1</v>
      </c>
      <c r="F198" s="122">
        <v>1</v>
      </c>
      <c r="G198" s="122">
        <v>1</v>
      </c>
      <c r="H198" s="122">
        <v>1</v>
      </c>
      <c r="I198" s="122">
        <v>1</v>
      </c>
      <c r="J198" s="122">
        <v>1</v>
      </c>
      <c r="K198" s="122">
        <v>1</v>
      </c>
      <c r="L198" s="122">
        <v>1</v>
      </c>
      <c r="M198" s="122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122">
        <v>0.65</v>
      </c>
      <c r="F199" s="122">
        <v>0.65</v>
      </c>
      <c r="G199" s="122">
        <v>0.65</v>
      </c>
      <c r="H199" s="122">
        <v>0.65</v>
      </c>
      <c r="I199" s="122">
        <v>0.65</v>
      </c>
      <c r="J199" s="122">
        <v>0.65</v>
      </c>
      <c r="K199" s="122">
        <v>0.65</v>
      </c>
      <c r="L199" s="122">
        <v>0.65</v>
      </c>
      <c r="M199" s="122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122">
        <v>20</v>
      </c>
      <c r="F200" s="122">
        <v>20</v>
      </c>
      <c r="G200" s="122">
        <v>20</v>
      </c>
      <c r="H200" s="122">
        <v>20</v>
      </c>
      <c r="I200" s="122">
        <v>20</v>
      </c>
      <c r="J200" s="122">
        <v>20</v>
      </c>
      <c r="K200" s="122">
        <v>20</v>
      </c>
      <c r="L200" s="122">
        <v>20</v>
      </c>
      <c r="M200" s="122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123">
        <v>207.70052243006694</v>
      </c>
      <c r="F201" s="123">
        <v>175.92180364293515</v>
      </c>
      <c r="G201" s="123">
        <v>137.07573863776301</v>
      </c>
      <c r="H201" s="123">
        <v>110.49280008590137</v>
      </c>
      <c r="I201" s="123">
        <v>107.31263157894738</v>
      </c>
      <c r="J201" s="123">
        <v>107.00631578947369</v>
      </c>
      <c r="K201" s="123">
        <v>105.98526315789475</v>
      </c>
      <c r="L201" s="123">
        <v>103.84105263157896</v>
      </c>
      <c r="M201" s="123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124">
        <v>0</v>
      </c>
      <c r="F202" s="124">
        <v>0</v>
      </c>
      <c r="G202" s="124">
        <v>0</v>
      </c>
      <c r="H202" s="124">
        <v>0</v>
      </c>
      <c r="I202" s="124">
        <v>0</v>
      </c>
      <c r="J202" s="124">
        <v>0</v>
      </c>
      <c r="K202" s="124">
        <v>0</v>
      </c>
      <c r="L202" s="124">
        <v>0</v>
      </c>
      <c r="M202" s="124">
        <v>0</v>
      </c>
    </row>
    <row r="203" spans="1:14" x14ac:dyDescent="0.25">
      <c r="A203" s="208"/>
      <c r="B203" s="225"/>
      <c r="C203" s="25" t="s">
        <v>114</v>
      </c>
      <c r="D203" s="1" t="s">
        <v>8</v>
      </c>
      <c r="E203" s="122"/>
      <c r="F203" s="122"/>
      <c r="G203" s="122"/>
      <c r="H203" s="122"/>
      <c r="I203" s="122"/>
      <c r="J203" s="122"/>
      <c r="K203" s="122"/>
      <c r="L203" s="122"/>
      <c r="M203" s="122"/>
    </row>
    <row r="204" spans="1:14" x14ac:dyDescent="0.25">
      <c r="A204" s="208"/>
      <c r="B204" s="225"/>
      <c r="C204" s="25" t="s">
        <v>115</v>
      </c>
      <c r="D204" s="1" t="s">
        <v>9</v>
      </c>
      <c r="E204" s="123">
        <v>6.2310156729020081</v>
      </c>
      <c r="F204" s="123">
        <v>5.2776541092880542</v>
      </c>
      <c r="G204" s="123">
        <v>4.1122721591328899</v>
      </c>
      <c r="H204" s="123">
        <v>3.3147840025770408</v>
      </c>
      <c r="I204" s="123">
        <v>2.0378947368421052</v>
      </c>
      <c r="J204" s="123">
        <v>2.0189473684210526</v>
      </c>
      <c r="K204" s="123">
        <v>1.9557894736842103</v>
      </c>
      <c r="L204" s="123">
        <v>1.8231578947368419</v>
      </c>
      <c r="M204" s="123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1.6473473684210525E-3</v>
      </c>
      <c r="L205" s="123">
        <v>1.5133894736842103E-3</v>
      </c>
      <c r="M205" s="123">
        <v>1.2454736842105263E-3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122">
        <v>0.9787499999999999</v>
      </c>
      <c r="F207" s="122">
        <v>0.9787499999999999</v>
      </c>
      <c r="G207" s="122">
        <v>0.9787499999999999</v>
      </c>
      <c r="H207" s="122">
        <v>0.9787499999999999</v>
      </c>
      <c r="I207" s="122">
        <v>0.9787499999999999</v>
      </c>
      <c r="J207" s="122">
        <v>0.9787499999999999</v>
      </c>
      <c r="K207" s="122">
        <v>0.99150000000000005</v>
      </c>
      <c r="L207" s="122">
        <v>0.99150000000000005</v>
      </c>
      <c r="M207" s="122">
        <v>0.99150000000000005</v>
      </c>
    </row>
    <row r="208" spans="1:14" x14ac:dyDescent="0.25">
      <c r="A208" s="208"/>
      <c r="B208" s="225"/>
      <c r="C208" s="25" t="s">
        <v>26</v>
      </c>
      <c r="D208" s="1" t="s">
        <v>14</v>
      </c>
      <c r="E208" s="123">
        <v>1524.6</v>
      </c>
      <c r="F208" s="123">
        <v>1749.6</v>
      </c>
      <c r="G208" s="123">
        <v>2349.6</v>
      </c>
      <c r="H208" s="123">
        <v>3174.6</v>
      </c>
      <c r="I208" s="123">
        <v>4299.6000000000004</v>
      </c>
      <c r="J208" s="123">
        <v>14213</v>
      </c>
      <c r="K208" s="123">
        <v>21713</v>
      </c>
      <c r="L208" s="123">
        <v>37463</v>
      </c>
      <c r="M208" s="123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122">
        <v>40</v>
      </c>
      <c r="F209" s="122">
        <v>40</v>
      </c>
      <c r="G209" s="122">
        <v>40</v>
      </c>
      <c r="H209" s="122">
        <v>40</v>
      </c>
      <c r="I209" s="122">
        <v>40</v>
      </c>
      <c r="J209" s="122">
        <v>40</v>
      </c>
      <c r="K209" s="122">
        <v>40</v>
      </c>
      <c r="L209" s="122">
        <v>40</v>
      </c>
      <c r="M209" s="122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126">
        <v>0.546875</v>
      </c>
      <c r="F210" s="126">
        <v>0.546875</v>
      </c>
      <c r="G210" s="126">
        <v>0.54687499999999989</v>
      </c>
      <c r="H210" s="126">
        <v>0.546875</v>
      </c>
      <c r="I210" s="126">
        <v>0.546875</v>
      </c>
      <c r="J210" s="126">
        <v>0.546875</v>
      </c>
      <c r="K210" s="126">
        <v>0.546875</v>
      </c>
      <c r="L210" s="126">
        <v>0.546875</v>
      </c>
      <c r="M210" s="126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122">
        <v>0.64</v>
      </c>
      <c r="F211" s="122">
        <v>0.64</v>
      </c>
      <c r="G211" s="122">
        <v>0.64</v>
      </c>
      <c r="H211" s="122">
        <v>0.64</v>
      </c>
      <c r="I211" s="122">
        <v>0.64</v>
      </c>
      <c r="J211" s="122">
        <v>0.64</v>
      </c>
      <c r="K211" s="122">
        <v>0.64</v>
      </c>
      <c r="L211" s="122">
        <v>0.64</v>
      </c>
      <c r="M211" s="122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122">
        <v>20</v>
      </c>
      <c r="F212" s="122">
        <v>20</v>
      </c>
      <c r="G212" s="122">
        <v>20</v>
      </c>
      <c r="H212" s="122">
        <v>20</v>
      </c>
      <c r="I212" s="122">
        <v>20</v>
      </c>
      <c r="J212" s="122">
        <v>20</v>
      </c>
      <c r="K212" s="122">
        <v>20</v>
      </c>
      <c r="L212" s="122">
        <v>20</v>
      </c>
      <c r="M212" s="122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127">
        <v>912.63080280436907</v>
      </c>
      <c r="F213" s="123">
        <v>888.25988739567981</v>
      </c>
      <c r="G213" s="123">
        <v>823.2707796391752</v>
      </c>
      <c r="H213" s="123">
        <v>733.91075647398134</v>
      </c>
      <c r="I213" s="123">
        <v>612.05617943053505</v>
      </c>
      <c r="J213" s="123">
        <v>521.07142857142856</v>
      </c>
      <c r="K213" s="123">
        <v>521.07142857142856</v>
      </c>
      <c r="L213" s="123">
        <v>521.07142857142856</v>
      </c>
      <c r="M213" s="123">
        <v>521.07142857142856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124">
        <v>0</v>
      </c>
      <c r="F214" s="124">
        <v>0</v>
      </c>
      <c r="G214" s="124">
        <v>0</v>
      </c>
      <c r="H214" s="124">
        <v>0</v>
      </c>
      <c r="I214" s="124">
        <v>0</v>
      </c>
      <c r="J214" s="124">
        <v>0</v>
      </c>
      <c r="K214" s="124">
        <v>0</v>
      </c>
      <c r="L214" s="124">
        <v>0</v>
      </c>
      <c r="M214" s="124">
        <v>0</v>
      </c>
    </row>
    <row r="215" spans="1:13" x14ac:dyDescent="0.25">
      <c r="A215" s="208"/>
      <c r="B215" s="225"/>
      <c r="C215" s="25" t="s">
        <v>133</v>
      </c>
      <c r="D215" s="1" t="s">
        <v>8</v>
      </c>
      <c r="E215" s="123">
        <v>54.38718703976437</v>
      </c>
      <c r="F215" s="123">
        <v>71.452724594992645</v>
      </c>
      <c r="G215" s="123">
        <v>116.96082474226804</v>
      </c>
      <c r="H215" s="123">
        <v>179.53446244477172</v>
      </c>
      <c r="I215" s="123">
        <v>264.86215022091312</v>
      </c>
      <c r="J215" s="123">
        <v>435.51752577319587</v>
      </c>
      <c r="K215" s="123">
        <v>606.17290132547862</v>
      </c>
      <c r="L215" s="123">
        <v>606.17290132547862</v>
      </c>
      <c r="M215" s="123">
        <v>606.17290132547862</v>
      </c>
    </row>
    <row r="216" spans="1:13" x14ac:dyDescent="0.25">
      <c r="A216" s="208"/>
      <c r="B216" s="225"/>
      <c r="C216" s="25" t="s">
        <v>134</v>
      </c>
      <c r="D216" s="1" t="s">
        <v>9</v>
      </c>
      <c r="E216" s="122"/>
      <c r="F216" s="122"/>
      <c r="G216" s="122"/>
      <c r="H216" s="122"/>
      <c r="I216" s="122"/>
      <c r="J216" s="122"/>
      <c r="K216" s="122"/>
      <c r="L216" s="122"/>
      <c r="M216" s="122"/>
    </row>
    <row r="217" spans="1:13" x14ac:dyDescent="0.25">
      <c r="A217" s="208"/>
      <c r="B217" s="225"/>
      <c r="C217" s="25" t="s">
        <v>135</v>
      </c>
      <c r="D217" s="1" t="s">
        <v>10</v>
      </c>
      <c r="E217" s="122"/>
      <c r="F217" s="122"/>
      <c r="G217" s="122"/>
      <c r="H217" s="122"/>
      <c r="I217" s="122"/>
      <c r="J217" s="122"/>
      <c r="K217" s="122"/>
      <c r="L217" s="122"/>
      <c r="M217" s="122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122"/>
      <c r="F218" s="122"/>
      <c r="G218" s="122"/>
      <c r="H218" s="122"/>
      <c r="I218" s="122"/>
      <c r="J218" s="122"/>
      <c r="K218" s="122"/>
      <c r="L218" s="122"/>
      <c r="M218" s="122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126">
        <v>1</v>
      </c>
      <c r="F219" s="126">
        <v>1</v>
      </c>
      <c r="G219" s="126">
        <v>1</v>
      </c>
      <c r="H219" s="126">
        <v>1</v>
      </c>
      <c r="I219" s="126">
        <v>1</v>
      </c>
      <c r="J219" s="126">
        <v>1</v>
      </c>
      <c r="K219" s="126">
        <v>1</v>
      </c>
      <c r="L219" s="126">
        <v>1</v>
      </c>
      <c r="M219" s="126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122">
        <v>0.8</v>
      </c>
      <c r="F220" s="122">
        <v>0.8</v>
      </c>
      <c r="G220" s="122">
        <v>0.8</v>
      </c>
      <c r="H220" s="122">
        <v>0.8</v>
      </c>
      <c r="I220" s="122">
        <v>0.8</v>
      </c>
      <c r="J220" s="122">
        <v>0.8</v>
      </c>
      <c r="K220" s="122">
        <v>0.8</v>
      </c>
      <c r="L220" s="122">
        <v>0.8</v>
      </c>
      <c r="M220" s="122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122">
        <v>20</v>
      </c>
      <c r="F221" s="122">
        <v>20</v>
      </c>
      <c r="G221" s="122">
        <v>20</v>
      </c>
      <c r="H221" s="122">
        <v>20</v>
      </c>
      <c r="I221" s="122">
        <v>20</v>
      </c>
      <c r="J221" s="122">
        <v>20</v>
      </c>
      <c r="K221" s="122">
        <v>20</v>
      </c>
      <c r="L221" s="122">
        <v>20</v>
      </c>
      <c r="M221" s="122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123">
        <v>822.90511868819738</v>
      </c>
      <c r="F222" s="123">
        <v>587.62399482196031</v>
      </c>
      <c r="G222" s="123">
        <v>458.47760255879234</v>
      </c>
      <c r="H222" s="123">
        <v>458.47760255879234</v>
      </c>
      <c r="I222" s="123">
        <v>458.47760255879234</v>
      </c>
      <c r="J222" s="123">
        <v>458.47760255879234</v>
      </c>
      <c r="K222" s="123">
        <v>1133.7480098003448</v>
      </c>
      <c r="L222" s="123">
        <v>986.22674801231153</v>
      </c>
      <c r="M222" s="123">
        <v>866.85752357634294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124">
        <v>0</v>
      </c>
      <c r="F223" s="124">
        <v>0</v>
      </c>
      <c r="G223" s="124">
        <v>0</v>
      </c>
      <c r="H223" s="124">
        <v>0</v>
      </c>
      <c r="I223" s="124">
        <v>0</v>
      </c>
      <c r="J223" s="124">
        <v>0</v>
      </c>
      <c r="K223" s="124">
        <v>0</v>
      </c>
      <c r="L223" s="124">
        <v>0</v>
      </c>
      <c r="M223" s="124">
        <v>0</v>
      </c>
    </row>
    <row r="224" spans="1:13" x14ac:dyDescent="0.25">
      <c r="A224" s="227"/>
      <c r="B224" s="230"/>
      <c r="C224" s="25" t="s">
        <v>117</v>
      </c>
      <c r="D224" s="1" t="s">
        <v>8</v>
      </c>
      <c r="E224" s="122"/>
      <c r="F224" s="122"/>
      <c r="G224" s="122"/>
      <c r="H224" s="122"/>
      <c r="I224" s="122"/>
      <c r="J224" s="122"/>
      <c r="K224" s="122"/>
      <c r="L224" s="122"/>
      <c r="M224" s="122"/>
    </row>
    <row r="225" spans="1:13" x14ac:dyDescent="0.25">
      <c r="A225" s="227"/>
      <c r="B225" s="230"/>
      <c r="C225" s="25" t="s">
        <v>118</v>
      </c>
      <c r="D225" s="1" t="s">
        <v>9</v>
      </c>
      <c r="E225" s="122"/>
      <c r="F225" s="122"/>
      <c r="G225" s="122"/>
      <c r="H225" s="122"/>
      <c r="I225" s="122"/>
      <c r="J225" s="122"/>
      <c r="K225" s="122"/>
      <c r="L225" s="122"/>
      <c r="M225" s="122"/>
    </row>
    <row r="226" spans="1:13" x14ac:dyDescent="0.25">
      <c r="A226" s="227"/>
      <c r="B226" s="230"/>
      <c r="C226" s="25" t="s">
        <v>119</v>
      </c>
      <c r="D226" s="1" t="s">
        <v>10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2.085E-3</v>
      </c>
      <c r="L226" s="123">
        <v>2.085E-3</v>
      </c>
      <c r="M226" s="123">
        <v>2.085E-3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123">
        <v>0</v>
      </c>
      <c r="F227" s="123">
        <v>0</v>
      </c>
      <c r="G227" s="123">
        <v>0</v>
      </c>
      <c r="H227" s="123">
        <v>0</v>
      </c>
      <c r="I227" s="123">
        <v>0</v>
      </c>
      <c r="J227" s="123">
        <v>0</v>
      </c>
      <c r="K227" s="123">
        <v>0</v>
      </c>
      <c r="L227" s="123">
        <v>0</v>
      </c>
      <c r="M227" s="123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123">
        <v>0</v>
      </c>
      <c r="F228" s="123">
        <v>0</v>
      </c>
      <c r="G228" s="123">
        <v>0</v>
      </c>
      <c r="H228" s="123">
        <v>0</v>
      </c>
      <c r="I228" s="123">
        <v>0</v>
      </c>
      <c r="J228" s="123">
        <v>0</v>
      </c>
      <c r="K228" s="123">
        <v>0</v>
      </c>
      <c r="L228" s="123">
        <v>0</v>
      </c>
      <c r="M228" s="123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122">
        <v>3.33</v>
      </c>
      <c r="F229" s="122">
        <v>3.33</v>
      </c>
      <c r="G229" s="122">
        <v>3.33</v>
      </c>
      <c r="H229" s="122">
        <v>3.33</v>
      </c>
      <c r="I229" s="122">
        <v>3.33</v>
      </c>
      <c r="J229" s="122">
        <v>3.33</v>
      </c>
      <c r="K229" s="122">
        <v>3.33</v>
      </c>
      <c r="L229" s="122">
        <v>3.33</v>
      </c>
      <c r="M229" s="122">
        <v>3.33</v>
      </c>
    </row>
    <row r="230" spans="1:13" x14ac:dyDescent="0.25">
      <c r="A230" s="227"/>
      <c r="B230" s="230"/>
      <c r="C230" s="25" t="s">
        <v>33</v>
      </c>
      <c r="D230" s="2" t="s">
        <v>14</v>
      </c>
      <c r="E230" s="122"/>
      <c r="F230" s="122"/>
      <c r="G230" s="122"/>
      <c r="H230" s="122"/>
      <c r="I230" s="122"/>
      <c r="J230" s="122"/>
      <c r="K230" s="122"/>
      <c r="L230" s="122"/>
      <c r="M230" s="122"/>
    </row>
    <row r="231" spans="1:13" x14ac:dyDescent="0.25">
      <c r="A231" s="227"/>
      <c r="B231" s="230"/>
      <c r="C231" s="25" t="s">
        <v>34</v>
      </c>
      <c r="D231" s="2" t="s">
        <v>4</v>
      </c>
      <c r="E231" s="122"/>
      <c r="F231" s="122"/>
      <c r="G231" s="122"/>
      <c r="H231" s="122"/>
      <c r="I231" s="122"/>
      <c r="J231" s="122"/>
      <c r="K231" s="122"/>
      <c r="L231" s="122"/>
      <c r="M231" s="122"/>
    </row>
    <row r="232" spans="1:13" x14ac:dyDescent="0.25">
      <c r="A232" s="227"/>
      <c r="B232" s="230"/>
      <c r="C232" s="25" t="s">
        <v>129</v>
      </c>
      <c r="D232" s="1" t="s">
        <v>19</v>
      </c>
      <c r="E232" s="126">
        <v>0.3125</v>
      </c>
      <c r="F232" s="126">
        <v>0.3125</v>
      </c>
      <c r="G232" s="126">
        <v>0.3125</v>
      </c>
      <c r="H232" s="126">
        <v>0.3125</v>
      </c>
      <c r="I232" s="126">
        <v>0.3125</v>
      </c>
      <c r="J232" s="126">
        <v>0.3125</v>
      </c>
      <c r="K232" s="126">
        <v>0.3125</v>
      </c>
      <c r="L232" s="126">
        <v>0.3125</v>
      </c>
      <c r="M232" s="126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122">
        <v>0.64</v>
      </c>
      <c r="F233" s="122">
        <v>0.64</v>
      </c>
      <c r="G233" s="122">
        <v>0.64</v>
      </c>
      <c r="H233" s="122">
        <v>0.64</v>
      </c>
      <c r="I233" s="122">
        <v>0.64</v>
      </c>
      <c r="J233" s="122">
        <v>0.64</v>
      </c>
      <c r="K233" s="122">
        <v>0.64</v>
      </c>
      <c r="L233" s="122">
        <v>0.64</v>
      </c>
      <c r="M233" s="122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122">
        <v>20</v>
      </c>
      <c r="F234" s="122">
        <v>20</v>
      </c>
      <c r="G234" s="122">
        <v>20</v>
      </c>
      <c r="H234" s="122">
        <v>20</v>
      </c>
      <c r="I234" s="122">
        <v>20</v>
      </c>
      <c r="J234" s="122">
        <v>20</v>
      </c>
      <c r="K234" s="122">
        <v>20</v>
      </c>
      <c r="L234" s="122">
        <v>20</v>
      </c>
      <c r="M234" s="122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127">
        <v>923.0754808366645</v>
      </c>
      <c r="F235" s="127">
        <v>909.14924346027067</v>
      </c>
      <c r="G235" s="127">
        <v>872.01261045655372</v>
      </c>
      <c r="H235" s="127">
        <v>820.94974007644282</v>
      </c>
      <c r="I235" s="127">
        <v>751.31855319447357</v>
      </c>
      <c r="J235" s="127">
        <v>612.05617943053505</v>
      </c>
      <c r="K235" s="127">
        <v>521.07142857142856</v>
      </c>
      <c r="L235" s="127">
        <v>521.07142857142856</v>
      </c>
      <c r="M235" s="127">
        <v>521.07142857142856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124">
        <v>0</v>
      </c>
      <c r="F236" s="124">
        <v>0</v>
      </c>
      <c r="G236" s="124">
        <v>0</v>
      </c>
      <c r="H236" s="124">
        <v>0</v>
      </c>
      <c r="I236" s="124">
        <v>0</v>
      </c>
      <c r="J236" s="124">
        <v>0</v>
      </c>
      <c r="K236" s="124">
        <v>0</v>
      </c>
      <c r="L236" s="124">
        <v>0</v>
      </c>
      <c r="M236" s="124">
        <v>0</v>
      </c>
    </row>
    <row r="237" spans="1:13" x14ac:dyDescent="0.25">
      <c r="A237" s="227"/>
      <c r="B237" s="230"/>
      <c r="C237" s="25" t="s">
        <v>133</v>
      </c>
      <c r="D237" s="1" t="s">
        <v>8</v>
      </c>
      <c r="E237" s="123">
        <v>54.38718703976437</v>
      </c>
      <c r="F237" s="123">
        <v>71.452724594992645</v>
      </c>
      <c r="G237" s="123">
        <v>116.96082474226804</v>
      </c>
      <c r="H237" s="123">
        <v>179.53446244477172</v>
      </c>
      <c r="I237" s="123">
        <v>264.86215022091312</v>
      </c>
      <c r="J237" s="123">
        <v>435.51752577319587</v>
      </c>
      <c r="K237" s="123">
        <v>606.17290132547862</v>
      </c>
      <c r="L237" s="123">
        <v>606.17290132547862</v>
      </c>
      <c r="M237" s="123">
        <v>606.17290132547862</v>
      </c>
    </row>
    <row r="238" spans="1:13" x14ac:dyDescent="0.25">
      <c r="A238" s="227"/>
      <c r="B238" s="230"/>
      <c r="C238" s="25" t="s">
        <v>134</v>
      </c>
      <c r="D238" s="1" t="s">
        <v>9</v>
      </c>
      <c r="E238" s="122"/>
      <c r="F238" s="122"/>
      <c r="G238" s="122"/>
      <c r="H238" s="122"/>
      <c r="I238" s="122"/>
      <c r="J238" s="122"/>
      <c r="K238" s="122"/>
      <c r="L238" s="122"/>
      <c r="M238" s="122"/>
    </row>
    <row r="239" spans="1:13" x14ac:dyDescent="0.25">
      <c r="A239" s="227"/>
      <c r="B239" s="230"/>
      <c r="C239" s="25" t="s">
        <v>135</v>
      </c>
      <c r="D239" s="1" t="s">
        <v>10</v>
      </c>
      <c r="E239" s="122"/>
      <c r="F239" s="122"/>
      <c r="G239" s="122"/>
      <c r="H239" s="122"/>
      <c r="I239" s="122"/>
      <c r="J239" s="122"/>
      <c r="K239" s="122"/>
      <c r="L239" s="122"/>
      <c r="M239" s="122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122"/>
      <c r="F240" s="122"/>
      <c r="G240" s="122"/>
      <c r="H240" s="122"/>
      <c r="I240" s="122"/>
      <c r="J240" s="122"/>
      <c r="K240" s="122"/>
      <c r="L240" s="122"/>
      <c r="M240" s="122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126">
        <v>1</v>
      </c>
      <c r="F241" s="126">
        <v>1</v>
      </c>
      <c r="G241" s="126">
        <v>1</v>
      </c>
      <c r="H241" s="126">
        <v>1</v>
      </c>
      <c r="I241" s="126">
        <v>1</v>
      </c>
      <c r="J241" s="126">
        <v>1</v>
      </c>
      <c r="K241" s="126">
        <v>1</v>
      </c>
      <c r="L241" s="126">
        <v>1</v>
      </c>
      <c r="M241" s="126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122">
        <v>0.65</v>
      </c>
      <c r="F242" s="122">
        <v>0.65</v>
      </c>
      <c r="G242" s="122">
        <v>0.65</v>
      </c>
      <c r="H242" s="122">
        <v>0.65</v>
      </c>
      <c r="I242" s="122">
        <v>0.65</v>
      </c>
      <c r="J242" s="122">
        <v>0.65</v>
      </c>
      <c r="K242" s="122">
        <v>0.65</v>
      </c>
      <c r="L242" s="122">
        <v>0.65</v>
      </c>
      <c r="M242" s="122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122">
        <v>20</v>
      </c>
      <c r="F243" s="122">
        <v>20</v>
      </c>
      <c r="G243" s="122">
        <v>20</v>
      </c>
      <c r="H243" s="122">
        <v>20</v>
      </c>
      <c r="I243" s="122">
        <v>20</v>
      </c>
      <c r="J243" s="122">
        <v>20</v>
      </c>
      <c r="K243" s="122">
        <v>20</v>
      </c>
      <c r="L243" s="122">
        <v>20</v>
      </c>
      <c r="M243" s="122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123">
        <v>822.90511868819738</v>
      </c>
      <c r="F244" s="123">
        <v>587.62399482196031</v>
      </c>
      <c r="G244" s="123">
        <v>458.47760255879234</v>
      </c>
      <c r="H244" s="123">
        <v>458.47760255879234</v>
      </c>
      <c r="I244" s="123">
        <v>458.47760255879234</v>
      </c>
      <c r="J244" s="123">
        <v>458.47760255879234</v>
      </c>
      <c r="K244" s="123">
        <v>1133.7480098003448</v>
      </c>
      <c r="L244" s="123">
        <v>986.22674801231153</v>
      </c>
      <c r="M244" s="123">
        <v>866.85752357634294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124">
        <v>0</v>
      </c>
      <c r="F245" s="124">
        <v>0</v>
      </c>
      <c r="G245" s="124">
        <v>0</v>
      </c>
      <c r="H245" s="124">
        <v>0</v>
      </c>
      <c r="I245" s="124">
        <v>0</v>
      </c>
      <c r="J245" s="124">
        <v>0</v>
      </c>
      <c r="K245" s="124">
        <v>0</v>
      </c>
      <c r="L245" s="124">
        <v>0</v>
      </c>
      <c r="M245" s="124">
        <v>0</v>
      </c>
    </row>
    <row r="246" spans="1:13" x14ac:dyDescent="0.25">
      <c r="A246" s="227"/>
      <c r="B246" s="230"/>
      <c r="C246" s="25" t="s">
        <v>117</v>
      </c>
      <c r="D246" s="1" t="s">
        <v>8</v>
      </c>
      <c r="E246" s="122"/>
      <c r="F246" s="122"/>
      <c r="G246" s="122"/>
      <c r="H246" s="122"/>
      <c r="I246" s="122"/>
      <c r="J246" s="122"/>
      <c r="K246" s="122"/>
      <c r="L246" s="122"/>
      <c r="M246" s="122"/>
    </row>
    <row r="247" spans="1:13" x14ac:dyDescent="0.25">
      <c r="A247" s="227"/>
      <c r="B247" s="230"/>
      <c r="C247" s="25" t="s">
        <v>118</v>
      </c>
      <c r="D247" s="1" t="s">
        <v>9</v>
      </c>
      <c r="E247" s="122"/>
      <c r="F247" s="122"/>
      <c r="G247" s="122"/>
      <c r="H247" s="122"/>
      <c r="I247" s="122"/>
      <c r="J247" s="122"/>
      <c r="K247" s="122"/>
      <c r="L247" s="122"/>
      <c r="M247" s="122"/>
    </row>
    <row r="248" spans="1:13" x14ac:dyDescent="0.25">
      <c r="A248" s="227"/>
      <c r="B248" s="230"/>
      <c r="C248" s="25" t="s">
        <v>119</v>
      </c>
      <c r="D248" s="1" t="s">
        <v>10</v>
      </c>
      <c r="E248" s="123">
        <v>0</v>
      </c>
      <c r="F248" s="123">
        <v>0</v>
      </c>
      <c r="G248" s="123">
        <v>0</v>
      </c>
      <c r="H248" s="123">
        <v>0</v>
      </c>
      <c r="I248" s="123">
        <v>0</v>
      </c>
      <c r="J248" s="123">
        <v>0</v>
      </c>
      <c r="K248" s="123">
        <v>2.085E-3</v>
      </c>
      <c r="L248" s="123">
        <v>2.085E-3</v>
      </c>
      <c r="M248" s="123">
        <v>2.085E-3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122">
        <v>3.33</v>
      </c>
      <c r="F251" s="122">
        <v>3.33</v>
      </c>
      <c r="G251" s="122">
        <v>3.33</v>
      </c>
      <c r="H251" s="122">
        <v>3.33</v>
      </c>
      <c r="I251" s="122">
        <v>3.33</v>
      </c>
      <c r="J251" s="122">
        <v>3.33</v>
      </c>
      <c r="K251" s="122">
        <v>3.33</v>
      </c>
      <c r="L251" s="122">
        <v>3.33</v>
      </c>
      <c r="M251" s="122">
        <v>3.33</v>
      </c>
    </row>
    <row r="252" spans="1:13" x14ac:dyDescent="0.25">
      <c r="A252" s="227"/>
      <c r="B252" s="230"/>
      <c r="C252" s="25" t="s">
        <v>33</v>
      </c>
      <c r="D252" s="2" t="s">
        <v>14</v>
      </c>
      <c r="E252" s="122"/>
      <c r="F252" s="122"/>
      <c r="G252" s="122"/>
      <c r="H252" s="122"/>
      <c r="I252" s="122"/>
      <c r="J252" s="122"/>
      <c r="K252" s="122"/>
      <c r="L252" s="122"/>
      <c r="M252" s="122"/>
    </row>
    <row r="253" spans="1:13" x14ac:dyDescent="0.25">
      <c r="A253" s="227"/>
      <c r="B253" s="230"/>
      <c r="C253" s="25" t="s">
        <v>34</v>
      </c>
      <c r="D253" s="2" t="s">
        <v>4</v>
      </c>
      <c r="E253" s="122"/>
      <c r="F253" s="122"/>
      <c r="G253" s="122"/>
      <c r="H253" s="122"/>
      <c r="I253" s="122"/>
      <c r="J253" s="122"/>
      <c r="K253" s="122"/>
      <c r="L253" s="122"/>
      <c r="M253" s="122"/>
    </row>
    <row r="254" spans="1:13" x14ac:dyDescent="0.25">
      <c r="A254" s="227"/>
      <c r="B254" s="230"/>
      <c r="C254" s="25" t="s">
        <v>129</v>
      </c>
      <c r="D254" s="1" t="s">
        <v>19</v>
      </c>
      <c r="E254" s="126">
        <v>0.546875</v>
      </c>
      <c r="F254" s="126">
        <v>0.546875</v>
      </c>
      <c r="G254" s="126">
        <v>0.54687499999999989</v>
      </c>
      <c r="H254" s="126">
        <v>0.546875</v>
      </c>
      <c r="I254" s="126">
        <v>0.546875</v>
      </c>
      <c r="J254" s="126">
        <v>0.546875</v>
      </c>
      <c r="K254" s="126">
        <v>0.546875</v>
      </c>
      <c r="L254" s="126">
        <v>0.546875</v>
      </c>
      <c r="M254" s="126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122">
        <v>0.64</v>
      </c>
      <c r="F255" s="122">
        <v>0.64</v>
      </c>
      <c r="G255" s="122">
        <v>0.64</v>
      </c>
      <c r="H255" s="122">
        <v>0.64</v>
      </c>
      <c r="I255" s="122">
        <v>0.64</v>
      </c>
      <c r="J255" s="122">
        <v>0.64</v>
      </c>
      <c r="K255" s="122">
        <v>0.64</v>
      </c>
      <c r="L255" s="122">
        <v>0.64</v>
      </c>
      <c r="M255" s="122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122">
        <v>20</v>
      </c>
      <c r="F256" s="122">
        <v>20</v>
      </c>
      <c r="G256" s="122">
        <v>20</v>
      </c>
      <c r="H256" s="122">
        <v>20</v>
      </c>
      <c r="I256" s="122">
        <v>20</v>
      </c>
      <c r="J256" s="122">
        <v>20</v>
      </c>
      <c r="K256" s="122">
        <v>20</v>
      </c>
      <c r="L256" s="122">
        <v>20</v>
      </c>
      <c r="M256" s="122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127">
        <v>912.63080280436907</v>
      </c>
      <c r="F257" s="127">
        <v>888.25988739567981</v>
      </c>
      <c r="G257" s="127">
        <v>823.2707796391752</v>
      </c>
      <c r="H257" s="127">
        <v>733.91075647398134</v>
      </c>
      <c r="I257" s="127">
        <v>612.05617943053505</v>
      </c>
      <c r="J257" s="127">
        <v>521.07142857142856</v>
      </c>
      <c r="K257" s="127">
        <v>521.07142857142856</v>
      </c>
      <c r="L257" s="127">
        <v>521.07142857142856</v>
      </c>
      <c r="M257" s="127">
        <v>521.07142857142856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124">
        <v>0</v>
      </c>
      <c r="F258" s="124">
        <v>0</v>
      </c>
      <c r="G258" s="124">
        <v>0</v>
      </c>
      <c r="H258" s="124">
        <v>0</v>
      </c>
      <c r="I258" s="124">
        <v>0</v>
      </c>
      <c r="J258" s="124">
        <v>0</v>
      </c>
      <c r="K258" s="124">
        <v>0</v>
      </c>
      <c r="L258" s="124">
        <v>0</v>
      </c>
      <c r="M258" s="124">
        <v>0</v>
      </c>
    </row>
    <row r="259" spans="1:13" x14ac:dyDescent="0.25">
      <c r="A259" s="227"/>
      <c r="B259" s="230"/>
      <c r="C259" s="25" t="s">
        <v>133</v>
      </c>
      <c r="D259" s="1" t="s">
        <v>8</v>
      </c>
      <c r="E259" s="123">
        <v>54.38718703976437</v>
      </c>
      <c r="F259" s="123">
        <v>71.452724594992645</v>
      </c>
      <c r="G259" s="123">
        <v>116.96082474226804</v>
      </c>
      <c r="H259" s="123">
        <v>179.53446244477172</v>
      </c>
      <c r="I259" s="123">
        <v>264.86215022091312</v>
      </c>
      <c r="J259" s="123">
        <v>435.51752577319587</v>
      </c>
      <c r="K259" s="123">
        <v>606.17290132547862</v>
      </c>
      <c r="L259" s="123">
        <v>606.17290132547862</v>
      </c>
      <c r="M259" s="123">
        <v>606.17290132547862</v>
      </c>
    </row>
    <row r="260" spans="1:13" x14ac:dyDescent="0.25">
      <c r="A260" s="227"/>
      <c r="B260" s="230"/>
      <c r="C260" s="25" t="s">
        <v>134</v>
      </c>
      <c r="D260" s="1" t="s">
        <v>9</v>
      </c>
      <c r="E260" s="122"/>
      <c r="F260" s="122"/>
      <c r="G260" s="122"/>
      <c r="H260" s="122"/>
      <c r="I260" s="122"/>
      <c r="J260" s="122"/>
      <c r="K260" s="122"/>
      <c r="L260" s="122"/>
      <c r="M260" s="122"/>
    </row>
    <row r="261" spans="1:13" x14ac:dyDescent="0.25">
      <c r="A261" s="227"/>
      <c r="B261" s="230"/>
      <c r="C261" s="25" t="s">
        <v>135</v>
      </c>
      <c r="D261" s="1" t="s">
        <v>10</v>
      </c>
      <c r="E261" s="122"/>
      <c r="F261" s="122"/>
      <c r="G261" s="122"/>
      <c r="H261" s="122"/>
      <c r="I261" s="122"/>
      <c r="J261" s="122"/>
      <c r="K261" s="122"/>
      <c r="L261" s="122"/>
      <c r="M261" s="122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122"/>
      <c r="F262" s="122"/>
      <c r="G262" s="122"/>
      <c r="H262" s="122"/>
      <c r="I262" s="122"/>
      <c r="J262" s="122"/>
      <c r="K262" s="122"/>
      <c r="L262" s="122"/>
      <c r="M262" s="122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122">
        <v>40</v>
      </c>
      <c r="F263" s="122">
        <v>40</v>
      </c>
      <c r="G263" s="122">
        <v>40</v>
      </c>
      <c r="H263" s="122">
        <v>40</v>
      </c>
      <c r="I263" s="122">
        <v>40</v>
      </c>
      <c r="J263" s="122">
        <v>40</v>
      </c>
      <c r="K263" s="122">
        <v>40</v>
      </c>
      <c r="L263" s="122">
        <v>40</v>
      </c>
      <c r="M263" s="122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123">
        <v>300</v>
      </c>
      <c r="F264" s="123">
        <v>183.33333333333334</v>
      </c>
      <c r="G264" s="123">
        <v>100</v>
      </c>
      <c r="H264" s="123">
        <v>76</v>
      </c>
      <c r="I264" s="123">
        <v>60</v>
      </c>
      <c r="J264" s="123">
        <v>42.857142857142854</v>
      </c>
      <c r="K264" s="123">
        <v>27.058823529411764</v>
      </c>
      <c r="L264" s="123">
        <v>18.421052631578949</v>
      </c>
      <c r="M264" s="123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124">
        <v>0</v>
      </c>
      <c r="F265" s="124">
        <v>0</v>
      </c>
      <c r="G265" s="124">
        <v>0</v>
      </c>
      <c r="H265" s="124">
        <v>0</v>
      </c>
      <c r="I265" s="124">
        <v>0</v>
      </c>
      <c r="J265" s="124">
        <v>0</v>
      </c>
      <c r="K265" s="124">
        <v>0</v>
      </c>
      <c r="L265" s="124">
        <v>0</v>
      </c>
      <c r="M265" s="124">
        <v>0</v>
      </c>
    </row>
    <row r="266" spans="1:13" x14ac:dyDescent="0.25">
      <c r="A266" s="208"/>
      <c r="B266" s="225"/>
      <c r="C266" s="25" t="s">
        <v>106</v>
      </c>
      <c r="D266" s="1" t="s">
        <v>8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23">
        <v>0</v>
      </c>
      <c r="M266" s="123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122"/>
      <c r="F267" s="122"/>
      <c r="G267" s="122"/>
      <c r="H267" s="122"/>
      <c r="I267" s="122"/>
      <c r="J267" s="122"/>
      <c r="K267" s="122"/>
      <c r="L267" s="122"/>
      <c r="M267" s="122"/>
    </row>
    <row r="268" spans="1:13" x14ac:dyDescent="0.25">
      <c r="A268" s="208"/>
      <c r="B268" s="225"/>
      <c r="C268" s="25" t="s">
        <v>108</v>
      </c>
      <c r="D268" s="1" t="s">
        <v>10</v>
      </c>
      <c r="E268" s="122"/>
      <c r="F268" s="122"/>
      <c r="G268" s="122"/>
      <c r="H268" s="122"/>
      <c r="I268" s="122"/>
      <c r="J268" s="122"/>
      <c r="K268" s="122"/>
      <c r="L268" s="122"/>
      <c r="M268" s="122"/>
    </row>
    <row r="269" spans="1:13" x14ac:dyDescent="0.25">
      <c r="A269" s="208"/>
      <c r="B269" s="225"/>
      <c r="C269" s="26" t="s">
        <v>11</v>
      </c>
      <c r="D269" s="27" t="s">
        <v>10</v>
      </c>
      <c r="E269" s="122"/>
      <c r="F269" s="122"/>
      <c r="G269" s="122"/>
      <c r="H269" s="122"/>
      <c r="I269" s="122"/>
      <c r="J269" s="122"/>
      <c r="K269" s="122"/>
      <c r="L269" s="122"/>
      <c r="M269" s="122"/>
    </row>
    <row r="270" spans="1:13" x14ac:dyDescent="0.25">
      <c r="A270" s="208"/>
      <c r="B270" s="225"/>
      <c r="C270" s="25" t="s">
        <v>12</v>
      </c>
      <c r="D270" s="1" t="s">
        <v>7</v>
      </c>
      <c r="E270" s="124">
        <v>1</v>
      </c>
      <c r="F270" s="124">
        <v>1</v>
      </c>
      <c r="G270" s="124">
        <v>1</v>
      </c>
      <c r="H270" s="124">
        <v>1</v>
      </c>
      <c r="I270" s="124">
        <v>1</v>
      </c>
      <c r="J270" s="124">
        <v>1</v>
      </c>
      <c r="K270" s="124">
        <v>1</v>
      </c>
      <c r="L270" s="124">
        <v>1</v>
      </c>
      <c r="M270" s="124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123">
        <v>31017</v>
      </c>
      <c r="F271" s="123">
        <v>31902</v>
      </c>
      <c r="G271" s="123">
        <v>34262</v>
      </c>
      <c r="H271" s="123">
        <v>37507</v>
      </c>
      <c r="I271" s="123">
        <v>41932</v>
      </c>
      <c r="J271" s="123">
        <v>50782</v>
      </c>
      <c r="K271" s="123">
        <v>80282</v>
      </c>
      <c r="L271" s="123">
        <v>151952</v>
      </c>
      <c r="M271" s="123">
        <v>292470.28399999999</v>
      </c>
    </row>
    <row r="272" spans="1:13" x14ac:dyDescent="0.25">
      <c r="A272" s="208"/>
      <c r="B272" s="225"/>
      <c r="C272" s="25" t="s">
        <v>15</v>
      </c>
      <c r="D272" s="1" t="s">
        <v>4</v>
      </c>
      <c r="E272" s="122">
        <v>40</v>
      </c>
      <c r="F272" s="122">
        <v>40</v>
      </c>
      <c r="G272" s="122">
        <v>40</v>
      </c>
      <c r="H272" s="122">
        <v>40</v>
      </c>
      <c r="I272" s="122">
        <v>40</v>
      </c>
      <c r="J272" s="122">
        <v>40</v>
      </c>
      <c r="K272" s="122">
        <v>40</v>
      </c>
      <c r="L272" s="122">
        <v>40</v>
      </c>
      <c r="M272" s="122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122">
        <v>40</v>
      </c>
      <c r="F273" s="122">
        <v>40</v>
      </c>
      <c r="G273" s="122">
        <v>40</v>
      </c>
      <c r="H273" s="122">
        <v>40</v>
      </c>
      <c r="I273" s="122">
        <v>40</v>
      </c>
      <c r="J273" s="122">
        <v>40</v>
      </c>
      <c r="K273" s="122">
        <v>40</v>
      </c>
      <c r="L273" s="122">
        <v>40</v>
      </c>
      <c r="M273" s="122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122"/>
      <c r="F274" s="122"/>
      <c r="G274" s="122"/>
      <c r="H274" s="122"/>
      <c r="I274" s="122"/>
      <c r="J274" s="122"/>
      <c r="K274" s="122"/>
      <c r="L274" s="122"/>
      <c r="M274" s="122"/>
    </row>
    <row r="275" spans="1:13" x14ac:dyDescent="0.25">
      <c r="A275" s="208"/>
      <c r="B275" s="225"/>
      <c r="C275" s="25" t="s">
        <v>176</v>
      </c>
      <c r="D275" s="1" t="s">
        <v>19</v>
      </c>
      <c r="E275" s="124">
        <v>0</v>
      </c>
      <c r="F275" s="124">
        <v>0</v>
      </c>
      <c r="G275" s="124">
        <v>0</v>
      </c>
      <c r="H275" s="124">
        <v>0</v>
      </c>
      <c r="I275" s="124">
        <v>0</v>
      </c>
      <c r="J275" s="124">
        <v>0</v>
      </c>
      <c r="K275" s="124">
        <v>0</v>
      </c>
      <c r="L275" s="124">
        <v>0</v>
      </c>
      <c r="M275" s="124">
        <v>0</v>
      </c>
    </row>
    <row r="276" spans="1:13" x14ac:dyDescent="0.25">
      <c r="A276" s="208"/>
      <c r="B276" s="225"/>
      <c r="C276" s="25" t="s">
        <v>106</v>
      </c>
      <c r="D276" s="1" t="s">
        <v>8</v>
      </c>
      <c r="E276" s="123">
        <v>0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123">
        <v>0</v>
      </c>
      <c r="L276" s="123">
        <v>0</v>
      </c>
      <c r="M276" s="123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122"/>
      <c r="F277" s="122"/>
      <c r="G277" s="122"/>
      <c r="H277" s="122"/>
      <c r="I277" s="122"/>
      <c r="J277" s="122"/>
      <c r="K277" s="122"/>
      <c r="L277" s="122"/>
      <c r="M277" s="122"/>
    </row>
    <row r="278" spans="1:13" x14ac:dyDescent="0.25">
      <c r="A278" s="208"/>
      <c r="B278" s="225"/>
      <c r="C278" s="25" t="s">
        <v>108</v>
      </c>
      <c r="D278" s="1" t="s">
        <v>10</v>
      </c>
      <c r="E278" s="122"/>
      <c r="F278" s="122"/>
      <c r="G278" s="122"/>
      <c r="H278" s="122"/>
      <c r="I278" s="122"/>
      <c r="J278" s="122"/>
      <c r="K278" s="122"/>
      <c r="L278" s="122"/>
      <c r="M278" s="122"/>
    </row>
    <row r="279" spans="1:13" x14ac:dyDescent="0.25">
      <c r="A279" s="208"/>
      <c r="B279" s="225"/>
      <c r="C279" s="26" t="s">
        <v>11</v>
      </c>
      <c r="D279" s="27" t="s">
        <v>10</v>
      </c>
      <c r="E279" s="122"/>
      <c r="F279" s="122"/>
      <c r="G279" s="122"/>
      <c r="H279" s="122"/>
      <c r="I279" s="122"/>
      <c r="J279" s="122"/>
      <c r="K279" s="122"/>
      <c r="L279" s="122"/>
      <c r="M279" s="122"/>
    </row>
    <row r="280" spans="1:13" x14ac:dyDescent="0.25">
      <c r="A280" s="208"/>
      <c r="B280" s="225"/>
      <c r="C280" s="25" t="s">
        <v>12</v>
      </c>
      <c r="D280" s="1" t="s">
        <v>7</v>
      </c>
      <c r="E280" s="124">
        <v>1</v>
      </c>
      <c r="F280" s="124">
        <v>1</v>
      </c>
      <c r="G280" s="124">
        <v>1</v>
      </c>
      <c r="H280" s="124">
        <v>1</v>
      </c>
      <c r="I280" s="124">
        <v>1</v>
      </c>
      <c r="J280" s="124">
        <v>1</v>
      </c>
      <c r="K280" s="124">
        <v>1</v>
      </c>
      <c r="L280" s="124">
        <v>1</v>
      </c>
      <c r="M280" s="124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123">
        <v>92256.599999999991</v>
      </c>
      <c r="F281" s="123">
        <v>92691.599999999991</v>
      </c>
      <c r="G281" s="123">
        <v>93851.599999999991</v>
      </c>
      <c r="H281" s="123">
        <v>95446.599999999991</v>
      </c>
      <c r="I281" s="123">
        <v>97621.599999999991</v>
      </c>
      <c r="J281" s="123">
        <v>101971.59999999999</v>
      </c>
      <c r="K281" s="123">
        <v>116471.59999999999</v>
      </c>
      <c r="L281" s="123">
        <v>146921.59999999998</v>
      </c>
      <c r="M281" s="123">
        <v>207821.59999999998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123">
        <v>40</v>
      </c>
      <c r="F282" s="123">
        <v>40</v>
      </c>
      <c r="G282" s="123">
        <v>40</v>
      </c>
      <c r="H282" s="123">
        <v>40</v>
      </c>
      <c r="I282" s="123">
        <v>40</v>
      </c>
      <c r="J282" s="123">
        <v>40</v>
      </c>
      <c r="K282" s="123">
        <v>40</v>
      </c>
      <c r="L282" s="123">
        <v>40</v>
      </c>
      <c r="M282" s="123">
        <v>40</v>
      </c>
    </row>
  </sheetData>
  <sheetProtection algorithmName="SHA-512" hashValue="QvvfaOFoXMullmybaQo/Et6/vf5fGtRmy9juOoKO/NAgbhEI8SjtplZpG0zOLvxXZEOEWtGuhZtDeffgCT33IQ==" saltValue="mpQJ0b8Qsi3BYuakj+R4Zg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8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128">
        <v>15</v>
      </c>
      <c r="F1" s="129">
        <v>30</v>
      </c>
      <c r="G1" s="129">
        <v>70</v>
      </c>
      <c r="H1" s="129">
        <v>125</v>
      </c>
      <c r="I1" s="129">
        <v>200</v>
      </c>
      <c r="J1" s="129">
        <v>350</v>
      </c>
      <c r="K1" s="129">
        <v>850</v>
      </c>
      <c r="L1" s="129">
        <v>1900</v>
      </c>
      <c r="M1" s="129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122">
        <v>20</v>
      </c>
      <c r="F2" s="122">
        <v>20</v>
      </c>
      <c r="G2" s="122">
        <v>20</v>
      </c>
      <c r="H2" s="122">
        <v>20</v>
      </c>
      <c r="I2" s="122">
        <v>20</v>
      </c>
      <c r="J2" s="122">
        <v>20</v>
      </c>
      <c r="K2" s="122">
        <v>20</v>
      </c>
      <c r="L2" s="122">
        <v>20</v>
      </c>
      <c r="M2" s="122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123">
        <v>202.65582041234001</v>
      </c>
      <c r="F3" s="123">
        <v>171.6776866187549</v>
      </c>
      <c r="G3" s="123">
        <v>133.81025064233</v>
      </c>
      <c r="H3" s="123">
        <v>107.89700245248551</v>
      </c>
      <c r="I3" s="123">
        <v>107.31263157894738</v>
      </c>
      <c r="J3" s="123">
        <v>107.00631578947369</v>
      </c>
      <c r="K3" s="123">
        <v>105.98526315789475</v>
      </c>
      <c r="L3" s="123">
        <v>103.84105263157896</v>
      </c>
      <c r="M3" s="123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124">
        <v>0</v>
      </c>
      <c r="F4" s="124">
        <v>0</v>
      </c>
      <c r="G4" s="124">
        <v>0</v>
      </c>
      <c r="H4" s="124">
        <v>0</v>
      </c>
      <c r="I4" s="124">
        <v>0</v>
      </c>
      <c r="J4" s="124">
        <v>0</v>
      </c>
      <c r="K4" s="124">
        <v>0</v>
      </c>
      <c r="L4" s="124">
        <v>0</v>
      </c>
      <c r="M4" s="124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122"/>
      <c r="F5" s="122"/>
      <c r="G5" s="122"/>
      <c r="H5" s="122"/>
      <c r="I5" s="122"/>
      <c r="J5" s="122"/>
      <c r="K5" s="122"/>
      <c r="L5" s="122"/>
      <c r="M5" s="122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123">
        <v>6.0796746123701997</v>
      </c>
      <c r="F6" s="123">
        <v>5.1503305985626469</v>
      </c>
      <c r="G6" s="123">
        <v>4.0143075192698996</v>
      </c>
      <c r="H6" s="123">
        <v>3.2369100735745651</v>
      </c>
      <c r="I6" s="123">
        <v>2.0378947368421052</v>
      </c>
      <c r="J6" s="123">
        <v>2.0189473684210526</v>
      </c>
      <c r="K6" s="123">
        <v>1.9557894736842103</v>
      </c>
      <c r="L6" s="123">
        <v>1.8231578947368419</v>
      </c>
      <c r="M6" s="123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123">
        <v>0</v>
      </c>
      <c r="F7" s="123">
        <v>0</v>
      </c>
      <c r="G7" s="123">
        <v>0</v>
      </c>
      <c r="H7" s="123">
        <v>0</v>
      </c>
      <c r="I7" s="123">
        <v>0</v>
      </c>
      <c r="J7" s="123">
        <v>0</v>
      </c>
      <c r="K7" s="123">
        <v>1.6666105263157894E-3</v>
      </c>
      <c r="L7" s="123">
        <v>1.5304421052631579E-3</v>
      </c>
      <c r="M7" s="123">
        <v>1.2581052631578946E-3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123">
        <v>0</v>
      </c>
      <c r="F8" s="122"/>
      <c r="G8" s="122"/>
      <c r="H8" s="122"/>
      <c r="I8" s="122"/>
      <c r="J8" s="122"/>
      <c r="K8" s="122"/>
      <c r="L8" s="122"/>
      <c r="M8" s="122"/>
      <c r="N8" s="54"/>
    </row>
    <row r="9" spans="1:14" x14ac:dyDescent="0.25">
      <c r="A9" s="208"/>
      <c r="B9" s="224"/>
      <c r="C9" s="25" t="s">
        <v>12</v>
      </c>
      <c r="D9" s="1" t="s">
        <v>7</v>
      </c>
      <c r="E9" s="124">
        <v>0.98499999999999988</v>
      </c>
      <c r="F9" s="124">
        <v>0.98499999999999988</v>
      </c>
      <c r="G9" s="124">
        <v>0.98499999999999988</v>
      </c>
      <c r="H9" s="124">
        <v>0.98499999999999988</v>
      </c>
      <c r="I9" s="124">
        <v>0.98499999999999988</v>
      </c>
      <c r="J9" s="124">
        <v>0.98499999999999988</v>
      </c>
      <c r="K9" s="124">
        <v>0.99399999999999999</v>
      </c>
      <c r="L9" s="124">
        <v>0.99399999999999999</v>
      </c>
      <c r="M9" s="124">
        <v>0.99399999999999999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123">
        <v>1524.6</v>
      </c>
      <c r="F10" s="123">
        <v>1749.6</v>
      </c>
      <c r="G10" s="123">
        <v>2349.6</v>
      </c>
      <c r="H10" s="123">
        <v>3174.6</v>
      </c>
      <c r="I10" s="123">
        <v>4299.6000000000004</v>
      </c>
      <c r="J10" s="123">
        <v>14213</v>
      </c>
      <c r="K10" s="123">
        <v>21713</v>
      </c>
      <c r="L10" s="123">
        <v>37463</v>
      </c>
      <c r="M10" s="123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122">
        <v>40</v>
      </c>
      <c r="F11" s="122">
        <v>40</v>
      </c>
      <c r="G11" s="122">
        <v>40</v>
      </c>
      <c r="H11" s="122">
        <v>40</v>
      </c>
      <c r="I11" s="122">
        <v>40</v>
      </c>
      <c r="J11" s="122">
        <v>40</v>
      </c>
      <c r="K11" s="122">
        <v>40</v>
      </c>
      <c r="L11" s="122">
        <v>40</v>
      </c>
      <c r="M11" s="122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122">
        <v>20</v>
      </c>
      <c r="F12" s="122">
        <v>20</v>
      </c>
      <c r="G12" s="122">
        <v>20</v>
      </c>
      <c r="H12" s="122">
        <v>20</v>
      </c>
      <c r="I12" s="122">
        <v>20</v>
      </c>
      <c r="J12" s="122">
        <v>20</v>
      </c>
      <c r="K12" s="122">
        <v>20</v>
      </c>
      <c r="L12" s="122">
        <v>20</v>
      </c>
      <c r="M12" s="122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123">
        <v>520.52279811670326</v>
      </c>
      <c r="F13" s="123">
        <v>328.66016314162061</v>
      </c>
      <c r="G13" s="123">
        <v>187.34591874055215</v>
      </c>
      <c r="H13" s="123">
        <v>127.52667864795502</v>
      </c>
      <c r="I13" s="123">
        <v>112.6</v>
      </c>
      <c r="J13" s="123">
        <v>112.6</v>
      </c>
      <c r="K13" s="123">
        <v>177.62593672991372</v>
      </c>
      <c r="L13" s="123">
        <v>260.98318443898637</v>
      </c>
      <c r="M13" s="123">
        <v>427.69767985713173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124">
        <v>0</v>
      </c>
      <c r="F14" s="124">
        <v>0</v>
      </c>
      <c r="G14" s="124">
        <v>0</v>
      </c>
      <c r="H14" s="124">
        <v>0</v>
      </c>
      <c r="I14" s="124">
        <v>0</v>
      </c>
      <c r="J14" s="124">
        <v>0</v>
      </c>
      <c r="K14" s="124">
        <v>0</v>
      </c>
      <c r="L14" s="124">
        <v>0</v>
      </c>
      <c r="M14" s="124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122"/>
      <c r="F15" s="122"/>
      <c r="G15" s="122"/>
      <c r="H15" s="122"/>
      <c r="I15" s="122"/>
      <c r="J15" s="122"/>
      <c r="K15" s="122"/>
      <c r="L15" s="122"/>
      <c r="M15" s="122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123">
        <v>31.231367887002168</v>
      </c>
      <c r="F16" s="123">
        <v>19.71960978849722</v>
      </c>
      <c r="G16" s="123">
        <v>11.240755124433118</v>
      </c>
      <c r="H16" s="123">
        <v>7.6516007188772948</v>
      </c>
      <c r="I16" s="123">
        <v>7.218948063824203</v>
      </c>
      <c r="J16" s="123">
        <v>7.218948063824203</v>
      </c>
      <c r="K16" s="123">
        <v>6.8637074659241435</v>
      </c>
      <c r="L16" s="123">
        <v>6.2898572693163546</v>
      </c>
      <c r="M16" s="123">
        <v>5.1421568761007768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2.3331952085431959E-3</v>
      </c>
      <c r="L17" s="123">
        <v>2.3331952085431959E-3</v>
      </c>
      <c r="M17" s="123">
        <v>2.3331952085431959E-3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123">
        <v>0</v>
      </c>
      <c r="F18" s="123">
        <v>0</v>
      </c>
      <c r="G18" s="123">
        <v>0</v>
      </c>
      <c r="H18" s="123">
        <v>0</v>
      </c>
      <c r="I18" s="123">
        <v>0</v>
      </c>
      <c r="J18" s="123">
        <v>0</v>
      </c>
      <c r="K18" s="123">
        <v>0</v>
      </c>
      <c r="L18" s="123">
        <v>0</v>
      </c>
      <c r="M18" s="123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124">
        <v>0.83200000000000029</v>
      </c>
      <c r="F19" s="124">
        <v>0.83200000000000029</v>
      </c>
      <c r="G19" s="124">
        <v>0.83200000000000029</v>
      </c>
      <c r="H19" s="124">
        <v>0.83200000000000029</v>
      </c>
      <c r="I19" s="124">
        <v>0.83200000000000029</v>
      </c>
      <c r="J19" s="124">
        <v>0.83200000000000029</v>
      </c>
      <c r="K19" s="124">
        <v>0.83200000000000029</v>
      </c>
      <c r="L19" s="124">
        <v>0.95599999999999996</v>
      </c>
      <c r="M19" s="124">
        <v>0.95599999999999996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122"/>
      <c r="F20" s="122"/>
      <c r="G20" s="122"/>
      <c r="H20" s="122"/>
      <c r="I20" s="122"/>
      <c r="J20" s="122"/>
      <c r="K20" s="122"/>
      <c r="L20" s="122"/>
      <c r="M20" s="122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122"/>
      <c r="F21" s="122"/>
      <c r="G21" s="122"/>
      <c r="H21" s="122"/>
      <c r="I21" s="122"/>
      <c r="J21" s="122"/>
      <c r="K21" s="122"/>
      <c r="L21" s="122"/>
      <c r="M21" s="122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122">
        <v>20</v>
      </c>
      <c r="F22" s="122">
        <v>20</v>
      </c>
      <c r="G22" s="122">
        <v>20</v>
      </c>
      <c r="H22" s="122">
        <v>20</v>
      </c>
      <c r="I22" s="122">
        <v>20</v>
      </c>
      <c r="J22" s="122">
        <v>20</v>
      </c>
      <c r="K22" s="122">
        <v>20</v>
      </c>
      <c r="L22" s="122">
        <v>20</v>
      </c>
      <c r="M22" s="122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123">
        <v>800.77079092910083</v>
      </c>
      <c r="F23" s="123">
        <v>571.81820894808823</v>
      </c>
      <c r="G23" s="123">
        <v>446.14556901716315</v>
      </c>
      <c r="H23" s="123">
        <v>446.14556901716315</v>
      </c>
      <c r="I23" s="123">
        <v>446.14556901716315</v>
      </c>
      <c r="J23" s="123">
        <v>446.14556901716315</v>
      </c>
      <c r="K23" s="123">
        <v>1129.4706178785063</v>
      </c>
      <c r="L23" s="123">
        <v>982.55924743473179</v>
      </c>
      <c r="M23" s="123">
        <v>863.67730421521264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122"/>
      <c r="F25" s="122"/>
      <c r="G25" s="122"/>
      <c r="H25" s="122"/>
      <c r="I25" s="122"/>
      <c r="J25" s="122"/>
      <c r="K25" s="122"/>
      <c r="L25" s="122"/>
      <c r="M25" s="122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123">
        <v>12.011561863936512</v>
      </c>
      <c r="F26" s="123">
        <v>8.5772731342213238</v>
      </c>
      <c r="G26" s="123">
        <v>6.6921835352574464</v>
      </c>
      <c r="H26" s="123">
        <v>6.6921835352574464</v>
      </c>
      <c r="I26" s="123">
        <v>6.6921835352574464</v>
      </c>
      <c r="J26" s="123">
        <v>6.6921835352574464</v>
      </c>
      <c r="K26" s="123">
        <v>1.6279999999999999</v>
      </c>
      <c r="L26" s="123">
        <v>1.6279999999999999</v>
      </c>
      <c r="M26" s="123">
        <v>1.6279999999999999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2.0599999999999998E-3</v>
      </c>
      <c r="L27" s="123">
        <v>2.0599999999999998E-3</v>
      </c>
      <c r="M27" s="123">
        <v>2.0599999999999998E-3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123">
        <v>0</v>
      </c>
      <c r="F28" s="123">
        <v>0</v>
      </c>
      <c r="G28" s="123">
        <v>0</v>
      </c>
      <c r="H28" s="123">
        <v>0</v>
      </c>
      <c r="I28" s="123">
        <v>0</v>
      </c>
      <c r="J28" s="123">
        <v>0</v>
      </c>
      <c r="K28" s="123">
        <v>0</v>
      </c>
      <c r="L28" s="123">
        <v>0</v>
      </c>
      <c r="M28" s="123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122">
        <v>3.88</v>
      </c>
      <c r="F30" s="122">
        <v>3.88</v>
      </c>
      <c r="G30" s="122">
        <v>3.88</v>
      </c>
      <c r="H30" s="122">
        <v>3.88</v>
      </c>
      <c r="I30" s="122">
        <v>3.88</v>
      </c>
      <c r="J30" s="122">
        <v>3.88</v>
      </c>
      <c r="K30" s="122">
        <v>3.88</v>
      </c>
      <c r="L30" s="122">
        <v>3.88</v>
      </c>
      <c r="M30" s="122">
        <v>3.88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122"/>
      <c r="F31" s="122"/>
      <c r="G31" s="122"/>
      <c r="H31" s="122"/>
      <c r="I31" s="122"/>
      <c r="J31" s="122"/>
      <c r="K31" s="122"/>
      <c r="L31" s="122"/>
      <c r="M31" s="122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122"/>
      <c r="F32" s="122"/>
      <c r="G32" s="122"/>
      <c r="H32" s="122"/>
      <c r="I32" s="122"/>
      <c r="J32" s="122"/>
      <c r="K32" s="122"/>
      <c r="L32" s="122"/>
      <c r="M32" s="122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122">
        <v>20</v>
      </c>
      <c r="F33" s="122">
        <v>20</v>
      </c>
      <c r="G33" s="122">
        <v>20</v>
      </c>
      <c r="H33" s="122">
        <v>20</v>
      </c>
      <c r="I33" s="122">
        <v>20</v>
      </c>
      <c r="J33" s="122">
        <v>20</v>
      </c>
      <c r="K33" s="122">
        <v>20</v>
      </c>
      <c r="L33" s="122">
        <v>20</v>
      </c>
      <c r="M33" s="122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123">
        <v>800.77079092910083</v>
      </c>
      <c r="F34" s="123">
        <v>571.81820894808823</v>
      </c>
      <c r="G34" s="123">
        <v>446.14556901716315</v>
      </c>
      <c r="H34" s="123">
        <v>446.14556901716315</v>
      </c>
      <c r="I34" s="123">
        <v>446.14556901716315</v>
      </c>
      <c r="J34" s="123">
        <v>446.14556901716315</v>
      </c>
      <c r="K34" s="123">
        <v>1129.4706178785063</v>
      </c>
      <c r="L34" s="123">
        <v>982.55924743473179</v>
      </c>
      <c r="M34" s="123">
        <v>863.67730421521264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124">
        <v>0</v>
      </c>
      <c r="F35" s="124">
        <v>0</v>
      </c>
      <c r="G35" s="124">
        <v>0</v>
      </c>
      <c r="H35" s="124">
        <v>0</v>
      </c>
      <c r="I35" s="124">
        <v>0</v>
      </c>
      <c r="J35" s="124">
        <v>0</v>
      </c>
      <c r="K35" s="124">
        <v>0</v>
      </c>
      <c r="L35" s="124">
        <v>0</v>
      </c>
      <c r="M35" s="124">
        <v>0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122"/>
      <c r="F36" s="122"/>
      <c r="G36" s="122"/>
      <c r="H36" s="122"/>
      <c r="I36" s="122"/>
      <c r="J36" s="122"/>
      <c r="K36" s="122"/>
      <c r="L36" s="122"/>
      <c r="M36" s="122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123">
        <v>12.011561863936512</v>
      </c>
      <c r="F37" s="123">
        <v>8.5772731342213238</v>
      </c>
      <c r="G37" s="123">
        <v>6.6921835352574464</v>
      </c>
      <c r="H37" s="123">
        <v>6.6921835352574464</v>
      </c>
      <c r="I37" s="123">
        <v>6.6921835352574464</v>
      </c>
      <c r="J37" s="123">
        <v>6.6921835352574464</v>
      </c>
      <c r="K37" s="123">
        <v>1.6279999999999999</v>
      </c>
      <c r="L37" s="123">
        <v>1.6279999999999999</v>
      </c>
      <c r="M37" s="123">
        <v>1.6279999999999999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123">
        <v>0</v>
      </c>
      <c r="F38" s="123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2.0599999999999998E-3</v>
      </c>
      <c r="L38" s="123">
        <v>2.0599999999999998E-3</v>
      </c>
      <c r="M38" s="123">
        <v>2.0599999999999998E-3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123">
        <v>0</v>
      </c>
      <c r="F39" s="123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123">
        <v>0</v>
      </c>
      <c r="F40" s="123">
        <v>0</v>
      </c>
      <c r="G40" s="123">
        <v>0</v>
      </c>
      <c r="H40" s="123">
        <v>0</v>
      </c>
      <c r="I40" s="123">
        <v>0</v>
      </c>
      <c r="J40" s="123">
        <v>0</v>
      </c>
      <c r="K40" s="123">
        <v>0</v>
      </c>
      <c r="L40" s="123">
        <v>0</v>
      </c>
      <c r="M40" s="123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122">
        <v>3.63</v>
      </c>
      <c r="F41" s="122">
        <v>3.63</v>
      </c>
      <c r="G41" s="122">
        <v>3.63</v>
      </c>
      <c r="H41" s="122">
        <v>3.63</v>
      </c>
      <c r="I41" s="122">
        <v>3.63</v>
      </c>
      <c r="J41" s="122">
        <v>3.63</v>
      </c>
      <c r="K41" s="122">
        <v>3.63</v>
      </c>
      <c r="L41" s="122">
        <v>3.63</v>
      </c>
      <c r="M41" s="122">
        <v>3.63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122"/>
      <c r="F42" s="122"/>
      <c r="G42" s="122"/>
      <c r="H42" s="122"/>
      <c r="I42" s="122"/>
      <c r="J42" s="122"/>
      <c r="K42" s="122"/>
      <c r="L42" s="122"/>
      <c r="M42" s="122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122"/>
      <c r="F43" s="122"/>
      <c r="G43" s="122"/>
      <c r="H43" s="122"/>
      <c r="I43" s="122"/>
      <c r="J43" s="122"/>
      <c r="K43" s="122"/>
      <c r="L43" s="122"/>
      <c r="M43" s="122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122">
        <v>20</v>
      </c>
      <c r="F44" s="122">
        <v>20</v>
      </c>
      <c r="G44" s="122">
        <v>20</v>
      </c>
      <c r="H44" s="122">
        <v>20</v>
      </c>
      <c r="I44" s="122">
        <v>20</v>
      </c>
      <c r="J44" s="122">
        <v>20</v>
      </c>
      <c r="K44" s="122">
        <v>20</v>
      </c>
      <c r="L44" s="122">
        <v>20</v>
      </c>
      <c r="M44" s="122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123">
        <v>800.77079092910083</v>
      </c>
      <c r="F45" s="123">
        <v>571.81820894808823</v>
      </c>
      <c r="G45" s="123">
        <v>446.14556901716315</v>
      </c>
      <c r="H45" s="123">
        <v>446.14556901716315</v>
      </c>
      <c r="I45" s="123">
        <v>446.14556901716315</v>
      </c>
      <c r="J45" s="123">
        <v>446.14556901716315</v>
      </c>
      <c r="K45" s="123">
        <v>1129.4706178785063</v>
      </c>
      <c r="L45" s="123">
        <v>982.55924743473179</v>
      </c>
      <c r="M45" s="123">
        <v>863.67730421521264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124">
        <v>0</v>
      </c>
      <c r="F46" s="124">
        <v>0</v>
      </c>
      <c r="G46" s="124">
        <v>0</v>
      </c>
      <c r="H46" s="124">
        <v>0</v>
      </c>
      <c r="I46" s="124">
        <v>0</v>
      </c>
      <c r="J46" s="124">
        <v>0</v>
      </c>
      <c r="K46" s="124">
        <v>0</v>
      </c>
      <c r="L46" s="124">
        <v>0</v>
      </c>
      <c r="M46" s="124">
        <v>0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123">
        <v>12.011561863936512</v>
      </c>
      <c r="F48" s="123">
        <v>8.5772731342213238</v>
      </c>
      <c r="G48" s="123">
        <v>6.6921835352574464</v>
      </c>
      <c r="H48" s="123">
        <v>6.6921835352574464</v>
      </c>
      <c r="I48" s="123">
        <v>6.6921835352574464</v>
      </c>
      <c r="J48" s="123">
        <v>6.6921835352574464</v>
      </c>
      <c r="K48" s="123">
        <v>1.6279999999999999</v>
      </c>
      <c r="L48" s="123">
        <v>1.6279999999999999</v>
      </c>
      <c r="M48" s="123">
        <v>1.6279999999999999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2.0599999999999998E-3</v>
      </c>
      <c r="L49" s="123">
        <v>2.0599999999999998E-3</v>
      </c>
      <c r="M49" s="123">
        <v>2.0599999999999998E-3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122">
        <v>3.38</v>
      </c>
      <c r="F52" s="122">
        <v>3.38</v>
      </c>
      <c r="G52" s="122">
        <v>3.38</v>
      </c>
      <c r="H52" s="122">
        <v>3.38</v>
      </c>
      <c r="I52" s="122">
        <v>3.38</v>
      </c>
      <c r="J52" s="122">
        <v>3.38</v>
      </c>
      <c r="K52" s="122">
        <v>3.38</v>
      </c>
      <c r="L52" s="122">
        <v>3.38</v>
      </c>
      <c r="M52" s="122">
        <v>3.38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122"/>
      <c r="F53" s="122"/>
      <c r="G53" s="122"/>
      <c r="H53" s="122"/>
      <c r="I53" s="122"/>
      <c r="J53" s="122"/>
      <c r="K53" s="122"/>
      <c r="L53" s="122"/>
      <c r="M53" s="122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122"/>
      <c r="F54" s="122"/>
      <c r="G54" s="122"/>
      <c r="H54" s="122"/>
      <c r="I54" s="122"/>
      <c r="J54" s="122"/>
      <c r="K54" s="122"/>
      <c r="L54" s="122"/>
      <c r="M54" s="122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122">
        <v>20</v>
      </c>
      <c r="F55" s="122">
        <v>20</v>
      </c>
      <c r="G55" s="122">
        <v>20</v>
      </c>
      <c r="H55" s="122">
        <v>20</v>
      </c>
      <c r="I55" s="122">
        <v>20</v>
      </c>
      <c r="J55" s="122">
        <v>20</v>
      </c>
      <c r="K55" s="122">
        <v>20</v>
      </c>
      <c r="L55" s="122">
        <v>20</v>
      </c>
      <c r="M55" s="122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123">
        <v>786.25871364962575</v>
      </c>
      <c r="F56" s="123">
        <v>549.26179392174538</v>
      </c>
      <c r="G56" s="123">
        <v>421.66777237439481</v>
      </c>
      <c r="H56" s="123">
        <v>421.66777237439481</v>
      </c>
      <c r="I56" s="123">
        <v>421.66777237439481</v>
      </c>
      <c r="J56" s="123">
        <v>421.66777237439481</v>
      </c>
      <c r="K56" s="123">
        <v>597.82399999999996</v>
      </c>
      <c r="L56" s="123">
        <v>597.82399999999996</v>
      </c>
      <c r="M56" s="123">
        <v>597.82399999999996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124">
        <v>0</v>
      </c>
      <c r="F57" s="124">
        <v>0</v>
      </c>
      <c r="G57" s="124">
        <v>0</v>
      </c>
      <c r="H57" s="124">
        <v>0</v>
      </c>
      <c r="I57" s="124">
        <v>0</v>
      </c>
      <c r="J57" s="124">
        <v>0</v>
      </c>
      <c r="K57" s="124">
        <v>0</v>
      </c>
      <c r="L57" s="124">
        <v>0</v>
      </c>
      <c r="M57" s="124">
        <v>0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122"/>
      <c r="F58" s="122"/>
      <c r="G58" s="122"/>
      <c r="H58" s="122"/>
      <c r="I58" s="122"/>
      <c r="J58" s="122"/>
      <c r="K58" s="122"/>
      <c r="L58" s="122"/>
      <c r="M58" s="122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123">
        <v>11.793880704744385</v>
      </c>
      <c r="F59" s="123">
        <v>8.2389269088261798</v>
      </c>
      <c r="G59" s="123">
        <v>6.3250165856159217</v>
      </c>
      <c r="H59" s="123">
        <v>6.3250165856159217</v>
      </c>
      <c r="I59" s="123">
        <v>6.3250165856159217</v>
      </c>
      <c r="J59" s="123">
        <v>6.3250165856159217</v>
      </c>
      <c r="K59" s="123">
        <v>1.6279999999999999</v>
      </c>
      <c r="L59" s="123">
        <v>1.6279999999999999</v>
      </c>
      <c r="M59" s="123">
        <v>1.6279999999999999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123">
        <v>0</v>
      </c>
      <c r="F60" s="123">
        <v>0</v>
      </c>
      <c r="G60" s="123">
        <v>0</v>
      </c>
      <c r="H60" s="123">
        <v>0</v>
      </c>
      <c r="I60" s="123">
        <v>0</v>
      </c>
      <c r="J60" s="123">
        <v>0</v>
      </c>
      <c r="K60" s="123">
        <v>2.0599999999999998E-3</v>
      </c>
      <c r="L60" s="123">
        <v>2.0599999999999998E-3</v>
      </c>
      <c r="M60" s="123">
        <v>2.0599999999999998E-3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123">
        <v>0</v>
      </c>
      <c r="F61" s="123">
        <v>0</v>
      </c>
      <c r="G61" s="123">
        <v>0</v>
      </c>
      <c r="H61" s="123">
        <v>0</v>
      </c>
      <c r="I61" s="123">
        <v>0</v>
      </c>
      <c r="J61" s="123">
        <v>0</v>
      </c>
      <c r="K61" s="123">
        <v>0</v>
      </c>
      <c r="L61" s="123">
        <v>0</v>
      </c>
      <c r="M61" s="123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123">
        <v>0</v>
      </c>
      <c r="F62" s="123">
        <v>0</v>
      </c>
      <c r="G62" s="123">
        <v>0</v>
      </c>
      <c r="H62" s="123">
        <v>0</v>
      </c>
      <c r="I62" s="123">
        <v>0</v>
      </c>
      <c r="J62" s="123">
        <v>0</v>
      </c>
      <c r="K62" s="123">
        <v>0</v>
      </c>
      <c r="L62" s="123">
        <v>0</v>
      </c>
      <c r="M62" s="123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122">
        <v>4.82</v>
      </c>
      <c r="F63" s="122">
        <v>4.82</v>
      </c>
      <c r="G63" s="122">
        <v>4.82</v>
      </c>
      <c r="H63" s="122">
        <v>4.82</v>
      </c>
      <c r="I63" s="122">
        <v>4.82</v>
      </c>
      <c r="J63" s="122">
        <v>4.82</v>
      </c>
      <c r="K63" s="122">
        <v>4.82</v>
      </c>
      <c r="L63" s="122">
        <v>4.82</v>
      </c>
      <c r="M63" s="122">
        <v>4.82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122"/>
      <c r="F64" s="122"/>
      <c r="G64" s="122"/>
      <c r="H64" s="122"/>
      <c r="I64" s="122"/>
      <c r="J64" s="122"/>
      <c r="K64" s="122"/>
      <c r="L64" s="122"/>
      <c r="M64" s="122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122"/>
      <c r="F65" s="122"/>
      <c r="G65" s="122"/>
      <c r="H65" s="122"/>
      <c r="I65" s="122"/>
      <c r="J65" s="122"/>
      <c r="K65" s="122"/>
      <c r="L65" s="122"/>
      <c r="M65" s="122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123">
        <v>2819.9005597918967</v>
      </c>
      <c r="F66" s="123">
        <v>1929.550889841297</v>
      </c>
      <c r="G66" s="123">
        <v>1213.482173232652</v>
      </c>
      <c r="H66" s="123">
        <v>421.5437177304745</v>
      </c>
      <c r="I66" s="123">
        <v>287.43432006836628</v>
      </c>
      <c r="J66" s="123">
        <v>182.19088878412825</v>
      </c>
      <c r="K66" s="123">
        <v>88.423403695885241</v>
      </c>
      <c r="L66" s="123">
        <v>77.457281612869494</v>
      </c>
      <c r="M66" s="123">
        <v>77.457281612869494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122"/>
      <c r="F67" s="122"/>
      <c r="G67" s="122"/>
      <c r="H67" s="122"/>
      <c r="I67" s="122"/>
      <c r="J67" s="122"/>
      <c r="K67" s="122"/>
      <c r="L67" s="122"/>
      <c r="M67" s="122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122">
        <v>20</v>
      </c>
      <c r="F68" s="122">
        <v>20</v>
      </c>
      <c r="G68" s="122">
        <v>20</v>
      </c>
      <c r="H68" s="122">
        <v>20</v>
      </c>
      <c r="I68" s="122">
        <v>20</v>
      </c>
      <c r="J68" s="122">
        <v>20</v>
      </c>
      <c r="K68" s="122">
        <v>20</v>
      </c>
      <c r="L68" s="122">
        <v>20</v>
      </c>
      <c r="M68" s="122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123">
        <v>786.25871364962575</v>
      </c>
      <c r="F69" s="123">
        <v>549.26179392174538</v>
      </c>
      <c r="G69" s="123">
        <v>421.66777237439481</v>
      </c>
      <c r="H69" s="123">
        <v>421.66777237439481</v>
      </c>
      <c r="I69" s="123">
        <v>421.66777237439481</v>
      </c>
      <c r="J69" s="123">
        <v>421.66777237439481</v>
      </c>
      <c r="K69" s="123">
        <v>597.82399999999996</v>
      </c>
      <c r="L69" s="123">
        <v>597.82399999999996</v>
      </c>
      <c r="M69" s="123">
        <v>597.82399999999996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124">
        <v>0</v>
      </c>
      <c r="F70" s="124">
        <v>0</v>
      </c>
      <c r="G70" s="124">
        <v>0</v>
      </c>
      <c r="H70" s="124">
        <v>0</v>
      </c>
      <c r="I70" s="124">
        <v>0</v>
      </c>
      <c r="J70" s="124">
        <v>0</v>
      </c>
      <c r="K70" s="124">
        <v>0</v>
      </c>
      <c r="L70" s="124">
        <v>0</v>
      </c>
      <c r="M70" s="124">
        <v>0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122"/>
      <c r="F71" s="122"/>
      <c r="G71" s="122"/>
      <c r="H71" s="122"/>
      <c r="I71" s="122"/>
      <c r="J71" s="122"/>
      <c r="K71" s="122"/>
      <c r="L71" s="122"/>
      <c r="M71" s="122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123">
        <v>11.793880704744385</v>
      </c>
      <c r="F72" s="123">
        <v>8.2389269088261798</v>
      </c>
      <c r="G72" s="123">
        <v>6.3250165856159217</v>
      </c>
      <c r="H72" s="123">
        <v>6.3250165856159217</v>
      </c>
      <c r="I72" s="123">
        <v>6.3250165856159217</v>
      </c>
      <c r="J72" s="123">
        <v>6.3250165856159217</v>
      </c>
      <c r="K72" s="123">
        <v>1.6279999999999999</v>
      </c>
      <c r="L72" s="123">
        <v>1.6279999999999999</v>
      </c>
      <c r="M72" s="123">
        <v>1.6279999999999999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123">
        <v>0</v>
      </c>
      <c r="F73" s="123">
        <v>0</v>
      </c>
      <c r="G73" s="123">
        <v>0</v>
      </c>
      <c r="H73" s="123">
        <v>0</v>
      </c>
      <c r="I73" s="123">
        <v>0</v>
      </c>
      <c r="J73" s="123">
        <v>0</v>
      </c>
      <c r="K73" s="123">
        <v>2.0599999999999998E-3</v>
      </c>
      <c r="L73" s="123">
        <v>2.0599999999999998E-3</v>
      </c>
      <c r="M73" s="123">
        <v>2.0599999999999998E-3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123">
        <v>0</v>
      </c>
      <c r="F74" s="123">
        <v>0</v>
      </c>
      <c r="G74" s="123">
        <v>0</v>
      </c>
      <c r="H74" s="123">
        <v>0</v>
      </c>
      <c r="I74" s="123">
        <v>0</v>
      </c>
      <c r="J74" s="123">
        <v>0</v>
      </c>
      <c r="K74" s="123">
        <v>0</v>
      </c>
      <c r="L74" s="123">
        <v>0</v>
      </c>
      <c r="M74" s="123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123">
        <v>0</v>
      </c>
      <c r="F75" s="123">
        <v>0</v>
      </c>
      <c r="G75" s="123">
        <v>0</v>
      </c>
      <c r="H75" s="123">
        <v>0</v>
      </c>
      <c r="I75" s="123">
        <v>0</v>
      </c>
      <c r="J75" s="123">
        <v>0</v>
      </c>
      <c r="K75" s="123">
        <v>0</v>
      </c>
      <c r="L75" s="123">
        <v>0</v>
      </c>
      <c r="M75" s="123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122">
        <v>4.5</v>
      </c>
      <c r="F76" s="122">
        <v>4.5</v>
      </c>
      <c r="G76" s="122">
        <v>4.5</v>
      </c>
      <c r="H76" s="122">
        <v>4.5</v>
      </c>
      <c r="I76" s="122">
        <v>4.5</v>
      </c>
      <c r="J76" s="122">
        <v>4.5</v>
      </c>
      <c r="K76" s="122">
        <v>4.5</v>
      </c>
      <c r="L76" s="122">
        <v>4.5</v>
      </c>
      <c r="M76" s="122">
        <v>4.5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122"/>
      <c r="F77" s="122"/>
      <c r="G77" s="122"/>
      <c r="H77" s="122"/>
      <c r="I77" s="122"/>
      <c r="J77" s="122"/>
      <c r="K77" s="122"/>
      <c r="L77" s="122"/>
      <c r="M77" s="122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122"/>
      <c r="F78" s="122"/>
      <c r="G78" s="122"/>
      <c r="H78" s="122"/>
      <c r="I78" s="122"/>
      <c r="J78" s="122"/>
      <c r="K78" s="122"/>
      <c r="L78" s="122"/>
      <c r="M78" s="122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123">
        <v>2819.9005597918967</v>
      </c>
      <c r="F79" s="123">
        <v>1929.550889841297</v>
      </c>
      <c r="G79" s="123">
        <v>1213.482173232652</v>
      </c>
      <c r="H79" s="123">
        <v>421.5437177304745</v>
      </c>
      <c r="I79" s="123">
        <v>287.43432006836628</v>
      </c>
      <c r="J79" s="123">
        <v>182.19088878412825</v>
      </c>
      <c r="K79" s="123">
        <v>88.423403695885241</v>
      </c>
      <c r="L79" s="123">
        <v>77.457281612869494</v>
      </c>
      <c r="M79" s="123">
        <v>77.457281612869494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122"/>
      <c r="F80" s="122"/>
      <c r="G80" s="122"/>
      <c r="H80" s="122"/>
      <c r="I80" s="122"/>
      <c r="J80" s="122"/>
      <c r="K80" s="122"/>
      <c r="L80" s="122"/>
      <c r="M80" s="122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122">
        <v>20</v>
      </c>
      <c r="F81" s="122">
        <v>20</v>
      </c>
      <c r="G81" s="122">
        <v>20</v>
      </c>
      <c r="H81" s="122">
        <v>20</v>
      </c>
      <c r="I81" s="122">
        <v>20</v>
      </c>
      <c r="J81" s="122">
        <v>20</v>
      </c>
      <c r="K81" s="122">
        <v>20</v>
      </c>
      <c r="L81" s="122">
        <v>20</v>
      </c>
      <c r="M81" s="122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123">
        <v>786.25871364962575</v>
      </c>
      <c r="F82" s="123">
        <v>549.26179392174538</v>
      </c>
      <c r="G82" s="123">
        <v>421.66777237439481</v>
      </c>
      <c r="H82" s="123">
        <v>421.66777237439481</v>
      </c>
      <c r="I82" s="123">
        <v>421.66777237439481</v>
      </c>
      <c r="J82" s="123">
        <v>421.66777237439481</v>
      </c>
      <c r="K82" s="123">
        <v>597.82399999999996</v>
      </c>
      <c r="L82" s="123">
        <v>597.82399999999996</v>
      </c>
      <c r="M82" s="123">
        <v>597.82399999999996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124">
        <v>0</v>
      </c>
      <c r="F83" s="124">
        <v>0</v>
      </c>
      <c r="G83" s="124">
        <v>0</v>
      </c>
      <c r="H83" s="124">
        <v>0</v>
      </c>
      <c r="I83" s="124">
        <v>0</v>
      </c>
      <c r="J83" s="124">
        <v>0</v>
      </c>
      <c r="K83" s="124">
        <v>0</v>
      </c>
      <c r="L83" s="124">
        <v>0</v>
      </c>
      <c r="M83" s="124">
        <v>0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122"/>
      <c r="F84" s="122"/>
      <c r="G84" s="122"/>
      <c r="H84" s="122"/>
      <c r="I84" s="122"/>
      <c r="J84" s="122"/>
      <c r="K84" s="122"/>
      <c r="L84" s="122"/>
      <c r="M84" s="122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123">
        <v>11.793880704744385</v>
      </c>
      <c r="F85" s="123">
        <v>8.2389269088261798</v>
      </c>
      <c r="G85" s="123">
        <v>6.3250165856159217</v>
      </c>
      <c r="H85" s="123">
        <v>6.3250165856159217</v>
      </c>
      <c r="I85" s="123">
        <v>6.3250165856159217</v>
      </c>
      <c r="J85" s="123">
        <v>6.3250165856159217</v>
      </c>
      <c r="K85" s="123">
        <v>1.6279999999999999</v>
      </c>
      <c r="L85" s="123">
        <v>1.6279999999999999</v>
      </c>
      <c r="M85" s="123">
        <v>1.6279999999999999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2.0599999999999998E-3</v>
      </c>
      <c r="L86" s="123">
        <v>2.0599999999999998E-3</v>
      </c>
      <c r="M86" s="123">
        <v>2.0599999999999998E-3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123">
        <v>0</v>
      </c>
      <c r="F87" s="123">
        <v>0</v>
      </c>
      <c r="G87" s="123">
        <v>0</v>
      </c>
      <c r="H87" s="123">
        <v>0</v>
      </c>
      <c r="I87" s="123">
        <v>0</v>
      </c>
      <c r="J87" s="123">
        <v>0</v>
      </c>
      <c r="K87" s="123">
        <v>0</v>
      </c>
      <c r="L87" s="123">
        <v>0</v>
      </c>
      <c r="M87" s="123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123">
        <v>0</v>
      </c>
      <c r="F88" s="123">
        <v>0</v>
      </c>
      <c r="G88" s="123">
        <v>0</v>
      </c>
      <c r="H88" s="123">
        <v>0</v>
      </c>
      <c r="I88" s="123">
        <v>0</v>
      </c>
      <c r="J88" s="123">
        <v>0</v>
      </c>
      <c r="K88" s="123">
        <v>0</v>
      </c>
      <c r="L88" s="123">
        <v>0</v>
      </c>
      <c r="M88" s="123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122">
        <v>4.18</v>
      </c>
      <c r="F89" s="122">
        <v>4.18</v>
      </c>
      <c r="G89" s="122">
        <v>4.18</v>
      </c>
      <c r="H89" s="122">
        <v>4.18</v>
      </c>
      <c r="I89" s="122">
        <v>4.18</v>
      </c>
      <c r="J89" s="122">
        <v>4.18</v>
      </c>
      <c r="K89" s="122">
        <v>4.18</v>
      </c>
      <c r="L89" s="122">
        <v>4.18</v>
      </c>
      <c r="M89" s="122">
        <v>4.18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122"/>
      <c r="F90" s="122"/>
      <c r="G90" s="122"/>
      <c r="H90" s="122"/>
      <c r="I90" s="122"/>
      <c r="J90" s="122"/>
      <c r="K90" s="122"/>
      <c r="L90" s="122"/>
      <c r="M90" s="122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122"/>
      <c r="F91" s="122"/>
      <c r="G91" s="122"/>
      <c r="H91" s="122"/>
      <c r="I91" s="122"/>
      <c r="J91" s="122"/>
      <c r="K91" s="122"/>
      <c r="L91" s="122"/>
      <c r="M91" s="122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123">
        <v>2819.9005597918967</v>
      </c>
      <c r="F92" s="123">
        <v>1929.550889841297</v>
      </c>
      <c r="G92" s="123">
        <v>1213.482173232652</v>
      </c>
      <c r="H92" s="123">
        <v>421.5437177304745</v>
      </c>
      <c r="I92" s="123">
        <v>287.43432006836628</v>
      </c>
      <c r="J92" s="123">
        <v>182.19088878412825</v>
      </c>
      <c r="K92" s="123">
        <v>88.423403695885241</v>
      </c>
      <c r="L92" s="123">
        <v>77.457281612869494</v>
      </c>
      <c r="M92" s="123">
        <v>77.457281612869494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122"/>
      <c r="F93" s="122"/>
      <c r="G93" s="122"/>
      <c r="H93" s="122"/>
      <c r="I93" s="122"/>
      <c r="J93" s="122"/>
      <c r="K93" s="122"/>
      <c r="L93" s="122"/>
      <c r="M93" s="122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122">
        <v>1</v>
      </c>
      <c r="F94" s="122">
        <v>1</v>
      </c>
      <c r="G94" s="122">
        <v>1</v>
      </c>
      <c r="H94" s="122">
        <v>1</v>
      </c>
      <c r="I94" s="122">
        <v>1</v>
      </c>
      <c r="J94" s="122">
        <v>1</v>
      </c>
      <c r="K94" s="122">
        <v>1</v>
      </c>
      <c r="L94" s="122">
        <v>1</v>
      </c>
      <c r="M94" s="122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122">
        <v>0.35</v>
      </c>
      <c r="F95" s="122">
        <v>0.35</v>
      </c>
      <c r="G95" s="122">
        <v>0.35</v>
      </c>
      <c r="H95" s="122">
        <v>0.35</v>
      </c>
      <c r="I95" s="122">
        <v>0.35</v>
      </c>
      <c r="J95" s="122">
        <v>0.35</v>
      </c>
      <c r="K95" s="122">
        <v>0.35</v>
      </c>
      <c r="L95" s="122">
        <v>0.35</v>
      </c>
      <c r="M95" s="122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122">
        <v>20</v>
      </c>
      <c r="F96" s="122">
        <v>20</v>
      </c>
      <c r="G96" s="122">
        <v>20</v>
      </c>
      <c r="H96" s="122">
        <v>20</v>
      </c>
      <c r="I96" s="122">
        <v>20</v>
      </c>
      <c r="J96" s="122">
        <v>20</v>
      </c>
      <c r="K96" s="122">
        <v>20</v>
      </c>
      <c r="L96" s="122">
        <v>20</v>
      </c>
      <c r="M96" s="122">
        <v>20</v>
      </c>
      <c r="N96" s="54"/>
    </row>
    <row r="97" spans="1:14" x14ac:dyDescent="0.25">
      <c r="A97" s="208"/>
      <c r="B97" s="225"/>
      <c r="C97" s="25" t="s">
        <v>23</v>
      </c>
      <c r="D97" s="1" t="s">
        <v>6</v>
      </c>
      <c r="E97" s="123">
        <v>202.65582041234001</v>
      </c>
      <c r="F97" s="123">
        <v>171.6776866187549</v>
      </c>
      <c r="G97" s="123">
        <v>133.81025064233</v>
      </c>
      <c r="H97" s="123">
        <v>107.89700245248551</v>
      </c>
      <c r="I97" s="123">
        <v>107.31263157894738</v>
      </c>
      <c r="J97" s="123">
        <v>107.00631578947369</v>
      </c>
      <c r="K97" s="123">
        <v>105.98526315789475</v>
      </c>
      <c r="L97" s="123">
        <v>103.84105263157896</v>
      </c>
      <c r="M97" s="123">
        <v>99.55263157894737</v>
      </c>
      <c r="N97" s="54"/>
    </row>
    <row r="98" spans="1:14" x14ac:dyDescent="0.25">
      <c r="A98" s="208"/>
      <c r="B98" s="225"/>
      <c r="C98" s="25" t="s">
        <v>177</v>
      </c>
      <c r="D98" s="1" t="s">
        <v>19</v>
      </c>
      <c r="E98" s="124">
        <v>0</v>
      </c>
      <c r="F98" s="124">
        <v>0</v>
      </c>
      <c r="G98" s="124">
        <v>0</v>
      </c>
      <c r="H98" s="124">
        <v>0</v>
      </c>
      <c r="I98" s="124">
        <v>0</v>
      </c>
      <c r="J98" s="124">
        <v>0</v>
      </c>
      <c r="K98" s="124">
        <v>0</v>
      </c>
      <c r="L98" s="124">
        <v>0</v>
      </c>
      <c r="M98" s="124">
        <v>0</v>
      </c>
      <c r="N98" s="54"/>
    </row>
    <row r="99" spans="1:14" x14ac:dyDescent="0.25">
      <c r="A99" s="208"/>
      <c r="B99" s="225"/>
      <c r="C99" s="25" t="s">
        <v>114</v>
      </c>
      <c r="D99" s="1" t="s">
        <v>8</v>
      </c>
      <c r="E99" s="122"/>
      <c r="F99" s="122"/>
      <c r="G99" s="122"/>
      <c r="H99" s="122"/>
      <c r="I99" s="122"/>
      <c r="J99" s="122"/>
      <c r="K99" s="122"/>
      <c r="L99" s="122"/>
      <c r="M99" s="122"/>
      <c r="N99" s="54"/>
    </row>
    <row r="100" spans="1:14" x14ac:dyDescent="0.25">
      <c r="A100" s="208"/>
      <c r="B100" s="225"/>
      <c r="C100" s="25" t="s">
        <v>115</v>
      </c>
      <c r="D100" s="1" t="s">
        <v>9</v>
      </c>
      <c r="E100" s="123">
        <v>6.0796746123701997</v>
      </c>
      <c r="F100" s="123">
        <v>5.1503305985626469</v>
      </c>
      <c r="G100" s="123">
        <v>4.0143075192698996</v>
      </c>
      <c r="H100" s="123">
        <v>3.2369100735745651</v>
      </c>
      <c r="I100" s="123">
        <v>2.0378947368421052</v>
      </c>
      <c r="J100" s="123">
        <v>2.0189473684210526</v>
      </c>
      <c r="K100" s="123">
        <v>1.9557894736842103</v>
      </c>
      <c r="L100" s="123">
        <v>1.8231578947368419</v>
      </c>
      <c r="M100" s="123">
        <v>1.557894736842105</v>
      </c>
      <c r="N100" s="54"/>
    </row>
    <row r="101" spans="1:14" x14ac:dyDescent="0.25">
      <c r="A101" s="208"/>
      <c r="B101" s="225"/>
      <c r="C101" s="25" t="s">
        <v>35</v>
      </c>
      <c r="D101" s="1" t="s">
        <v>10</v>
      </c>
      <c r="E101" s="123">
        <v>0</v>
      </c>
      <c r="F101" s="123">
        <v>0</v>
      </c>
      <c r="G101" s="123">
        <v>0</v>
      </c>
      <c r="H101" s="123">
        <v>0</v>
      </c>
      <c r="I101" s="123">
        <v>0</v>
      </c>
      <c r="J101" s="123">
        <v>0</v>
      </c>
      <c r="K101" s="123">
        <v>1.6666105263157894E-3</v>
      </c>
      <c r="L101" s="123">
        <v>1.5304421052631579E-3</v>
      </c>
      <c r="M101" s="123">
        <v>1.2581052631578946E-3</v>
      </c>
      <c r="N101" s="54"/>
    </row>
    <row r="102" spans="1:14" x14ac:dyDescent="0.25">
      <c r="A102" s="208"/>
      <c r="B102" s="225"/>
      <c r="C102" s="26" t="s">
        <v>24</v>
      </c>
      <c r="D102" s="27" t="s">
        <v>10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54"/>
    </row>
    <row r="103" spans="1:14" x14ac:dyDescent="0.25">
      <c r="A103" s="208"/>
      <c r="B103" s="225"/>
      <c r="C103" s="25" t="s">
        <v>25</v>
      </c>
      <c r="D103" s="1" t="s">
        <v>7</v>
      </c>
      <c r="E103" s="124">
        <v>0.98499999999999988</v>
      </c>
      <c r="F103" s="124">
        <v>0.98499999999999988</v>
      </c>
      <c r="G103" s="124">
        <v>0.98499999999999988</v>
      </c>
      <c r="H103" s="124">
        <v>0.98499999999999988</v>
      </c>
      <c r="I103" s="124">
        <v>0.98499999999999988</v>
      </c>
      <c r="J103" s="124">
        <v>0.98499999999999988</v>
      </c>
      <c r="K103" s="124">
        <v>0.99399999999999999</v>
      </c>
      <c r="L103" s="124">
        <v>0.99399999999999999</v>
      </c>
      <c r="M103" s="124">
        <v>0.99399999999999999</v>
      </c>
      <c r="N103" s="54"/>
    </row>
    <row r="104" spans="1:14" x14ac:dyDescent="0.25">
      <c r="A104" s="208"/>
      <c r="B104" s="225"/>
      <c r="C104" s="25" t="s">
        <v>26</v>
      </c>
      <c r="D104" s="1" t="s">
        <v>14</v>
      </c>
      <c r="E104" s="123">
        <v>1524.6</v>
      </c>
      <c r="F104" s="123">
        <v>1749.6</v>
      </c>
      <c r="G104" s="123">
        <v>2349.6</v>
      </c>
      <c r="H104" s="123">
        <v>3174.6</v>
      </c>
      <c r="I104" s="123">
        <v>4299.6000000000004</v>
      </c>
      <c r="J104" s="123">
        <v>14213</v>
      </c>
      <c r="K104" s="123">
        <v>21713</v>
      </c>
      <c r="L104" s="123">
        <v>37463</v>
      </c>
      <c r="M104" s="123">
        <v>68963</v>
      </c>
      <c r="N104" s="54"/>
    </row>
    <row r="105" spans="1:14" x14ac:dyDescent="0.25">
      <c r="A105" s="208"/>
      <c r="B105" s="225"/>
      <c r="C105" s="25" t="s">
        <v>27</v>
      </c>
      <c r="D105" s="1" t="s">
        <v>4</v>
      </c>
      <c r="E105" s="122">
        <v>40</v>
      </c>
      <c r="F105" s="122">
        <v>40</v>
      </c>
      <c r="G105" s="122">
        <v>40</v>
      </c>
      <c r="H105" s="122">
        <v>40</v>
      </c>
      <c r="I105" s="122">
        <v>40</v>
      </c>
      <c r="J105" s="122">
        <v>40</v>
      </c>
      <c r="K105" s="122">
        <v>40</v>
      </c>
      <c r="L105" s="122">
        <v>40</v>
      </c>
      <c r="M105" s="122">
        <v>40</v>
      </c>
      <c r="N105" s="54"/>
    </row>
    <row r="106" spans="1:14" x14ac:dyDescent="0.25">
      <c r="A106" s="208"/>
      <c r="B106" s="225"/>
      <c r="C106" s="25" t="s">
        <v>116</v>
      </c>
      <c r="D106" s="1" t="s">
        <v>19</v>
      </c>
      <c r="E106" s="122">
        <v>0.5</v>
      </c>
      <c r="F106" s="122">
        <v>0.5</v>
      </c>
      <c r="G106" s="122">
        <v>0.5</v>
      </c>
      <c r="H106" s="122">
        <v>0.5</v>
      </c>
      <c r="I106" s="122">
        <v>0.5</v>
      </c>
      <c r="J106" s="122">
        <v>0.5</v>
      </c>
      <c r="K106" s="122">
        <v>0.5</v>
      </c>
      <c r="L106" s="122">
        <v>0.5</v>
      </c>
      <c r="M106" s="122">
        <v>0.5</v>
      </c>
      <c r="N106" s="54"/>
    </row>
    <row r="107" spans="1:14" x14ac:dyDescent="0.25">
      <c r="A107" s="208"/>
      <c r="B107" s="225"/>
      <c r="C107" s="25" t="s">
        <v>28</v>
      </c>
      <c r="D107" s="1" t="s">
        <v>19</v>
      </c>
      <c r="E107" s="122">
        <v>1.3</v>
      </c>
      <c r="F107" s="122">
        <v>1.3</v>
      </c>
      <c r="G107" s="122">
        <v>1.3</v>
      </c>
      <c r="H107" s="122">
        <v>1.3</v>
      </c>
      <c r="I107" s="122">
        <v>1.3</v>
      </c>
      <c r="J107" s="122">
        <v>1.3</v>
      </c>
      <c r="K107" s="122">
        <v>1.3</v>
      </c>
      <c r="L107" s="122">
        <v>1.3</v>
      </c>
      <c r="M107" s="122">
        <v>1.3</v>
      </c>
      <c r="N107" s="54"/>
    </row>
    <row r="108" spans="1:14" x14ac:dyDescent="0.25">
      <c r="A108" s="208"/>
      <c r="B108" s="225"/>
      <c r="C108" s="25" t="s">
        <v>29</v>
      </c>
      <c r="D108" s="1" t="s">
        <v>4</v>
      </c>
      <c r="E108" s="122">
        <v>20</v>
      </c>
      <c r="F108" s="122">
        <v>20</v>
      </c>
      <c r="G108" s="122">
        <v>20</v>
      </c>
      <c r="H108" s="122">
        <v>20</v>
      </c>
      <c r="I108" s="122">
        <v>20</v>
      </c>
      <c r="J108" s="122">
        <v>20</v>
      </c>
      <c r="K108" s="122">
        <v>20</v>
      </c>
      <c r="L108" s="122">
        <v>20</v>
      </c>
      <c r="M108" s="122">
        <v>20</v>
      </c>
      <c r="N108" s="54"/>
    </row>
    <row r="109" spans="1:14" x14ac:dyDescent="0.25">
      <c r="A109" s="208"/>
      <c r="B109" s="225"/>
      <c r="C109" s="25" t="s">
        <v>30</v>
      </c>
      <c r="D109" s="1" t="s">
        <v>6</v>
      </c>
      <c r="E109" s="123">
        <v>1121.3946138315985</v>
      </c>
      <c r="F109" s="123">
        <v>800.77079092910083</v>
      </c>
      <c r="G109" s="123">
        <v>530.55820516118979</v>
      </c>
      <c r="H109" s="123">
        <v>446.14556901716315</v>
      </c>
      <c r="I109" s="123">
        <v>446.14556901716315</v>
      </c>
      <c r="J109" s="123">
        <v>446.14556901716315</v>
      </c>
      <c r="K109" s="123">
        <v>1273.5710477601447</v>
      </c>
      <c r="L109" s="123">
        <v>1107.916390593947</v>
      </c>
      <c r="M109" s="123">
        <v>973.86721871709995</v>
      </c>
      <c r="N109" s="54"/>
    </row>
    <row r="110" spans="1:14" x14ac:dyDescent="0.25">
      <c r="A110" s="208"/>
      <c r="B110" s="225"/>
      <c r="C110" s="25" t="s">
        <v>178</v>
      </c>
      <c r="D110" s="1" t="s">
        <v>19</v>
      </c>
      <c r="E110" s="124">
        <v>0</v>
      </c>
      <c r="F110" s="124">
        <v>0</v>
      </c>
      <c r="G110" s="124">
        <v>0</v>
      </c>
      <c r="H110" s="124">
        <v>0</v>
      </c>
      <c r="I110" s="124">
        <v>0</v>
      </c>
      <c r="J110" s="124">
        <v>0</v>
      </c>
      <c r="K110" s="124">
        <v>0</v>
      </c>
      <c r="L110" s="124">
        <v>0</v>
      </c>
      <c r="M110" s="124">
        <v>0</v>
      </c>
      <c r="N110" s="54"/>
    </row>
    <row r="111" spans="1:14" x14ac:dyDescent="0.25">
      <c r="A111" s="208"/>
      <c r="B111" s="225"/>
      <c r="C111" s="25" t="s">
        <v>117</v>
      </c>
      <c r="D111" s="1" t="s">
        <v>8</v>
      </c>
      <c r="E111" s="122"/>
      <c r="F111" s="122"/>
      <c r="G111" s="122"/>
      <c r="H111" s="122"/>
      <c r="I111" s="122"/>
      <c r="J111" s="122"/>
      <c r="K111" s="122"/>
      <c r="L111" s="122"/>
      <c r="M111" s="122"/>
      <c r="N111" s="54"/>
    </row>
    <row r="112" spans="1:14" x14ac:dyDescent="0.25">
      <c r="A112" s="208"/>
      <c r="B112" s="225"/>
      <c r="C112" s="25" t="s">
        <v>118</v>
      </c>
      <c r="D112" s="1" t="s">
        <v>9</v>
      </c>
      <c r="E112" s="122"/>
      <c r="F112" s="122"/>
      <c r="G112" s="122"/>
      <c r="H112" s="122"/>
      <c r="I112" s="122"/>
      <c r="J112" s="122"/>
      <c r="K112" s="122"/>
      <c r="L112" s="122"/>
      <c r="M112" s="122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2.0599999999999998E-3</v>
      </c>
      <c r="M113" s="123">
        <v>2.0599999999999998E-3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122">
        <v>3.38</v>
      </c>
      <c r="F116" s="122">
        <v>3.38</v>
      </c>
      <c r="G116" s="122">
        <v>3.38</v>
      </c>
      <c r="H116" s="122">
        <v>3.38</v>
      </c>
      <c r="I116" s="122">
        <v>3.38</v>
      </c>
      <c r="J116" s="122">
        <v>3.38</v>
      </c>
      <c r="K116" s="122">
        <v>3.38</v>
      </c>
      <c r="L116" s="122">
        <v>3.38</v>
      </c>
      <c r="M116" s="122">
        <v>3.38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122"/>
      <c r="F117" s="122"/>
      <c r="G117" s="122"/>
      <c r="H117" s="122"/>
      <c r="I117" s="122"/>
      <c r="J117" s="122"/>
      <c r="K117" s="122"/>
      <c r="L117" s="122"/>
      <c r="M117" s="122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122"/>
      <c r="F118" s="122"/>
      <c r="G118" s="122"/>
      <c r="H118" s="122"/>
      <c r="I118" s="122"/>
      <c r="J118" s="122"/>
      <c r="K118" s="122"/>
      <c r="L118" s="122"/>
      <c r="M118" s="122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122">
        <v>1</v>
      </c>
      <c r="F119" s="122">
        <v>1</v>
      </c>
      <c r="G119" s="122">
        <v>1</v>
      </c>
      <c r="H119" s="122">
        <v>1</v>
      </c>
      <c r="I119" s="122">
        <v>1</v>
      </c>
      <c r="J119" s="122">
        <v>1</v>
      </c>
      <c r="K119" s="122">
        <v>1</v>
      </c>
      <c r="L119" s="122">
        <v>1</v>
      </c>
      <c r="M119" s="122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122">
        <v>0.35</v>
      </c>
      <c r="F120" s="122">
        <v>0.35</v>
      </c>
      <c r="G120" s="122">
        <v>0.35</v>
      </c>
      <c r="H120" s="122">
        <v>0.35</v>
      </c>
      <c r="I120" s="122">
        <v>0.35</v>
      </c>
      <c r="J120" s="122">
        <v>0.35</v>
      </c>
      <c r="K120" s="122">
        <v>0.35</v>
      </c>
      <c r="L120" s="122">
        <v>0.35</v>
      </c>
      <c r="M120" s="122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122">
        <v>20</v>
      </c>
      <c r="F121" s="122">
        <v>20</v>
      </c>
      <c r="G121" s="122">
        <v>20</v>
      </c>
      <c r="H121" s="122">
        <v>20</v>
      </c>
      <c r="I121" s="122">
        <v>20</v>
      </c>
      <c r="J121" s="122">
        <v>20</v>
      </c>
      <c r="K121" s="122">
        <v>20</v>
      </c>
      <c r="L121" s="122">
        <v>20</v>
      </c>
      <c r="M121" s="122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123">
        <v>202.65582041234001</v>
      </c>
      <c r="F122" s="123">
        <v>171.6776866187549</v>
      </c>
      <c r="G122" s="123">
        <v>133.81025064233</v>
      </c>
      <c r="H122" s="123">
        <v>107.89700245248551</v>
      </c>
      <c r="I122" s="123">
        <v>107.31263157894738</v>
      </c>
      <c r="J122" s="123">
        <v>107.00631578947369</v>
      </c>
      <c r="K122" s="123">
        <v>105.98526315789475</v>
      </c>
      <c r="L122" s="123">
        <v>103.84105263157896</v>
      </c>
      <c r="M122" s="123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124">
        <v>0</v>
      </c>
      <c r="F123" s="124">
        <v>0</v>
      </c>
      <c r="G123" s="124">
        <v>0</v>
      </c>
      <c r="H123" s="124">
        <v>0</v>
      </c>
      <c r="I123" s="124">
        <v>0</v>
      </c>
      <c r="J123" s="124">
        <v>0</v>
      </c>
      <c r="K123" s="124">
        <v>0</v>
      </c>
      <c r="L123" s="124">
        <v>0</v>
      </c>
      <c r="M123" s="124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122"/>
      <c r="F124" s="122"/>
      <c r="G124" s="122"/>
      <c r="H124" s="122"/>
      <c r="I124" s="122"/>
      <c r="J124" s="122"/>
      <c r="K124" s="122"/>
      <c r="L124" s="122"/>
      <c r="M124" s="122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123">
        <v>6.0796746123701997</v>
      </c>
      <c r="F125" s="123">
        <v>5.1503305985626469</v>
      </c>
      <c r="G125" s="123">
        <v>4.0143075192698996</v>
      </c>
      <c r="H125" s="123">
        <v>3.2369100735745651</v>
      </c>
      <c r="I125" s="123">
        <v>2.0378947368421052</v>
      </c>
      <c r="J125" s="123">
        <v>2.0189473684210526</v>
      </c>
      <c r="K125" s="123">
        <v>1.9557894736842103</v>
      </c>
      <c r="L125" s="123">
        <v>1.8231578947368419</v>
      </c>
      <c r="M125" s="123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1.6666105263157894E-3</v>
      </c>
      <c r="L126" s="123">
        <v>1.5304421052631579E-3</v>
      </c>
      <c r="M126" s="123">
        <v>1.2581052631578946E-3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124">
        <v>0.98499999999999988</v>
      </c>
      <c r="F128" s="124">
        <v>0.98499999999999988</v>
      </c>
      <c r="G128" s="124">
        <v>0.98499999999999988</v>
      </c>
      <c r="H128" s="124">
        <v>0.98499999999999988</v>
      </c>
      <c r="I128" s="124">
        <v>0.98499999999999988</v>
      </c>
      <c r="J128" s="124">
        <v>0.98499999999999988</v>
      </c>
      <c r="K128" s="124">
        <v>0.99399999999999999</v>
      </c>
      <c r="L128" s="124">
        <v>0.99399999999999999</v>
      </c>
      <c r="M128" s="124">
        <v>0.99399999999999999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123">
        <v>1524.6</v>
      </c>
      <c r="F129" s="123">
        <v>1749.6</v>
      </c>
      <c r="G129" s="123">
        <v>2349.6</v>
      </c>
      <c r="H129" s="123">
        <v>3174.6</v>
      </c>
      <c r="I129" s="123">
        <v>4299.6000000000004</v>
      </c>
      <c r="J129" s="123">
        <v>14213</v>
      </c>
      <c r="K129" s="123">
        <v>21713</v>
      </c>
      <c r="L129" s="123">
        <v>37463</v>
      </c>
      <c r="M129" s="123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122">
        <v>40</v>
      </c>
      <c r="F130" s="122">
        <v>40</v>
      </c>
      <c r="G130" s="122">
        <v>40</v>
      </c>
      <c r="H130" s="122">
        <v>40</v>
      </c>
      <c r="I130" s="122">
        <v>40</v>
      </c>
      <c r="J130" s="122">
        <v>40</v>
      </c>
      <c r="K130" s="122">
        <v>40</v>
      </c>
      <c r="L130" s="122">
        <v>40</v>
      </c>
      <c r="M130" s="122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122">
        <v>0.35</v>
      </c>
      <c r="F131" s="122">
        <v>0.35</v>
      </c>
      <c r="G131" s="122">
        <v>0.35</v>
      </c>
      <c r="H131" s="122">
        <v>0.35</v>
      </c>
      <c r="I131" s="122">
        <v>0.35</v>
      </c>
      <c r="J131" s="122">
        <v>0.35</v>
      </c>
      <c r="K131" s="122">
        <v>0.35</v>
      </c>
      <c r="L131" s="122">
        <v>0.35</v>
      </c>
      <c r="M131" s="122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122">
        <v>1.8571428571428572</v>
      </c>
      <c r="F132" s="122">
        <v>1.8571428571428572</v>
      </c>
      <c r="G132" s="122">
        <v>1.8571428571428572</v>
      </c>
      <c r="H132" s="122">
        <v>1.8571428571428572</v>
      </c>
      <c r="I132" s="122">
        <v>1.8571428571428572</v>
      </c>
      <c r="J132" s="122">
        <v>1.8571428571428572</v>
      </c>
      <c r="K132" s="122">
        <v>1.8571428571428572</v>
      </c>
      <c r="L132" s="122">
        <v>1.8571428571428572</v>
      </c>
      <c r="M132" s="122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122">
        <v>20</v>
      </c>
      <c r="F133" s="122">
        <v>20</v>
      </c>
      <c r="G133" s="122">
        <v>20</v>
      </c>
      <c r="H133" s="122">
        <v>20</v>
      </c>
      <c r="I133" s="122">
        <v>20</v>
      </c>
      <c r="J133" s="122">
        <v>20</v>
      </c>
      <c r="K133" s="122">
        <v>20</v>
      </c>
      <c r="L133" s="122">
        <v>20</v>
      </c>
      <c r="M133" s="122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123">
        <v>6304.5457437357918</v>
      </c>
      <c r="F134" s="123">
        <v>4255.2155768670527</v>
      </c>
      <c r="G134" s="123">
        <v>2631.5994039092525</v>
      </c>
      <c r="H134" s="123">
        <v>2072.3743483471271</v>
      </c>
      <c r="I134" s="123">
        <v>1733.2777911140615</v>
      </c>
      <c r="J134" s="123">
        <v>1392.7514739604958</v>
      </c>
      <c r="K134" s="123">
        <v>1092.1408151125991</v>
      </c>
      <c r="L134" s="123">
        <v>876.09845826756919</v>
      </c>
      <c r="M134" s="123">
        <v>714.42976829028339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122"/>
      <c r="F136" s="122"/>
      <c r="G136" s="122"/>
      <c r="H136" s="122"/>
      <c r="I136" s="122"/>
      <c r="J136" s="122"/>
      <c r="K136" s="122"/>
      <c r="L136" s="122"/>
      <c r="M136" s="122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122"/>
      <c r="F137" s="122"/>
      <c r="G137" s="122"/>
      <c r="H137" s="122"/>
      <c r="I137" s="122"/>
      <c r="J137" s="122"/>
      <c r="K137" s="122"/>
      <c r="L137" s="122"/>
      <c r="M137" s="122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123">
        <v>5.4632155805897732E-2</v>
      </c>
      <c r="F138" s="123">
        <v>6.9225169277652349E-2</v>
      </c>
      <c r="G138" s="123">
        <v>5.5072970988733948E-2</v>
      </c>
      <c r="H138" s="123">
        <v>4.6604222305577481E-2</v>
      </c>
      <c r="I138" s="123">
        <v>4.0289223212275231E-2</v>
      </c>
      <c r="J138" s="123">
        <v>2.4583755873341454E-2</v>
      </c>
      <c r="K138" s="123">
        <v>1.9104989606490121E-2</v>
      </c>
      <c r="L138" s="123">
        <v>1.5182594783541725E-2</v>
      </c>
      <c r="M138" s="123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122"/>
      <c r="F140" s="122"/>
      <c r="G140" s="122"/>
      <c r="H140" s="122"/>
      <c r="I140" s="122"/>
      <c r="J140" s="122"/>
      <c r="K140" s="122"/>
      <c r="L140" s="122"/>
      <c r="M140" s="122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122"/>
      <c r="F141" s="122"/>
      <c r="G141" s="122"/>
      <c r="H141" s="122"/>
      <c r="I141" s="122"/>
      <c r="J141" s="122"/>
      <c r="K141" s="122"/>
      <c r="L141" s="122"/>
      <c r="M141" s="122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125">
        <v>0.25</v>
      </c>
      <c r="F142" s="125">
        <v>0.25</v>
      </c>
      <c r="G142" s="125">
        <v>0.25</v>
      </c>
      <c r="H142" s="125">
        <v>0.25</v>
      </c>
      <c r="I142" s="125">
        <v>0.25</v>
      </c>
      <c r="J142" s="125">
        <v>0.25</v>
      </c>
      <c r="K142" s="125">
        <v>0.25</v>
      </c>
      <c r="L142" s="125">
        <v>0.25</v>
      </c>
      <c r="M142" s="125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124">
        <v>0.66625430833964439</v>
      </c>
      <c r="F143" s="124">
        <v>0.66367464936796561</v>
      </c>
      <c r="G143" s="124">
        <v>0.65679555877682227</v>
      </c>
      <c r="H143" s="124">
        <v>0.64733680921400016</v>
      </c>
      <c r="I143" s="124">
        <v>0.63443851435560639</v>
      </c>
      <c r="J143" s="124">
        <v>0.4680070358050421</v>
      </c>
      <c r="K143" s="124">
        <v>0.46713859851464173</v>
      </c>
      <c r="L143" s="124">
        <v>0.46531488020480088</v>
      </c>
      <c r="M143" s="124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124">
        <v>0.25092243745356524</v>
      </c>
      <c r="F144" s="124">
        <v>0.25657675134016689</v>
      </c>
      <c r="G144" s="124">
        <v>0.27165492170443795</v>
      </c>
      <c r="H144" s="124">
        <v>0.29238740595531065</v>
      </c>
      <c r="I144" s="124">
        <v>0.32065897538831889</v>
      </c>
      <c r="J144" s="124">
        <v>0.41290384467151914</v>
      </c>
      <c r="K144" s="124">
        <v>0.41363974384019625</v>
      </c>
      <c r="L144" s="124">
        <v>0.41518513209441815</v>
      </c>
      <c r="M144" s="124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122">
        <v>0</v>
      </c>
      <c r="F147" s="122">
        <v>0</v>
      </c>
      <c r="G147" s="122">
        <v>0</v>
      </c>
      <c r="H147" s="122">
        <v>0</v>
      </c>
      <c r="I147" s="122">
        <v>0</v>
      </c>
      <c r="J147" s="122">
        <v>0</v>
      </c>
      <c r="K147" s="122">
        <v>0</v>
      </c>
      <c r="L147" s="122">
        <v>0</v>
      </c>
      <c r="M147" s="122">
        <v>0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122">
        <v>1</v>
      </c>
      <c r="F148" s="122">
        <v>1</v>
      </c>
      <c r="G148" s="122">
        <v>1</v>
      </c>
      <c r="H148" s="122">
        <v>1</v>
      </c>
      <c r="I148" s="122">
        <v>1</v>
      </c>
      <c r="J148" s="122">
        <v>1</v>
      </c>
      <c r="K148" s="122">
        <v>1</v>
      </c>
      <c r="L148" s="122">
        <v>1</v>
      </c>
      <c r="M148" s="122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122">
        <v>0.35</v>
      </c>
      <c r="F149" s="122">
        <v>0.35</v>
      </c>
      <c r="G149" s="122">
        <v>0.35</v>
      </c>
      <c r="H149" s="122">
        <v>0.35</v>
      </c>
      <c r="I149" s="122">
        <v>0.35</v>
      </c>
      <c r="J149" s="122">
        <v>0.35</v>
      </c>
      <c r="K149" s="122">
        <v>0.35</v>
      </c>
      <c r="L149" s="122">
        <v>0.35</v>
      </c>
      <c r="M149" s="122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122">
        <v>20</v>
      </c>
      <c r="F150" s="122">
        <v>20</v>
      </c>
      <c r="G150" s="122">
        <v>20</v>
      </c>
      <c r="H150" s="122">
        <v>20</v>
      </c>
      <c r="I150" s="122">
        <v>20</v>
      </c>
      <c r="J150" s="122">
        <v>20</v>
      </c>
      <c r="K150" s="122">
        <v>20</v>
      </c>
      <c r="L150" s="122">
        <v>20</v>
      </c>
      <c r="M150" s="122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123">
        <v>202.65582041234001</v>
      </c>
      <c r="F151" s="123">
        <v>171.6776866187549</v>
      </c>
      <c r="G151" s="123">
        <v>133.81025064233</v>
      </c>
      <c r="H151" s="123">
        <v>107.89700245248551</v>
      </c>
      <c r="I151" s="123">
        <v>107.31263157894738</v>
      </c>
      <c r="J151" s="123">
        <v>107.00631578947369</v>
      </c>
      <c r="K151" s="123">
        <v>105.98526315789475</v>
      </c>
      <c r="L151" s="123">
        <v>103.84105263157896</v>
      </c>
      <c r="M151" s="123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122"/>
      <c r="F153" s="122"/>
      <c r="G153" s="122"/>
      <c r="H153" s="122"/>
      <c r="I153" s="122"/>
      <c r="J153" s="122"/>
      <c r="K153" s="122"/>
      <c r="L153" s="122"/>
      <c r="M153" s="122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123">
        <v>6.0796746123701997</v>
      </c>
      <c r="F154" s="123">
        <v>5.1503305985626469</v>
      </c>
      <c r="G154" s="123">
        <v>4.0143075192698996</v>
      </c>
      <c r="H154" s="123">
        <v>3.2369100735745651</v>
      </c>
      <c r="I154" s="123">
        <v>2.0378947368421052</v>
      </c>
      <c r="J154" s="123">
        <v>2.0189473684210526</v>
      </c>
      <c r="K154" s="123">
        <v>1.9557894736842103</v>
      </c>
      <c r="L154" s="123">
        <v>1.8231578947368419</v>
      </c>
      <c r="M154" s="123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1.6666105263157894E-3</v>
      </c>
      <c r="L155" s="123">
        <v>1.5304421052631579E-3</v>
      </c>
      <c r="M155" s="123">
        <v>1.2581052631578946E-3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122">
        <v>0.98499999999999988</v>
      </c>
      <c r="F157" s="122">
        <v>0.98499999999999988</v>
      </c>
      <c r="G157" s="122">
        <v>0.98499999999999988</v>
      </c>
      <c r="H157" s="122">
        <v>0.98499999999999988</v>
      </c>
      <c r="I157" s="122">
        <v>0.98499999999999988</v>
      </c>
      <c r="J157" s="122">
        <v>0.98499999999999988</v>
      </c>
      <c r="K157" s="122">
        <v>0.99399999999999999</v>
      </c>
      <c r="L157" s="122">
        <v>0.99399999999999999</v>
      </c>
      <c r="M157" s="122">
        <v>0.99399999999999999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123">
        <v>1524.6</v>
      </c>
      <c r="F158" s="123">
        <v>1749.6</v>
      </c>
      <c r="G158" s="123">
        <v>2349.6</v>
      </c>
      <c r="H158" s="123">
        <v>3174.6</v>
      </c>
      <c r="I158" s="123">
        <v>4299.6000000000004</v>
      </c>
      <c r="J158" s="123">
        <v>14213</v>
      </c>
      <c r="K158" s="123">
        <v>21713</v>
      </c>
      <c r="L158" s="123">
        <v>37463</v>
      </c>
      <c r="M158" s="123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122">
        <v>40</v>
      </c>
      <c r="F159" s="122">
        <v>40</v>
      </c>
      <c r="G159" s="122">
        <v>40</v>
      </c>
      <c r="H159" s="122">
        <v>40</v>
      </c>
      <c r="I159" s="122">
        <v>40</v>
      </c>
      <c r="J159" s="122">
        <v>40</v>
      </c>
      <c r="K159" s="122">
        <v>40</v>
      </c>
      <c r="L159" s="122">
        <v>40</v>
      </c>
      <c r="M159" s="122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122">
        <v>0.35</v>
      </c>
      <c r="F160" s="122">
        <v>0.35</v>
      </c>
      <c r="G160" s="122">
        <v>0.35</v>
      </c>
      <c r="H160" s="122">
        <v>0.35</v>
      </c>
      <c r="I160" s="122">
        <v>0.35</v>
      </c>
      <c r="J160" s="122">
        <v>0.35</v>
      </c>
      <c r="K160" s="122">
        <v>0.35</v>
      </c>
      <c r="L160" s="122">
        <v>0.35</v>
      </c>
      <c r="M160" s="122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122">
        <v>1.8571428571428572</v>
      </c>
      <c r="F161" s="122">
        <v>1.8571428571428572</v>
      </c>
      <c r="G161" s="122">
        <v>1.8571428571428572</v>
      </c>
      <c r="H161" s="122">
        <v>1.8571428571428572</v>
      </c>
      <c r="I161" s="122">
        <v>1.8571428571428572</v>
      </c>
      <c r="J161" s="122">
        <v>1.8571428571428572</v>
      </c>
      <c r="K161" s="122">
        <v>1.8571428571428572</v>
      </c>
      <c r="L161" s="122">
        <v>1.8571428571428572</v>
      </c>
      <c r="M161" s="122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122">
        <v>20</v>
      </c>
      <c r="F162" s="122">
        <v>20</v>
      </c>
      <c r="G162" s="122">
        <v>20</v>
      </c>
      <c r="H162" s="122">
        <v>20</v>
      </c>
      <c r="I162" s="122">
        <v>20</v>
      </c>
      <c r="J162" s="122">
        <v>20</v>
      </c>
      <c r="K162" s="122">
        <v>20</v>
      </c>
      <c r="L162" s="122">
        <v>20</v>
      </c>
      <c r="M162" s="122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123">
        <v>6304.5457437357918</v>
      </c>
      <c r="F163" s="123">
        <v>4255.2155768670527</v>
      </c>
      <c r="G163" s="123">
        <v>2631.5994039092525</v>
      </c>
      <c r="H163" s="123">
        <v>2072.3743483471271</v>
      </c>
      <c r="I163" s="123">
        <v>1733.2777911140615</v>
      </c>
      <c r="J163" s="123">
        <v>1392.7514739604958</v>
      </c>
      <c r="K163" s="123">
        <v>1092.1408151125991</v>
      </c>
      <c r="L163" s="123">
        <v>876.09845826756919</v>
      </c>
      <c r="M163" s="123">
        <v>714.42976829028339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122"/>
      <c r="F165" s="122"/>
      <c r="G165" s="122"/>
      <c r="H165" s="122"/>
      <c r="I165" s="122"/>
      <c r="J165" s="122"/>
      <c r="K165" s="122"/>
      <c r="L165" s="122"/>
      <c r="M165" s="122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122"/>
      <c r="F166" s="122"/>
      <c r="G166" s="122"/>
      <c r="H166" s="122"/>
      <c r="I166" s="122"/>
      <c r="J166" s="122"/>
      <c r="K166" s="122"/>
      <c r="L166" s="122"/>
      <c r="M166" s="122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123">
        <v>5.4632155805897732E-2</v>
      </c>
      <c r="F167" s="123">
        <v>6.9225169277652349E-2</v>
      </c>
      <c r="G167" s="123">
        <v>5.5072970988733948E-2</v>
      </c>
      <c r="H167" s="123">
        <v>4.6604222305577481E-2</v>
      </c>
      <c r="I167" s="123">
        <v>4.0289223212275231E-2</v>
      </c>
      <c r="J167" s="123">
        <v>2.4583755873341454E-2</v>
      </c>
      <c r="K167" s="123">
        <v>1.9104989606490121E-2</v>
      </c>
      <c r="L167" s="123">
        <v>1.5182594783541725E-2</v>
      </c>
      <c r="M167" s="123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122"/>
      <c r="F169" s="122"/>
      <c r="G169" s="122"/>
      <c r="H169" s="122"/>
      <c r="I169" s="122"/>
      <c r="J169" s="122"/>
      <c r="K169" s="122"/>
      <c r="L169" s="122"/>
      <c r="M169" s="122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122"/>
      <c r="F170" s="122"/>
      <c r="G170" s="122"/>
      <c r="H170" s="122"/>
      <c r="I170" s="122"/>
      <c r="J170" s="122"/>
      <c r="K170" s="122"/>
      <c r="L170" s="122"/>
      <c r="M170" s="122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125">
        <v>0.5</v>
      </c>
      <c r="F171" s="125">
        <v>0.5</v>
      </c>
      <c r="G171" s="125">
        <v>0.5</v>
      </c>
      <c r="H171" s="125">
        <v>0.5</v>
      </c>
      <c r="I171" s="125">
        <v>0.5</v>
      </c>
      <c r="J171" s="125">
        <v>0.5</v>
      </c>
      <c r="K171" s="125">
        <v>0.5</v>
      </c>
      <c r="L171" s="125">
        <v>0.5</v>
      </c>
      <c r="M171" s="125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124">
        <v>0.66625430833964439</v>
      </c>
      <c r="F172" s="124">
        <v>0.66367464936796561</v>
      </c>
      <c r="G172" s="124">
        <v>0.65679555877682227</v>
      </c>
      <c r="H172" s="124">
        <v>0.64733680921400016</v>
      </c>
      <c r="I172" s="124">
        <v>0.63443851435560639</v>
      </c>
      <c r="J172" s="124">
        <v>0.4680070358050421</v>
      </c>
      <c r="K172" s="124">
        <v>0.46713859851464173</v>
      </c>
      <c r="L172" s="124">
        <v>0.46531488020480088</v>
      </c>
      <c r="M172" s="124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124">
        <v>0.25092243745356524</v>
      </c>
      <c r="F173" s="124">
        <v>0.25657675134016689</v>
      </c>
      <c r="G173" s="124">
        <v>0.27165492170443795</v>
      </c>
      <c r="H173" s="124">
        <v>0.29238740595531065</v>
      </c>
      <c r="I173" s="124">
        <v>0.32065897538831889</v>
      </c>
      <c r="J173" s="124">
        <v>0.41290384467151914</v>
      </c>
      <c r="K173" s="124">
        <v>0.41363974384019625</v>
      </c>
      <c r="L173" s="124">
        <v>0.41518513209441815</v>
      </c>
      <c r="M173" s="124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123">
        <v>0</v>
      </c>
      <c r="F174" s="123">
        <v>0</v>
      </c>
      <c r="G174" s="123">
        <v>0</v>
      </c>
      <c r="H174" s="123">
        <v>0</v>
      </c>
      <c r="I174" s="123">
        <v>0</v>
      </c>
      <c r="J174" s="123">
        <v>0</v>
      </c>
      <c r="K174" s="123">
        <v>0</v>
      </c>
      <c r="L174" s="123">
        <v>0</v>
      </c>
      <c r="M174" s="123">
        <v>0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123">
        <v>0</v>
      </c>
      <c r="F175" s="123">
        <v>0</v>
      </c>
      <c r="G175" s="123">
        <v>0</v>
      </c>
      <c r="H175" s="123">
        <v>0</v>
      </c>
      <c r="I175" s="123">
        <v>0</v>
      </c>
      <c r="J175" s="123">
        <v>0</v>
      </c>
      <c r="K175" s="123">
        <v>0</v>
      </c>
      <c r="L175" s="123">
        <v>0</v>
      </c>
      <c r="M175" s="123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122">
        <v>0</v>
      </c>
      <c r="F176" s="122">
        <v>0</v>
      </c>
      <c r="G176" s="122">
        <v>0</v>
      </c>
      <c r="H176" s="122">
        <v>0</v>
      </c>
      <c r="I176" s="122">
        <v>0</v>
      </c>
      <c r="J176" s="122">
        <v>0</v>
      </c>
      <c r="K176" s="122">
        <v>0</v>
      </c>
      <c r="L176" s="122">
        <v>0</v>
      </c>
      <c r="M176" s="122">
        <v>0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126">
        <v>1</v>
      </c>
      <c r="F177" s="126">
        <v>1</v>
      </c>
      <c r="G177" s="126">
        <v>1</v>
      </c>
      <c r="H177" s="126">
        <v>1</v>
      </c>
      <c r="I177" s="126">
        <v>1</v>
      </c>
      <c r="J177" s="126">
        <v>1</v>
      </c>
      <c r="K177" s="126">
        <v>1</v>
      </c>
      <c r="L177" s="126">
        <v>1</v>
      </c>
      <c r="M177" s="126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122">
        <v>0.8</v>
      </c>
      <c r="F178" s="122">
        <v>0.8</v>
      </c>
      <c r="G178" s="122">
        <v>0.8</v>
      </c>
      <c r="H178" s="122">
        <v>0.8</v>
      </c>
      <c r="I178" s="122">
        <v>0.8</v>
      </c>
      <c r="J178" s="122">
        <v>0.8</v>
      </c>
      <c r="K178" s="122">
        <v>0.8</v>
      </c>
      <c r="L178" s="122">
        <v>0.8</v>
      </c>
      <c r="M178" s="122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122">
        <v>20</v>
      </c>
      <c r="F179" s="122">
        <v>20</v>
      </c>
      <c r="G179" s="122">
        <v>20</v>
      </c>
      <c r="H179" s="122">
        <v>20</v>
      </c>
      <c r="I179" s="122">
        <v>20</v>
      </c>
      <c r="J179" s="122">
        <v>20</v>
      </c>
      <c r="K179" s="122">
        <v>20</v>
      </c>
      <c r="L179" s="122">
        <v>20</v>
      </c>
      <c r="M179" s="122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123">
        <v>202.65582041234001</v>
      </c>
      <c r="F180" s="123">
        <v>171.6776866187549</v>
      </c>
      <c r="G180" s="123">
        <v>133.81025064233</v>
      </c>
      <c r="H180" s="123">
        <v>107.89700245248551</v>
      </c>
      <c r="I180" s="123">
        <v>107.31263157894738</v>
      </c>
      <c r="J180" s="123">
        <v>107.00631578947369</v>
      </c>
      <c r="K180" s="123">
        <v>105.98526315789475</v>
      </c>
      <c r="L180" s="123">
        <v>103.84105263157896</v>
      </c>
      <c r="M180" s="123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124">
        <v>0</v>
      </c>
      <c r="F181" s="124">
        <v>0</v>
      </c>
      <c r="G181" s="124">
        <v>0</v>
      </c>
      <c r="H181" s="124">
        <v>0</v>
      </c>
      <c r="I181" s="124">
        <v>0</v>
      </c>
      <c r="J181" s="124">
        <v>0</v>
      </c>
      <c r="K181" s="124">
        <v>0</v>
      </c>
      <c r="L181" s="124">
        <v>0</v>
      </c>
      <c r="M181" s="124">
        <v>0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122"/>
      <c r="F182" s="122"/>
      <c r="G182" s="122"/>
      <c r="H182" s="122"/>
      <c r="I182" s="122"/>
      <c r="J182" s="122"/>
      <c r="K182" s="122"/>
      <c r="L182" s="122"/>
      <c r="M182" s="122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123">
        <v>6.0796746123701997</v>
      </c>
      <c r="F183" s="123">
        <v>5.1503305985626469</v>
      </c>
      <c r="G183" s="123">
        <v>4.0143075192698996</v>
      </c>
      <c r="H183" s="123">
        <v>3.2369100735745651</v>
      </c>
      <c r="I183" s="123">
        <v>2.0378947368421052</v>
      </c>
      <c r="J183" s="123">
        <v>2.0189473684210526</v>
      </c>
      <c r="K183" s="123">
        <v>1.9557894736842103</v>
      </c>
      <c r="L183" s="123">
        <v>1.8231578947368419</v>
      </c>
      <c r="M183" s="123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1.6666105263157894E-3</v>
      </c>
      <c r="L184" s="123">
        <v>1.5304421052631579E-3</v>
      </c>
      <c r="M184" s="123">
        <v>1.2581052631578946E-3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122">
        <v>0.98499999999999988</v>
      </c>
      <c r="F186" s="122">
        <v>0.98499999999999988</v>
      </c>
      <c r="G186" s="122">
        <v>0.98499999999999988</v>
      </c>
      <c r="H186" s="122">
        <v>0.98499999999999988</v>
      </c>
      <c r="I186" s="122">
        <v>0.98499999999999988</v>
      </c>
      <c r="J186" s="122">
        <v>0.98499999999999988</v>
      </c>
      <c r="K186" s="122">
        <v>0.99399999999999999</v>
      </c>
      <c r="L186" s="122">
        <v>0.99399999999999999</v>
      </c>
      <c r="M186" s="122">
        <v>0.99399999999999999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123">
        <v>1524.6</v>
      </c>
      <c r="F187" s="123">
        <v>1749.6</v>
      </c>
      <c r="G187" s="123">
        <v>2349.6</v>
      </c>
      <c r="H187" s="123">
        <v>3174.6</v>
      </c>
      <c r="I187" s="123">
        <v>4299.6000000000004</v>
      </c>
      <c r="J187" s="123">
        <v>14213</v>
      </c>
      <c r="K187" s="123">
        <v>21713</v>
      </c>
      <c r="L187" s="123">
        <v>37463</v>
      </c>
      <c r="M187" s="123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122">
        <v>40</v>
      </c>
      <c r="F188" s="122">
        <v>40</v>
      </c>
      <c r="G188" s="122">
        <v>40</v>
      </c>
      <c r="H188" s="122">
        <v>40</v>
      </c>
      <c r="I188" s="122">
        <v>40</v>
      </c>
      <c r="J188" s="122">
        <v>40</v>
      </c>
      <c r="K188" s="122">
        <v>40</v>
      </c>
      <c r="L188" s="122">
        <v>40</v>
      </c>
      <c r="M188" s="122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126">
        <v>0.3125</v>
      </c>
      <c r="F189" s="126">
        <v>0.3125</v>
      </c>
      <c r="G189" s="126">
        <v>0.3125</v>
      </c>
      <c r="H189" s="126">
        <v>0.3125</v>
      </c>
      <c r="I189" s="126">
        <v>0.3125</v>
      </c>
      <c r="J189" s="126">
        <v>0.3125</v>
      </c>
      <c r="K189" s="126">
        <v>0.3125</v>
      </c>
      <c r="L189" s="126">
        <v>0.3125</v>
      </c>
      <c r="M189" s="126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122">
        <v>0.64</v>
      </c>
      <c r="F190" s="122">
        <v>0.64</v>
      </c>
      <c r="G190" s="122">
        <v>0.64</v>
      </c>
      <c r="H190" s="122">
        <v>0.64</v>
      </c>
      <c r="I190" s="122">
        <v>0.64</v>
      </c>
      <c r="J190" s="122">
        <v>0.64</v>
      </c>
      <c r="K190" s="122">
        <v>0.64</v>
      </c>
      <c r="L190" s="122">
        <v>0.64</v>
      </c>
      <c r="M190" s="122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122">
        <v>20</v>
      </c>
      <c r="F191" s="122">
        <v>20</v>
      </c>
      <c r="G191" s="122">
        <v>20</v>
      </c>
      <c r="H191" s="122">
        <v>20</v>
      </c>
      <c r="I191" s="122">
        <v>20</v>
      </c>
      <c r="J191" s="122">
        <v>20</v>
      </c>
      <c r="K191" s="122">
        <v>20</v>
      </c>
      <c r="L191" s="122">
        <v>20</v>
      </c>
      <c r="M191" s="122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127">
        <v>900.49275895925371</v>
      </c>
      <c r="F192" s="123">
        <v>886.9158075601373</v>
      </c>
      <c r="G192" s="123">
        <v>850.71060382916039</v>
      </c>
      <c r="H192" s="123">
        <v>800.92844869906708</v>
      </c>
      <c r="I192" s="123">
        <v>733.04369170348536</v>
      </c>
      <c r="J192" s="123">
        <v>597.27417771232194</v>
      </c>
      <c r="K192" s="123">
        <v>508.57142857142856</v>
      </c>
      <c r="L192" s="123">
        <v>508.57142857142856</v>
      </c>
      <c r="M192" s="123">
        <v>508.57142857142856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124">
        <v>0</v>
      </c>
      <c r="F193" s="124">
        <v>0</v>
      </c>
      <c r="G193" s="124">
        <v>0</v>
      </c>
      <c r="H193" s="124">
        <v>0</v>
      </c>
      <c r="I193" s="124">
        <v>0</v>
      </c>
      <c r="J193" s="124">
        <v>0</v>
      </c>
      <c r="K193" s="124">
        <v>0</v>
      </c>
      <c r="L193" s="124">
        <v>0</v>
      </c>
      <c r="M193" s="124">
        <v>0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123">
        <v>52.688365243004426</v>
      </c>
      <c r="F194" s="123">
        <v>69.477761413843893</v>
      </c>
      <c r="G194" s="123">
        <v>114.24948453608249</v>
      </c>
      <c r="H194" s="123">
        <v>175.81060382916056</v>
      </c>
      <c r="I194" s="123">
        <v>259.75758468335789</v>
      </c>
      <c r="J194" s="123">
        <v>427.65154639175262</v>
      </c>
      <c r="K194" s="123">
        <v>595.54550810014734</v>
      </c>
      <c r="L194" s="123">
        <v>595.54550810014734</v>
      </c>
      <c r="M194" s="123">
        <v>595.54550810014734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122"/>
      <c r="F195" s="122"/>
      <c r="G195" s="122"/>
      <c r="H195" s="122"/>
      <c r="I195" s="122"/>
      <c r="J195" s="122"/>
      <c r="K195" s="122"/>
      <c r="L195" s="122"/>
      <c r="M195" s="122"/>
    </row>
    <row r="196" spans="1:14" x14ac:dyDescent="0.25">
      <c r="A196" s="208"/>
      <c r="B196" s="225"/>
      <c r="C196" s="25" t="s">
        <v>135</v>
      </c>
      <c r="D196" s="1" t="s">
        <v>10</v>
      </c>
      <c r="E196" s="122"/>
      <c r="F196" s="122"/>
      <c r="G196" s="122"/>
      <c r="H196" s="122"/>
      <c r="I196" s="122"/>
      <c r="J196" s="122"/>
      <c r="K196" s="122"/>
      <c r="L196" s="122"/>
      <c r="M196" s="122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122"/>
      <c r="F197" s="122"/>
      <c r="G197" s="122"/>
      <c r="H197" s="122"/>
      <c r="I197" s="122"/>
      <c r="J197" s="122"/>
      <c r="K197" s="122"/>
      <c r="L197" s="122"/>
      <c r="M197" s="122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122">
        <v>1</v>
      </c>
      <c r="F198" s="122">
        <v>1</v>
      </c>
      <c r="G198" s="122">
        <v>1</v>
      </c>
      <c r="H198" s="122">
        <v>1</v>
      </c>
      <c r="I198" s="122">
        <v>1</v>
      </c>
      <c r="J198" s="122">
        <v>1</v>
      </c>
      <c r="K198" s="122">
        <v>1</v>
      </c>
      <c r="L198" s="122">
        <v>1</v>
      </c>
      <c r="M198" s="122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122">
        <v>0.65</v>
      </c>
      <c r="F199" s="122">
        <v>0.65</v>
      </c>
      <c r="G199" s="122">
        <v>0.65</v>
      </c>
      <c r="H199" s="122">
        <v>0.65</v>
      </c>
      <c r="I199" s="122">
        <v>0.65</v>
      </c>
      <c r="J199" s="122">
        <v>0.65</v>
      </c>
      <c r="K199" s="122">
        <v>0.65</v>
      </c>
      <c r="L199" s="122">
        <v>0.65</v>
      </c>
      <c r="M199" s="122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122">
        <v>20</v>
      </c>
      <c r="F200" s="122">
        <v>20</v>
      </c>
      <c r="G200" s="122">
        <v>20</v>
      </c>
      <c r="H200" s="122">
        <v>20</v>
      </c>
      <c r="I200" s="122">
        <v>20</v>
      </c>
      <c r="J200" s="122">
        <v>20</v>
      </c>
      <c r="K200" s="122">
        <v>20</v>
      </c>
      <c r="L200" s="122">
        <v>20</v>
      </c>
      <c r="M200" s="122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123">
        <v>202.65582041234001</v>
      </c>
      <c r="F201" s="123">
        <v>171.6776866187549</v>
      </c>
      <c r="G201" s="123">
        <v>133.81025064233</v>
      </c>
      <c r="H201" s="123">
        <v>107.89700245248551</v>
      </c>
      <c r="I201" s="123">
        <v>107.31263157894738</v>
      </c>
      <c r="J201" s="123">
        <v>107.00631578947369</v>
      </c>
      <c r="K201" s="123">
        <v>105.98526315789475</v>
      </c>
      <c r="L201" s="123">
        <v>103.84105263157896</v>
      </c>
      <c r="M201" s="123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124">
        <v>0</v>
      </c>
      <c r="F202" s="124">
        <v>0</v>
      </c>
      <c r="G202" s="124">
        <v>0</v>
      </c>
      <c r="H202" s="124">
        <v>0</v>
      </c>
      <c r="I202" s="124">
        <v>0</v>
      </c>
      <c r="J202" s="124">
        <v>0</v>
      </c>
      <c r="K202" s="124">
        <v>0</v>
      </c>
      <c r="L202" s="124">
        <v>0</v>
      </c>
      <c r="M202" s="124">
        <v>0</v>
      </c>
    </row>
    <row r="203" spans="1:14" x14ac:dyDescent="0.25">
      <c r="A203" s="208"/>
      <c r="B203" s="225"/>
      <c r="C203" s="25" t="s">
        <v>114</v>
      </c>
      <c r="D203" s="1" t="s">
        <v>8</v>
      </c>
      <c r="E203" s="122"/>
      <c r="F203" s="122"/>
      <c r="G203" s="122"/>
      <c r="H203" s="122"/>
      <c r="I203" s="122"/>
      <c r="J203" s="122"/>
      <c r="K203" s="122"/>
      <c r="L203" s="122"/>
      <c r="M203" s="122"/>
    </row>
    <row r="204" spans="1:14" x14ac:dyDescent="0.25">
      <c r="A204" s="208"/>
      <c r="B204" s="225"/>
      <c r="C204" s="25" t="s">
        <v>115</v>
      </c>
      <c r="D204" s="1" t="s">
        <v>9</v>
      </c>
      <c r="E204" s="123">
        <v>6.0796746123701997</v>
      </c>
      <c r="F204" s="123">
        <v>5.1503305985626469</v>
      </c>
      <c r="G204" s="123">
        <v>4.0143075192698996</v>
      </c>
      <c r="H204" s="123">
        <v>3.2369100735745651</v>
      </c>
      <c r="I204" s="123">
        <v>2.0378947368421052</v>
      </c>
      <c r="J204" s="123">
        <v>2.0189473684210526</v>
      </c>
      <c r="K204" s="123">
        <v>1.9557894736842103</v>
      </c>
      <c r="L204" s="123">
        <v>1.8231578947368419</v>
      </c>
      <c r="M204" s="123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1.6666105263157894E-3</v>
      </c>
      <c r="L205" s="123">
        <v>1.5304421052631579E-3</v>
      </c>
      <c r="M205" s="123">
        <v>1.2581052631578946E-3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122">
        <v>0.98499999999999988</v>
      </c>
      <c r="F207" s="122">
        <v>0.98499999999999988</v>
      </c>
      <c r="G207" s="122">
        <v>0.98499999999999988</v>
      </c>
      <c r="H207" s="122">
        <v>0.98499999999999988</v>
      </c>
      <c r="I207" s="122">
        <v>0.98499999999999988</v>
      </c>
      <c r="J207" s="122">
        <v>0.98499999999999988</v>
      </c>
      <c r="K207" s="122">
        <v>0.99399999999999999</v>
      </c>
      <c r="L207" s="122">
        <v>0.99399999999999999</v>
      </c>
      <c r="M207" s="122">
        <v>0.99399999999999999</v>
      </c>
    </row>
    <row r="208" spans="1:14" x14ac:dyDescent="0.25">
      <c r="A208" s="208"/>
      <c r="B208" s="225"/>
      <c r="C208" s="25" t="s">
        <v>26</v>
      </c>
      <c r="D208" s="1" t="s">
        <v>14</v>
      </c>
      <c r="E208" s="123">
        <v>1524.6</v>
      </c>
      <c r="F208" s="123">
        <v>1749.6</v>
      </c>
      <c r="G208" s="123">
        <v>2349.6</v>
      </c>
      <c r="H208" s="123">
        <v>3174.6</v>
      </c>
      <c r="I208" s="123">
        <v>4299.6000000000004</v>
      </c>
      <c r="J208" s="123">
        <v>14213</v>
      </c>
      <c r="K208" s="123">
        <v>21713</v>
      </c>
      <c r="L208" s="123">
        <v>37463</v>
      </c>
      <c r="M208" s="123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122">
        <v>40</v>
      </c>
      <c r="F209" s="122">
        <v>40</v>
      </c>
      <c r="G209" s="122">
        <v>40</v>
      </c>
      <c r="H209" s="122">
        <v>40</v>
      </c>
      <c r="I209" s="122">
        <v>40</v>
      </c>
      <c r="J209" s="122">
        <v>40</v>
      </c>
      <c r="K209" s="122">
        <v>40</v>
      </c>
      <c r="L209" s="122">
        <v>40</v>
      </c>
      <c r="M209" s="122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126">
        <v>0.546875</v>
      </c>
      <c r="F210" s="126">
        <v>0.546875</v>
      </c>
      <c r="G210" s="126">
        <v>0.54687499999999989</v>
      </c>
      <c r="H210" s="126">
        <v>0.546875</v>
      </c>
      <c r="I210" s="126">
        <v>0.546875</v>
      </c>
      <c r="J210" s="126">
        <v>0.546875</v>
      </c>
      <c r="K210" s="126">
        <v>0.546875</v>
      </c>
      <c r="L210" s="126">
        <v>0.546875</v>
      </c>
      <c r="M210" s="126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122">
        <v>0.64</v>
      </c>
      <c r="F211" s="122">
        <v>0.64</v>
      </c>
      <c r="G211" s="122">
        <v>0.64</v>
      </c>
      <c r="H211" s="122">
        <v>0.64</v>
      </c>
      <c r="I211" s="122">
        <v>0.64</v>
      </c>
      <c r="J211" s="122">
        <v>0.64</v>
      </c>
      <c r="K211" s="122">
        <v>0.64</v>
      </c>
      <c r="L211" s="122">
        <v>0.64</v>
      </c>
      <c r="M211" s="122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122">
        <v>20</v>
      </c>
      <c r="F212" s="122">
        <v>20</v>
      </c>
      <c r="G212" s="122">
        <v>20</v>
      </c>
      <c r="H212" s="122">
        <v>20</v>
      </c>
      <c r="I212" s="122">
        <v>20</v>
      </c>
      <c r="J212" s="122">
        <v>20</v>
      </c>
      <c r="K212" s="122">
        <v>20</v>
      </c>
      <c r="L212" s="122">
        <v>20</v>
      </c>
      <c r="M212" s="122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127">
        <v>890.31004540991637</v>
      </c>
      <c r="F213" s="123">
        <v>866.55038046146274</v>
      </c>
      <c r="G213" s="123">
        <v>803.19127393225313</v>
      </c>
      <c r="H213" s="123">
        <v>716.07250245458999</v>
      </c>
      <c r="I213" s="123">
        <v>597.27417771232194</v>
      </c>
      <c r="J213" s="123">
        <v>508.57142857142856</v>
      </c>
      <c r="K213" s="123">
        <v>508.57142857142856</v>
      </c>
      <c r="L213" s="123">
        <v>508.57142857142856</v>
      </c>
      <c r="M213" s="123">
        <v>508.57142857142856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124">
        <v>0</v>
      </c>
      <c r="F214" s="124">
        <v>0</v>
      </c>
      <c r="G214" s="124">
        <v>0</v>
      </c>
      <c r="H214" s="124">
        <v>0</v>
      </c>
      <c r="I214" s="124">
        <v>0</v>
      </c>
      <c r="J214" s="124">
        <v>0</v>
      </c>
      <c r="K214" s="124">
        <v>0</v>
      </c>
      <c r="L214" s="124">
        <v>0</v>
      </c>
      <c r="M214" s="124">
        <v>0</v>
      </c>
    </row>
    <row r="215" spans="1:13" x14ac:dyDescent="0.25">
      <c r="A215" s="208"/>
      <c r="B215" s="225"/>
      <c r="C215" s="25" t="s">
        <v>133</v>
      </c>
      <c r="D215" s="1" t="s">
        <v>8</v>
      </c>
      <c r="E215" s="123">
        <v>52.688365243004426</v>
      </c>
      <c r="F215" s="123">
        <v>69.477761413843893</v>
      </c>
      <c r="G215" s="123">
        <v>114.24948453608249</v>
      </c>
      <c r="H215" s="123">
        <v>175.81060382916056</v>
      </c>
      <c r="I215" s="123">
        <v>259.75758468335789</v>
      </c>
      <c r="J215" s="123">
        <v>427.65154639175262</v>
      </c>
      <c r="K215" s="123">
        <v>595.54550810014734</v>
      </c>
      <c r="L215" s="123">
        <v>595.54550810014734</v>
      </c>
      <c r="M215" s="123">
        <v>595.54550810014734</v>
      </c>
    </row>
    <row r="216" spans="1:13" x14ac:dyDescent="0.25">
      <c r="A216" s="208"/>
      <c r="B216" s="225"/>
      <c r="C216" s="25" t="s">
        <v>134</v>
      </c>
      <c r="D216" s="1" t="s">
        <v>9</v>
      </c>
      <c r="E216" s="122"/>
      <c r="F216" s="122"/>
      <c r="G216" s="122"/>
      <c r="H216" s="122"/>
      <c r="I216" s="122"/>
      <c r="J216" s="122"/>
      <c r="K216" s="122"/>
      <c r="L216" s="122"/>
      <c r="M216" s="122"/>
    </row>
    <row r="217" spans="1:13" x14ac:dyDescent="0.25">
      <c r="A217" s="208"/>
      <c r="B217" s="225"/>
      <c r="C217" s="25" t="s">
        <v>135</v>
      </c>
      <c r="D217" s="1" t="s">
        <v>10</v>
      </c>
      <c r="E217" s="122"/>
      <c r="F217" s="122"/>
      <c r="G217" s="122"/>
      <c r="H217" s="122"/>
      <c r="I217" s="122"/>
      <c r="J217" s="122"/>
      <c r="K217" s="122"/>
      <c r="L217" s="122"/>
      <c r="M217" s="122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122"/>
      <c r="F218" s="122"/>
      <c r="G218" s="122"/>
      <c r="H218" s="122"/>
      <c r="I218" s="122"/>
      <c r="J218" s="122"/>
      <c r="K218" s="122"/>
      <c r="L218" s="122"/>
      <c r="M218" s="122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126">
        <v>1</v>
      </c>
      <c r="F219" s="126">
        <v>1</v>
      </c>
      <c r="G219" s="126">
        <v>1</v>
      </c>
      <c r="H219" s="126">
        <v>1</v>
      </c>
      <c r="I219" s="126">
        <v>1</v>
      </c>
      <c r="J219" s="126">
        <v>1</v>
      </c>
      <c r="K219" s="126">
        <v>1</v>
      </c>
      <c r="L219" s="126">
        <v>1</v>
      </c>
      <c r="M219" s="126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122">
        <v>0.8</v>
      </c>
      <c r="F220" s="122">
        <v>0.8</v>
      </c>
      <c r="G220" s="122">
        <v>0.8</v>
      </c>
      <c r="H220" s="122">
        <v>0.8</v>
      </c>
      <c r="I220" s="122">
        <v>0.8</v>
      </c>
      <c r="J220" s="122">
        <v>0.8</v>
      </c>
      <c r="K220" s="122">
        <v>0.8</v>
      </c>
      <c r="L220" s="122">
        <v>0.8</v>
      </c>
      <c r="M220" s="122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122">
        <v>20</v>
      </c>
      <c r="F221" s="122">
        <v>20</v>
      </c>
      <c r="G221" s="122">
        <v>20</v>
      </c>
      <c r="H221" s="122">
        <v>20</v>
      </c>
      <c r="I221" s="122">
        <v>20</v>
      </c>
      <c r="J221" s="122">
        <v>20</v>
      </c>
      <c r="K221" s="122">
        <v>20</v>
      </c>
      <c r="L221" s="122">
        <v>20</v>
      </c>
      <c r="M221" s="122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123">
        <v>800.77079092910083</v>
      </c>
      <c r="F222" s="123">
        <v>571.81820894808823</v>
      </c>
      <c r="G222" s="123">
        <v>446.14556901716315</v>
      </c>
      <c r="H222" s="123">
        <v>446.14556901716315</v>
      </c>
      <c r="I222" s="123">
        <v>446.14556901716315</v>
      </c>
      <c r="J222" s="123">
        <v>446.14556901716315</v>
      </c>
      <c r="K222" s="123">
        <v>1129.4706178785063</v>
      </c>
      <c r="L222" s="123">
        <v>982.55924743473179</v>
      </c>
      <c r="M222" s="123">
        <v>863.67730421521264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124">
        <v>0</v>
      </c>
      <c r="F223" s="124">
        <v>0</v>
      </c>
      <c r="G223" s="124">
        <v>0</v>
      </c>
      <c r="H223" s="124">
        <v>0</v>
      </c>
      <c r="I223" s="124">
        <v>0</v>
      </c>
      <c r="J223" s="124">
        <v>0</v>
      </c>
      <c r="K223" s="124">
        <v>0</v>
      </c>
      <c r="L223" s="124">
        <v>0</v>
      </c>
      <c r="M223" s="124">
        <v>0</v>
      </c>
    </row>
    <row r="224" spans="1:13" x14ac:dyDescent="0.25">
      <c r="A224" s="227"/>
      <c r="B224" s="230"/>
      <c r="C224" s="25" t="s">
        <v>117</v>
      </c>
      <c r="D224" s="1" t="s">
        <v>8</v>
      </c>
      <c r="E224" s="122"/>
      <c r="F224" s="122"/>
      <c r="G224" s="122"/>
      <c r="H224" s="122"/>
      <c r="I224" s="122"/>
      <c r="J224" s="122"/>
      <c r="K224" s="122"/>
      <c r="L224" s="122"/>
      <c r="M224" s="122"/>
    </row>
    <row r="225" spans="1:13" x14ac:dyDescent="0.25">
      <c r="A225" s="227"/>
      <c r="B225" s="230"/>
      <c r="C225" s="25" t="s">
        <v>118</v>
      </c>
      <c r="D225" s="1" t="s">
        <v>9</v>
      </c>
      <c r="E225" s="122"/>
      <c r="F225" s="122"/>
      <c r="G225" s="122"/>
      <c r="H225" s="122"/>
      <c r="I225" s="122"/>
      <c r="J225" s="122"/>
      <c r="K225" s="122"/>
      <c r="L225" s="122"/>
      <c r="M225" s="122"/>
    </row>
    <row r="226" spans="1:13" x14ac:dyDescent="0.25">
      <c r="A226" s="227"/>
      <c r="B226" s="230"/>
      <c r="C226" s="25" t="s">
        <v>119</v>
      </c>
      <c r="D226" s="1" t="s">
        <v>10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2.0599999999999998E-3</v>
      </c>
      <c r="L226" s="123">
        <v>2.0599999999999998E-3</v>
      </c>
      <c r="M226" s="123">
        <v>2.0599999999999998E-3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123">
        <v>0</v>
      </c>
      <c r="F227" s="123">
        <v>0</v>
      </c>
      <c r="G227" s="123">
        <v>0</v>
      </c>
      <c r="H227" s="123">
        <v>0</v>
      </c>
      <c r="I227" s="123">
        <v>0</v>
      </c>
      <c r="J227" s="123">
        <v>0</v>
      </c>
      <c r="K227" s="123">
        <v>0</v>
      </c>
      <c r="L227" s="123">
        <v>0</v>
      </c>
      <c r="M227" s="123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123">
        <v>0</v>
      </c>
      <c r="F228" s="123">
        <v>0</v>
      </c>
      <c r="G228" s="123">
        <v>0</v>
      </c>
      <c r="H228" s="123">
        <v>0</v>
      </c>
      <c r="I228" s="123">
        <v>0</v>
      </c>
      <c r="J228" s="123">
        <v>0</v>
      </c>
      <c r="K228" s="123">
        <v>0</v>
      </c>
      <c r="L228" s="123">
        <v>0</v>
      </c>
      <c r="M228" s="123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122">
        <v>3.38</v>
      </c>
      <c r="F229" s="122">
        <v>3.38</v>
      </c>
      <c r="G229" s="122">
        <v>3.38</v>
      </c>
      <c r="H229" s="122">
        <v>3.38</v>
      </c>
      <c r="I229" s="122">
        <v>3.38</v>
      </c>
      <c r="J229" s="122">
        <v>3.38</v>
      </c>
      <c r="K229" s="122">
        <v>3.38</v>
      </c>
      <c r="L229" s="122">
        <v>3.38</v>
      </c>
      <c r="M229" s="122">
        <v>3.38</v>
      </c>
    </row>
    <row r="230" spans="1:13" x14ac:dyDescent="0.25">
      <c r="A230" s="227"/>
      <c r="B230" s="230"/>
      <c r="C230" s="25" t="s">
        <v>33</v>
      </c>
      <c r="D230" s="2" t="s">
        <v>14</v>
      </c>
      <c r="E230" s="122"/>
      <c r="F230" s="122"/>
      <c r="G230" s="122"/>
      <c r="H230" s="122"/>
      <c r="I230" s="122"/>
      <c r="J230" s="122"/>
      <c r="K230" s="122"/>
      <c r="L230" s="122"/>
      <c r="M230" s="122"/>
    </row>
    <row r="231" spans="1:13" x14ac:dyDescent="0.25">
      <c r="A231" s="227"/>
      <c r="B231" s="230"/>
      <c r="C231" s="25" t="s">
        <v>34</v>
      </c>
      <c r="D231" s="2" t="s">
        <v>4</v>
      </c>
      <c r="E231" s="122"/>
      <c r="F231" s="122"/>
      <c r="G231" s="122"/>
      <c r="H231" s="122"/>
      <c r="I231" s="122"/>
      <c r="J231" s="122"/>
      <c r="K231" s="122"/>
      <c r="L231" s="122"/>
      <c r="M231" s="122"/>
    </row>
    <row r="232" spans="1:13" x14ac:dyDescent="0.25">
      <c r="A232" s="227"/>
      <c r="B232" s="230"/>
      <c r="C232" s="25" t="s">
        <v>129</v>
      </c>
      <c r="D232" s="1" t="s">
        <v>19</v>
      </c>
      <c r="E232" s="126">
        <v>0.3125</v>
      </c>
      <c r="F232" s="126">
        <v>0.3125</v>
      </c>
      <c r="G232" s="126">
        <v>0.3125</v>
      </c>
      <c r="H232" s="126">
        <v>0.3125</v>
      </c>
      <c r="I232" s="126">
        <v>0.3125</v>
      </c>
      <c r="J232" s="126">
        <v>0.3125</v>
      </c>
      <c r="K232" s="126">
        <v>0.3125</v>
      </c>
      <c r="L232" s="126">
        <v>0.3125</v>
      </c>
      <c r="M232" s="126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122">
        <v>0.64</v>
      </c>
      <c r="F233" s="122">
        <v>0.64</v>
      </c>
      <c r="G233" s="122">
        <v>0.64</v>
      </c>
      <c r="H233" s="122">
        <v>0.64</v>
      </c>
      <c r="I233" s="122">
        <v>0.64</v>
      </c>
      <c r="J233" s="122">
        <v>0.64</v>
      </c>
      <c r="K233" s="122">
        <v>0.64</v>
      </c>
      <c r="L233" s="122">
        <v>0.64</v>
      </c>
      <c r="M233" s="122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122">
        <v>20</v>
      </c>
      <c r="F234" s="122">
        <v>20</v>
      </c>
      <c r="G234" s="122">
        <v>20</v>
      </c>
      <c r="H234" s="122">
        <v>20</v>
      </c>
      <c r="I234" s="122">
        <v>20</v>
      </c>
      <c r="J234" s="122">
        <v>20</v>
      </c>
      <c r="K234" s="122">
        <v>20</v>
      </c>
      <c r="L234" s="122">
        <v>20</v>
      </c>
      <c r="M234" s="122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127">
        <v>900.49275895925371</v>
      </c>
      <c r="F235" s="127">
        <v>886.9158075601373</v>
      </c>
      <c r="G235" s="127">
        <v>850.71060382916039</v>
      </c>
      <c r="H235" s="127">
        <v>800.92844869906708</v>
      </c>
      <c r="I235" s="127">
        <v>733.04369170348536</v>
      </c>
      <c r="J235" s="127">
        <v>597.27417771232194</v>
      </c>
      <c r="K235" s="127">
        <v>508.57142857142856</v>
      </c>
      <c r="L235" s="127">
        <v>508.57142857142856</v>
      </c>
      <c r="M235" s="127">
        <v>508.57142857142856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124">
        <v>0</v>
      </c>
      <c r="F236" s="124">
        <v>0</v>
      </c>
      <c r="G236" s="124">
        <v>0</v>
      </c>
      <c r="H236" s="124">
        <v>0</v>
      </c>
      <c r="I236" s="124">
        <v>0</v>
      </c>
      <c r="J236" s="124">
        <v>0</v>
      </c>
      <c r="K236" s="124">
        <v>0</v>
      </c>
      <c r="L236" s="124">
        <v>0</v>
      </c>
      <c r="M236" s="124">
        <v>0</v>
      </c>
    </row>
    <row r="237" spans="1:13" x14ac:dyDescent="0.25">
      <c r="A237" s="227"/>
      <c r="B237" s="230"/>
      <c r="C237" s="25" t="s">
        <v>133</v>
      </c>
      <c r="D237" s="1" t="s">
        <v>8</v>
      </c>
      <c r="E237" s="123">
        <v>52.688365243004426</v>
      </c>
      <c r="F237" s="123">
        <v>69.477761413843893</v>
      </c>
      <c r="G237" s="123">
        <v>114.24948453608249</v>
      </c>
      <c r="H237" s="123">
        <v>175.81060382916056</v>
      </c>
      <c r="I237" s="123">
        <v>259.75758468335789</v>
      </c>
      <c r="J237" s="123">
        <v>427.65154639175262</v>
      </c>
      <c r="K237" s="123">
        <v>595.54550810014734</v>
      </c>
      <c r="L237" s="123">
        <v>595.54550810014734</v>
      </c>
      <c r="M237" s="123">
        <v>595.54550810014734</v>
      </c>
    </row>
    <row r="238" spans="1:13" x14ac:dyDescent="0.25">
      <c r="A238" s="227"/>
      <c r="B238" s="230"/>
      <c r="C238" s="25" t="s">
        <v>134</v>
      </c>
      <c r="D238" s="1" t="s">
        <v>9</v>
      </c>
      <c r="E238" s="122"/>
      <c r="F238" s="122"/>
      <c r="G238" s="122"/>
      <c r="H238" s="122"/>
      <c r="I238" s="122"/>
      <c r="J238" s="122"/>
      <c r="K238" s="122"/>
      <c r="L238" s="122"/>
      <c r="M238" s="122"/>
    </row>
    <row r="239" spans="1:13" x14ac:dyDescent="0.25">
      <c r="A239" s="227"/>
      <c r="B239" s="230"/>
      <c r="C239" s="25" t="s">
        <v>135</v>
      </c>
      <c r="D239" s="1" t="s">
        <v>10</v>
      </c>
      <c r="E239" s="122"/>
      <c r="F239" s="122"/>
      <c r="G239" s="122"/>
      <c r="H239" s="122"/>
      <c r="I239" s="122"/>
      <c r="J239" s="122"/>
      <c r="K239" s="122"/>
      <c r="L239" s="122"/>
      <c r="M239" s="122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122"/>
      <c r="F240" s="122"/>
      <c r="G240" s="122"/>
      <c r="H240" s="122"/>
      <c r="I240" s="122"/>
      <c r="J240" s="122"/>
      <c r="K240" s="122"/>
      <c r="L240" s="122"/>
      <c r="M240" s="122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126">
        <v>1</v>
      </c>
      <c r="F241" s="126">
        <v>1</v>
      </c>
      <c r="G241" s="126">
        <v>1</v>
      </c>
      <c r="H241" s="126">
        <v>1</v>
      </c>
      <c r="I241" s="126">
        <v>1</v>
      </c>
      <c r="J241" s="126">
        <v>1</v>
      </c>
      <c r="K241" s="126">
        <v>1</v>
      </c>
      <c r="L241" s="126">
        <v>1</v>
      </c>
      <c r="M241" s="126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122">
        <v>0.65</v>
      </c>
      <c r="F242" s="122">
        <v>0.65</v>
      </c>
      <c r="G242" s="122">
        <v>0.65</v>
      </c>
      <c r="H242" s="122">
        <v>0.65</v>
      </c>
      <c r="I242" s="122">
        <v>0.65</v>
      </c>
      <c r="J242" s="122">
        <v>0.65</v>
      </c>
      <c r="K242" s="122">
        <v>0.65</v>
      </c>
      <c r="L242" s="122">
        <v>0.65</v>
      </c>
      <c r="M242" s="122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122">
        <v>20</v>
      </c>
      <c r="F243" s="122">
        <v>20</v>
      </c>
      <c r="G243" s="122">
        <v>20</v>
      </c>
      <c r="H243" s="122">
        <v>20</v>
      </c>
      <c r="I243" s="122">
        <v>20</v>
      </c>
      <c r="J243" s="122">
        <v>20</v>
      </c>
      <c r="K243" s="122">
        <v>20</v>
      </c>
      <c r="L243" s="122">
        <v>20</v>
      </c>
      <c r="M243" s="122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123">
        <v>800.77079092910083</v>
      </c>
      <c r="F244" s="123">
        <v>571.81820894808823</v>
      </c>
      <c r="G244" s="123">
        <v>446.14556901716315</v>
      </c>
      <c r="H244" s="123">
        <v>446.14556901716315</v>
      </c>
      <c r="I244" s="123">
        <v>446.14556901716315</v>
      </c>
      <c r="J244" s="123">
        <v>446.14556901716315</v>
      </c>
      <c r="K244" s="123">
        <v>1129.4706178785063</v>
      </c>
      <c r="L244" s="123">
        <v>982.55924743473179</v>
      </c>
      <c r="M244" s="123">
        <v>863.67730421521264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124">
        <v>0</v>
      </c>
      <c r="F245" s="124">
        <v>0</v>
      </c>
      <c r="G245" s="124">
        <v>0</v>
      </c>
      <c r="H245" s="124">
        <v>0</v>
      </c>
      <c r="I245" s="124">
        <v>0</v>
      </c>
      <c r="J245" s="124">
        <v>0</v>
      </c>
      <c r="K245" s="124">
        <v>0</v>
      </c>
      <c r="L245" s="124">
        <v>0</v>
      </c>
      <c r="M245" s="124">
        <v>0</v>
      </c>
    </row>
    <row r="246" spans="1:13" x14ac:dyDescent="0.25">
      <c r="A246" s="227"/>
      <c r="B246" s="230"/>
      <c r="C246" s="25" t="s">
        <v>117</v>
      </c>
      <c r="D246" s="1" t="s">
        <v>8</v>
      </c>
      <c r="E246" s="122"/>
      <c r="F246" s="122"/>
      <c r="G246" s="122"/>
      <c r="H246" s="122"/>
      <c r="I246" s="122"/>
      <c r="J246" s="122"/>
      <c r="K246" s="122"/>
      <c r="L246" s="122"/>
      <c r="M246" s="122"/>
    </row>
    <row r="247" spans="1:13" x14ac:dyDescent="0.25">
      <c r="A247" s="227"/>
      <c r="B247" s="230"/>
      <c r="C247" s="25" t="s">
        <v>118</v>
      </c>
      <c r="D247" s="1" t="s">
        <v>9</v>
      </c>
      <c r="E247" s="122"/>
      <c r="F247" s="122"/>
      <c r="G247" s="122"/>
      <c r="H247" s="122"/>
      <c r="I247" s="122"/>
      <c r="J247" s="122"/>
      <c r="K247" s="122"/>
      <c r="L247" s="122"/>
      <c r="M247" s="122"/>
    </row>
    <row r="248" spans="1:13" x14ac:dyDescent="0.25">
      <c r="A248" s="227"/>
      <c r="B248" s="230"/>
      <c r="C248" s="25" t="s">
        <v>119</v>
      </c>
      <c r="D248" s="1" t="s">
        <v>10</v>
      </c>
      <c r="E248" s="123">
        <v>0</v>
      </c>
      <c r="F248" s="123">
        <v>0</v>
      </c>
      <c r="G248" s="123">
        <v>0</v>
      </c>
      <c r="H248" s="123">
        <v>0</v>
      </c>
      <c r="I248" s="123">
        <v>0</v>
      </c>
      <c r="J248" s="123">
        <v>0</v>
      </c>
      <c r="K248" s="123">
        <v>2.0599999999999998E-3</v>
      </c>
      <c r="L248" s="123">
        <v>2.0599999999999998E-3</v>
      </c>
      <c r="M248" s="123">
        <v>2.0599999999999998E-3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122">
        <v>3.38</v>
      </c>
      <c r="F251" s="122">
        <v>3.38</v>
      </c>
      <c r="G251" s="122">
        <v>3.38</v>
      </c>
      <c r="H251" s="122">
        <v>3.38</v>
      </c>
      <c r="I251" s="122">
        <v>3.38</v>
      </c>
      <c r="J251" s="122">
        <v>3.38</v>
      </c>
      <c r="K251" s="122">
        <v>3.38</v>
      </c>
      <c r="L251" s="122">
        <v>3.38</v>
      </c>
      <c r="M251" s="122">
        <v>3.38</v>
      </c>
    </row>
    <row r="252" spans="1:13" x14ac:dyDescent="0.25">
      <c r="A252" s="227"/>
      <c r="B252" s="230"/>
      <c r="C252" s="25" t="s">
        <v>33</v>
      </c>
      <c r="D252" s="2" t="s">
        <v>14</v>
      </c>
      <c r="E252" s="122"/>
      <c r="F252" s="122"/>
      <c r="G252" s="122"/>
      <c r="H252" s="122"/>
      <c r="I252" s="122"/>
      <c r="J252" s="122"/>
      <c r="K252" s="122"/>
      <c r="L252" s="122"/>
      <c r="M252" s="122"/>
    </row>
    <row r="253" spans="1:13" x14ac:dyDescent="0.25">
      <c r="A253" s="227"/>
      <c r="B253" s="230"/>
      <c r="C253" s="25" t="s">
        <v>34</v>
      </c>
      <c r="D253" s="2" t="s">
        <v>4</v>
      </c>
      <c r="E253" s="122"/>
      <c r="F253" s="122"/>
      <c r="G253" s="122"/>
      <c r="H253" s="122"/>
      <c r="I253" s="122"/>
      <c r="J253" s="122"/>
      <c r="K253" s="122"/>
      <c r="L253" s="122"/>
      <c r="M253" s="122"/>
    </row>
    <row r="254" spans="1:13" x14ac:dyDescent="0.25">
      <c r="A254" s="227"/>
      <c r="B254" s="230"/>
      <c r="C254" s="25" t="s">
        <v>129</v>
      </c>
      <c r="D254" s="1" t="s">
        <v>19</v>
      </c>
      <c r="E254" s="126">
        <v>0.546875</v>
      </c>
      <c r="F254" s="126">
        <v>0.546875</v>
      </c>
      <c r="G254" s="126">
        <v>0.54687499999999989</v>
      </c>
      <c r="H254" s="126">
        <v>0.546875</v>
      </c>
      <c r="I254" s="126">
        <v>0.546875</v>
      </c>
      <c r="J254" s="126">
        <v>0.546875</v>
      </c>
      <c r="K254" s="126">
        <v>0.546875</v>
      </c>
      <c r="L254" s="126">
        <v>0.546875</v>
      </c>
      <c r="M254" s="126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122">
        <v>0.64</v>
      </c>
      <c r="F255" s="122">
        <v>0.64</v>
      </c>
      <c r="G255" s="122">
        <v>0.64</v>
      </c>
      <c r="H255" s="122">
        <v>0.64</v>
      </c>
      <c r="I255" s="122">
        <v>0.64</v>
      </c>
      <c r="J255" s="122">
        <v>0.64</v>
      </c>
      <c r="K255" s="122">
        <v>0.64</v>
      </c>
      <c r="L255" s="122">
        <v>0.64</v>
      </c>
      <c r="M255" s="122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122">
        <v>20</v>
      </c>
      <c r="F256" s="122">
        <v>20</v>
      </c>
      <c r="G256" s="122">
        <v>20</v>
      </c>
      <c r="H256" s="122">
        <v>20</v>
      </c>
      <c r="I256" s="122">
        <v>20</v>
      </c>
      <c r="J256" s="122">
        <v>20</v>
      </c>
      <c r="K256" s="122">
        <v>20</v>
      </c>
      <c r="L256" s="122">
        <v>20</v>
      </c>
      <c r="M256" s="122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127">
        <v>890.31004540991637</v>
      </c>
      <c r="F257" s="127">
        <v>866.55038046146274</v>
      </c>
      <c r="G257" s="127">
        <v>803.19127393225313</v>
      </c>
      <c r="H257" s="127">
        <v>716.07250245458999</v>
      </c>
      <c r="I257" s="127">
        <v>597.27417771232194</v>
      </c>
      <c r="J257" s="127">
        <v>508.57142857142856</v>
      </c>
      <c r="K257" s="127">
        <v>508.57142857142856</v>
      </c>
      <c r="L257" s="127">
        <v>508.57142857142856</v>
      </c>
      <c r="M257" s="127">
        <v>508.57142857142856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124">
        <v>0</v>
      </c>
      <c r="F258" s="124">
        <v>0</v>
      </c>
      <c r="G258" s="124">
        <v>0</v>
      </c>
      <c r="H258" s="124">
        <v>0</v>
      </c>
      <c r="I258" s="124">
        <v>0</v>
      </c>
      <c r="J258" s="124">
        <v>0</v>
      </c>
      <c r="K258" s="124">
        <v>0</v>
      </c>
      <c r="L258" s="124">
        <v>0</v>
      </c>
      <c r="M258" s="124">
        <v>0</v>
      </c>
    </row>
    <row r="259" spans="1:13" x14ac:dyDescent="0.25">
      <c r="A259" s="227"/>
      <c r="B259" s="230"/>
      <c r="C259" s="25" t="s">
        <v>133</v>
      </c>
      <c r="D259" s="1" t="s">
        <v>8</v>
      </c>
      <c r="E259" s="123">
        <v>52.688365243004426</v>
      </c>
      <c r="F259" s="123">
        <v>69.477761413843893</v>
      </c>
      <c r="G259" s="123">
        <v>114.24948453608249</v>
      </c>
      <c r="H259" s="123">
        <v>175.81060382916056</v>
      </c>
      <c r="I259" s="123">
        <v>259.75758468335789</v>
      </c>
      <c r="J259" s="123">
        <v>427.65154639175262</v>
      </c>
      <c r="K259" s="123">
        <v>595.54550810014734</v>
      </c>
      <c r="L259" s="123">
        <v>595.54550810014734</v>
      </c>
      <c r="M259" s="123">
        <v>595.54550810014734</v>
      </c>
    </row>
    <row r="260" spans="1:13" x14ac:dyDescent="0.25">
      <c r="A260" s="227"/>
      <c r="B260" s="230"/>
      <c r="C260" s="25" t="s">
        <v>134</v>
      </c>
      <c r="D260" s="1" t="s">
        <v>9</v>
      </c>
      <c r="E260" s="122"/>
      <c r="F260" s="122"/>
      <c r="G260" s="122"/>
      <c r="H260" s="122"/>
      <c r="I260" s="122"/>
      <c r="J260" s="122"/>
      <c r="K260" s="122"/>
      <c r="L260" s="122"/>
      <c r="M260" s="122"/>
    </row>
    <row r="261" spans="1:13" x14ac:dyDescent="0.25">
      <c r="A261" s="227"/>
      <c r="B261" s="230"/>
      <c r="C261" s="25" t="s">
        <v>135</v>
      </c>
      <c r="D261" s="1" t="s">
        <v>10</v>
      </c>
      <c r="E261" s="122"/>
      <c r="F261" s="122"/>
      <c r="G261" s="122"/>
      <c r="H261" s="122"/>
      <c r="I261" s="122"/>
      <c r="J261" s="122"/>
      <c r="K261" s="122"/>
      <c r="L261" s="122"/>
      <c r="M261" s="122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122"/>
      <c r="F262" s="122"/>
      <c r="G262" s="122"/>
      <c r="H262" s="122"/>
      <c r="I262" s="122"/>
      <c r="J262" s="122"/>
      <c r="K262" s="122"/>
      <c r="L262" s="122"/>
      <c r="M262" s="122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122">
        <v>40</v>
      </c>
      <c r="F263" s="122">
        <v>40</v>
      </c>
      <c r="G263" s="122">
        <v>40</v>
      </c>
      <c r="H263" s="122">
        <v>40</v>
      </c>
      <c r="I263" s="122">
        <v>40</v>
      </c>
      <c r="J263" s="122">
        <v>40</v>
      </c>
      <c r="K263" s="122">
        <v>40</v>
      </c>
      <c r="L263" s="122">
        <v>40</v>
      </c>
      <c r="M263" s="122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123">
        <v>300</v>
      </c>
      <c r="F264" s="123">
        <v>183.33333333333334</v>
      </c>
      <c r="G264" s="123">
        <v>100</v>
      </c>
      <c r="H264" s="123">
        <v>76</v>
      </c>
      <c r="I264" s="123">
        <v>60</v>
      </c>
      <c r="J264" s="123">
        <v>42.857142857142854</v>
      </c>
      <c r="K264" s="123">
        <v>27.058823529411764</v>
      </c>
      <c r="L264" s="123">
        <v>18.421052631578949</v>
      </c>
      <c r="M264" s="123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124">
        <v>0</v>
      </c>
      <c r="F265" s="124">
        <v>0</v>
      </c>
      <c r="G265" s="124">
        <v>0</v>
      </c>
      <c r="H265" s="124">
        <v>0</v>
      </c>
      <c r="I265" s="124">
        <v>0</v>
      </c>
      <c r="J265" s="124">
        <v>0</v>
      </c>
      <c r="K265" s="124">
        <v>0</v>
      </c>
      <c r="L265" s="124">
        <v>0</v>
      </c>
      <c r="M265" s="124">
        <v>0</v>
      </c>
    </row>
    <row r="266" spans="1:13" x14ac:dyDescent="0.25">
      <c r="A266" s="208"/>
      <c r="B266" s="225"/>
      <c r="C266" s="25" t="s">
        <v>106</v>
      </c>
      <c r="D266" s="1" t="s">
        <v>8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23">
        <v>0</v>
      </c>
      <c r="M266" s="123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122"/>
      <c r="F267" s="122"/>
      <c r="G267" s="122"/>
      <c r="H267" s="122"/>
      <c r="I267" s="122"/>
      <c r="J267" s="122"/>
      <c r="K267" s="122"/>
      <c r="L267" s="122"/>
      <c r="M267" s="122"/>
    </row>
    <row r="268" spans="1:13" x14ac:dyDescent="0.25">
      <c r="A268" s="208"/>
      <c r="B268" s="225"/>
      <c r="C268" s="25" t="s">
        <v>108</v>
      </c>
      <c r="D268" s="1" t="s">
        <v>10</v>
      </c>
      <c r="E268" s="122"/>
      <c r="F268" s="122"/>
      <c r="G268" s="122"/>
      <c r="H268" s="122"/>
      <c r="I268" s="122"/>
      <c r="J268" s="122"/>
      <c r="K268" s="122"/>
      <c r="L268" s="122"/>
      <c r="M268" s="122"/>
    </row>
    <row r="269" spans="1:13" x14ac:dyDescent="0.25">
      <c r="A269" s="208"/>
      <c r="B269" s="225"/>
      <c r="C269" s="26" t="s">
        <v>11</v>
      </c>
      <c r="D269" s="27" t="s">
        <v>10</v>
      </c>
      <c r="E269" s="122"/>
      <c r="F269" s="122"/>
      <c r="G269" s="122"/>
      <c r="H269" s="122"/>
      <c r="I269" s="122"/>
      <c r="J269" s="122"/>
      <c r="K269" s="122"/>
      <c r="L269" s="122"/>
      <c r="M269" s="122"/>
    </row>
    <row r="270" spans="1:13" x14ac:dyDescent="0.25">
      <c r="A270" s="208"/>
      <c r="B270" s="225"/>
      <c r="C270" s="25" t="s">
        <v>12</v>
      </c>
      <c r="D270" s="1" t="s">
        <v>7</v>
      </c>
      <c r="E270" s="124">
        <v>1</v>
      </c>
      <c r="F270" s="124">
        <v>1</v>
      </c>
      <c r="G270" s="124">
        <v>1</v>
      </c>
      <c r="H270" s="124">
        <v>1</v>
      </c>
      <c r="I270" s="124">
        <v>1</v>
      </c>
      <c r="J270" s="124">
        <v>1</v>
      </c>
      <c r="K270" s="124">
        <v>1</v>
      </c>
      <c r="L270" s="124">
        <v>1</v>
      </c>
      <c r="M270" s="124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123">
        <v>31017</v>
      </c>
      <c r="F271" s="123">
        <v>31902</v>
      </c>
      <c r="G271" s="123">
        <v>34262</v>
      </c>
      <c r="H271" s="123">
        <v>37507</v>
      </c>
      <c r="I271" s="123">
        <v>41932</v>
      </c>
      <c r="J271" s="123">
        <v>50782</v>
      </c>
      <c r="K271" s="123">
        <v>80282</v>
      </c>
      <c r="L271" s="123">
        <v>151952</v>
      </c>
      <c r="M271" s="123">
        <v>292470.28399999999</v>
      </c>
    </row>
    <row r="272" spans="1:13" x14ac:dyDescent="0.25">
      <c r="A272" s="208"/>
      <c r="B272" s="225"/>
      <c r="C272" s="25" t="s">
        <v>15</v>
      </c>
      <c r="D272" s="1" t="s">
        <v>4</v>
      </c>
      <c r="E272" s="122">
        <v>40</v>
      </c>
      <c r="F272" s="122">
        <v>40</v>
      </c>
      <c r="G272" s="122">
        <v>40</v>
      </c>
      <c r="H272" s="122">
        <v>40</v>
      </c>
      <c r="I272" s="122">
        <v>40</v>
      </c>
      <c r="J272" s="122">
        <v>40</v>
      </c>
      <c r="K272" s="122">
        <v>40</v>
      </c>
      <c r="L272" s="122">
        <v>40</v>
      </c>
      <c r="M272" s="122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122">
        <v>40</v>
      </c>
      <c r="F273" s="122">
        <v>40</v>
      </c>
      <c r="G273" s="122">
        <v>40</v>
      </c>
      <c r="H273" s="122">
        <v>40</v>
      </c>
      <c r="I273" s="122">
        <v>40</v>
      </c>
      <c r="J273" s="122">
        <v>40</v>
      </c>
      <c r="K273" s="122">
        <v>40</v>
      </c>
      <c r="L273" s="122">
        <v>40</v>
      </c>
      <c r="M273" s="122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122"/>
      <c r="F274" s="122"/>
      <c r="G274" s="122"/>
      <c r="H274" s="122"/>
      <c r="I274" s="122"/>
      <c r="J274" s="122"/>
      <c r="K274" s="122"/>
      <c r="L274" s="122"/>
      <c r="M274" s="122"/>
    </row>
    <row r="275" spans="1:13" x14ac:dyDescent="0.25">
      <c r="A275" s="208"/>
      <c r="B275" s="225"/>
      <c r="C275" s="25" t="s">
        <v>176</v>
      </c>
      <c r="D275" s="1" t="s">
        <v>19</v>
      </c>
      <c r="E275" s="124">
        <v>0</v>
      </c>
      <c r="F275" s="124">
        <v>0</v>
      </c>
      <c r="G275" s="124">
        <v>0</v>
      </c>
      <c r="H275" s="124">
        <v>0</v>
      </c>
      <c r="I275" s="124">
        <v>0</v>
      </c>
      <c r="J275" s="124">
        <v>0</v>
      </c>
      <c r="K275" s="124">
        <v>0</v>
      </c>
      <c r="L275" s="124">
        <v>0</v>
      </c>
      <c r="M275" s="124">
        <v>0</v>
      </c>
    </row>
    <row r="276" spans="1:13" x14ac:dyDescent="0.25">
      <c r="A276" s="208"/>
      <c r="B276" s="225"/>
      <c r="C276" s="25" t="s">
        <v>106</v>
      </c>
      <c r="D276" s="1" t="s">
        <v>8</v>
      </c>
      <c r="E276" s="123">
        <v>0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123">
        <v>0</v>
      </c>
      <c r="L276" s="123">
        <v>0</v>
      </c>
      <c r="M276" s="123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122"/>
      <c r="F277" s="122"/>
      <c r="G277" s="122"/>
      <c r="H277" s="122"/>
      <c r="I277" s="122"/>
      <c r="J277" s="122"/>
      <c r="K277" s="122"/>
      <c r="L277" s="122"/>
      <c r="M277" s="122"/>
    </row>
    <row r="278" spans="1:13" x14ac:dyDescent="0.25">
      <c r="A278" s="208"/>
      <c r="B278" s="225"/>
      <c r="C278" s="25" t="s">
        <v>108</v>
      </c>
      <c r="D278" s="1" t="s">
        <v>10</v>
      </c>
      <c r="E278" s="122"/>
      <c r="F278" s="122"/>
      <c r="G278" s="122"/>
      <c r="H278" s="122"/>
      <c r="I278" s="122"/>
      <c r="J278" s="122"/>
      <c r="K278" s="122"/>
      <c r="L278" s="122"/>
      <c r="M278" s="122"/>
    </row>
    <row r="279" spans="1:13" x14ac:dyDescent="0.25">
      <c r="A279" s="208"/>
      <c r="B279" s="225"/>
      <c r="C279" s="26" t="s">
        <v>11</v>
      </c>
      <c r="D279" s="27" t="s">
        <v>10</v>
      </c>
      <c r="E279" s="122"/>
      <c r="F279" s="122"/>
      <c r="G279" s="122"/>
      <c r="H279" s="122"/>
      <c r="I279" s="122"/>
      <c r="J279" s="122"/>
      <c r="K279" s="122"/>
      <c r="L279" s="122"/>
      <c r="M279" s="122"/>
    </row>
    <row r="280" spans="1:13" x14ac:dyDescent="0.25">
      <c r="A280" s="208"/>
      <c r="B280" s="225"/>
      <c r="C280" s="25" t="s">
        <v>12</v>
      </c>
      <c r="D280" s="1" t="s">
        <v>7</v>
      </c>
      <c r="E280" s="124">
        <v>1</v>
      </c>
      <c r="F280" s="124">
        <v>1</v>
      </c>
      <c r="G280" s="124">
        <v>1</v>
      </c>
      <c r="H280" s="124">
        <v>1</v>
      </c>
      <c r="I280" s="124">
        <v>1</v>
      </c>
      <c r="J280" s="124">
        <v>1</v>
      </c>
      <c r="K280" s="124">
        <v>1</v>
      </c>
      <c r="L280" s="124">
        <v>1</v>
      </c>
      <c r="M280" s="124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123">
        <v>92256.599999999991</v>
      </c>
      <c r="F281" s="123">
        <v>92691.599999999991</v>
      </c>
      <c r="G281" s="123">
        <v>93851.599999999991</v>
      </c>
      <c r="H281" s="123">
        <v>95446.599999999991</v>
      </c>
      <c r="I281" s="123">
        <v>97621.599999999991</v>
      </c>
      <c r="J281" s="123">
        <v>101971.59999999999</v>
      </c>
      <c r="K281" s="123">
        <v>116471.59999999999</v>
      </c>
      <c r="L281" s="123">
        <v>146921.59999999998</v>
      </c>
      <c r="M281" s="123">
        <v>207821.59999999998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123">
        <v>40</v>
      </c>
      <c r="F282" s="123">
        <v>40</v>
      </c>
      <c r="G282" s="123">
        <v>40</v>
      </c>
      <c r="H282" s="123">
        <v>40</v>
      </c>
      <c r="I282" s="123">
        <v>40</v>
      </c>
      <c r="J282" s="123">
        <v>40</v>
      </c>
      <c r="K282" s="123">
        <v>40</v>
      </c>
      <c r="L282" s="123">
        <v>40</v>
      </c>
      <c r="M282" s="123">
        <v>40</v>
      </c>
    </row>
  </sheetData>
  <sheetProtection algorithmName="SHA-512" hashValue="kKna4F+kqrLkLDiq01yNZG0rk6t1XSgy7GDiJ7uNNT/I5QKeKE1rdTlI7bcejf/S8a5SmWwqgnlyQFGiIWgjLQ==" saltValue="PHdYPwGfTmnvuGuDOyslpQ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9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130" bestFit="1" customWidth="1"/>
    <col min="13" max="13" width="13.42578125" style="130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128">
        <v>15</v>
      </c>
      <c r="F1" s="129">
        <v>30</v>
      </c>
      <c r="G1" s="129">
        <v>70</v>
      </c>
      <c r="H1" s="129">
        <v>125</v>
      </c>
      <c r="I1" s="129">
        <v>200</v>
      </c>
      <c r="J1" s="129">
        <v>350</v>
      </c>
      <c r="K1" s="129">
        <v>850</v>
      </c>
      <c r="L1" s="129">
        <v>1900</v>
      </c>
      <c r="M1" s="129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122">
        <v>20</v>
      </c>
      <c r="F2" s="122">
        <v>20</v>
      </c>
      <c r="G2" s="122">
        <v>20</v>
      </c>
      <c r="H2" s="122">
        <v>20</v>
      </c>
      <c r="I2" s="122">
        <v>20</v>
      </c>
      <c r="J2" s="122">
        <v>20</v>
      </c>
      <c r="K2" s="122">
        <v>20</v>
      </c>
      <c r="L2" s="122">
        <v>20</v>
      </c>
      <c r="M2" s="122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123">
        <v>197.6111183946131</v>
      </c>
      <c r="F3" s="123">
        <v>167.43356959457475</v>
      </c>
      <c r="G3" s="123">
        <v>130.54476264689706</v>
      </c>
      <c r="H3" s="123">
        <v>105.30120481906971</v>
      </c>
      <c r="I3" s="123">
        <v>107.31263157894738</v>
      </c>
      <c r="J3" s="123">
        <v>107.00631578947369</v>
      </c>
      <c r="K3" s="123">
        <v>105.98526315789475</v>
      </c>
      <c r="L3" s="123">
        <v>103.84105263157896</v>
      </c>
      <c r="M3" s="123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124">
        <v>0</v>
      </c>
      <c r="F4" s="124">
        <v>0</v>
      </c>
      <c r="G4" s="124">
        <v>0</v>
      </c>
      <c r="H4" s="124">
        <v>0</v>
      </c>
      <c r="I4" s="124">
        <v>0</v>
      </c>
      <c r="J4" s="124">
        <v>0</v>
      </c>
      <c r="K4" s="124">
        <v>0</v>
      </c>
      <c r="L4" s="124">
        <v>0</v>
      </c>
      <c r="M4" s="124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122"/>
      <c r="F5" s="122"/>
      <c r="G5" s="122"/>
      <c r="H5" s="122"/>
      <c r="I5" s="122"/>
      <c r="J5" s="122"/>
      <c r="K5" s="122"/>
      <c r="L5" s="122"/>
      <c r="M5" s="122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123">
        <v>5.9283335518383931</v>
      </c>
      <c r="F6" s="123">
        <v>5.0230070878372421</v>
      </c>
      <c r="G6" s="123">
        <v>3.9163428794069115</v>
      </c>
      <c r="H6" s="123">
        <v>3.1590361445720911</v>
      </c>
      <c r="I6" s="123">
        <v>2.0378947368421052</v>
      </c>
      <c r="J6" s="123">
        <v>2.0189473684210526</v>
      </c>
      <c r="K6" s="123">
        <v>1.9557894736842103</v>
      </c>
      <c r="L6" s="123">
        <v>1.8231578947368419</v>
      </c>
      <c r="M6" s="123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123">
        <v>0</v>
      </c>
      <c r="F7" s="123">
        <v>0</v>
      </c>
      <c r="G7" s="123">
        <v>0</v>
      </c>
      <c r="H7" s="123">
        <v>0</v>
      </c>
      <c r="I7" s="123">
        <v>0</v>
      </c>
      <c r="J7" s="123">
        <v>0</v>
      </c>
      <c r="K7" s="123">
        <v>1.6858736842105264E-3</v>
      </c>
      <c r="L7" s="123">
        <v>1.5474947368421053E-3</v>
      </c>
      <c r="M7" s="123">
        <v>1.2707368421052633E-3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123">
        <v>0</v>
      </c>
      <c r="F8" s="122"/>
      <c r="G8" s="122"/>
      <c r="H8" s="122"/>
      <c r="I8" s="122"/>
      <c r="J8" s="122"/>
      <c r="K8" s="122"/>
      <c r="L8" s="122"/>
      <c r="M8" s="122"/>
      <c r="N8" s="54"/>
    </row>
    <row r="9" spans="1:14" x14ac:dyDescent="0.25">
      <c r="A9" s="208"/>
      <c r="B9" s="224"/>
      <c r="C9" s="25" t="s">
        <v>12</v>
      </c>
      <c r="D9" s="1" t="s">
        <v>7</v>
      </c>
      <c r="E9" s="124">
        <v>0.99124999999999996</v>
      </c>
      <c r="F9" s="124">
        <v>0.99124999999999996</v>
      </c>
      <c r="G9" s="124">
        <v>0.99124999999999996</v>
      </c>
      <c r="H9" s="124">
        <v>0.99124999999999996</v>
      </c>
      <c r="I9" s="124">
        <v>0.99124999999999996</v>
      </c>
      <c r="J9" s="124">
        <v>0.99124999999999996</v>
      </c>
      <c r="K9" s="124">
        <v>0.99649999999999994</v>
      </c>
      <c r="L9" s="124">
        <v>0.99649999999999994</v>
      </c>
      <c r="M9" s="124">
        <v>0.99649999999999994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123">
        <v>1524.6</v>
      </c>
      <c r="F10" s="123">
        <v>1749.6</v>
      </c>
      <c r="G10" s="123">
        <v>2349.6</v>
      </c>
      <c r="H10" s="123">
        <v>3174.6</v>
      </c>
      <c r="I10" s="123">
        <v>4299.6000000000004</v>
      </c>
      <c r="J10" s="123">
        <v>14213</v>
      </c>
      <c r="K10" s="123">
        <v>21713</v>
      </c>
      <c r="L10" s="123">
        <v>37463</v>
      </c>
      <c r="M10" s="123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122">
        <v>40</v>
      </c>
      <c r="F11" s="122">
        <v>40</v>
      </c>
      <c r="G11" s="122">
        <v>40</v>
      </c>
      <c r="H11" s="122">
        <v>40</v>
      </c>
      <c r="I11" s="122">
        <v>40</v>
      </c>
      <c r="J11" s="122">
        <v>40</v>
      </c>
      <c r="K11" s="122">
        <v>40</v>
      </c>
      <c r="L11" s="122">
        <v>40</v>
      </c>
      <c r="M11" s="122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122">
        <v>20</v>
      </c>
      <c r="F12" s="122">
        <v>20</v>
      </c>
      <c r="G12" s="122">
        <v>20</v>
      </c>
      <c r="H12" s="122">
        <v>20</v>
      </c>
      <c r="I12" s="122">
        <v>20</v>
      </c>
      <c r="J12" s="122">
        <v>20</v>
      </c>
      <c r="K12" s="122">
        <v>20</v>
      </c>
      <c r="L12" s="122">
        <v>20</v>
      </c>
      <c r="M12" s="122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123">
        <v>507.61727242819484</v>
      </c>
      <c r="F13" s="123">
        <v>320.51156293897873</v>
      </c>
      <c r="G13" s="123">
        <v>182.70097797005911</v>
      </c>
      <c r="H13" s="123">
        <v>124.36485973586129</v>
      </c>
      <c r="I13" s="123">
        <v>111.1</v>
      </c>
      <c r="J13" s="123">
        <v>111.1</v>
      </c>
      <c r="K13" s="123">
        <v>174.7702048892304</v>
      </c>
      <c r="L13" s="123">
        <v>258.33594101773554</v>
      </c>
      <c r="M13" s="123">
        <v>425.4674132747457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124">
        <v>0</v>
      </c>
      <c r="F14" s="124">
        <v>0</v>
      </c>
      <c r="G14" s="124">
        <v>0</v>
      </c>
      <c r="H14" s="124">
        <v>0</v>
      </c>
      <c r="I14" s="124">
        <v>0</v>
      </c>
      <c r="J14" s="124">
        <v>0</v>
      </c>
      <c r="K14" s="124">
        <v>0</v>
      </c>
      <c r="L14" s="124">
        <v>0</v>
      </c>
      <c r="M14" s="124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122"/>
      <c r="F15" s="122"/>
      <c r="G15" s="122"/>
      <c r="H15" s="122"/>
      <c r="I15" s="122"/>
      <c r="J15" s="122"/>
      <c r="K15" s="122"/>
      <c r="L15" s="122"/>
      <c r="M15" s="122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123">
        <v>30.457036345691673</v>
      </c>
      <c r="F16" s="123">
        <v>19.230693776338708</v>
      </c>
      <c r="G16" s="123">
        <v>10.962058678203539</v>
      </c>
      <c r="H16" s="123">
        <v>7.4618915841516733</v>
      </c>
      <c r="I16" s="123">
        <v>7.0406813381716651</v>
      </c>
      <c r="J16" s="123">
        <v>7.0406813381716651</v>
      </c>
      <c r="K16" s="123">
        <v>6.7014586460644257</v>
      </c>
      <c r="L16" s="123">
        <v>6.1534835280450384</v>
      </c>
      <c r="M16" s="123">
        <v>5.0575332920062639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2.4047861016365463E-3</v>
      </c>
      <c r="L17" s="123">
        <v>2.4047861016365463E-3</v>
      </c>
      <c r="M17" s="123">
        <v>2.4047861016365463E-3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123">
        <v>0</v>
      </c>
      <c r="F18" s="123">
        <v>0</v>
      </c>
      <c r="G18" s="123">
        <v>0</v>
      </c>
      <c r="H18" s="123">
        <v>0</v>
      </c>
      <c r="I18" s="123">
        <v>0</v>
      </c>
      <c r="J18" s="123">
        <v>0</v>
      </c>
      <c r="K18" s="123">
        <v>0</v>
      </c>
      <c r="L18" s="123">
        <v>0</v>
      </c>
      <c r="M18" s="123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124">
        <v>0.85200000000000031</v>
      </c>
      <c r="F19" s="124">
        <v>0.85200000000000031</v>
      </c>
      <c r="G19" s="124">
        <v>0.85200000000000031</v>
      </c>
      <c r="H19" s="124">
        <v>0.85200000000000031</v>
      </c>
      <c r="I19" s="124">
        <v>0.85200000000000031</v>
      </c>
      <c r="J19" s="124">
        <v>0.85200000000000031</v>
      </c>
      <c r="K19" s="124">
        <v>0.85200000000000031</v>
      </c>
      <c r="L19" s="124">
        <v>0.95558333333333323</v>
      </c>
      <c r="M19" s="124">
        <v>0.95558333333333323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122"/>
      <c r="F20" s="122"/>
      <c r="G20" s="122"/>
      <c r="H20" s="122"/>
      <c r="I20" s="122"/>
      <c r="J20" s="122"/>
      <c r="K20" s="122"/>
      <c r="L20" s="122"/>
      <c r="M20" s="122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122"/>
      <c r="F21" s="122"/>
      <c r="G21" s="122"/>
      <c r="H21" s="122"/>
      <c r="I21" s="122"/>
      <c r="J21" s="122"/>
      <c r="K21" s="122"/>
      <c r="L21" s="122"/>
      <c r="M21" s="122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122">
        <v>20</v>
      </c>
      <c r="F22" s="122">
        <v>20</v>
      </c>
      <c r="G22" s="122">
        <v>20</v>
      </c>
      <c r="H22" s="122">
        <v>20</v>
      </c>
      <c r="I22" s="122">
        <v>20</v>
      </c>
      <c r="J22" s="122">
        <v>20</v>
      </c>
      <c r="K22" s="122">
        <v>20</v>
      </c>
      <c r="L22" s="122">
        <v>20</v>
      </c>
      <c r="M22" s="122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123">
        <v>778.63646317000416</v>
      </c>
      <c r="F23" s="123">
        <v>556.01242307421592</v>
      </c>
      <c r="G23" s="123">
        <v>433.81353547553391</v>
      </c>
      <c r="H23" s="123">
        <v>433.81353547553391</v>
      </c>
      <c r="I23" s="123">
        <v>433.81353547553391</v>
      </c>
      <c r="J23" s="123">
        <v>433.81353547553391</v>
      </c>
      <c r="K23" s="123">
        <v>1125.1890967142162</v>
      </c>
      <c r="L23" s="123">
        <v>978.8877535076831</v>
      </c>
      <c r="M23" s="123">
        <v>860.49325281850611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122"/>
      <c r="F25" s="122"/>
      <c r="G25" s="122"/>
      <c r="H25" s="122"/>
      <c r="I25" s="122"/>
      <c r="J25" s="122"/>
      <c r="K25" s="122"/>
      <c r="L25" s="122"/>
      <c r="M25" s="122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123">
        <v>11.679546947550062</v>
      </c>
      <c r="F26" s="123">
        <v>8.3401863461132386</v>
      </c>
      <c r="G26" s="123">
        <v>6.5072030321330079</v>
      </c>
      <c r="H26" s="123">
        <v>6.5072030321330079</v>
      </c>
      <c r="I26" s="123">
        <v>6.5072030321330079</v>
      </c>
      <c r="J26" s="123">
        <v>6.5072030321330079</v>
      </c>
      <c r="K26" s="123">
        <v>1.583</v>
      </c>
      <c r="L26" s="123">
        <v>1.583</v>
      </c>
      <c r="M26" s="123">
        <v>1.583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2.0349999999999999E-3</v>
      </c>
      <c r="L27" s="123">
        <v>2.0349999999999999E-3</v>
      </c>
      <c r="M27" s="123">
        <v>2.0349999999999999E-3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123">
        <v>0</v>
      </c>
      <c r="F28" s="123">
        <v>0</v>
      </c>
      <c r="G28" s="123">
        <v>0</v>
      </c>
      <c r="H28" s="123">
        <v>0</v>
      </c>
      <c r="I28" s="123">
        <v>0</v>
      </c>
      <c r="J28" s="123">
        <v>0</v>
      </c>
      <c r="K28" s="123">
        <v>0</v>
      </c>
      <c r="L28" s="123">
        <v>0</v>
      </c>
      <c r="M28" s="123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122">
        <v>3.9299999999999997</v>
      </c>
      <c r="F30" s="122">
        <v>3.9299999999999997</v>
      </c>
      <c r="G30" s="122">
        <v>3.9299999999999997</v>
      </c>
      <c r="H30" s="122">
        <v>3.9299999999999997</v>
      </c>
      <c r="I30" s="122">
        <v>3.9299999999999997</v>
      </c>
      <c r="J30" s="122">
        <v>3.9299999999999997</v>
      </c>
      <c r="K30" s="122">
        <v>3.9299999999999997</v>
      </c>
      <c r="L30" s="122">
        <v>3.9299999999999997</v>
      </c>
      <c r="M30" s="122">
        <v>3.9299999999999997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122"/>
      <c r="F31" s="122"/>
      <c r="G31" s="122"/>
      <c r="H31" s="122"/>
      <c r="I31" s="122"/>
      <c r="J31" s="122"/>
      <c r="K31" s="122"/>
      <c r="L31" s="122"/>
      <c r="M31" s="122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122"/>
      <c r="F32" s="122"/>
      <c r="G32" s="122"/>
      <c r="H32" s="122"/>
      <c r="I32" s="122"/>
      <c r="J32" s="122"/>
      <c r="K32" s="122"/>
      <c r="L32" s="122"/>
      <c r="M32" s="122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122">
        <v>20</v>
      </c>
      <c r="F33" s="122">
        <v>20</v>
      </c>
      <c r="G33" s="122">
        <v>20</v>
      </c>
      <c r="H33" s="122">
        <v>20</v>
      </c>
      <c r="I33" s="122">
        <v>20</v>
      </c>
      <c r="J33" s="122">
        <v>20</v>
      </c>
      <c r="K33" s="122">
        <v>20</v>
      </c>
      <c r="L33" s="122">
        <v>20</v>
      </c>
      <c r="M33" s="122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123">
        <v>778.63646317000416</v>
      </c>
      <c r="F34" s="123">
        <v>556.01242307421592</v>
      </c>
      <c r="G34" s="123">
        <v>433.81353547553391</v>
      </c>
      <c r="H34" s="123">
        <v>433.81353547553391</v>
      </c>
      <c r="I34" s="123">
        <v>433.81353547553391</v>
      </c>
      <c r="J34" s="123">
        <v>433.81353547553391</v>
      </c>
      <c r="K34" s="123">
        <v>1125.1890967142162</v>
      </c>
      <c r="L34" s="123">
        <v>978.8877535076831</v>
      </c>
      <c r="M34" s="123">
        <v>860.49325281850611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124">
        <v>0</v>
      </c>
      <c r="F35" s="124">
        <v>0</v>
      </c>
      <c r="G35" s="124">
        <v>0</v>
      </c>
      <c r="H35" s="124">
        <v>0</v>
      </c>
      <c r="I35" s="124">
        <v>0</v>
      </c>
      <c r="J35" s="124">
        <v>0</v>
      </c>
      <c r="K35" s="124">
        <v>0</v>
      </c>
      <c r="L35" s="124">
        <v>0</v>
      </c>
      <c r="M35" s="124">
        <v>0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122"/>
      <c r="F36" s="122"/>
      <c r="G36" s="122"/>
      <c r="H36" s="122"/>
      <c r="I36" s="122"/>
      <c r="J36" s="122"/>
      <c r="K36" s="122"/>
      <c r="L36" s="122"/>
      <c r="M36" s="122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123">
        <v>11.679546947550062</v>
      </c>
      <c r="F37" s="123">
        <v>8.3401863461132386</v>
      </c>
      <c r="G37" s="123">
        <v>6.5072030321330079</v>
      </c>
      <c r="H37" s="123">
        <v>6.5072030321330079</v>
      </c>
      <c r="I37" s="123">
        <v>6.5072030321330079</v>
      </c>
      <c r="J37" s="123">
        <v>6.5072030321330079</v>
      </c>
      <c r="K37" s="123">
        <v>1.583</v>
      </c>
      <c r="L37" s="123">
        <v>1.583</v>
      </c>
      <c r="M37" s="123">
        <v>1.583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123">
        <v>0</v>
      </c>
      <c r="F38" s="123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2.0349999999999999E-3</v>
      </c>
      <c r="L38" s="123">
        <v>2.0349999999999999E-3</v>
      </c>
      <c r="M38" s="123">
        <v>2.0349999999999999E-3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123">
        <v>0</v>
      </c>
      <c r="F39" s="123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123">
        <v>0</v>
      </c>
      <c r="F40" s="123">
        <v>0</v>
      </c>
      <c r="G40" s="123">
        <v>0</v>
      </c>
      <c r="H40" s="123">
        <v>0</v>
      </c>
      <c r="I40" s="123">
        <v>0</v>
      </c>
      <c r="J40" s="123">
        <v>0</v>
      </c>
      <c r="K40" s="123">
        <v>0</v>
      </c>
      <c r="L40" s="123">
        <v>0</v>
      </c>
      <c r="M40" s="123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122">
        <v>3.6799999999999997</v>
      </c>
      <c r="F41" s="122">
        <v>3.6799999999999997</v>
      </c>
      <c r="G41" s="122">
        <v>3.6799999999999997</v>
      </c>
      <c r="H41" s="122">
        <v>3.6799999999999997</v>
      </c>
      <c r="I41" s="122">
        <v>3.6799999999999997</v>
      </c>
      <c r="J41" s="122">
        <v>3.6799999999999997</v>
      </c>
      <c r="K41" s="122">
        <v>3.6799999999999997</v>
      </c>
      <c r="L41" s="122">
        <v>3.6799999999999997</v>
      </c>
      <c r="M41" s="122">
        <v>3.6799999999999997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122"/>
      <c r="F42" s="122"/>
      <c r="G42" s="122"/>
      <c r="H42" s="122"/>
      <c r="I42" s="122"/>
      <c r="J42" s="122"/>
      <c r="K42" s="122"/>
      <c r="L42" s="122"/>
      <c r="M42" s="122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122"/>
      <c r="F43" s="122"/>
      <c r="G43" s="122"/>
      <c r="H43" s="122"/>
      <c r="I43" s="122"/>
      <c r="J43" s="122"/>
      <c r="K43" s="122"/>
      <c r="L43" s="122"/>
      <c r="M43" s="122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122">
        <v>20</v>
      </c>
      <c r="F44" s="122">
        <v>20</v>
      </c>
      <c r="G44" s="122">
        <v>20</v>
      </c>
      <c r="H44" s="122">
        <v>20</v>
      </c>
      <c r="I44" s="122">
        <v>20</v>
      </c>
      <c r="J44" s="122">
        <v>20</v>
      </c>
      <c r="K44" s="122">
        <v>20</v>
      </c>
      <c r="L44" s="122">
        <v>20</v>
      </c>
      <c r="M44" s="122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123">
        <v>778.63646317000416</v>
      </c>
      <c r="F45" s="123">
        <v>556.01242307421592</v>
      </c>
      <c r="G45" s="123">
        <v>433.81353547553391</v>
      </c>
      <c r="H45" s="123">
        <v>433.81353547553391</v>
      </c>
      <c r="I45" s="123">
        <v>433.81353547553391</v>
      </c>
      <c r="J45" s="123">
        <v>433.81353547553391</v>
      </c>
      <c r="K45" s="123">
        <v>1125.1890967142162</v>
      </c>
      <c r="L45" s="123">
        <v>978.8877535076831</v>
      </c>
      <c r="M45" s="123">
        <v>860.49325281850611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124">
        <v>0</v>
      </c>
      <c r="F46" s="124">
        <v>0</v>
      </c>
      <c r="G46" s="124">
        <v>0</v>
      </c>
      <c r="H46" s="124">
        <v>0</v>
      </c>
      <c r="I46" s="124">
        <v>0</v>
      </c>
      <c r="J46" s="124">
        <v>0</v>
      </c>
      <c r="K46" s="124">
        <v>0</v>
      </c>
      <c r="L46" s="124">
        <v>0</v>
      </c>
      <c r="M46" s="124">
        <v>0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123">
        <v>11.679546947550062</v>
      </c>
      <c r="F48" s="123">
        <v>8.3401863461132386</v>
      </c>
      <c r="G48" s="123">
        <v>6.5072030321330079</v>
      </c>
      <c r="H48" s="123">
        <v>6.5072030321330079</v>
      </c>
      <c r="I48" s="123">
        <v>6.5072030321330079</v>
      </c>
      <c r="J48" s="123">
        <v>6.5072030321330079</v>
      </c>
      <c r="K48" s="123">
        <v>1.583</v>
      </c>
      <c r="L48" s="123">
        <v>1.583</v>
      </c>
      <c r="M48" s="123">
        <v>1.583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2.0349999999999999E-3</v>
      </c>
      <c r="L49" s="123">
        <v>2.0349999999999999E-3</v>
      </c>
      <c r="M49" s="123">
        <v>2.0349999999999999E-3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122">
        <v>3.4299999999999997</v>
      </c>
      <c r="F52" s="122">
        <v>3.4299999999999997</v>
      </c>
      <c r="G52" s="122">
        <v>3.4299999999999997</v>
      </c>
      <c r="H52" s="122">
        <v>3.4299999999999997</v>
      </c>
      <c r="I52" s="122">
        <v>3.4299999999999997</v>
      </c>
      <c r="J52" s="122">
        <v>3.4299999999999997</v>
      </c>
      <c r="K52" s="122">
        <v>3.4299999999999997</v>
      </c>
      <c r="L52" s="122">
        <v>3.4299999999999997</v>
      </c>
      <c r="M52" s="122">
        <v>3.4299999999999997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122"/>
      <c r="F53" s="122"/>
      <c r="G53" s="122"/>
      <c r="H53" s="122"/>
      <c r="I53" s="122"/>
      <c r="J53" s="122"/>
      <c r="K53" s="122"/>
      <c r="L53" s="122"/>
      <c r="M53" s="122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122"/>
      <c r="F54" s="122"/>
      <c r="G54" s="122"/>
      <c r="H54" s="122"/>
      <c r="I54" s="122"/>
      <c r="J54" s="122"/>
      <c r="K54" s="122"/>
      <c r="L54" s="122"/>
      <c r="M54" s="122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122">
        <v>20</v>
      </c>
      <c r="F55" s="122">
        <v>20</v>
      </c>
      <c r="G55" s="122">
        <v>20</v>
      </c>
      <c r="H55" s="122">
        <v>20</v>
      </c>
      <c r="I55" s="122">
        <v>20</v>
      </c>
      <c r="J55" s="122">
        <v>20</v>
      </c>
      <c r="K55" s="122">
        <v>20</v>
      </c>
      <c r="L55" s="122">
        <v>20</v>
      </c>
      <c r="M55" s="122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123">
        <v>738.31610915879503</v>
      </c>
      <c r="F56" s="123">
        <v>515.77022112163911</v>
      </c>
      <c r="G56" s="123">
        <v>395.95632283937084</v>
      </c>
      <c r="H56" s="123">
        <v>395.95632283937084</v>
      </c>
      <c r="I56" s="123">
        <v>395.95632283937084</v>
      </c>
      <c r="J56" s="123">
        <v>395.95632283937084</v>
      </c>
      <c r="K56" s="123">
        <v>582.06399999999996</v>
      </c>
      <c r="L56" s="123">
        <v>582.06399999999996</v>
      </c>
      <c r="M56" s="123">
        <v>582.06399999999996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124">
        <v>0</v>
      </c>
      <c r="F57" s="124">
        <v>0</v>
      </c>
      <c r="G57" s="124">
        <v>0</v>
      </c>
      <c r="H57" s="124">
        <v>0</v>
      </c>
      <c r="I57" s="124">
        <v>0</v>
      </c>
      <c r="J57" s="124">
        <v>0</v>
      </c>
      <c r="K57" s="124">
        <v>0</v>
      </c>
      <c r="L57" s="124">
        <v>0</v>
      </c>
      <c r="M57" s="124">
        <v>0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122"/>
      <c r="F58" s="122"/>
      <c r="G58" s="122"/>
      <c r="H58" s="122"/>
      <c r="I58" s="122"/>
      <c r="J58" s="122"/>
      <c r="K58" s="122"/>
      <c r="L58" s="122"/>
      <c r="M58" s="122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123">
        <v>11.074741637381925</v>
      </c>
      <c r="F59" s="123">
        <v>7.7365533168245868</v>
      </c>
      <c r="G59" s="123">
        <v>5.9393448425905628</v>
      </c>
      <c r="H59" s="123">
        <v>5.9393448425905628</v>
      </c>
      <c r="I59" s="123">
        <v>5.9393448425905628</v>
      </c>
      <c r="J59" s="123">
        <v>5.9393448425905628</v>
      </c>
      <c r="K59" s="123">
        <v>1.583</v>
      </c>
      <c r="L59" s="123">
        <v>1.583</v>
      </c>
      <c r="M59" s="123">
        <v>1.583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123">
        <v>0</v>
      </c>
      <c r="F60" s="123">
        <v>0</v>
      </c>
      <c r="G60" s="123">
        <v>0</v>
      </c>
      <c r="H60" s="123">
        <v>0</v>
      </c>
      <c r="I60" s="123">
        <v>0</v>
      </c>
      <c r="J60" s="123">
        <v>0</v>
      </c>
      <c r="K60" s="123">
        <v>2.0349999999999999E-3</v>
      </c>
      <c r="L60" s="123">
        <v>2.0349999999999999E-3</v>
      </c>
      <c r="M60" s="123">
        <v>2.0349999999999999E-3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123">
        <v>0</v>
      </c>
      <c r="F61" s="123">
        <v>0</v>
      </c>
      <c r="G61" s="123">
        <v>0</v>
      </c>
      <c r="H61" s="123">
        <v>0</v>
      </c>
      <c r="I61" s="123">
        <v>0</v>
      </c>
      <c r="J61" s="123">
        <v>0</v>
      </c>
      <c r="K61" s="123">
        <v>0</v>
      </c>
      <c r="L61" s="123">
        <v>0</v>
      </c>
      <c r="M61" s="123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123">
        <v>0</v>
      </c>
      <c r="F62" s="123">
        <v>0</v>
      </c>
      <c r="G62" s="123">
        <v>0</v>
      </c>
      <c r="H62" s="123">
        <v>0</v>
      </c>
      <c r="I62" s="123">
        <v>0</v>
      </c>
      <c r="J62" s="123">
        <v>0</v>
      </c>
      <c r="K62" s="123">
        <v>0</v>
      </c>
      <c r="L62" s="123">
        <v>0</v>
      </c>
      <c r="M62" s="123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122">
        <v>5.0199999999999996</v>
      </c>
      <c r="F63" s="122">
        <v>5.0199999999999996</v>
      </c>
      <c r="G63" s="122">
        <v>5.0199999999999996</v>
      </c>
      <c r="H63" s="122">
        <v>5.0199999999999996</v>
      </c>
      <c r="I63" s="122">
        <v>5.0199999999999996</v>
      </c>
      <c r="J63" s="122">
        <v>5.0199999999999996</v>
      </c>
      <c r="K63" s="122">
        <v>5.0199999999999996</v>
      </c>
      <c r="L63" s="122">
        <v>5.0199999999999996</v>
      </c>
      <c r="M63" s="122">
        <v>5.0199999999999996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122"/>
      <c r="F64" s="122"/>
      <c r="G64" s="122"/>
      <c r="H64" s="122"/>
      <c r="I64" s="122"/>
      <c r="J64" s="122"/>
      <c r="K64" s="122"/>
      <c r="L64" s="122"/>
      <c r="M64" s="122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122"/>
      <c r="F65" s="122"/>
      <c r="G65" s="122"/>
      <c r="H65" s="122"/>
      <c r="I65" s="122"/>
      <c r="J65" s="122"/>
      <c r="K65" s="122"/>
      <c r="L65" s="122"/>
      <c r="M65" s="122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123">
        <v>2962.5638498082421</v>
      </c>
      <c r="F66" s="123">
        <v>2027.1699626993282</v>
      </c>
      <c r="G66" s="123">
        <v>1274.8741817587722</v>
      </c>
      <c r="H66" s="123">
        <v>442.87029020421795</v>
      </c>
      <c r="I66" s="123">
        <v>301.97608311819215</v>
      </c>
      <c r="J66" s="123">
        <v>191.40821792528925</v>
      </c>
      <c r="K66" s="123">
        <v>92.896885443989731</v>
      </c>
      <c r="L66" s="123">
        <v>81.375969664560998</v>
      </c>
      <c r="M66" s="123">
        <v>81.375969664560998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122"/>
      <c r="F67" s="122"/>
      <c r="G67" s="122"/>
      <c r="H67" s="122"/>
      <c r="I67" s="122"/>
      <c r="J67" s="122"/>
      <c r="K67" s="122"/>
      <c r="L67" s="122"/>
      <c r="M67" s="122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122">
        <v>20</v>
      </c>
      <c r="F68" s="122">
        <v>20</v>
      </c>
      <c r="G68" s="122">
        <v>20</v>
      </c>
      <c r="H68" s="122">
        <v>20</v>
      </c>
      <c r="I68" s="122">
        <v>20</v>
      </c>
      <c r="J68" s="122">
        <v>20</v>
      </c>
      <c r="K68" s="122">
        <v>20</v>
      </c>
      <c r="L68" s="122">
        <v>20</v>
      </c>
      <c r="M68" s="122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123">
        <v>738.31610915879503</v>
      </c>
      <c r="F69" s="123">
        <v>515.77022112163911</v>
      </c>
      <c r="G69" s="123">
        <v>395.95632283937084</v>
      </c>
      <c r="H69" s="123">
        <v>395.95632283937084</v>
      </c>
      <c r="I69" s="123">
        <v>395.95632283937084</v>
      </c>
      <c r="J69" s="123">
        <v>395.95632283937084</v>
      </c>
      <c r="K69" s="123">
        <v>582.06399999999996</v>
      </c>
      <c r="L69" s="123">
        <v>582.06399999999996</v>
      </c>
      <c r="M69" s="123">
        <v>582.06399999999996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124">
        <v>0</v>
      </c>
      <c r="F70" s="124">
        <v>0</v>
      </c>
      <c r="G70" s="124">
        <v>0</v>
      </c>
      <c r="H70" s="124">
        <v>0</v>
      </c>
      <c r="I70" s="124">
        <v>0</v>
      </c>
      <c r="J70" s="124">
        <v>0</v>
      </c>
      <c r="K70" s="124">
        <v>0</v>
      </c>
      <c r="L70" s="124">
        <v>0</v>
      </c>
      <c r="M70" s="124">
        <v>0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122"/>
      <c r="F71" s="122"/>
      <c r="G71" s="122"/>
      <c r="H71" s="122"/>
      <c r="I71" s="122"/>
      <c r="J71" s="122"/>
      <c r="K71" s="122"/>
      <c r="L71" s="122"/>
      <c r="M71" s="122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123">
        <v>11.074741637381925</v>
      </c>
      <c r="F72" s="123">
        <v>7.7365533168245868</v>
      </c>
      <c r="G72" s="123">
        <v>5.9393448425905628</v>
      </c>
      <c r="H72" s="123">
        <v>5.9393448425905628</v>
      </c>
      <c r="I72" s="123">
        <v>5.9393448425905628</v>
      </c>
      <c r="J72" s="123">
        <v>5.9393448425905628</v>
      </c>
      <c r="K72" s="123">
        <v>1.583</v>
      </c>
      <c r="L72" s="123">
        <v>1.583</v>
      </c>
      <c r="M72" s="123">
        <v>1.583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123">
        <v>0</v>
      </c>
      <c r="F73" s="123">
        <v>0</v>
      </c>
      <c r="G73" s="123">
        <v>0</v>
      </c>
      <c r="H73" s="123">
        <v>0</v>
      </c>
      <c r="I73" s="123">
        <v>0</v>
      </c>
      <c r="J73" s="123">
        <v>0</v>
      </c>
      <c r="K73" s="123">
        <v>2.0349999999999999E-3</v>
      </c>
      <c r="L73" s="123">
        <v>2.0349999999999999E-3</v>
      </c>
      <c r="M73" s="123">
        <v>2.0349999999999999E-3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123">
        <v>0</v>
      </c>
      <c r="F74" s="123">
        <v>0</v>
      </c>
      <c r="G74" s="123">
        <v>0</v>
      </c>
      <c r="H74" s="123">
        <v>0</v>
      </c>
      <c r="I74" s="123">
        <v>0</v>
      </c>
      <c r="J74" s="123">
        <v>0</v>
      </c>
      <c r="K74" s="123">
        <v>0</v>
      </c>
      <c r="L74" s="123">
        <v>0</v>
      </c>
      <c r="M74" s="123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123">
        <v>0</v>
      </c>
      <c r="F75" s="123">
        <v>0</v>
      </c>
      <c r="G75" s="123">
        <v>0</v>
      </c>
      <c r="H75" s="123">
        <v>0</v>
      </c>
      <c r="I75" s="123">
        <v>0</v>
      </c>
      <c r="J75" s="123">
        <v>0</v>
      </c>
      <c r="K75" s="123">
        <v>0</v>
      </c>
      <c r="L75" s="123">
        <v>0</v>
      </c>
      <c r="M75" s="123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122">
        <v>4.6875</v>
      </c>
      <c r="F76" s="122">
        <v>4.6875</v>
      </c>
      <c r="G76" s="122">
        <v>4.6875</v>
      </c>
      <c r="H76" s="122">
        <v>4.6875</v>
      </c>
      <c r="I76" s="122">
        <v>4.6875</v>
      </c>
      <c r="J76" s="122">
        <v>4.6875</v>
      </c>
      <c r="K76" s="122">
        <v>4.6875</v>
      </c>
      <c r="L76" s="122">
        <v>4.6875</v>
      </c>
      <c r="M76" s="122">
        <v>4.6875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122"/>
      <c r="F77" s="122"/>
      <c r="G77" s="122"/>
      <c r="H77" s="122"/>
      <c r="I77" s="122"/>
      <c r="J77" s="122"/>
      <c r="K77" s="122"/>
      <c r="L77" s="122"/>
      <c r="M77" s="122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122"/>
      <c r="F78" s="122"/>
      <c r="G78" s="122"/>
      <c r="H78" s="122"/>
      <c r="I78" s="122"/>
      <c r="J78" s="122"/>
      <c r="K78" s="122"/>
      <c r="L78" s="122"/>
      <c r="M78" s="122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123">
        <v>2962.5638498082421</v>
      </c>
      <c r="F79" s="123">
        <v>2027.1699626993282</v>
      </c>
      <c r="G79" s="123">
        <v>1274.8741817587722</v>
      </c>
      <c r="H79" s="123">
        <v>442.87029020421795</v>
      </c>
      <c r="I79" s="123">
        <v>301.97608311819215</v>
      </c>
      <c r="J79" s="123">
        <v>191.40821792528925</v>
      </c>
      <c r="K79" s="123">
        <v>92.896885443989731</v>
      </c>
      <c r="L79" s="123">
        <v>81.375969664560998</v>
      </c>
      <c r="M79" s="123">
        <v>81.375969664560998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122"/>
      <c r="F80" s="122"/>
      <c r="G80" s="122"/>
      <c r="H80" s="122"/>
      <c r="I80" s="122"/>
      <c r="J80" s="122"/>
      <c r="K80" s="122"/>
      <c r="L80" s="122"/>
      <c r="M80" s="122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122">
        <v>20</v>
      </c>
      <c r="F81" s="122">
        <v>20</v>
      </c>
      <c r="G81" s="122">
        <v>20</v>
      </c>
      <c r="H81" s="122">
        <v>20</v>
      </c>
      <c r="I81" s="122">
        <v>20</v>
      </c>
      <c r="J81" s="122">
        <v>20</v>
      </c>
      <c r="K81" s="122">
        <v>20</v>
      </c>
      <c r="L81" s="122">
        <v>20</v>
      </c>
      <c r="M81" s="122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123">
        <v>738.31610915879503</v>
      </c>
      <c r="F82" s="123">
        <v>515.77022112163911</v>
      </c>
      <c r="G82" s="123">
        <v>395.95632283937084</v>
      </c>
      <c r="H82" s="123">
        <v>395.95632283937084</v>
      </c>
      <c r="I82" s="123">
        <v>395.95632283937084</v>
      </c>
      <c r="J82" s="123">
        <v>395.95632283937084</v>
      </c>
      <c r="K82" s="123">
        <v>582.06399999999996</v>
      </c>
      <c r="L82" s="123">
        <v>582.06399999999996</v>
      </c>
      <c r="M82" s="123">
        <v>582.06399999999996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124">
        <v>0</v>
      </c>
      <c r="F83" s="124">
        <v>0</v>
      </c>
      <c r="G83" s="124">
        <v>0</v>
      </c>
      <c r="H83" s="124">
        <v>0</v>
      </c>
      <c r="I83" s="124">
        <v>0</v>
      </c>
      <c r="J83" s="124">
        <v>0</v>
      </c>
      <c r="K83" s="124">
        <v>0</v>
      </c>
      <c r="L83" s="124">
        <v>0</v>
      </c>
      <c r="M83" s="124">
        <v>0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122"/>
      <c r="F84" s="122"/>
      <c r="G84" s="122"/>
      <c r="H84" s="122"/>
      <c r="I84" s="122"/>
      <c r="J84" s="122"/>
      <c r="K84" s="122"/>
      <c r="L84" s="122"/>
      <c r="M84" s="122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123">
        <v>11.074741637381925</v>
      </c>
      <c r="F85" s="123">
        <v>7.7365533168245868</v>
      </c>
      <c r="G85" s="123">
        <v>5.9393448425905628</v>
      </c>
      <c r="H85" s="123">
        <v>5.9393448425905628</v>
      </c>
      <c r="I85" s="123">
        <v>5.9393448425905628</v>
      </c>
      <c r="J85" s="123">
        <v>5.9393448425905628</v>
      </c>
      <c r="K85" s="123">
        <v>1.583</v>
      </c>
      <c r="L85" s="123">
        <v>1.583</v>
      </c>
      <c r="M85" s="123">
        <v>1.583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2.0349999999999999E-3</v>
      </c>
      <c r="L86" s="123">
        <v>2.0349999999999999E-3</v>
      </c>
      <c r="M86" s="123">
        <v>2.0349999999999999E-3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123">
        <v>0</v>
      </c>
      <c r="F87" s="123">
        <v>0</v>
      </c>
      <c r="G87" s="123">
        <v>0</v>
      </c>
      <c r="H87" s="123">
        <v>0</v>
      </c>
      <c r="I87" s="123">
        <v>0</v>
      </c>
      <c r="J87" s="123">
        <v>0</v>
      </c>
      <c r="K87" s="123">
        <v>0</v>
      </c>
      <c r="L87" s="123">
        <v>0</v>
      </c>
      <c r="M87" s="123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123">
        <v>0</v>
      </c>
      <c r="F88" s="123">
        <v>0</v>
      </c>
      <c r="G88" s="123">
        <v>0</v>
      </c>
      <c r="H88" s="123">
        <v>0</v>
      </c>
      <c r="I88" s="123">
        <v>0</v>
      </c>
      <c r="J88" s="123">
        <v>0</v>
      </c>
      <c r="K88" s="123">
        <v>0</v>
      </c>
      <c r="L88" s="123">
        <v>0</v>
      </c>
      <c r="M88" s="123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122">
        <v>4.3549999999999995</v>
      </c>
      <c r="F89" s="122">
        <v>4.3549999999999995</v>
      </c>
      <c r="G89" s="122">
        <v>4.3549999999999995</v>
      </c>
      <c r="H89" s="122">
        <v>4.3549999999999995</v>
      </c>
      <c r="I89" s="122">
        <v>4.3549999999999995</v>
      </c>
      <c r="J89" s="122">
        <v>4.3549999999999995</v>
      </c>
      <c r="K89" s="122">
        <v>4.3549999999999995</v>
      </c>
      <c r="L89" s="122">
        <v>4.3549999999999995</v>
      </c>
      <c r="M89" s="122">
        <v>4.3549999999999995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122"/>
      <c r="F90" s="122"/>
      <c r="G90" s="122"/>
      <c r="H90" s="122"/>
      <c r="I90" s="122"/>
      <c r="J90" s="122"/>
      <c r="K90" s="122"/>
      <c r="L90" s="122"/>
      <c r="M90" s="122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122"/>
      <c r="F91" s="122"/>
      <c r="G91" s="122"/>
      <c r="H91" s="122"/>
      <c r="I91" s="122"/>
      <c r="J91" s="122"/>
      <c r="K91" s="122"/>
      <c r="L91" s="122"/>
      <c r="M91" s="122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123">
        <v>2962.5638498082421</v>
      </c>
      <c r="F92" s="123">
        <v>2027.1699626993282</v>
      </c>
      <c r="G92" s="123">
        <v>1274.8741817587722</v>
      </c>
      <c r="H92" s="123">
        <v>442.87029020421795</v>
      </c>
      <c r="I92" s="123">
        <v>301.97608311819215</v>
      </c>
      <c r="J92" s="123">
        <v>191.40821792528925</v>
      </c>
      <c r="K92" s="123">
        <v>92.896885443989731</v>
      </c>
      <c r="L92" s="123">
        <v>81.375969664560998</v>
      </c>
      <c r="M92" s="123">
        <v>81.375969664560998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122"/>
      <c r="F93" s="122"/>
      <c r="G93" s="122"/>
      <c r="H93" s="122"/>
      <c r="I93" s="122"/>
      <c r="J93" s="122"/>
      <c r="K93" s="122"/>
      <c r="L93" s="122"/>
      <c r="M93" s="122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122">
        <v>1</v>
      </c>
      <c r="F94" s="122">
        <v>1</v>
      </c>
      <c r="G94" s="122">
        <v>1</v>
      </c>
      <c r="H94" s="122">
        <v>1</v>
      </c>
      <c r="I94" s="122">
        <v>1</v>
      </c>
      <c r="J94" s="122">
        <v>1</v>
      </c>
      <c r="K94" s="122">
        <v>1</v>
      </c>
      <c r="L94" s="122">
        <v>1</v>
      </c>
      <c r="M94" s="122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122">
        <v>0.35</v>
      </c>
      <c r="F95" s="122">
        <v>0.35</v>
      </c>
      <c r="G95" s="122">
        <v>0.35</v>
      </c>
      <c r="H95" s="122">
        <v>0.35</v>
      </c>
      <c r="I95" s="122">
        <v>0.35</v>
      </c>
      <c r="J95" s="122">
        <v>0.35</v>
      </c>
      <c r="K95" s="122">
        <v>0.35</v>
      </c>
      <c r="L95" s="122">
        <v>0.35</v>
      </c>
      <c r="M95" s="122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122">
        <v>20</v>
      </c>
      <c r="F96" s="122">
        <v>20</v>
      </c>
      <c r="G96" s="122">
        <v>20</v>
      </c>
      <c r="H96" s="122">
        <v>20</v>
      </c>
      <c r="I96" s="122">
        <v>20</v>
      </c>
      <c r="J96" s="122">
        <v>20</v>
      </c>
      <c r="K96" s="122">
        <v>20</v>
      </c>
      <c r="L96" s="122">
        <v>20</v>
      </c>
      <c r="M96" s="122">
        <v>20</v>
      </c>
      <c r="N96" s="54"/>
    </row>
    <row r="97" spans="1:14" x14ac:dyDescent="0.25">
      <c r="A97" s="208"/>
      <c r="B97" s="225"/>
      <c r="C97" s="25" t="s">
        <v>23</v>
      </c>
      <c r="D97" s="1" t="s">
        <v>6</v>
      </c>
      <c r="E97" s="123">
        <v>197.6111183946131</v>
      </c>
      <c r="F97" s="123">
        <v>167.43356959457475</v>
      </c>
      <c r="G97" s="123">
        <v>130.54476264689706</v>
      </c>
      <c r="H97" s="123">
        <v>105.30120481906971</v>
      </c>
      <c r="I97" s="123">
        <v>107.31263157894738</v>
      </c>
      <c r="J97" s="123">
        <v>107.00631578947369</v>
      </c>
      <c r="K97" s="123">
        <v>105.98526315789475</v>
      </c>
      <c r="L97" s="123">
        <v>103.84105263157896</v>
      </c>
      <c r="M97" s="123">
        <v>99.55263157894737</v>
      </c>
      <c r="N97" s="54"/>
    </row>
    <row r="98" spans="1:14" x14ac:dyDescent="0.25">
      <c r="A98" s="208"/>
      <c r="B98" s="225"/>
      <c r="C98" s="25" t="s">
        <v>177</v>
      </c>
      <c r="D98" s="1" t="s">
        <v>19</v>
      </c>
      <c r="E98" s="124">
        <v>0</v>
      </c>
      <c r="F98" s="124">
        <v>0</v>
      </c>
      <c r="G98" s="124">
        <v>0</v>
      </c>
      <c r="H98" s="124">
        <v>0</v>
      </c>
      <c r="I98" s="124">
        <v>0</v>
      </c>
      <c r="J98" s="124">
        <v>0</v>
      </c>
      <c r="K98" s="124">
        <v>0</v>
      </c>
      <c r="L98" s="124">
        <v>0</v>
      </c>
      <c r="M98" s="124">
        <v>0</v>
      </c>
      <c r="N98" s="54"/>
    </row>
    <row r="99" spans="1:14" x14ac:dyDescent="0.25">
      <c r="A99" s="208"/>
      <c r="B99" s="225"/>
      <c r="C99" s="25" t="s">
        <v>114</v>
      </c>
      <c r="D99" s="1" t="s">
        <v>8</v>
      </c>
      <c r="E99" s="122"/>
      <c r="F99" s="122"/>
      <c r="G99" s="122"/>
      <c r="H99" s="122"/>
      <c r="I99" s="122"/>
      <c r="J99" s="122"/>
      <c r="K99" s="122"/>
      <c r="L99" s="122"/>
      <c r="M99" s="122"/>
      <c r="N99" s="54"/>
    </row>
    <row r="100" spans="1:14" x14ac:dyDescent="0.25">
      <c r="A100" s="208"/>
      <c r="B100" s="225"/>
      <c r="C100" s="25" t="s">
        <v>115</v>
      </c>
      <c r="D100" s="1" t="s">
        <v>9</v>
      </c>
      <c r="E100" s="123">
        <v>5.9283335518383931</v>
      </c>
      <c r="F100" s="123">
        <v>5.0230070878372421</v>
      </c>
      <c r="G100" s="123">
        <v>3.9163428794069115</v>
      </c>
      <c r="H100" s="123">
        <v>3.1590361445720911</v>
      </c>
      <c r="I100" s="123">
        <v>2.0378947368421052</v>
      </c>
      <c r="J100" s="123">
        <v>2.0189473684210526</v>
      </c>
      <c r="K100" s="123">
        <v>1.9557894736842103</v>
      </c>
      <c r="L100" s="123">
        <v>1.8231578947368419</v>
      </c>
      <c r="M100" s="123">
        <v>1.557894736842105</v>
      </c>
      <c r="N100" s="54"/>
    </row>
    <row r="101" spans="1:14" x14ac:dyDescent="0.25">
      <c r="A101" s="208"/>
      <c r="B101" s="225"/>
      <c r="C101" s="25" t="s">
        <v>35</v>
      </c>
      <c r="D101" s="1" t="s">
        <v>10</v>
      </c>
      <c r="E101" s="123">
        <v>0</v>
      </c>
      <c r="F101" s="123">
        <v>0</v>
      </c>
      <c r="G101" s="123">
        <v>0</v>
      </c>
      <c r="H101" s="123">
        <v>0</v>
      </c>
      <c r="I101" s="123">
        <v>0</v>
      </c>
      <c r="J101" s="123">
        <v>0</v>
      </c>
      <c r="K101" s="123">
        <v>1.6858736842105264E-3</v>
      </c>
      <c r="L101" s="123">
        <v>1.5474947368421053E-3</v>
      </c>
      <c r="M101" s="123">
        <v>1.2707368421052633E-3</v>
      </c>
      <c r="N101" s="54"/>
    </row>
    <row r="102" spans="1:14" x14ac:dyDescent="0.25">
      <c r="A102" s="208"/>
      <c r="B102" s="225"/>
      <c r="C102" s="26" t="s">
        <v>24</v>
      </c>
      <c r="D102" s="27" t="s">
        <v>10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54"/>
    </row>
    <row r="103" spans="1:14" x14ac:dyDescent="0.25">
      <c r="A103" s="208"/>
      <c r="B103" s="225"/>
      <c r="C103" s="25" t="s">
        <v>25</v>
      </c>
      <c r="D103" s="1" t="s">
        <v>7</v>
      </c>
      <c r="E103" s="124">
        <v>0.99124999999999996</v>
      </c>
      <c r="F103" s="124">
        <v>0.99124999999999996</v>
      </c>
      <c r="G103" s="124">
        <v>0.99124999999999996</v>
      </c>
      <c r="H103" s="124">
        <v>0.99124999999999996</v>
      </c>
      <c r="I103" s="124">
        <v>0.99124999999999996</v>
      </c>
      <c r="J103" s="124">
        <v>0.99124999999999996</v>
      </c>
      <c r="K103" s="124">
        <v>0.99649999999999994</v>
      </c>
      <c r="L103" s="124">
        <v>0.99649999999999994</v>
      </c>
      <c r="M103" s="124">
        <v>0.99649999999999994</v>
      </c>
      <c r="N103" s="54"/>
    </row>
    <row r="104" spans="1:14" x14ac:dyDescent="0.25">
      <c r="A104" s="208"/>
      <c r="B104" s="225"/>
      <c r="C104" s="25" t="s">
        <v>26</v>
      </c>
      <c r="D104" s="1" t="s">
        <v>14</v>
      </c>
      <c r="E104" s="123">
        <v>1524.6</v>
      </c>
      <c r="F104" s="123">
        <v>1749.6</v>
      </c>
      <c r="G104" s="123">
        <v>2349.6</v>
      </c>
      <c r="H104" s="123">
        <v>3174.6</v>
      </c>
      <c r="I104" s="123">
        <v>4299.6000000000004</v>
      </c>
      <c r="J104" s="123">
        <v>14213</v>
      </c>
      <c r="K104" s="123">
        <v>21713</v>
      </c>
      <c r="L104" s="123">
        <v>37463</v>
      </c>
      <c r="M104" s="123">
        <v>68963</v>
      </c>
      <c r="N104" s="54"/>
    </row>
    <row r="105" spans="1:14" x14ac:dyDescent="0.25">
      <c r="A105" s="208"/>
      <c r="B105" s="225"/>
      <c r="C105" s="25" t="s">
        <v>27</v>
      </c>
      <c r="D105" s="1" t="s">
        <v>4</v>
      </c>
      <c r="E105" s="122">
        <v>40</v>
      </c>
      <c r="F105" s="122">
        <v>40</v>
      </c>
      <c r="G105" s="122">
        <v>40</v>
      </c>
      <c r="H105" s="122">
        <v>40</v>
      </c>
      <c r="I105" s="122">
        <v>40</v>
      </c>
      <c r="J105" s="122">
        <v>40</v>
      </c>
      <c r="K105" s="122">
        <v>40</v>
      </c>
      <c r="L105" s="122">
        <v>40</v>
      </c>
      <c r="M105" s="122">
        <v>40</v>
      </c>
      <c r="N105" s="54"/>
    </row>
    <row r="106" spans="1:14" x14ac:dyDescent="0.25">
      <c r="A106" s="208"/>
      <c r="B106" s="225"/>
      <c r="C106" s="25" t="s">
        <v>116</v>
      </c>
      <c r="D106" s="1" t="s">
        <v>19</v>
      </c>
      <c r="E106" s="122">
        <v>0.5</v>
      </c>
      <c r="F106" s="122">
        <v>0.5</v>
      </c>
      <c r="G106" s="122">
        <v>0.5</v>
      </c>
      <c r="H106" s="122">
        <v>0.5</v>
      </c>
      <c r="I106" s="122">
        <v>0.5</v>
      </c>
      <c r="J106" s="122">
        <v>0.5</v>
      </c>
      <c r="K106" s="122">
        <v>0.5</v>
      </c>
      <c r="L106" s="122">
        <v>0.5</v>
      </c>
      <c r="M106" s="122">
        <v>0.5</v>
      </c>
      <c r="N106" s="54"/>
    </row>
    <row r="107" spans="1:14" x14ac:dyDescent="0.25">
      <c r="A107" s="208"/>
      <c r="B107" s="225"/>
      <c r="C107" s="25" t="s">
        <v>28</v>
      </c>
      <c r="D107" s="1" t="s">
        <v>19</v>
      </c>
      <c r="E107" s="122">
        <v>1.3</v>
      </c>
      <c r="F107" s="122">
        <v>1.3</v>
      </c>
      <c r="G107" s="122">
        <v>1.3</v>
      </c>
      <c r="H107" s="122">
        <v>1.3</v>
      </c>
      <c r="I107" s="122">
        <v>1.3</v>
      </c>
      <c r="J107" s="122">
        <v>1.3</v>
      </c>
      <c r="K107" s="122">
        <v>1.3</v>
      </c>
      <c r="L107" s="122">
        <v>1.3</v>
      </c>
      <c r="M107" s="122">
        <v>1.3</v>
      </c>
      <c r="N107" s="54"/>
    </row>
    <row r="108" spans="1:14" x14ac:dyDescent="0.25">
      <c r="A108" s="208"/>
      <c r="B108" s="225"/>
      <c r="C108" s="25" t="s">
        <v>29</v>
      </c>
      <c r="D108" s="1" t="s">
        <v>4</v>
      </c>
      <c r="E108" s="122">
        <v>20</v>
      </c>
      <c r="F108" s="122">
        <v>20</v>
      </c>
      <c r="G108" s="122">
        <v>20</v>
      </c>
      <c r="H108" s="122">
        <v>20</v>
      </c>
      <c r="I108" s="122">
        <v>20</v>
      </c>
      <c r="J108" s="122">
        <v>20</v>
      </c>
      <c r="K108" s="122">
        <v>20</v>
      </c>
      <c r="L108" s="122">
        <v>20</v>
      </c>
      <c r="M108" s="122">
        <v>20</v>
      </c>
      <c r="N108" s="54"/>
    </row>
    <row r="109" spans="1:14" x14ac:dyDescent="0.25">
      <c r="A109" s="208"/>
      <c r="B109" s="225"/>
      <c r="C109" s="25" t="s">
        <v>30</v>
      </c>
      <c r="D109" s="1" t="s">
        <v>6</v>
      </c>
      <c r="E109" s="123">
        <v>1090.397833965246</v>
      </c>
      <c r="F109" s="123">
        <v>778.63646317000416</v>
      </c>
      <c r="G109" s="123">
        <v>515.89289850747139</v>
      </c>
      <c r="H109" s="123">
        <v>433.81353547553391</v>
      </c>
      <c r="I109" s="123">
        <v>433.81353547553391</v>
      </c>
      <c r="J109" s="123">
        <v>433.81353547553391</v>
      </c>
      <c r="K109" s="123">
        <v>1268.6839450200719</v>
      </c>
      <c r="L109" s="123">
        <v>1103.7248587624642</v>
      </c>
      <c r="M109" s="123">
        <v>970.23156182094863</v>
      </c>
      <c r="N109" s="54"/>
    </row>
    <row r="110" spans="1:14" x14ac:dyDescent="0.25">
      <c r="A110" s="208"/>
      <c r="B110" s="225"/>
      <c r="C110" s="25" t="s">
        <v>178</v>
      </c>
      <c r="D110" s="1" t="s">
        <v>19</v>
      </c>
      <c r="E110" s="124">
        <v>0</v>
      </c>
      <c r="F110" s="124">
        <v>0</v>
      </c>
      <c r="G110" s="124">
        <v>0</v>
      </c>
      <c r="H110" s="124">
        <v>0</v>
      </c>
      <c r="I110" s="124">
        <v>0</v>
      </c>
      <c r="J110" s="124">
        <v>0</v>
      </c>
      <c r="K110" s="124">
        <v>0</v>
      </c>
      <c r="L110" s="124">
        <v>0</v>
      </c>
      <c r="M110" s="124">
        <v>0</v>
      </c>
      <c r="N110" s="54"/>
    </row>
    <row r="111" spans="1:14" x14ac:dyDescent="0.25">
      <c r="A111" s="208"/>
      <c r="B111" s="225"/>
      <c r="C111" s="25" t="s">
        <v>117</v>
      </c>
      <c r="D111" s="1" t="s">
        <v>8</v>
      </c>
      <c r="E111" s="122"/>
      <c r="F111" s="122"/>
      <c r="G111" s="122"/>
      <c r="H111" s="122"/>
      <c r="I111" s="122"/>
      <c r="J111" s="122"/>
      <c r="K111" s="122"/>
      <c r="L111" s="122"/>
      <c r="M111" s="122"/>
      <c r="N111" s="54"/>
    </row>
    <row r="112" spans="1:14" x14ac:dyDescent="0.25">
      <c r="A112" s="208"/>
      <c r="B112" s="225"/>
      <c r="C112" s="25" t="s">
        <v>118</v>
      </c>
      <c r="D112" s="1" t="s">
        <v>9</v>
      </c>
      <c r="E112" s="122"/>
      <c r="F112" s="122"/>
      <c r="G112" s="122"/>
      <c r="H112" s="122"/>
      <c r="I112" s="122"/>
      <c r="J112" s="122"/>
      <c r="K112" s="122"/>
      <c r="L112" s="122"/>
      <c r="M112" s="122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2.0349999999999999E-3</v>
      </c>
      <c r="M113" s="123">
        <v>2.0349999999999999E-3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122">
        <v>3.4299999999999997</v>
      </c>
      <c r="F116" s="122">
        <v>3.4299999999999997</v>
      </c>
      <c r="G116" s="122">
        <v>3.4299999999999997</v>
      </c>
      <c r="H116" s="122">
        <v>3.4299999999999997</v>
      </c>
      <c r="I116" s="122">
        <v>3.4299999999999997</v>
      </c>
      <c r="J116" s="122">
        <v>3.4299999999999997</v>
      </c>
      <c r="K116" s="122">
        <v>3.4299999999999997</v>
      </c>
      <c r="L116" s="122">
        <v>3.4299999999999997</v>
      </c>
      <c r="M116" s="122">
        <v>3.4299999999999997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122"/>
      <c r="F117" s="122"/>
      <c r="G117" s="122"/>
      <c r="H117" s="122"/>
      <c r="I117" s="122"/>
      <c r="J117" s="122"/>
      <c r="K117" s="122"/>
      <c r="L117" s="122"/>
      <c r="M117" s="122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122"/>
      <c r="F118" s="122"/>
      <c r="G118" s="122"/>
      <c r="H118" s="122"/>
      <c r="I118" s="122"/>
      <c r="J118" s="122"/>
      <c r="K118" s="122"/>
      <c r="L118" s="122"/>
      <c r="M118" s="122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122">
        <v>1</v>
      </c>
      <c r="F119" s="122">
        <v>1</v>
      </c>
      <c r="G119" s="122">
        <v>1</v>
      </c>
      <c r="H119" s="122">
        <v>1</v>
      </c>
      <c r="I119" s="122">
        <v>1</v>
      </c>
      <c r="J119" s="122">
        <v>1</v>
      </c>
      <c r="K119" s="122">
        <v>1</v>
      </c>
      <c r="L119" s="122">
        <v>1</v>
      </c>
      <c r="M119" s="122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122">
        <v>0.35</v>
      </c>
      <c r="F120" s="122">
        <v>0.35</v>
      </c>
      <c r="G120" s="122">
        <v>0.35</v>
      </c>
      <c r="H120" s="122">
        <v>0.35</v>
      </c>
      <c r="I120" s="122">
        <v>0.35</v>
      </c>
      <c r="J120" s="122">
        <v>0.35</v>
      </c>
      <c r="K120" s="122">
        <v>0.35</v>
      </c>
      <c r="L120" s="122">
        <v>0.35</v>
      </c>
      <c r="M120" s="122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122">
        <v>20</v>
      </c>
      <c r="F121" s="122">
        <v>20</v>
      </c>
      <c r="G121" s="122">
        <v>20</v>
      </c>
      <c r="H121" s="122">
        <v>20</v>
      </c>
      <c r="I121" s="122">
        <v>20</v>
      </c>
      <c r="J121" s="122">
        <v>20</v>
      </c>
      <c r="K121" s="122">
        <v>20</v>
      </c>
      <c r="L121" s="122">
        <v>20</v>
      </c>
      <c r="M121" s="122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123">
        <v>197.6111183946131</v>
      </c>
      <c r="F122" s="123">
        <v>167.43356959457475</v>
      </c>
      <c r="G122" s="123">
        <v>130.54476264689706</v>
      </c>
      <c r="H122" s="123">
        <v>105.30120481906971</v>
      </c>
      <c r="I122" s="123">
        <v>107.31263157894738</v>
      </c>
      <c r="J122" s="123">
        <v>107.00631578947369</v>
      </c>
      <c r="K122" s="123">
        <v>105.98526315789475</v>
      </c>
      <c r="L122" s="123">
        <v>103.84105263157896</v>
      </c>
      <c r="M122" s="123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124">
        <v>0</v>
      </c>
      <c r="F123" s="124">
        <v>0</v>
      </c>
      <c r="G123" s="124">
        <v>0</v>
      </c>
      <c r="H123" s="124">
        <v>0</v>
      </c>
      <c r="I123" s="124">
        <v>0</v>
      </c>
      <c r="J123" s="124">
        <v>0</v>
      </c>
      <c r="K123" s="124">
        <v>0</v>
      </c>
      <c r="L123" s="124">
        <v>0</v>
      </c>
      <c r="M123" s="124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122"/>
      <c r="F124" s="122"/>
      <c r="G124" s="122"/>
      <c r="H124" s="122"/>
      <c r="I124" s="122"/>
      <c r="J124" s="122"/>
      <c r="K124" s="122"/>
      <c r="L124" s="122"/>
      <c r="M124" s="122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123">
        <v>5.9283335518383931</v>
      </c>
      <c r="F125" s="123">
        <v>5.0230070878372421</v>
      </c>
      <c r="G125" s="123">
        <v>3.9163428794069115</v>
      </c>
      <c r="H125" s="123">
        <v>3.1590361445720911</v>
      </c>
      <c r="I125" s="123">
        <v>2.0378947368421052</v>
      </c>
      <c r="J125" s="123">
        <v>2.0189473684210526</v>
      </c>
      <c r="K125" s="123">
        <v>1.9557894736842103</v>
      </c>
      <c r="L125" s="123">
        <v>1.8231578947368419</v>
      </c>
      <c r="M125" s="123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1.6858736842105264E-3</v>
      </c>
      <c r="L126" s="123">
        <v>1.5474947368421053E-3</v>
      </c>
      <c r="M126" s="123">
        <v>1.2707368421052633E-3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124">
        <v>0.99124999999999996</v>
      </c>
      <c r="F128" s="124">
        <v>0.99124999999999996</v>
      </c>
      <c r="G128" s="124">
        <v>0.99124999999999996</v>
      </c>
      <c r="H128" s="124">
        <v>0.99124999999999996</v>
      </c>
      <c r="I128" s="124">
        <v>0.99124999999999996</v>
      </c>
      <c r="J128" s="124">
        <v>0.99124999999999996</v>
      </c>
      <c r="K128" s="124">
        <v>0.99649999999999994</v>
      </c>
      <c r="L128" s="124">
        <v>0.99649999999999994</v>
      </c>
      <c r="M128" s="124">
        <v>0.99649999999999994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123">
        <v>1524.6</v>
      </c>
      <c r="F129" s="123">
        <v>1749.6</v>
      </c>
      <c r="G129" s="123">
        <v>2349.6</v>
      </c>
      <c r="H129" s="123">
        <v>3174.6</v>
      </c>
      <c r="I129" s="123">
        <v>4299.6000000000004</v>
      </c>
      <c r="J129" s="123">
        <v>14213</v>
      </c>
      <c r="K129" s="123">
        <v>21713</v>
      </c>
      <c r="L129" s="123">
        <v>37463</v>
      </c>
      <c r="M129" s="123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122">
        <v>40</v>
      </c>
      <c r="F130" s="122">
        <v>40</v>
      </c>
      <c r="G130" s="122">
        <v>40</v>
      </c>
      <c r="H130" s="122">
        <v>40</v>
      </c>
      <c r="I130" s="122">
        <v>40</v>
      </c>
      <c r="J130" s="122">
        <v>40</v>
      </c>
      <c r="K130" s="122">
        <v>40</v>
      </c>
      <c r="L130" s="122">
        <v>40</v>
      </c>
      <c r="M130" s="122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122">
        <v>0.35</v>
      </c>
      <c r="F131" s="122">
        <v>0.35</v>
      </c>
      <c r="G131" s="122">
        <v>0.35</v>
      </c>
      <c r="H131" s="122">
        <v>0.35</v>
      </c>
      <c r="I131" s="122">
        <v>0.35</v>
      </c>
      <c r="J131" s="122">
        <v>0.35</v>
      </c>
      <c r="K131" s="122">
        <v>0.35</v>
      </c>
      <c r="L131" s="122">
        <v>0.35</v>
      </c>
      <c r="M131" s="122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122">
        <v>1.8571428571428572</v>
      </c>
      <c r="F132" s="122">
        <v>1.8571428571428572</v>
      </c>
      <c r="G132" s="122">
        <v>1.8571428571428572</v>
      </c>
      <c r="H132" s="122">
        <v>1.8571428571428572</v>
      </c>
      <c r="I132" s="122">
        <v>1.8571428571428572</v>
      </c>
      <c r="J132" s="122">
        <v>1.8571428571428572</v>
      </c>
      <c r="K132" s="122">
        <v>1.8571428571428572</v>
      </c>
      <c r="L132" s="122">
        <v>1.8571428571428572</v>
      </c>
      <c r="M132" s="122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122">
        <v>20</v>
      </c>
      <c r="F133" s="122">
        <v>20</v>
      </c>
      <c r="G133" s="122">
        <v>20</v>
      </c>
      <c r="H133" s="122">
        <v>20</v>
      </c>
      <c r="I133" s="122">
        <v>20</v>
      </c>
      <c r="J133" s="122">
        <v>20</v>
      </c>
      <c r="K133" s="122">
        <v>20</v>
      </c>
      <c r="L133" s="122">
        <v>20</v>
      </c>
      <c r="M133" s="122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123">
        <v>6164.6383832423717</v>
      </c>
      <c r="F134" s="123">
        <v>4148.5230456644149</v>
      </c>
      <c r="G134" s="123">
        <v>2556.3762612328273</v>
      </c>
      <c r="H134" s="123">
        <v>2029.3996454702053</v>
      </c>
      <c r="I134" s="123">
        <v>1711.4923611115926</v>
      </c>
      <c r="J134" s="123">
        <v>1355.2644648583628</v>
      </c>
      <c r="K134" s="123">
        <v>1064.4923090556324</v>
      </c>
      <c r="L134" s="123">
        <v>855.19192060813634</v>
      </c>
      <c r="M134" s="123">
        <v>698.34303740823668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122"/>
      <c r="F136" s="122"/>
      <c r="G136" s="122"/>
      <c r="H136" s="122"/>
      <c r="I136" s="122"/>
      <c r="J136" s="122"/>
      <c r="K136" s="122"/>
      <c r="L136" s="122"/>
      <c r="M136" s="122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122"/>
      <c r="F137" s="122"/>
      <c r="G137" s="122"/>
      <c r="H137" s="122"/>
      <c r="I137" s="122"/>
      <c r="J137" s="122"/>
      <c r="K137" s="122"/>
      <c r="L137" s="122"/>
      <c r="M137" s="122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123">
        <v>5.4632155805897732E-2</v>
      </c>
      <c r="F138" s="123">
        <v>6.9225169277652349E-2</v>
      </c>
      <c r="G138" s="123">
        <v>5.5072970988733948E-2</v>
      </c>
      <c r="H138" s="123">
        <v>4.6604222305577481E-2</v>
      </c>
      <c r="I138" s="123">
        <v>4.0289223212275231E-2</v>
      </c>
      <c r="J138" s="123">
        <v>2.4583755873341454E-2</v>
      </c>
      <c r="K138" s="123">
        <v>1.9104989606490121E-2</v>
      </c>
      <c r="L138" s="123">
        <v>1.5182594783541725E-2</v>
      </c>
      <c r="M138" s="123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122"/>
      <c r="F140" s="122"/>
      <c r="G140" s="122"/>
      <c r="H140" s="122"/>
      <c r="I140" s="122"/>
      <c r="J140" s="122"/>
      <c r="K140" s="122"/>
      <c r="L140" s="122"/>
      <c r="M140" s="122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122"/>
      <c r="F141" s="122"/>
      <c r="G141" s="122"/>
      <c r="H141" s="122"/>
      <c r="I141" s="122"/>
      <c r="J141" s="122"/>
      <c r="K141" s="122"/>
      <c r="L141" s="122"/>
      <c r="M141" s="122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125">
        <v>0.25</v>
      </c>
      <c r="F142" s="125">
        <v>0.25</v>
      </c>
      <c r="G142" s="125">
        <v>0.25</v>
      </c>
      <c r="H142" s="125">
        <v>0.25</v>
      </c>
      <c r="I142" s="125">
        <v>0.25</v>
      </c>
      <c r="J142" s="125">
        <v>0.25</v>
      </c>
      <c r="K142" s="125">
        <v>0.25</v>
      </c>
      <c r="L142" s="125">
        <v>0.25</v>
      </c>
      <c r="M142" s="125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124">
        <v>0.66625430833964439</v>
      </c>
      <c r="F143" s="124">
        <v>0.66367464936796561</v>
      </c>
      <c r="G143" s="124">
        <v>0.65679555877682227</v>
      </c>
      <c r="H143" s="124">
        <v>0.64733680921400016</v>
      </c>
      <c r="I143" s="124">
        <v>0.63443851435560639</v>
      </c>
      <c r="J143" s="124">
        <v>0.4680070358050421</v>
      </c>
      <c r="K143" s="124">
        <v>0.46713859851464173</v>
      </c>
      <c r="L143" s="124">
        <v>0.46531488020480088</v>
      </c>
      <c r="M143" s="124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124">
        <v>0.25092243745356524</v>
      </c>
      <c r="F144" s="124">
        <v>0.25657675134016689</v>
      </c>
      <c r="G144" s="124">
        <v>0.27165492170443795</v>
      </c>
      <c r="H144" s="124">
        <v>0.29238740595531065</v>
      </c>
      <c r="I144" s="124">
        <v>0.32065897538831889</v>
      </c>
      <c r="J144" s="124">
        <v>0.41290384467151914</v>
      </c>
      <c r="K144" s="124">
        <v>0.41363974384019625</v>
      </c>
      <c r="L144" s="124">
        <v>0.41518513209441815</v>
      </c>
      <c r="M144" s="124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122">
        <v>0</v>
      </c>
      <c r="F147" s="122">
        <v>0</v>
      </c>
      <c r="G147" s="122">
        <v>0</v>
      </c>
      <c r="H147" s="122">
        <v>0</v>
      </c>
      <c r="I147" s="122">
        <v>0</v>
      </c>
      <c r="J147" s="122">
        <v>0</v>
      </c>
      <c r="K147" s="122">
        <v>0</v>
      </c>
      <c r="L147" s="122">
        <v>0</v>
      </c>
      <c r="M147" s="122">
        <v>0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122">
        <v>1</v>
      </c>
      <c r="F148" s="122">
        <v>1</v>
      </c>
      <c r="G148" s="122">
        <v>1</v>
      </c>
      <c r="H148" s="122">
        <v>1</v>
      </c>
      <c r="I148" s="122">
        <v>1</v>
      </c>
      <c r="J148" s="122">
        <v>1</v>
      </c>
      <c r="K148" s="122">
        <v>1</v>
      </c>
      <c r="L148" s="122">
        <v>1</v>
      </c>
      <c r="M148" s="122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122">
        <v>0.35</v>
      </c>
      <c r="F149" s="122">
        <v>0.35</v>
      </c>
      <c r="G149" s="122">
        <v>0.35</v>
      </c>
      <c r="H149" s="122">
        <v>0.35</v>
      </c>
      <c r="I149" s="122">
        <v>0.35</v>
      </c>
      <c r="J149" s="122">
        <v>0.35</v>
      </c>
      <c r="K149" s="122">
        <v>0.35</v>
      </c>
      <c r="L149" s="122">
        <v>0.35</v>
      </c>
      <c r="M149" s="122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122">
        <v>20</v>
      </c>
      <c r="F150" s="122">
        <v>20</v>
      </c>
      <c r="G150" s="122">
        <v>20</v>
      </c>
      <c r="H150" s="122">
        <v>20</v>
      </c>
      <c r="I150" s="122">
        <v>20</v>
      </c>
      <c r="J150" s="122">
        <v>20</v>
      </c>
      <c r="K150" s="122">
        <v>20</v>
      </c>
      <c r="L150" s="122">
        <v>20</v>
      </c>
      <c r="M150" s="122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123">
        <v>197.6111183946131</v>
      </c>
      <c r="F151" s="123">
        <v>167.43356959457475</v>
      </c>
      <c r="G151" s="123">
        <v>130.54476264689706</v>
      </c>
      <c r="H151" s="123">
        <v>105.30120481906971</v>
      </c>
      <c r="I151" s="123">
        <v>107.31263157894738</v>
      </c>
      <c r="J151" s="123">
        <v>107.00631578947369</v>
      </c>
      <c r="K151" s="123">
        <v>105.98526315789475</v>
      </c>
      <c r="L151" s="123">
        <v>103.84105263157896</v>
      </c>
      <c r="M151" s="123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122"/>
      <c r="F153" s="122"/>
      <c r="G153" s="122"/>
      <c r="H153" s="122"/>
      <c r="I153" s="122"/>
      <c r="J153" s="122"/>
      <c r="K153" s="122"/>
      <c r="L153" s="122"/>
      <c r="M153" s="122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123">
        <v>5.9283335518383931</v>
      </c>
      <c r="F154" s="123">
        <v>5.0230070878372421</v>
      </c>
      <c r="G154" s="123">
        <v>3.9163428794069115</v>
      </c>
      <c r="H154" s="123">
        <v>3.1590361445720911</v>
      </c>
      <c r="I154" s="123">
        <v>2.0378947368421052</v>
      </c>
      <c r="J154" s="123">
        <v>2.0189473684210526</v>
      </c>
      <c r="K154" s="123">
        <v>1.9557894736842103</v>
      </c>
      <c r="L154" s="123">
        <v>1.8231578947368419</v>
      </c>
      <c r="M154" s="123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1.6858736842105264E-3</v>
      </c>
      <c r="L155" s="123">
        <v>1.5474947368421053E-3</v>
      </c>
      <c r="M155" s="123">
        <v>1.2707368421052633E-3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122">
        <v>0.99124999999999996</v>
      </c>
      <c r="F157" s="122">
        <v>0.99124999999999996</v>
      </c>
      <c r="G157" s="122">
        <v>0.99124999999999996</v>
      </c>
      <c r="H157" s="122">
        <v>0.99124999999999996</v>
      </c>
      <c r="I157" s="122">
        <v>0.99124999999999996</v>
      </c>
      <c r="J157" s="122">
        <v>0.99124999999999996</v>
      </c>
      <c r="K157" s="122">
        <v>0.99649999999999994</v>
      </c>
      <c r="L157" s="122">
        <v>0.99649999999999994</v>
      </c>
      <c r="M157" s="122">
        <v>0.99649999999999994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123">
        <v>1524.6</v>
      </c>
      <c r="F158" s="123">
        <v>1749.6</v>
      </c>
      <c r="G158" s="123">
        <v>2349.6</v>
      </c>
      <c r="H158" s="123">
        <v>3174.6</v>
      </c>
      <c r="I158" s="123">
        <v>4299.6000000000004</v>
      </c>
      <c r="J158" s="123">
        <v>14213</v>
      </c>
      <c r="K158" s="123">
        <v>21713</v>
      </c>
      <c r="L158" s="123">
        <v>37463</v>
      </c>
      <c r="M158" s="123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122">
        <v>40</v>
      </c>
      <c r="F159" s="122">
        <v>40</v>
      </c>
      <c r="G159" s="122">
        <v>40</v>
      </c>
      <c r="H159" s="122">
        <v>40</v>
      </c>
      <c r="I159" s="122">
        <v>40</v>
      </c>
      <c r="J159" s="122">
        <v>40</v>
      </c>
      <c r="K159" s="122">
        <v>40</v>
      </c>
      <c r="L159" s="122">
        <v>40</v>
      </c>
      <c r="M159" s="122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122">
        <v>0.35</v>
      </c>
      <c r="F160" s="122">
        <v>0.35</v>
      </c>
      <c r="G160" s="122">
        <v>0.35</v>
      </c>
      <c r="H160" s="122">
        <v>0.35</v>
      </c>
      <c r="I160" s="122">
        <v>0.35</v>
      </c>
      <c r="J160" s="122">
        <v>0.35</v>
      </c>
      <c r="K160" s="122">
        <v>0.35</v>
      </c>
      <c r="L160" s="122">
        <v>0.35</v>
      </c>
      <c r="M160" s="122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122">
        <v>1.8571428571428572</v>
      </c>
      <c r="F161" s="122">
        <v>1.8571428571428572</v>
      </c>
      <c r="G161" s="122">
        <v>1.8571428571428572</v>
      </c>
      <c r="H161" s="122">
        <v>1.8571428571428572</v>
      </c>
      <c r="I161" s="122">
        <v>1.8571428571428572</v>
      </c>
      <c r="J161" s="122">
        <v>1.8571428571428572</v>
      </c>
      <c r="K161" s="122">
        <v>1.8571428571428572</v>
      </c>
      <c r="L161" s="122">
        <v>1.8571428571428572</v>
      </c>
      <c r="M161" s="122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122">
        <v>20</v>
      </c>
      <c r="F162" s="122">
        <v>20</v>
      </c>
      <c r="G162" s="122">
        <v>20</v>
      </c>
      <c r="H162" s="122">
        <v>20</v>
      </c>
      <c r="I162" s="122">
        <v>20</v>
      </c>
      <c r="J162" s="122">
        <v>20</v>
      </c>
      <c r="K162" s="122">
        <v>20</v>
      </c>
      <c r="L162" s="122">
        <v>20</v>
      </c>
      <c r="M162" s="122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123">
        <v>6164.6383832423717</v>
      </c>
      <c r="F163" s="123">
        <v>4148.5230456644149</v>
      </c>
      <c r="G163" s="123">
        <v>2556.3762612328273</v>
      </c>
      <c r="H163" s="123">
        <v>2029.3996454702053</v>
      </c>
      <c r="I163" s="123">
        <v>1711.4923611115926</v>
      </c>
      <c r="J163" s="123">
        <v>1355.2644648583628</v>
      </c>
      <c r="K163" s="123">
        <v>1064.4923090556324</v>
      </c>
      <c r="L163" s="123">
        <v>855.19192060813634</v>
      </c>
      <c r="M163" s="123">
        <v>698.34303740823668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122"/>
      <c r="F165" s="122"/>
      <c r="G165" s="122"/>
      <c r="H165" s="122"/>
      <c r="I165" s="122"/>
      <c r="J165" s="122"/>
      <c r="K165" s="122"/>
      <c r="L165" s="122"/>
      <c r="M165" s="122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122"/>
      <c r="F166" s="122"/>
      <c r="G166" s="122"/>
      <c r="H166" s="122"/>
      <c r="I166" s="122"/>
      <c r="J166" s="122"/>
      <c r="K166" s="122"/>
      <c r="L166" s="122"/>
      <c r="M166" s="122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123">
        <v>5.4632155805897732E-2</v>
      </c>
      <c r="F167" s="123">
        <v>6.9225169277652349E-2</v>
      </c>
      <c r="G167" s="123">
        <v>5.5072970988733948E-2</v>
      </c>
      <c r="H167" s="123">
        <v>4.6604222305577481E-2</v>
      </c>
      <c r="I167" s="123">
        <v>4.0289223212275231E-2</v>
      </c>
      <c r="J167" s="123">
        <v>2.4583755873341454E-2</v>
      </c>
      <c r="K167" s="123">
        <v>1.9104989606490121E-2</v>
      </c>
      <c r="L167" s="123">
        <v>1.5182594783541725E-2</v>
      </c>
      <c r="M167" s="123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122"/>
      <c r="F169" s="122"/>
      <c r="G169" s="122"/>
      <c r="H169" s="122"/>
      <c r="I169" s="122"/>
      <c r="J169" s="122"/>
      <c r="K169" s="122"/>
      <c r="L169" s="122"/>
      <c r="M169" s="122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122"/>
      <c r="F170" s="122"/>
      <c r="G170" s="122"/>
      <c r="H170" s="122"/>
      <c r="I170" s="122"/>
      <c r="J170" s="122"/>
      <c r="K170" s="122"/>
      <c r="L170" s="122"/>
      <c r="M170" s="122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125">
        <v>0.5</v>
      </c>
      <c r="F171" s="125">
        <v>0.5</v>
      </c>
      <c r="G171" s="125">
        <v>0.5</v>
      </c>
      <c r="H171" s="125">
        <v>0.5</v>
      </c>
      <c r="I171" s="125">
        <v>0.5</v>
      </c>
      <c r="J171" s="125">
        <v>0.5</v>
      </c>
      <c r="K171" s="125">
        <v>0.5</v>
      </c>
      <c r="L171" s="125">
        <v>0.5</v>
      </c>
      <c r="M171" s="125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124">
        <v>0.66625430833964439</v>
      </c>
      <c r="F172" s="124">
        <v>0.66367464936796561</v>
      </c>
      <c r="G172" s="124">
        <v>0.65679555877682227</v>
      </c>
      <c r="H172" s="124">
        <v>0.64733680921400016</v>
      </c>
      <c r="I172" s="124">
        <v>0.63443851435560639</v>
      </c>
      <c r="J172" s="124">
        <v>0.4680070358050421</v>
      </c>
      <c r="K172" s="124">
        <v>0.46713859851464173</v>
      </c>
      <c r="L172" s="124">
        <v>0.46531488020480088</v>
      </c>
      <c r="M172" s="124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124">
        <v>0.25092243745356524</v>
      </c>
      <c r="F173" s="124">
        <v>0.25657675134016689</v>
      </c>
      <c r="G173" s="124">
        <v>0.27165492170443795</v>
      </c>
      <c r="H173" s="124">
        <v>0.29238740595531065</v>
      </c>
      <c r="I173" s="124">
        <v>0.32065897538831889</v>
      </c>
      <c r="J173" s="124">
        <v>0.41290384467151914</v>
      </c>
      <c r="K173" s="124">
        <v>0.41363974384019625</v>
      </c>
      <c r="L173" s="124">
        <v>0.41518513209441815</v>
      </c>
      <c r="M173" s="124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123">
        <v>0</v>
      </c>
      <c r="F174" s="123">
        <v>0</v>
      </c>
      <c r="G174" s="123">
        <v>0</v>
      </c>
      <c r="H174" s="123">
        <v>0</v>
      </c>
      <c r="I174" s="123">
        <v>0</v>
      </c>
      <c r="J174" s="123">
        <v>0</v>
      </c>
      <c r="K174" s="123">
        <v>0</v>
      </c>
      <c r="L174" s="123">
        <v>0</v>
      </c>
      <c r="M174" s="123">
        <v>0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123">
        <v>0</v>
      </c>
      <c r="F175" s="123">
        <v>0</v>
      </c>
      <c r="G175" s="123">
        <v>0</v>
      </c>
      <c r="H175" s="123">
        <v>0</v>
      </c>
      <c r="I175" s="123">
        <v>0</v>
      </c>
      <c r="J175" s="123">
        <v>0</v>
      </c>
      <c r="K175" s="123">
        <v>0</v>
      </c>
      <c r="L175" s="123">
        <v>0</v>
      </c>
      <c r="M175" s="123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122">
        <v>0</v>
      </c>
      <c r="F176" s="122">
        <v>0</v>
      </c>
      <c r="G176" s="122">
        <v>0</v>
      </c>
      <c r="H176" s="122">
        <v>0</v>
      </c>
      <c r="I176" s="122">
        <v>0</v>
      </c>
      <c r="J176" s="122">
        <v>0</v>
      </c>
      <c r="K176" s="122">
        <v>0</v>
      </c>
      <c r="L176" s="122">
        <v>0</v>
      </c>
      <c r="M176" s="122">
        <v>0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126">
        <v>1</v>
      </c>
      <c r="F177" s="126">
        <v>1</v>
      </c>
      <c r="G177" s="126">
        <v>1</v>
      </c>
      <c r="H177" s="126">
        <v>1</v>
      </c>
      <c r="I177" s="126">
        <v>1</v>
      </c>
      <c r="J177" s="126">
        <v>1</v>
      </c>
      <c r="K177" s="126">
        <v>1</v>
      </c>
      <c r="L177" s="126">
        <v>1</v>
      </c>
      <c r="M177" s="126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122">
        <v>0.8</v>
      </c>
      <c r="F178" s="122">
        <v>0.8</v>
      </c>
      <c r="G178" s="122">
        <v>0.8</v>
      </c>
      <c r="H178" s="122">
        <v>0.8</v>
      </c>
      <c r="I178" s="122">
        <v>0.8</v>
      </c>
      <c r="J178" s="122">
        <v>0.8</v>
      </c>
      <c r="K178" s="122">
        <v>0.8</v>
      </c>
      <c r="L178" s="122">
        <v>0.8</v>
      </c>
      <c r="M178" s="122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122">
        <v>20</v>
      </c>
      <c r="F179" s="122">
        <v>20</v>
      </c>
      <c r="G179" s="122">
        <v>20</v>
      </c>
      <c r="H179" s="122">
        <v>20</v>
      </c>
      <c r="I179" s="122">
        <v>20</v>
      </c>
      <c r="J179" s="122">
        <v>20</v>
      </c>
      <c r="K179" s="122">
        <v>20</v>
      </c>
      <c r="L179" s="122">
        <v>20</v>
      </c>
      <c r="M179" s="122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123">
        <v>197.6111183946131</v>
      </c>
      <c r="F180" s="123">
        <v>167.43356959457475</v>
      </c>
      <c r="G180" s="123">
        <v>130.54476264689706</v>
      </c>
      <c r="H180" s="123">
        <v>105.30120481906971</v>
      </c>
      <c r="I180" s="123">
        <v>107.31263157894738</v>
      </c>
      <c r="J180" s="123">
        <v>107.00631578947369</v>
      </c>
      <c r="K180" s="123">
        <v>105.98526315789475</v>
      </c>
      <c r="L180" s="123">
        <v>103.84105263157896</v>
      </c>
      <c r="M180" s="123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124">
        <v>0</v>
      </c>
      <c r="F181" s="124">
        <v>0</v>
      </c>
      <c r="G181" s="124">
        <v>0</v>
      </c>
      <c r="H181" s="124">
        <v>0</v>
      </c>
      <c r="I181" s="124">
        <v>0</v>
      </c>
      <c r="J181" s="124">
        <v>0</v>
      </c>
      <c r="K181" s="124">
        <v>0</v>
      </c>
      <c r="L181" s="124">
        <v>0</v>
      </c>
      <c r="M181" s="124">
        <v>0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122"/>
      <c r="F182" s="122"/>
      <c r="G182" s="122"/>
      <c r="H182" s="122"/>
      <c r="I182" s="122"/>
      <c r="J182" s="122"/>
      <c r="K182" s="122"/>
      <c r="L182" s="122"/>
      <c r="M182" s="122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123">
        <v>5.9283335518383931</v>
      </c>
      <c r="F183" s="123">
        <v>5.0230070878372421</v>
      </c>
      <c r="G183" s="123">
        <v>3.9163428794069115</v>
      </c>
      <c r="H183" s="123">
        <v>3.1590361445720911</v>
      </c>
      <c r="I183" s="123">
        <v>2.0378947368421052</v>
      </c>
      <c r="J183" s="123">
        <v>2.0189473684210526</v>
      </c>
      <c r="K183" s="123">
        <v>1.9557894736842103</v>
      </c>
      <c r="L183" s="123">
        <v>1.8231578947368419</v>
      </c>
      <c r="M183" s="123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1.6858736842105264E-3</v>
      </c>
      <c r="L184" s="123">
        <v>1.5474947368421053E-3</v>
      </c>
      <c r="M184" s="123">
        <v>1.2707368421052633E-3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122">
        <v>0.99124999999999996</v>
      </c>
      <c r="F186" s="122">
        <v>0.99124999999999996</v>
      </c>
      <c r="G186" s="122">
        <v>0.99124999999999996</v>
      </c>
      <c r="H186" s="122">
        <v>0.99124999999999996</v>
      </c>
      <c r="I186" s="122">
        <v>0.99124999999999996</v>
      </c>
      <c r="J186" s="122">
        <v>0.99124999999999996</v>
      </c>
      <c r="K186" s="122">
        <v>0.99649999999999994</v>
      </c>
      <c r="L186" s="122">
        <v>0.99649999999999994</v>
      </c>
      <c r="M186" s="122">
        <v>0.99649999999999994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123">
        <v>1524.6</v>
      </c>
      <c r="F187" s="123">
        <v>1749.6</v>
      </c>
      <c r="G187" s="123">
        <v>2349.6</v>
      </c>
      <c r="H187" s="123">
        <v>3174.6</v>
      </c>
      <c r="I187" s="123">
        <v>4299.6000000000004</v>
      </c>
      <c r="J187" s="123">
        <v>14213</v>
      </c>
      <c r="K187" s="123">
        <v>21713</v>
      </c>
      <c r="L187" s="123">
        <v>37463</v>
      </c>
      <c r="M187" s="123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122">
        <v>40</v>
      </c>
      <c r="F188" s="122">
        <v>40</v>
      </c>
      <c r="G188" s="122">
        <v>40</v>
      </c>
      <c r="H188" s="122">
        <v>40</v>
      </c>
      <c r="I188" s="122">
        <v>40</v>
      </c>
      <c r="J188" s="122">
        <v>40</v>
      </c>
      <c r="K188" s="122">
        <v>40</v>
      </c>
      <c r="L188" s="122">
        <v>40</v>
      </c>
      <c r="M188" s="122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126">
        <v>0.3125</v>
      </c>
      <c r="F189" s="126">
        <v>0.3125</v>
      </c>
      <c r="G189" s="126">
        <v>0.3125</v>
      </c>
      <c r="H189" s="126">
        <v>0.3125</v>
      </c>
      <c r="I189" s="126">
        <v>0.3125</v>
      </c>
      <c r="J189" s="126">
        <v>0.3125</v>
      </c>
      <c r="K189" s="126">
        <v>0.3125</v>
      </c>
      <c r="L189" s="126">
        <v>0.3125</v>
      </c>
      <c r="M189" s="126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122">
        <v>0.64</v>
      </c>
      <c r="F190" s="122">
        <v>0.64</v>
      </c>
      <c r="G190" s="122">
        <v>0.64</v>
      </c>
      <c r="H190" s="122">
        <v>0.64</v>
      </c>
      <c r="I190" s="122">
        <v>0.64</v>
      </c>
      <c r="J190" s="122">
        <v>0.64</v>
      </c>
      <c r="K190" s="122">
        <v>0.64</v>
      </c>
      <c r="L190" s="122">
        <v>0.64</v>
      </c>
      <c r="M190" s="122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122">
        <v>20</v>
      </c>
      <c r="F191" s="122">
        <v>20</v>
      </c>
      <c r="G191" s="122">
        <v>20</v>
      </c>
      <c r="H191" s="122">
        <v>20</v>
      </c>
      <c r="I191" s="122">
        <v>20</v>
      </c>
      <c r="J191" s="122">
        <v>20</v>
      </c>
      <c r="K191" s="122">
        <v>20</v>
      </c>
      <c r="L191" s="122">
        <v>20</v>
      </c>
      <c r="M191" s="122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127">
        <v>877.91003708184292</v>
      </c>
      <c r="F192" s="123">
        <v>864.68237166000415</v>
      </c>
      <c r="G192" s="123">
        <v>829.40859720176718</v>
      </c>
      <c r="H192" s="123">
        <v>780.90715732169144</v>
      </c>
      <c r="I192" s="123">
        <v>714.76883021249728</v>
      </c>
      <c r="J192" s="123">
        <v>582.49217599410895</v>
      </c>
      <c r="K192" s="123">
        <v>496.07142857142856</v>
      </c>
      <c r="L192" s="123">
        <v>496.07142857142856</v>
      </c>
      <c r="M192" s="123">
        <v>496.07142857142856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124">
        <v>0</v>
      </c>
      <c r="F193" s="124">
        <v>0</v>
      </c>
      <c r="G193" s="124">
        <v>0</v>
      </c>
      <c r="H193" s="124">
        <v>0</v>
      </c>
      <c r="I193" s="124">
        <v>0</v>
      </c>
      <c r="J193" s="124">
        <v>0</v>
      </c>
      <c r="K193" s="124">
        <v>0</v>
      </c>
      <c r="L193" s="124">
        <v>0</v>
      </c>
      <c r="M193" s="124">
        <v>0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123">
        <v>50.989543446244483</v>
      </c>
      <c r="F194" s="123">
        <v>67.502798232695142</v>
      </c>
      <c r="G194" s="123">
        <v>111.53814432989691</v>
      </c>
      <c r="H194" s="123">
        <v>172.08674521354934</v>
      </c>
      <c r="I194" s="123">
        <v>254.65301914580263</v>
      </c>
      <c r="J194" s="123">
        <v>419.78556701030925</v>
      </c>
      <c r="K194" s="123">
        <v>584.91811487481596</v>
      </c>
      <c r="L194" s="123">
        <v>584.91811487481596</v>
      </c>
      <c r="M194" s="123">
        <v>584.91811487481596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122"/>
      <c r="F195" s="122"/>
      <c r="G195" s="122"/>
      <c r="H195" s="122"/>
      <c r="I195" s="122"/>
      <c r="J195" s="122"/>
      <c r="K195" s="122"/>
      <c r="L195" s="122"/>
      <c r="M195" s="122"/>
    </row>
    <row r="196" spans="1:14" x14ac:dyDescent="0.25">
      <c r="A196" s="208"/>
      <c r="B196" s="225"/>
      <c r="C196" s="25" t="s">
        <v>135</v>
      </c>
      <c r="D196" s="1" t="s">
        <v>10</v>
      </c>
      <c r="E196" s="122"/>
      <c r="F196" s="122"/>
      <c r="G196" s="122"/>
      <c r="H196" s="122"/>
      <c r="I196" s="122"/>
      <c r="J196" s="122"/>
      <c r="K196" s="122"/>
      <c r="L196" s="122"/>
      <c r="M196" s="122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122"/>
      <c r="F197" s="122"/>
      <c r="G197" s="122"/>
      <c r="H197" s="122"/>
      <c r="I197" s="122"/>
      <c r="J197" s="122"/>
      <c r="K197" s="122"/>
      <c r="L197" s="122"/>
      <c r="M197" s="122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122">
        <v>1</v>
      </c>
      <c r="F198" s="122">
        <v>1</v>
      </c>
      <c r="G198" s="122">
        <v>1</v>
      </c>
      <c r="H198" s="122">
        <v>1</v>
      </c>
      <c r="I198" s="122">
        <v>1</v>
      </c>
      <c r="J198" s="122">
        <v>1</v>
      </c>
      <c r="K198" s="122">
        <v>1</v>
      </c>
      <c r="L198" s="122">
        <v>1</v>
      </c>
      <c r="M198" s="122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122">
        <v>0.65</v>
      </c>
      <c r="F199" s="122">
        <v>0.65</v>
      </c>
      <c r="G199" s="122">
        <v>0.65</v>
      </c>
      <c r="H199" s="122">
        <v>0.65</v>
      </c>
      <c r="I199" s="122">
        <v>0.65</v>
      </c>
      <c r="J199" s="122">
        <v>0.65</v>
      </c>
      <c r="K199" s="122">
        <v>0.65</v>
      </c>
      <c r="L199" s="122">
        <v>0.65</v>
      </c>
      <c r="M199" s="122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122">
        <v>20</v>
      </c>
      <c r="F200" s="122">
        <v>20</v>
      </c>
      <c r="G200" s="122">
        <v>20</v>
      </c>
      <c r="H200" s="122">
        <v>20</v>
      </c>
      <c r="I200" s="122">
        <v>20</v>
      </c>
      <c r="J200" s="122">
        <v>20</v>
      </c>
      <c r="K200" s="122">
        <v>20</v>
      </c>
      <c r="L200" s="122">
        <v>20</v>
      </c>
      <c r="M200" s="122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123">
        <v>197.6111183946131</v>
      </c>
      <c r="F201" s="123">
        <v>167.43356959457475</v>
      </c>
      <c r="G201" s="123">
        <v>130.54476264689706</v>
      </c>
      <c r="H201" s="123">
        <v>105.30120481906971</v>
      </c>
      <c r="I201" s="123">
        <v>107.31263157894738</v>
      </c>
      <c r="J201" s="123">
        <v>107.00631578947369</v>
      </c>
      <c r="K201" s="123">
        <v>105.98526315789475</v>
      </c>
      <c r="L201" s="123">
        <v>103.84105263157896</v>
      </c>
      <c r="M201" s="123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124">
        <v>0</v>
      </c>
      <c r="F202" s="124">
        <v>0</v>
      </c>
      <c r="G202" s="124">
        <v>0</v>
      </c>
      <c r="H202" s="124">
        <v>0</v>
      </c>
      <c r="I202" s="124">
        <v>0</v>
      </c>
      <c r="J202" s="124">
        <v>0</v>
      </c>
      <c r="K202" s="124">
        <v>0</v>
      </c>
      <c r="L202" s="124">
        <v>0</v>
      </c>
      <c r="M202" s="124">
        <v>0</v>
      </c>
    </row>
    <row r="203" spans="1:14" x14ac:dyDescent="0.25">
      <c r="A203" s="208"/>
      <c r="B203" s="225"/>
      <c r="C203" s="25" t="s">
        <v>114</v>
      </c>
      <c r="D203" s="1" t="s">
        <v>8</v>
      </c>
      <c r="E203" s="122"/>
      <c r="F203" s="122"/>
      <c r="G203" s="122"/>
      <c r="H203" s="122"/>
      <c r="I203" s="122"/>
      <c r="J203" s="122"/>
      <c r="K203" s="122"/>
      <c r="L203" s="122"/>
      <c r="M203" s="122"/>
    </row>
    <row r="204" spans="1:14" x14ac:dyDescent="0.25">
      <c r="A204" s="208"/>
      <c r="B204" s="225"/>
      <c r="C204" s="25" t="s">
        <v>115</v>
      </c>
      <c r="D204" s="1" t="s">
        <v>9</v>
      </c>
      <c r="E204" s="123">
        <v>5.9283335518383931</v>
      </c>
      <c r="F204" s="123">
        <v>5.0230070878372421</v>
      </c>
      <c r="G204" s="123">
        <v>3.9163428794069115</v>
      </c>
      <c r="H204" s="123">
        <v>3.1590361445720911</v>
      </c>
      <c r="I204" s="123">
        <v>2.0378947368421052</v>
      </c>
      <c r="J204" s="123">
        <v>2.0189473684210526</v>
      </c>
      <c r="K204" s="123">
        <v>1.9557894736842103</v>
      </c>
      <c r="L204" s="123">
        <v>1.8231578947368419</v>
      </c>
      <c r="M204" s="123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1.6858736842105264E-3</v>
      </c>
      <c r="L205" s="123">
        <v>1.5474947368421053E-3</v>
      </c>
      <c r="M205" s="123">
        <v>1.2707368421052633E-3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122">
        <v>0.99124999999999996</v>
      </c>
      <c r="F207" s="122">
        <v>0.99124999999999996</v>
      </c>
      <c r="G207" s="122">
        <v>0.99124999999999996</v>
      </c>
      <c r="H207" s="122">
        <v>0.99124999999999996</v>
      </c>
      <c r="I207" s="122">
        <v>0.99124999999999996</v>
      </c>
      <c r="J207" s="122">
        <v>0.99124999999999996</v>
      </c>
      <c r="K207" s="122">
        <v>0.99649999999999994</v>
      </c>
      <c r="L207" s="122">
        <v>0.99649999999999994</v>
      </c>
      <c r="M207" s="122">
        <v>0.99649999999999994</v>
      </c>
    </row>
    <row r="208" spans="1:14" x14ac:dyDescent="0.25">
      <c r="A208" s="208"/>
      <c r="B208" s="225"/>
      <c r="C208" s="25" t="s">
        <v>26</v>
      </c>
      <c r="D208" s="1" t="s">
        <v>14</v>
      </c>
      <c r="E208" s="123">
        <v>1524.6</v>
      </c>
      <c r="F208" s="123">
        <v>1749.6</v>
      </c>
      <c r="G208" s="123">
        <v>2349.6</v>
      </c>
      <c r="H208" s="123">
        <v>3174.6</v>
      </c>
      <c r="I208" s="123">
        <v>4299.6000000000004</v>
      </c>
      <c r="J208" s="123">
        <v>14213</v>
      </c>
      <c r="K208" s="123">
        <v>21713</v>
      </c>
      <c r="L208" s="123">
        <v>37463</v>
      </c>
      <c r="M208" s="123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122">
        <v>40</v>
      </c>
      <c r="F209" s="122">
        <v>40</v>
      </c>
      <c r="G209" s="122">
        <v>40</v>
      </c>
      <c r="H209" s="122">
        <v>40</v>
      </c>
      <c r="I209" s="122">
        <v>40</v>
      </c>
      <c r="J209" s="122">
        <v>40</v>
      </c>
      <c r="K209" s="122">
        <v>40</v>
      </c>
      <c r="L209" s="122">
        <v>40</v>
      </c>
      <c r="M209" s="122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126">
        <v>0.546875</v>
      </c>
      <c r="F210" s="126">
        <v>0.546875</v>
      </c>
      <c r="G210" s="126">
        <v>0.54687499999999989</v>
      </c>
      <c r="H210" s="126">
        <v>0.546875</v>
      </c>
      <c r="I210" s="126">
        <v>0.546875</v>
      </c>
      <c r="J210" s="126">
        <v>0.546875</v>
      </c>
      <c r="K210" s="126">
        <v>0.546875</v>
      </c>
      <c r="L210" s="126">
        <v>0.546875</v>
      </c>
      <c r="M210" s="126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122">
        <v>0.64</v>
      </c>
      <c r="F211" s="122">
        <v>0.64</v>
      </c>
      <c r="G211" s="122">
        <v>0.64</v>
      </c>
      <c r="H211" s="122">
        <v>0.64</v>
      </c>
      <c r="I211" s="122">
        <v>0.64</v>
      </c>
      <c r="J211" s="122">
        <v>0.64</v>
      </c>
      <c r="K211" s="122">
        <v>0.64</v>
      </c>
      <c r="L211" s="122">
        <v>0.64</v>
      </c>
      <c r="M211" s="122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122">
        <v>20</v>
      </c>
      <c r="F212" s="122">
        <v>20</v>
      </c>
      <c r="G212" s="122">
        <v>20</v>
      </c>
      <c r="H212" s="122">
        <v>20</v>
      </c>
      <c r="I212" s="122">
        <v>20</v>
      </c>
      <c r="J212" s="122">
        <v>20</v>
      </c>
      <c r="K212" s="122">
        <v>20</v>
      </c>
      <c r="L212" s="122">
        <v>20</v>
      </c>
      <c r="M212" s="122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127">
        <v>867.98928801546379</v>
      </c>
      <c r="F213" s="123">
        <v>844.84087352724589</v>
      </c>
      <c r="G213" s="123">
        <v>783.11176822533128</v>
      </c>
      <c r="H213" s="123">
        <v>698.23424843519865</v>
      </c>
      <c r="I213" s="123">
        <v>582.49217599410895</v>
      </c>
      <c r="J213" s="123">
        <v>496.07142857142856</v>
      </c>
      <c r="K213" s="123">
        <v>496.07142857142856</v>
      </c>
      <c r="L213" s="123">
        <v>496.07142857142856</v>
      </c>
      <c r="M213" s="123">
        <v>496.07142857142856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124">
        <v>0</v>
      </c>
      <c r="F214" s="124">
        <v>0</v>
      </c>
      <c r="G214" s="124">
        <v>0</v>
      </c>
      <c r="H214" s="124">
        <v>0</v>
      </c>
      <c r="I214" s="124">
        <v>0</v>
      </c>
      <c r="J214" s="124">
        <v>0</v>
      </c>
      <c r="K214" s="124">
        <v>0</v>
      </c>
      <c r="L214" s="124">
        <v>0</v>
      </c>
      <c r="M214" s="124">
        <v>0</v>
      </c>
    </row>
    <row r="215" spans="1:13" x14ac:dyDescent="0.25">
      <c r="A215" s="208"/>
      <c r="B215" s="225"/>
      <c r="C215" s="25" t="s">
        <v>133</v>
      </c>
      <c r="D215" s="1" t="s">
        <v>8</v>
      </c>
      <c r="E215" s="123">
        <v>50.989543446244483</v>
      </c>
      <c r="F215" s="123">
        <v>67.502798232695142</v>
      </c>
      <c r="G215" s="123">
        <v>111.53814432989691</v>
      </c>
      <c r="H215" s="123">
        <v>172.08674521354934</v>
      </c>
      <c r="I215" s="123">
        <v>254.65301914580263</v>
      </c>
      <c r="J215" s="123">
        <v>419.78556701030925</v>
      </c>
      <c r="K215" s="123">
        <v>584.91811487481596</v>
      </c>
      <c r="L215" s="123">
        <v>584.91811487481596</v>
      </c>
      <c r="M215" s="123">
        <v>584.91811487481596</v>
      </c>
    </row>
    <row r="216" spans="1:13" x14ac:dyDescent="0.25">
      <c r="A216" s="208"/>
      <c r="B216" s="225"/>
      <c r="C216" s="25" t="s">
        <v>134</v>
      </c>
      <c r="D216" s="1" t="s">
        <v>9</v>
      </c>
      <c r="E216" s="122"/>
      <c r="F216" s="122"/>
      <c r="G216" s="122"/>
      <c r="H216" s="122"/>
      <c r="I216" s="122"/>
      <c r="J216" s="122"/>
      <c r="K216" s="122"/>
      <c r="L216" s="122"/>
      <c r="M216" s="122"/>
    </row>
    <row r="217" spans="1:13" x14ac:dyDescent="0.25">
      <c r="A217" s="208"/>
      <c r="B217" s="225"/>
      <c r="C217" s="25" t="s">
        <v>135</v>
      </c>
      <c r="D217" s="1" t="s">
        <v>10</v>
      </c>
      <c r="E217" s="122"/>
      <c r="F217" s="122"/>
      <c r="G217" s="122"/>
      <c r="H217" s="122"/>
      <c r="I217" s="122"/>
      <c r="J217" s="122"/>
      <c r="K217" s="122"/>
      <c r="L217" s="122"/>
      <c r="M217" s="122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122"/>
      <c r="F218" s="122"/>
      <c r="G218" s="122"/>
      <c r="H218" s="122"/>
      <c r="I218" s="122"/>
      <c r="J218" s="122"/>
      <c r="K218" s="122"/>
      <c r="L218" s="122"/>
      <c r="M218" s="122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126">
        <v>1</v>
      </c>
      <c r="F219" s="126">
        <v>1</v>
      </c>
      <c r="G219" s="126">
        <v>1</v>
      </c>
      <c r="H219" s="126">
        <v>1</v>
      </c>
      <c r="I219" s="126">
        <v>1</v>
      </c>
      <c r="J219" s="126">
        <v>1</v>
      </c>
      <c r="K219" s="126">
        <v>1</v>
      </c>
      <c r="L219" s="126">
        <v>1</v>
      </c>
      <c r="M219" s="126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122">
        <v>0.8</v>
      </c>
      <c r="F220" s="122">
        <v>0.8</v>
      </c>
      <c r="G220" s="122">
        <v>0.8</v>
      </c>
      <c r="H220" s="122">
        <v>0.8</v>
      </c>
      <c r="I220" s="122">
        <v>0.8</v>
      </c>
      <c r="J220" s="122">
        <v>0.8</v>
      </c>
      <c r="K220" s="122">
        <v>0.8</v>
      </c>
      <c r="L220" s="122">
        <v>0.8</v>
      </c>
      <c r="M220" s="122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122">
        <v>20</v>
      </c>
      <c r="F221" s="122">
        <v>20</v>
      </c>
      <c r="G221" s="122">
        <v>20</v>
      </c>
      <c r="H221" s="122">
        <v>20</v>
      </c>
      <c r="I221" s="122">
        <v>20</v>
      </c>
      <c r="J221" s="122">
        <v>20</v>
      </c>
      <c r="K221" s="122">
        <v>20</v>
      </c>
      <c r="L221" s="122">
        <v>20</v>
      </c>
      <c r="M221" s="122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123">
        <v>778.63646317000416</v>
      </c>
      <c r="F222" s="123">
        <v>556.01242307421592</v>
      </c>
      <c r="G222" s="123">
        <v>433.81353547553391</v>
      </c>
      <c r="H222" s="123">
        <v>433.81353547553391</v>
      </c>
      <c r="I222" s="123">
        <v>433.81353547553391</v>
      </c>
      <c r="J222" s="123">
        <v>433.81353547553391</v>
      </c>
      <c r="K222" s="123">
        <v>1125.1890967142162</v>
      </c>
      <c r="L222" s="123">
        <v>978.8877535076831</v>
      </c>
      <c r="M222" s="123">
        <v>860.49325281850611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124">
        <v>0</v>
      </c>
      <c r="F223" s="124">
        <v>0</v>
      </c>
      <c r="G223" s="124">
        <v>0</v>
      </c>
      <c r="H223" s="124">
        <v>0</v>
      </c>
      <c r="I223" s="124">
        <v>0</v>
      </c>
      <c r="J223" s="124">
        <v>0</v>
      </c>
      <c r="K223" s="124">
        <v>0</v>
      </c>
      <c r="L223" s="124">
        <v>0</v>
      </c>
      <c r="M223" s="124">
        <v>0</v>
      </c>
    </row>
    <row r="224" spans="1:13" x14ac:dyDescent="0.25">
      <c r="A224" s="227"/>
      <c r="B224" s="230"/>
      <c r="C224" s="25" t="s">
        <v>117</v>
      </c>
      <c r="D224" s="1" t="s">
        <v>8</v>
      </c>
      <c r="E224" s="122"/>
      <c r="F224" s="122"/>
      <c r="G224" s="122"/>
      <c r="H224" s="122"/>
      <c r="I224" s="122"/>
      <c r="J224" s="122"/>
      <c r="K224" s="122"/>
      <c r="L224" s="122"/>
      <c r="M224" s="122"/>
    </row>
    <row r="225" spans="1:13" x14ac:dyDescent="0.25">
      <c r="A225" s="227"/>
      <c r="B225" s="230"/>
      <c r="C225" s="25" t="s">
        <v>118</v>
      </c>
      <c r="D225" s="1" t="s">
        <v>9</v>
      </c>
      <c r="E225" s="122"/>
      <c r="F225" s="122"/>
      <c r="G225" s="122"/>
      <c r="H225" s="122"/>
      <c r="I225" s="122"/>
      <c r="J225" s="122"/>
      <c r="K225" s="122"/>
      <c r="L225" s="122"/>
      <c r="M225" s="122"/>
    </row>
    <row r="226" spans="1:13" x14ac:dyDescent="0.25">
      <c r="A226" s="227"/>
      <c r="B226" s="230"/>
      <c r="C226" s="25" t="s">
        <v>119</v>
      </c>
      <c r="D226" s="1" t="s">
        <v>10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2.0349999999999999E-3</v>
      </c>
      <c r="L226" s="123">
        <v>2.0349999999999999E-3</v>
      </c>
      <c r="M226" s="123">
        <v>2.0349999999999999E-3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123">
        <v>0</v>
      </c>
      <c r="F227" s="123">
        <v>0</v>
      </c>
      <c r="G227" s="123">
        <v>0</v>
      </c>
      <c r="H227" s="123">
        <v>0</v>
      </c>
      <c r="I227" s="123">
        <v>0</v>
      </c>
      <c r="J227" s="123">
        <v>0</v>
      </c>
      <c r="K227" s="123">
        <v>0</v>
      </c>
      <c r="L227" s="123">
        <v>0</v>
      </c>
      <c r="M227" s="123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123">
        <v>0</v>
      </c>
      <c r="F228" s="123">
        <v>0</v>
      </c>
      <c r="G228" s="123">
        <v>0</v>
      </c>
      <c r="H228" s="123">
        <v>0</v>
      </c>
      <c r="I228" s="123">
        <v>0</v>
      </c>
      <c r="J228" s="123">
        <v>0</v>
      </c>
      <c r="K228" s="123">
        <v>0</v>
      </c>
      <c r="L228" s="123">
        <v>0</v>
      </c>
      <c r="M228" s="123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122">
        <v>3.4299999999999997</v>
      </c>
      <c r="F229" s="122">
        <v>3.4299999999999997</v>
      </c>
      <c r="G229" s="122">
        <v>3.4299999999999997</v>
      </c>
      <c r="H229" s="122">
        <v>3.4299999999999997</v>
      </c>
      <c r="I229" s="122">
        <v>3.4299999999999997</v>
      </c>
      <c r="J229" s="122">
        <v>3.4299999999999997</v>
      </c>
      <c r="K229" s="122">
        <v>3.4299999999999997</v>
      </c>
      <c r="L229" s="122">
        <v>3.4299999999999997</v>
      </c>
      <c r="M229" s="122">
        <v>3.4299999999999997</v>
      </c>
    </row>
    <row r="230" spans="1:13" x14ac:dyDescent="0.25">
      <c r="A230" s="227"/>
      <c r="B230" s="230"/>
      <c r="C230" s="25" t="s">
        <v>33</v>
      </c>
      <c r="D230" s="2" t="s">
        <v>14</v>
      </c>
      <c r="E230" s="122"/>
      <c r="F230" s="122"/>
      <c r="G230" s="122"/>
      <c r="H230" s="122"/>
      <c r="I230" s="122"/>
      <c r="J230" s="122"/>
      <c r="K230" s="122"/>
      <c r="L230" s="122"/>
      <c r="M230" s="122"/>
    </row>
    <row r="231" spans="1:13" x14ac:dyDescent="0.25">
      <c r="A231" s="227"/>
      <c r="B231" s="230"/>
      <c r="C231" s="25" t="s">
        <v>34</v>
      </c>
      <c r="D231" s="2" t="s">
        <v>4</v>
      </c>
      <c r="E231" s="122"/>
      <c r="F231" s="122"/>
      <c r="G231" s="122"/>
      <c r="H231" s="122"/>
      <c r="I231" s="122"/>
      <c r="J231" s="122"/>
      <c r="K231" s="122"/>
      <c r="L231" s="122"/>
      <c r="M231" s="122"/>
    </row>
    <row r="232" spans="1:13" x14ac:dyDescent="0.25">
      <c r="A232" s="227"/>
      <c r="B232" s="230"/>
      <c r="C232" s="25" t="s">
        <v>129</v>
      </c>
      <c r="D232" s="1" t="s">
        <v>19</v>
      </c>
      <c r="E232" s="126">
        <v>0.3125</v>
      </c>
      <c r="F232" s="126">
        <v>0.3125</v>
      </c>
      <c r="G232" s="126">
        <v>0.3125</v>
      </c>
      <c r="H232" s="126">
        <v>0.3125</v>
      </c>
      <c r="I232" s="126">
        <v>0.3125</v>
      </c>
      <c r="J232" s="126">
        <v>0.3125</v>
      </c>
      <c r="K232" s="126">
        <v>0.3125</v>
      </c>
      <c r="L232" s="126">
        <v>0.3125</v>
      </c>
      <c r="M232" s="126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122">
        <v>0.64</v>
      </c>
      <c r="F233" s="122">
        <v>0.64</v>
      </c>
      <c r="G233" s="122">
        <v>0.64</v>
      </c>
      <c r="H233" s="122">
        <v>0.64</v>
      </c>
      <c r="I233" s="122">
        <v>0.64</v>
      </c>
      <c r="J233" s="122">
        <v>0.64</v>
      </c>
      <c r="K233" s="122">
        <v>0.64</v>
      </c>
      <c r="L233" s="122">
        <v>0.64</v>
      </c>
      <c r="M233" s="122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122">
        <v>20</v>
      </c>
      <c r="F234" s="122">
        <v>20</v>
      </c>
      <c r="G234" s="122">
        <v>20</v>
      </c>
      <c r="H234" s="122">
        <v>20</v>
      </c>
      <c r="I234" s="122">
        <v>20</v>
      </c>
      <c r="J234" s="122">
        <v>20</v>
      </c>
      <c r="K234" s="122">
        <v>20</v>
      </c>
      <c r="L234" s="122">
        <v>20</v>
      </c>
      <c r="M234" s="122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127">
        <v>877.91003708184292</v>
      </c>
      <c r="F235" s="127">
        <v>864.68237166000415</v>
      </c>
      <c r="G235" s="127">
        <v>829.40859720176718</v>
      </c>
      <c r="H235" s="127">
        <v>780.90715732169144</v>
      </c>
      <c r="I235" s="127">
        <v>714.76883021249728</v>
      </c>
      <c r="J235" s="127">
        <v>582.49217599410895</v>
      </c>
      <c r="K235" s="127">
        <v>496.07142857142856</v>
      </c>
      <c r="L235" s="127">
        <v>496.07142857142856</v>
      </c>
      <c r="M235" s="127">
        <v>496.07142857142856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124">
        <v>0</v>
      </c>
      <c r="F236" s="124">
        <v>0</v>
      </c>
      <c r="G236" s="124">
        <v>0</v>
      </c>
      <c r="H236" s="124">
        <v>0</v>
      </c>
      <c r="I236" s="124">
        <v>0</v>
      </c>
      <c r="J236" s="124">
        <v>0</v>
      </c>
      <c r="K236" s="124">
        <v>0</v>
      </c>
      <c r="L236" s="124">
        <v>0</v>
      </c>
      <c r="M236" s="124">
        <v>0</v>
      </c>
    </row>
    <row r="237" spans="1:13" x14ac:dyDescent="0.25">
      <c r="A237" s="227"/>
      <c r="B237" s="230"/>
      <c r="C237" s="25" t="s">
        <v>133</v>
      </c>
      <c r="D237" s="1" t="s">
        <v>8</v>
      </c>
      <c r="E237" s="123">
        <v>50.989543446244483</v>
      </c>
      <c r="F237" s="123">
        <v>67.502798232695142</v>
      </c>
      <c r="G237" s="123">
        <v>111.53814432989691</v>
      </c>
      <c r="H237" s="123">
        <v>172.08674521354934</v>
      </c>
      <c r="I237" s="123">
        <v>254.65301914580263</v>
      </c>
      <c r="J237" s="123">
        <v>419.78556701030925</v>
      </c>
      <c r="K237" s="123">
        <v>584.91811487481596</v>
      </c>
      <c r="L237" s="123">
        <v>584.91811487481596</v>
      </c>
      <c r="M237" s="123">
        <v>584.91811487481596</v>
      </c>
    </row>
    <row r="238" spans="1:13" x14ac:dyDescent="0.25">
      <c r="A238" s="227"/>
      <c r="B238" s="230"/>
      <c r="C238" s="25" t="s">
        <v>134</v>
      </c>
      <c r="D238" s="1" t="s">
        <v>9</v>
      </c>
      <c r="E238" s="122"/>
      <c r="F238" s="122"/>
      <c r="G238" s="122"/>
      <c r="H238" s="122"/>
      <c r="I238" s="122"/>
      <c r="J238" s="122"/>
      <c r="K238" s="122"/>
      <c r="L238" s="122"/>
      <c r="M238" s="122"/>
    </row>
    <row r="239" spans="1:13" x14ac:dyDescent="0.25">
      <c r="A239" s="227"/>
      <c r="B239" s="230"/>
      <c r="C239" s="25" t="s">
        <v>135</v>
      </c>
      <c r="D239" s="1" t="s">
        <v>10</v>
      </c>
      <c r="E239" s="122"/>
      <c r="F239" s="122"/>
      <c r="G239" s="122"/>
      <c r="H239" s="122"/>
      <c r="I239" s="122"/>
      <c r="J239" s="122"/>
      <c r="K239" s="122"/>
      <c r="L239" s="122"/>
      <c r="M239" s="122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122"/>
      <c r="F240" s="122"/>
      <c r="G240" s="122"/>
      <c r="H240" s="122"/>
      <c r="I240" s="122"/>
      <c r="J240" s="122"/>
      <c r="K240" s="122"/>
      <c r="L240" s="122"/>
      <c r="M240" s="122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126">
        <v>1</v>
      </c>
      <c r="F241" s="126">
        <v>1</v>
      </c>
      <c r="G241" s="126">
        <v>1</v>
      </c>
      <c r="H241" s="126">
        <v>1</v>
      </c>
      <c r="I241" s="126">
        <v>1</v>
      </c>
      <c r="J241" s="126">
        <v>1</v>
      </c>
      <c r="K241" s="126">
        <v>1</v>
      </c>
      <c r="L241" s="126">
        <v>1</v>
      </c>
      <c r="M241" s="126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122">
        <v>0.65</v>
      </c>
      <c r="F242" s="122">
        <v>0.65</v>
      </c>
      <c r="G242" s="122">
        <v>0.65</v>
      </c>
      <c r="H242" s="122">
        <v>0.65</v>
      </c>
      <c r="I242" s="122">
        <v>0.65</v>
      </c>
      <c r="J242" s="122">
        <v>0.65</v>
      </c>
      <c r="K242" s="122">
        <v>0.65</v>
      </c>
      <c r="L242" s="122">
        <v>0.65</v>
      </c>
      <c r="M242" s="122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122">
        <v>20</v>
      </c>
      <c r="F243" s="122">
        <v>20</v>
      </c>
      <c r="G243" s="122">
        <v>20</v>
      </c>
      <c r="H243" s="122">
        <v>20</v>
      </c>
      <c r="I243" s="122">
        <v>20</v>
      </c>
      <c r="J243" s="122">
        <v>20</v>
      </c>
      <c r="K243" s="122">
        <v>20</v>
      </c>
      <c r="L243" s="122">
        <v>20</v>
      </c>
      <c r="M243" s="122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123">
        <v>778.63646317000416</v>
      </c>
      <c r="F244" s="123">
        <v>556.01242307421592</v>
      </c>
      <c r="G244" s="123">
        <v>433.81353547553391</v>
      </c>
      <c r="H244" s="123">
        <v>433.81353547553391</v>
      </c>
      <c r="I244" s="123">
        <v>433.81353547553391</v>
      </c>
      <c r="J244" s="123">
        <v>433.81353547553391</v>
      </c>
      <c r="K244" s="123">
        <v>1125.1890967142162</v>
      </c>
      <c r="L244" s="123">
        <v>978.8877535076831</v>
      </c>
      <c r="M244" s="123">
        <v>860.49325281850611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124">
        <v>0</v>
      </c>
      <c r="F245" s="124">
        <v>0</v>
      </c>
      <c r="G245" s="124">
        <v>0</v>
      </c>
      <c r="H245" s="124">
        <v>0</v>
      </c>
      <c r="I245" s="124">
        <v>0</v>
      </c>
      <c r="J245" s="124">
        <v>0</v>
      </c>
      <c r="K245" s="124">
        <v>0</v>
      </c>
      <c r="L245" s="124">
        <v>0</v>
      </c>
      <c r="M245" s="124">
        <v>0</v>
      </c>
    </row>
    <row r="246" spans="1:13" x14ac:dyDescent="0.25">
      <c r="A246" s="227"/>
      <c r="B246" s="230"/>
      <c r="C246" s="25" t="s">
        <v>117</v>
      </c>
      <c r="D246" s="1" t="s">
        <v>8</v>
      </c>
      <c r="E246" s="122"/>
      <c r="F246" s="122"/>
      <c r="G246" s="122"/>
      <c r="H246" s="122"/>
      <c r="I246" s="122"/>
      <c r="J246" s="122"/>
      <c r="K246" s="122"/>
      <c r="L246" s="122"/>
      <c r="M246" s="122"/>
    </row>
    <row r="247" spans="1:13" x14ac:dyDescent="0.25">
      <c r="A247" s="227"/>
      <c r="B247" s="230"/>
      <c r="C247" s="25" t="s">
        <v>118</v>
      </c>
      <c r="D247" s="1" t="s">
        <v>9</v>
      </c>
      <c r="E247" s="122"/>
      <c r="F247" s="122"/>
      <c r="G247" s="122"/>
      <c r="H247" s="122"/>
      <c r="I247" s="122"/>
      <c r="J247" s="122"/>
      <c r="K247" s="122"/>
      <c r="L247" s="122"/>
      <c r="M247" s="122"/>
    </row>
    <row r="248" spans="1:13" x14ac:dyDescent="0.25">
      <c r="A248" s="227"/>
      <c r="B248" s="230"/>
      <c r="C248" s="25" t="s">
        <v>119</v>
      </c>
      <c r="D248" s="1" t="s">
        <v>10</v>
      </c>
      <c r="E248" s="123">
        <v>0</v>
      </c>
      <c r="F248" s="123">
        <v>0</v>
      </c>
      <c r="G248" s="123">
        <v>0</v>
      </c>
      <c r="H248" s="123">
        <v>0</v>
      </c>
      <c r="I248" s="123">
        <v>0</v>
      </c>
      <c r="J248" s="123">
        <v>0</v>
      </c>
      <c r="K248" s="123">
        <v>2.0349999999999999E-3</v>
      </c>
      <c r="L248" s="123">
        <v>2.0349999999999999E-3</v>
      </c>
      <c r="M248" s="123">
        <v>2.0349999999999999E-3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122">
        <v>3.4299999999999997</v>
      </c>
      <c r="F251" s="122">
        <v>3.4299999999999997</v>
      </c>
      <c r="G251" s="122">
        <v>3.4299999999999997</v>
      </c>
      <c r="H251" s="122">
        <v>3.4299999999999997</v>
      </c>
      <c r="I251" s="122">
        <v>3.4299999999999997</v>
      </c>
      <c r="J251" s="122">
        <v>3.4299999999999997</v>
      </c>
      <c r="K251" s="122">
        <v>3.4299999999999997</v>
      </c>
      <c r="L251" s="122">
        <v>3.4299999999999997</v>
      </c>
      <c r="M251" s="122">
        <v>3.4299999999999997</v>
      </c>
    </row>
    <row r="252" spans="1:13" x14ac:dyDescent="0.25">
      <c r="A252" s="227"/>
      <c r="B252" s="230"/>
      <c r="C252" s="25" t="s">
        <v>33</v>
      </c>
      <c r="D252" s="2" t="s">
        <v>14</v>
      </c>
      <c r="E252" s="122"/>
      <c r="F252" s="122"/>
      <c r="G252" s="122"/>
      <c r="H252" s="122"/>
      <c r="I252" s="122"/>
      <c r="J252" s="122"/>
      <c r="K252" s="122"/>
      <c r="L252" s="122"/>
      <c r="M252" s="122"/>
    </row>
    <row r="253" spans="1:13" x14ac:dyDescent="0.25">
      <c r="A253" s="227"/>
      <c r="B253" s="230"/>
      <c r="C253" s="25" t="s">
        <v>34</v>
      </c>
      <c r="D253" s="2" t="s">
        <v>4</v>
      </c>
      <c r="E253" s="122"/>
      <c r="F253" s="122"/>
      <c r="G253" s="122"/>
      <c r="H253" s="122"/>
      <c r="I253" s="122"/>
      <c r="J253" s="122"/>
      <c r="K253" s="122"/>
      <c r="L253" s="122"/>
      <c r="M253" s="122"/>
    </row>
    <row r="254" spans="1:13" x14ac:dyDescent="0.25">
      <c r="A254" s="227"/>
      <c r="B254" s="230"/>
      <c r="C254" s="25" t="s">
        <v>129</v>
      </c>
      <c r="D254" s="1" t="s">
        <v>19</v>
      </c>
      <c r="E254" s="126">
        <v>0.546875</v>
      </c>
      <c r="F254" s="126">
        <v>0.546875</v>
      </c>
      <c r="G254" s="126">
        <v>0.54687499999999989</v>
      </c>
      <c r="H254" s="126">
        <v>0.546875</v>
      </c>
      <c r="I254" s="126">
        <v>0.546875</v>
      </c>
      <c r="J254" s="126">
        <v>0.546875</v>
      </c>
      <c r="K254" s="126">
        <v>0.546875</v>
      </c>
      <c r="L254" s="126">
        <v>0.546875</v>
      </c>
      <c r="M254" s="126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122">
        <v>0.64</v>
      </c>
      <c r="F255" s="122">
        <v>0.64</v>
      </c>
      <c r="G255" s="122">
        <v>0.64</v>
      </c>
      <c r="H255" s="122">
        <v>0.64</v>
      </c>
      <c r="I255" s="122">
        <v>0.64</v>
      </c>
      <c r="J255" s="122">
        <v>0.64</v>
      </c>
      <c r="K255" s="122">
        <v>0.64</v>
      </c>
      <c r="L255" s="122">
        <v>0.64</v>
      </c>
      <c r="M255" s="122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122">
        <v>20</v>
      </c>
      <c r="F256" s="122">
        <v>20</v>
      </c>
      <c r="G256" s="122">
        <v>20</v>
      </c>
      <c r="H256" s="122">
        <v>20</v>
      </c>
      <c r="I256" s="122">
        <v>20</v>
      </c>
      <c r="J256" s="122">
        <v>20</v>
      </c>
      <c r="K256" s="122">
        <v>20</v>
      </c>
      <c r="L256" s="122">
        <v>20</v>
      </c>
      <c r="M256" s="122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127">
        <v>867.98928801546379</v>
      </c>
      <c r="F257" s="127">
        <v>844.84087352724589</v>
      </c>
      <c r="G257" s="127">
        <v>783.11176822533128</v>
      </c>
      <c r="H257" s="127">
        <v>698.23424843519865</v>
      </c>
      <c r="I257" s="127">
        <v>582.49217599410895</v>
      </c>
      <c r="J257" s="127">
        <v>496.07142857142856</v>
      </c>
      <c r="K257" s="127">
        <v>496.07142857142856</v>
      </c>
      <c r="L257" s="127">
        <v>496.07142857142856</v>
      </c>
      <c r="M257" s="127">
        <v>496.07142857142856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124">
        <v>0</v>
      </c>
      <c r="F258" s="124">
        <v>0</v>
      </c>
      <c r="G258" s="124">
        <v>0</v>
      </c>
      <c r="H258" s="124">
        <v>0</v>
      </c>
      <c r="I258" s="124">
        <v>0</v>
      </c>
      <c r="J258" s="124">
        <v>0</v>
      </c>
      <c r="K258" s="124">
        <v>0</v>
      </c>
      <c r="L258" s="124">
        <v>0</v>
      </c>
      <c r="M258" s="124">
        <v>0</v>
      </c>
    </row>
    <row r="259" spans="1:13" x14ac:dyDescent="0.25">
      <c r="A259" s="227"/>
      <c r="B259" s="230"/>
      <c r="C259" s="25" t="s">
        <v>133</v>
      </c>
      <c r="D259" s="1" t="s">
        <v>8</v>
      </c>
      <c r="E259" s="123">
        <v>50.989543446244483</v>
      </c>
      <c r="F259" s="123">
        <v>67.502798232695142</v>
      </c>
      <c r="G259" s="123">
        <v>111.53814432989691</v>
      </c>
      <c r="H259" s="123">
        <v>172.08674521354934</v>
      </c>
      <c r="I259" s="123">
        <v>254.65301914580263</v>
      </c>
      <c r="J259" s="123">
        <v>419.78556701030925</v>
      </c>
      <c r="K259" s="123">
        <v>584.91811487481596</v>
      </c>
      <c r="L259" s="123">
        <v>584.91811487481596</v>
      </c>
      <c r="M259" s="123">
        <v>584.91811487481596</v>
      </c>
    </row>
    <row r="260" spans="1:13" x14ac:dyDescent="0.25">
      <c r="A260" s="227"/>
      <c r="B260" s="230"/>
      <c r="C260" s="25" t="s">
        <v>134</v>
      </c>
      <c r="D260" s="1" t="s">
        <v>9</v>
      </c>
      <c r="E260" s="122"/>
      <c r="F260" s="122"/>
      <c r="G260" s="122"/>
      <c r="H260" s="122"/>
      <c r="I260" s="122"/>
      <c r="J260" s="122"/>
      <c r="K260" s="122"/>
      <c r="L260" s="122"/>
      <c r="M260" s="122"/>
    </row>
    <row r="261" spans="1:13" x14ac:dyDescent="0.25">
      <c r="A261" s="227"/>
      <c r="B261" s="230"/>
      <c r="C261" s="25" t="s">
        <v>135</v>
      </c>
      <c r="D261" s="1" t="s">
        <v>10</v>
      </c>
      <c r="E261" s="122"/>
      <c r="F261" s="122"/>
      <c r="G261" s="122"/>
      <c r="H261" s="122"/>
      <c r="I261" s="122"/>
      <c r="J261" s="122"/>
      <c r="K261" s="122"/>
      <c r="L261" s="122"/>
      <c r="M261" s="122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122"/>
      <c r="F262" s="122"/>
      <c r="G262" s="122"/>
      <c r="H262" s="122"/>
      <c r="I262" s="122"/>
      <c r="J262" s="122"/>
      <c r="K262" s="122"/>
      <c r="L262" s="122"/>
      <c r="M262" s="122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122">
        <v>40</v>
      </c>
      <c r="F263" s="122">
        <v>40</v>
      </c>
      <c r="G263" s="122">
        <v>40</v>
      </c>
      <c r="H263" s="122">
        <v>40</v>
      </c>
      <c r="I263" s="122">
        <v>40</v>
      </c>
      <c r="J263" s="122">
        <v>40</v>
      </c>
      <c r="K263" s="122">
        <v>40</v>
      </c>
      <c r="L263" s="122">
        <v>40</v>
      </c>
      <c r="M263" s="122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123">
        <v>300</v>
      </c>
      <c r="F264" s="123">
        <v>183.33333333333334</v>
      </c>
      <c r="G264" s="123">
        <v>100</v>
      </c>
      <c r="H264" s="123">
        <v>76</v>
      </c>
      <c r="I264" s="123">
        <v>60</v>
      </c>
      <c r="J264" s="123">
        <v>42.857142857142854</v>
      </c>
      <c r="K264" s="123">
        <v>27.058823529411764</v>
      </c>
      <c r="L264" s="123">
        <v>18.421052631578949</v>
      </c>
      <c r="M264" s="123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124">
        <v>0</v>
      </c>
      <c r="F265" s="124">
        <v>0</v>
      </c>
      <c r="G265" s="124">
        <v>0</v>
      </c>
      <c r="H265" s="124">
        <v>0</v>
      </c>
      <c r="I265" s="124">
        <v>0</v>
      </c>
      <c r="J265" s="124">
        <v>0</v>
      </c>
      <c r="K265" s="124">
        <v>0</v>
      </c>
      <c r="L265" s="124">
        <v>0</v>
      </c>
      <c r="M265" s="124">
        <v>0</v>
      </c>
    </row>
    <row r="266" spans="1:13" x14ac:dyDescent="0.25">
      <c r="A266" s="208"/>
      <c r="B266" s="225"/>
      <c r="C266" s="25" t="s">
        <v>106</v>
      </c>
      <c r="D266" s="1" t="s">
        <v>8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23">
        <v>0</v>
      </c>
      <c r="M266" s="123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122"/>
      <c r="F267" s="122"/>
      <c r="G267" s="122"/>
      <c r="H267" s="122"/>
      <c r="I267" s="122"/>
      <c r="J267" s="122"/>
      <c r="K267" s="122"/>
      <c r="L267" s="122"/>
      <c r="M267" s="122"/>
    </row>
    <row r="268" spans="1:13" x14ac:dyDescent="0.25">
      <c r="A268" s="208"/>
      <c r="B268" s="225"/>
      <c r="C268" s="25" t="s">
        <v>108</v>
      </c>
      <c r="D268" s="1" t="s">
        <v>10</v>
      </c>
      <c r="E268" s="122"/>
      <c r="F268" s="122"/>
      <c r="G268" s="122"/>
      <c r="H268" s="122"/>
      <c r="I268" s="122"/>
      <c r="J268" s="122"/>
      <c r="K268" s="122"/>
      <c r="L268" s="122"/>
      <c r="M268" s="122"/>
    </row>
    <row r="269" spans="1:13" x14ac:dyDescent="0.25">
      <c r="A269" s="208"/>
      <c r="B269" s="225"/>
      <c r="C269" s="26" t="s">
        <v>11</v>
      </c>
      <c r="D269" s="27" t="s">
        <v>10</v>
      </c>
      <c r="E269" s="122"/>
      <c r="F269" s="122"/>
      <c r="G269" s="122"/>
      <c r="H269" s="122"/>
      <c r="I269" s="122"/>
      <c r="J269" s="122"/>
      <c r="K269" s="122"/>
      <c r="L269" s="122"/>
      <c r="M269" s="122"/>
    </row>
    <row r="270" spans="1:13" x14ac:dyDescent="0.25">
      <c r="A270" s="208"/>
      <c r="B270" s="225"/>
      <c r="C270" s="25" t="s">
        <v>12</v>
      </c>
      <c r="D270" s="1" t="s">
        <v>7</v>
      </c>
      <c r="E270" s="124">
        <v>1</v>
      </c>
      <c r="F270" s="124">
        <v>1</v>
      </c>
      <c r="G270" s="124">
        <v>1</v>
      </c>
      <c r="H270" s="124">
        <v>1</v>
      </c>
      <c r="I270" s="124">
        <v>1</v>
      </c>
      <c r="J270" s="124">
        <v>1</v>
      </c>
      <c r="K270" s="124">
        <v>1</v>
      </c>
      <c r="L270" s="124">
        <v>1</v>
      </c>
      <c r="M270" s="124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123">
        <v>31017</v>
      </c>
      <c r="F271" s="123">
        <v>31902</v>
      </c>
      <c r="G271" s="123">
        <v>34262</v>
      </c>
      <c r="H271" s="123">
        <v>37507</v>
      </c>
      <c r="I271" s="123">
        <v>41932</v>
      </c>
      <c r="J271" s="123">
        <v>50782</v>
      </c>
      <c r="K271" s="123">
        <v>80282</v>
      </c>
      <c r="L271" s="123">
        <v>151952</v>
      </c>
      <c r="M271" s="123">
        <v>292470.28399999999</v>
      </c>
    </row>
    <row r="272" spans="1:13" x14ac:dyDescent="0.25">
      <c r="A272" s="208"/>
      <c r="B272" s="225"/>
      <c r="C272" s="25" t="s">
        <v>15</v>
      </c>
      <c r="D272" s="1" t="s">
        <v>4</v>
      </c>
      <c r="E272" s="122">
        <v>40</v>
      </c>
      <c r="F272" s="122">
        <v>40</v>
      </c>
      <c r="G272" s="122">
        <v>40</v>
      </c>
      <c r="H272" s="122">
        <v>40</v>
      </c>
      <c r="I272" s="122">
        <v>40</v>
      </c>
      <c r="J272" s="122">
        <v>40</v>
      </c>
      <c r="K272" s="122">
        <v>40</v>
      </c>
      <c r="L272" s="122">
        <v>40</v>
      </c>
      <c r="M272" s="122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122">
        <v>40</v>
      </c>
      <c r="F273" s="122">
        <v>40</v>
      </c>
      <c r="G273" s="122">
        <v>40</v>
      </c>
      <c r="H273" s="122">
        <v>40</v>
      </c>
      <c r="I273" s="122">
        <v>40</v>
      </c>
      <c r="J273" s="122">
        <v>40</v>
      </c>
      <c r="K273" s="122">
        <v>40</v>
      </c>
      <c r="L273" s="122">
        <v>40</v>
      </c>
      <c r="M273" s="122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122"/>
      <c r="F274" s="122"/>
      <c r="G274" s="122"/>
      <c r="H274" s="122"/>
      <c r="I274" s="122"/>
      <c r="J274" s="122"/>
      <c r="K274" s="122"/>
      <c r="L274" s="122"/>
      <c r="M274" s="122"/>
    </row>
    <row r="275" spans="1:13" x14ac:dyDescent="0.25">
      <c r="A275" s="208"/>
      <c r="B275" s="225"/>
      <c r="C275" s="25" t="s">
        <v>176</v>
      </c>
      <c r="D275" s="1" t="s">
        <v>19</v>
      </c>
      <c r="E275" s="124">
        <v>0</v>
      </c>
      <c r="F275" s="124">
        <v>0</v>
      </c>
      <c r="G275" s="124">
        <v>0</v>
      </c>
      <c r="H275" s="124">
        <v>0</v>
      </c>
      <c r="I275" s="124">
        <v>0</v>
      </c>
      <c r="J275" s="124">
        <v>0</v>
      </c>
      <c r="K275" s="124">
        <v>0</v>
      </c>
      <c r="L275" s="124">
        <v>0</v>
      </c>
      <c r="M275" s="124">
        <v>0</v>
      </c>
    </row>
    <row r="276" spans="1:13" x14ac:dyDescent="0.25">
      <c r="A276" s="208"/>
      <c r="B276" s="225"/>
      <c r="C276" s="25" t="s">
        <v>106</v>
      </c>
      <c r="D276" s="1" t="s">
        <v>8</v>
      </c>
      <c r="E276" s="123">
        <v>0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123">
        <v>0</v>
      </c>
      <c r="L276" s="123">
        <v>0</v>
      </c>
      <c r="M276" s="123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122"/>
      <c r="F277" s="122"/>
      <c r="G277" s="122"/>
      <c r="H277" s="122"/>
      <c r="I277" s="122"/>
      <c r="J277" s="122"/>
      <c r="K277" s="122"/>
      <c r="L277" s="122"/>
      <c r="M277" s="122"/>
    </row>
    <row r="278" spans="1:13" x14ac:dyDescent="0.25">
      <c r="A278" s="208"/>
      <c r="B278" s="225"/>
      <c r="C278" s="25" t="s">
        <v>108</v>
      </c>
      <c r="D278" s="1" t="s">
        <v>10</v>
      </c>
      <c r="E278" s="122"/>
      <c r="F278" s="122"/>
      <c r="G278" s="122"/>
      <c r="H278" s="122"/>
      <c r="I278" s="122"/>
      <c r="J278" s="122"/>
      <c r="K278" s="122"/>
      <c r="L278" s="122"/>
      <c r="M278" s="122"/>
    </row>
    <row r="279" spans="1:13" x14ac:dyDescent="0.25">
      <c r="A279" s="208"/>
      <c r="B279" s="225"/>
      <c r="C279" s="26" t="s">
        <v>11</v>
      </c>
      <c r="D279" s="27" t="s">
        <v>10</v>
      </c>
      <c r="E279" s="122"/>
      <c r="F279" s="122"/>
      <c r="G279" s="122"/>
      <c r="H279" s="122"/>
      <c r="I279" s="122"/>
      <c r="J279" s="122"/>
      <c r="K279" s="122"/>
      <c r="L279" s="122"/>
      <c r="M279" s="122"/>
    </row>
    <row r="280" spans="1:13" x14ac:dyDescent="0.25">
      <c r="A280" s="208"/>
      <c r="B280" s="225"/>
      <c r="C280" s="25" t="s">
        <v>12</v>
      </c>
      <c r="D280" s="1" t="s">
        <v>7</v>
      </c>
      <c r="E280" s="124">
        <v>1</v>
      </c>
      <c r="F280" s="124">
        <v>1</v>
      </c>
      <c r="G280" s="124">
        <v>1</v>
      </c>
      <c r="H280" s="124">
        <v>1</v>
      </c>
      <c r="I280" s="124">
        <v>1</v>
      </c>
      <c r="J280" s="124">
        <v>1</v>
      </c>
      <c r="K280" s="124">
        <v>1</v>
      </c>
      <c r="L280" s="124">
        <v>1</v>
      </c>
      <c r="M280" s="124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123">
        <v>92256.599999999991</v>
      </c>
      <c r="F281" s="123">
        <v>92691.599999999991</v>
      </c>
      <c r="G281" s="123">
        <v>93851.599999999991</v>
      </c>
      <c r="H281" s="123">
        <v>95446.599999999991</v>
      </c>
      <c r="I281" s="123">
        <v>97621.599999999991</v>
      </c>
      <c r="J281" s="123">
        <v>101971.59999999999</v>
      </c>
      <c r="K281" s="123">
        <v>116471.59999999999</v>
      </c>
      <c r="L281" s="123">
        <v>146921.59999999998</v>
      </c>
      <c r="M281" s="123">
        <v>207821.59999999998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123">
        <v>40</v>
      </c>
      <c r="F282" s="123">
        <v>40</v>
      </c>
      <c r="G282" s="123">
        <v>40</v>
      </c>
      <c r="H282" s="123">
        <v>40</v>
      </c>
      <c r="I282" s="123">
        <v>40</v>
      </c>
      <c r="J282" s="123">
        <v>40</v>
      </c>
      <c r="K282" s="123">
        <v>40</v>
      </c>
      <c r="L282" s="123">
        <v>40</v>
      </c>
      <c r="M282" s="123">
        <v>40</v>
      </c>
    </row>
  </sheetData>
  <sheetProtection algorithmName="SHA-512" hashValue="2G7sSaUCstoswwLvTIhnMD36O5iw4VfMTccaKlapUKRIkGG0OXfEMvQnh7nzzJ1ImMp+ZX5JOKGGwy9zN4umag==" saltValue="nS3q5nvHdxRsYDHK2R466g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20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130" bestFit="1" customWidth="1"/>
    <col min="13" max="13" width="13.42578125" style="130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128">
        <v>15</v>
      </c>
      <c r="F1" s="129">
        <v>30</v>
      </c>
      <c r="G1" s="129">
        <v>70</v>
      </c>
      <c r="H1" s="129">
        <v>125</v>
      </c>
      <c r="I1" s="129">
        <v>200</v>
      </c>
      <c r="J1" s="129">
        <v>350</v>
      </c>
      <c r="K1" s="129">
        <v>850</v>
      </c>
      <c r="L1" s="129">
        <v>1900</v>
      </c>
      <c r="M1" s="129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122">
        <v>20</v>
      </c>
      <c r="F2" s="122">
        <v>20</v>
      </c>
      <c r="G2" s="122">
        <v>20</v>
      </c>
      <c r="H2" s="122">
        <v>20</v>
      </c>
      <c r="I2" s="122">
        <v>20</v>
      </c>
      <c r="J2" s="122">
        <v>20</v>
      </c>
      <c r="K2" s="122">
        <v>20</v>
      </c>
      <c r="L2" s="122">
        <v>20</v>
      </c>
      <c r="M2" s="122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123">
        <v>192.56641637688614</v>
      </c>
      <c r="F3" s="123">
        <v>163.18945257039451</v>
      </c>
      <c r="G3" s="123">
        <v>127.27927465146402</v>
      </c>
      <c r="H3" s="123">
        <v>102.70540718565383</v>
      </c>
      <c r="I3" s="123">
        <v>107.31263157894738</v>
      </c>
      <c r="J3" s="123">
        <v>107.00631578947369</v>
      </c>
      <c r="K3" s="123">
        <v>105.98526315789475</v>
      </c>
      <c r="L3" s="123">
        <v>103.84105263157896</v>
      </c>
      <c r="M3" s="123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124">
        <v>0</v>
      </c>
      <c r="F4" s="124">
        <v>0</v>
      </c>
      <c r="G4" s="124">
        <v>0</v>
      </c>
      <c r="H4" s="124">
        <v>0</v>
      </c>
      <c r="I4" s="124">
        <v>0</v>
      </c>
      <c r="J4" s="124">
        <v>0</v>
      </c>
      <c r="K4" s="124">
        <v>0</v>
      </c>
      <c r="L4" s="124">
        <v>0</v>
      </c>
      <c r="M4" s="124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122"/>
      <c r="F5" s="122"/>
      <c r="G5" s="122"/>
      <c r="H5" s="122"/>
      <c r="I5" s="122"/>
      <c r="J5" s="122"/>
      <c r="K5" s="122"/>
      <c r="L5" s="122"/>
      <c r="M5" s="122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123">
        <v>5.7769924913065838</v>
      </c>
      <c r="F6" s="123">
        <v>4.8956835771118348</v>
      </c>
      <c r="G6" s="123">
        <v>3.8183782395439203</v>
      </c>
      <c r="H6" s="123">
        <v>3.0811622155696146</v>
      </c>
      <c r="I6" s="123">
        <v>2.0378947368421052</v>
      </c>
      <c r="J6" s="123">
        <v>2.0189473684210526</v>
      </c>
      <c r="K6" s="123">
        <v>1.9557894736842103</v>
      </c>
      <c r="L6" s="123">
        <v>1.8231578947368419</v>
      </c>
      <c r="M6" s="123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123">
        <v>0</v>
      </c>
      <c r="F7" s="123">
        <v>0</v>
      </c>
      <c r="G7" s="123">
        <v>0</v>
      </c>
      <c r="H7" s="123">
        <v>0</v>
      </c>
      <c r="I7" s="123">
        <v>0</v>
      </c>
      <c r="J7" s="123">
        <v>0</v>
      </c>
      <c r="K7" s="123">
        <v>1.7051368421052632E-3</v>
      </c>
      <c r="L7" s="123">
        <v>1.5645473684210527E-3</v>
      </c>
      <c r="M7" s="123">
        <v>1.2833684210526316E-3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123">
        <v>0</v>
      </c>
      <c r="F8" s="122"/>
      <c r="G8" s="122"/>
      <c r="H8" s="122"/>
      <c r="I8" s="122"/>
      <c r="J8" s="122"/>
      <c r="K8" s="122"/>
      <c r="L8" s="122"/>
      <c r="M8" s="122"/>
      <c r="N8" s="54"/>
    </row>
    <row r="9" spans="1:14" x14ac:dyDescent="0.25">
      <c r="A9" s="208"/>
      <c r="B9" s="224"/>
      <c r="C9" s="25" t="s">
        <v>12</v>
      </c>
      <c r="D9" s="1" t="s">
        <v>7</v>
      </c>
      <c r="E9" s="124">
        <v>0.99749999999999994</v>
      </c>
      <c r="F9" s="124">
        <v>0.99749999999999994</v>
      </c>
      <c r="G9" s="124">
        <v>0.99749999999999994</v>
      </c>
      <c r="H9" s="124">
        <v>0.99749999999999994</v>
      </c>
      <c r="I9" s="124">
        <v>0.99749999999999994</v>
      </c>
      <c r="J9" s="124">
        <v>0.99749999999999994</v>
      </c>
      <c r="K9" s="124">
        <v>0.999</v>
      </c>
      <c r="L9" s="124">
        <v>0.999</v>
      </c>
      <c r="M9" s="124">
        <v>0.999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123">
        <v>1524.6</v>
      </c>
      <c r="F10" s="123">
        <v>1749.6</v>
      </c>
      <c r="G10" s="123">
        <v>2349.6</v>
      </c>
      <c r="H10" s="123">
        <v>3174.6</v>
      </c>
      <c r="I10" s="123">
        <v>4299.6000000000004</v>
      </c>
      <c r="J10" s="123">
        <v>14213</v>
      </c>
      <c r="K10" s="123">
        <v>21713</v>
      </c>
      <c r="L10" s="123">
        <v>37463</v>
      </c>
      <c r="M10" s="123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122">
        <v>40</v>
      </c>
      <c r="F11" s="122">
        <v>40</v>
      </c>
      <c r="G11" s="122">
        <v>40</v>
      </c>
      <c r="H11" s="122">
        <v>40</v>
      </c>
      <c r="I11" s="122">
        <v>40</v>
      </c>
      <c r="J11" s="122">
        <v>40</v>
      </c>
      <c r="K11" s="122">
        <v>40</v>
      </c>
      <c r="L11" s="122">
        <v>40</v>
      </c>
      <c r="M11" s="122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122">
        <v>20</v>
      </c>
      <c r="F12" s="122">
        <v>20</v>
      </c>
      <c r="G12" s="122">
        <v>20</v>
      </c>
      <c r="H12" s="122">
        <v>20</v>
      </c>
      <c r="I12" s="122">
        <v>20</v>
      </c>
      <c r="J12" s="122">
        <v>20</v>
      </c>
      <c r="K12" s="122">
        <v>20</v>
      </c>
      <c r="L12" s="122">
        <v>20</v>
      </c>
      <c r="M12" s="122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123">
        <v>494.71174673968642</v>
      </c>
      <c r="F13" s="123">
        <v>312.36296273633667</v>
      </c>
      <c r="G13" s="123">
        <v>178.05603719956605</v>
      </c>
      <c r="H13" s="123">
        <v>121.20304082376755</v>
      </c>
      <c r="I13" s="123">
        <v>109.6</v>
      </c>
      <c r="J13" s="123">
        <v>109.6</v>
      </c>
      <c r="K13" s="123">
        <v>171.91447304854711</v>
      </c>
      <c r="L13" s="123">
        <v>255.68869759648467</v>
      </c>
      <c r="M13" s="123">
        <v>423.23714669235983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124">
        <v>0</v>
      </c>
      <c r="F14" s="124">
        <v>0</v>
      </c>
      <c r="G14" s="124">
        <v>0</v>
      </c>
      <c r="H14" s="124">
        <v>0</v>
      </c>
      <c r="I14" s="124">
        <v>0</v>
      </c>
      <c r="J14" s="124">
        <v>0</v>
      </c>
      <c r="K14" s="124">
        <v>0</v>
      </c>
      <c r="L14" s="124">
        <v>0</v>
      </c>
      <c r="M14" s="124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122"/>
      <c r="F15" s="122"/>
      <c r="G15" s="122"/>
      <c r="H15" s="122"/>
      <c r="I15" s="122"/>
      <c r="J15" s="122"/>
      <c r="K15" s="122"/>
      <c r="L15" s="122"/>
      <c r="M15" s="122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123">
        <v>29.682704804381178</v>
      </c>
      <c r="F16" s="123">
        <v>18.741777764180195</v>
      </c>
      <c r="G16" s="123">
        <v>10.683362231973959</v>
      </c>
      <c r="H16" s="123">
        <v>7.2721824494260519</v>
      </c>
      <c r="I16" s="123">
        <v>6.8624146125191272</v>
      </c>
      <c r="J16" s="123">
        <v>6.8624146125191272</v>
      </c>
      <c r="K16" s="123">
        <v>6.5392098262047078</v>
      </c>
      <c r="L16" s="123">
        <v>6.0171097867737213</v>
      </c>
      <c r="M16" s="123">
        <v>4.9729097079117501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123">
        <v>0</v>
      </c>
      <c r="F17" s="123">
        <v>0</v>
      </c>
      <c r="G17" s="123">
        <v>0</v>
      </c>
      <c r="H17" s="123">
        <v>0</v>
      </c>
      <c r="I17" s="123">
        <v>0</v>
      </c>
      <c r="J17" s="123">
        <v>0</v>
      </c>
      <c r="K17" s="123">
        <v>2.4763769947298963E-3</v>
      </c>
      <c r="L17" s="123">
        <v>2.4763769947298963E-3</v>
      </c>
      <c r="M17" s="123">
        <v>2.4763769947298963E-3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123">
        <v>0</v>
      </c>
      <c r="F18" s="123">
        <v>0</v>
      </c>
      <c r="G18" s="123">
        <v>0</v>
      </c>
      <c r="H18" s="123">
        <v>0</v>
      </c>
      <c r="I18" s="123">
        <v>0</v>
      </c>
      <c r="J18" s="123">
        <v>0</v>
      </c>
      <c r="K18" s="123">
        <v>0</v>
      </c>
      <c r="L18" s="123">
        <v>0</v>
      </c>
      <c r="M18" s="123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124">
        <v>0.87200000000000033</v>
      </c>
      <c r="F19" s="124">
        <v>0.87200000000000033</v>
      </c>
      <c r="G19" s="124">
        <v>0.87200000000000033</v>
      </c>
      <c r="H19" s="124">
        <v>0.87200000000000033</v>
      </c>
      <c r="I19" s="124">
        <v>0.87200000000000033</v>
      </c>
      <c r="J19" s="124">
        <v>0.87200000000000033</v>
      </c>
      <c r="K19" s="124">
        <v>0.87200000000000033</v>
      </c>
      <c r="L19" s="124">
        <v>0.95516666666666661</v>
      </c>
      <c r="M19" s="124">
        <v>0.95516666666666661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122"/>
      <c r="F20" s="122"/>
      <c r="G20" s="122"/>
      <c r="H20" s="122"/>
      <c r="I20" s="122"/>
      <c r="J20" s="122"/>
      <c r="K20" s="122"/>
      <c r="L20" s="122"/>
      <c r="M20" s="122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122"/>
      <c r="F21" s="122"/>
      <c r="G21" s="122"/>
      <c r="H21" s="122"/>
      <c r="I21" s="122"/>
      <c r="J21" s="122"/>
      <c r="K21" s="122"/>
      <c r="L21" s="122"/>
      <c r="M21" s="122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122">
        <v>20</v>
      </c>
      <c r="F22" s="122">
        <v>20</v>
      </c>
      <c r="G22" s="122">
        <v>20</v>
      </c>
      <c r="H22" s="122">
        <v>20</v>
      </c>
      <c r="I22" s="122">
        <v>20</v>
      </c>
      <c r="J22" s="122">
        <v>20</v>
      </c>
      <c r="K22" s="122">
        <v>20</v>
      </c>
      <c r="L22" s="122">
        <v>20</v>
      </c>
      <c r="M22" s="122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123">
        <v>756.50213541090761</v>
      </c>
      <c r="F23" s="123">
        <v>540.20663720034383</v>
      </c>
      <c r="G23" s="123">
        <v>421.48150193390472</v>
      </c>
      <c r="H23" s="123">
        <v>421.48150193390472</v>
      </c>
      <c r="I23" s="123">
        <v>421.48150193390472</v>
      </c>
      <c r="J23" s="123">
        <v>421.48150193390472</v>
      </c>
      <c r="K23" s="123">
        <v>1120.903443434433</v>
      </c>
      <c r="L23" s="123">
        <v>975.21226311391229</v>
      </c>
      <c r="M23" s="123">
        <v>857.30536609258718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122"/>
      <c r="F25" s="122"/>
      <c r="G25" s="122"/>
      <c r="H25" s="122"/>
      <c r="I25" s="122"/>
      <c r="J25" s="122"/>
      <c r="K25" s="122"/>
      <c r="L25" s="122"/>
      <c r="M25" s="122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123">
        <v>11.347532031163613</v>
      </c>
      <c r="F26" s="123">
        <v>8.103099558005157</v>
      </c>
      <c r="G26" s="123">
        <v>6.3222225290085703</v>
      </c>
      <c r="H26" s="123">
        <v>6.3222225290085703</v>
      </c>
      <c r="I26" s="123">
        <v>6.3222225290085703</v>
      </c>
      <c r="J26" s="123">
        <v>6.3222225290085703</v>
      </c>
      <c r="K26" s="123">
        <v>1.538</v>
      </c>
      <c r="L26" s="123">
        <v>1.538</v>
      </c>
      <c r="M26" s="123">
        <v>1.538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123">
        <v>0</v>
      </c>
      <c r="F27" s="123">
        <v>0</v>
      </c>
      <c r="G27" s="123">
        <v>0</v>
      </c>
      <c r="H27" s="123">
        <v>0</v>
      </c>
      <c r="I27" s="123">
        <v>0</v>
      </c>
      <c r="J27" s="123">
        <v>0</v>
      </c>
      <c r="K27" s="123">
        <v>2.0100000000000001E-3</v>
      </c>
      <c r="L27" s="123">
        <v>2.0100000000000001E-3</v>
      </c>
      <c r="M27" s="123">
        <v>2.0100000000000001E-3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123">
        <v>0</v>
      </c>
      <c r="F28" s="123">
        <v>0</v>
      </c>
      <c r="G28" s="123">
        <v>0</v>
      </c>
      <c r="H28" s="123">
        <v>0</v>
      </c>
      <c r="I28" s="123">
        <v>0</v>
      </c>
      <c r="J28" s="123">
        <v>0</v>
      </c>
      <c r="K28" s="123">
        <v>0</v>
      </c>
      <c r="L28" s="123">
        <v>0</v>
      </c>
      <c r="M28" s="123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123">
        <v>0</v>
      </c>
      <c r="F29" s="123">
        <v>0</v>
      </c>
      <c r="G29" s="123">
        <v>0</v>
      </c>
      <c r="H29" s="123">
        <v>0</v>
      </c>
      <c r="I29" s="123">
        <v>0</v>
      </c>
      <c r="J29" s="123">
        <v>0</v>
      </c>
      <c r="K29" s="123">
        <v>0</v>
      </c>
      <c r="L29" s="123">
        <v>0</v>
      </c>
      <c r="M29" s="123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122">
        <v>3.98</v>
      </c>
      <c r="F30" s="122">
        <v>3.98</v>
      </c>
      <c r="G30" s="122">
        <v>3.98</v>
      </c>
      <c r="H30" s="122">
        <v>3.98</v>
      </c>
      <c r="I30" s="122">
        <v>3.98</v>
      </c>
      <c r="J30" s="122">
        <v>3.98</v>
      </c>
      <c r="K30" s="122">
        <v>3.98</v>
      </c>
      <c r="L30" s="122">
        <v>3.98</v>
      </c>
      <c r="M30" s="122">
        <v>3.98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122"/>
      <c r="F31" s="122"/>
      <c r="G31" s="122"/>
      <c r="H31" s="122"/>
      <c r="I31" s="122"/>
      <c r="J31" s="122"/>
      <c r="K31" s="122"/>
      <c r="L31" s="122"/>
      <c r="M31" s="122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122"/>
      <c r="F32" s="122"/>
      <c r="G32" s="122"/>
      <c r="H32" s="122"/>
      <c r="I32" s="122"/>
      <c r="J32" s="122"/>
      <c r="K32" s="122"/>
      <c r="L32" s="122"/>
      <c r="M32" s="122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122">
        <v>20</v>
      </c>
      <c r="F33" s="122">
        <v>20</v>
      </c>
      <c r="G33" s="122">
        <v>20</v>
      </c>
      <c r="H33" s="122">
        <v>20</v>
      </c>
      <c r="I33" s="122">
        <v>20</v>
      </c>
      <c r="J33" s="122">
        <v>20</v>
      </c>
      <c r="K33" s="122">
        <v>20</v>
      </c>
      <c r="L33" s="122">
        <v>20</v>
      </c>
      <c r="M33" s="122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123">
        <v>756.50213541090761</v>
      </c>
      <c r="F34" s="123">
        <v>540.20663720034383</v>
      </c>
      <c r="G34" s="123">
        <v>421.48150193390472</v>
      </c>
      <c r="H34" s="123">
        <v>421.48150193390472</v>
      </c>
      <c r="I34" s="123">
        <v>421.48150193390472</v>
      </c>
      <c r="J34" s="123">
        <v>421.48150193390472</v>
      </c>
      <c r="K34" s="123">
        <v>1120.903443434433</v>
      </c>
      <c r="L34" s="123">
        <v>975.21226311391229</v>
      </c>
      <c r="M34" s="123">
        <v>857.30536609258718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124">
        <v>0</v>
      </c>
      <c r="F35" s="124">
        <v>0</v>
      </c>
      <c r="G35" s="124">
        <v>0</v>
      </c>
      <c r="H35" s="124">
        <v>0</v>
      </c>
      <c r="I35" s="124">
        <v>0</v>
      </c>
      <c r="J35" s="124">
        <v>0</v>
      </c>
      <c r="K35" s="124">
        <v>0</v>
      </c>
      <c r="L35" s="124">
        <v>0</v>
      </c>
      <c r="M35" s="124">
        <v>0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122"/>
      <c r="F36" s="122"/>
      <c r="G36" s="122"/>
      <c r="H36" s="122"/>
      <c r="I36" s="122"/>
      <c r="J36" s="122"/>
      <c r="K36" s="122"/>
      <c r="L36" s="122"/>
      <c r="M36" s="122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123">
        <v>11.347532031163613</v>
      </c>
      <c r="F37" s="123">
        <v>8.103099558005157</v>
      </c>
      <c r="G37" s="123">
        <v>6.3222225290085703</v>
      </c>
      <c r="H37" s="123">
        <v>6.3222225290085703</v>
      </c>
      <c r="I37" s="123">
        <v>6.3222225290085703</v>
      </c>
      <c r="J37" s="123">
        <v>6.3222225290085703</v>
      </c>
      <c r="K37" s="123">
        <v>1.538</v>
      </c>
      <c r="L37" s="123">
        <v>1.538</v>
      </c>
      <c r="M37" s="123">
        <v>1.538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123">
        <v>0</v>
      </c>
      <c r="F38" s="123">
        <v>0</v>
      </c>
      <c r="G38" s="123">
        <v>0</v>
      </c>
      <c r="H38" s="123">
        <v>0</v>
      </c>
      <c r="I38" s="123">
        <v>0</v>
      </c>
      <c r="J38" s="123">
        <v>0</v>
      </c>
      <c r="K38" s="123">
        <v>2.0100000000000001E-3</v>
      </c>
      <c r="L38" s="123">
        <v>2.0100000000000001E-3</v>
      </c>
      <c r="M38" s="123">
        <v>2.0100000000000001E-3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123">
        <v>0</v>
      </c>
      <c r="F39" s="123">
        <v>0</v>
      </c>
      <c r="G39" s="123">
        <v>0</v>
      </c>
      <c r="H39" s="123">
        <v>0</v>
      </c>
      <c r="I39" s="123">
        <v>0</v>
      </c>
      <c r="J39" s="123">
        <v>0</v>
      </c>
      <c r="K39" s="123">
        <v>0</v>
      </c>
      <c r="L39" s="123">
        <v>0</v>
      </c>
      <c r="M39" s="123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123">
        <v>0</v>
      </c>
      <c r="F40" s="123">
        <v>0</v>
      </c>
      <c r="G40" s="123">
        <v>0</v>
      </c>
      <c r="H40" s="123">
        <v>0</v>
      </c>
      <c r="I40" s="123">
        <v>0</v>
      </c>
      <c r="J40" s="123">
        <v>0</v>
      </c>
      <c r="K40" s="123">
        <v>0</v>
      </c>
      <c r="L40" s="123">
        <v>0</v>
      </c>
      <c r="M40" s="123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122">
        <v>3.73</v>
      </c>
      <c r="F41" s="122">
        <v>3.73</v>
      </c>
      <c r="G41" s="122">
        <v>3.73</v>
      </c>
      <c r="H41" s="122">
        <v>3.73</v>
      </c>
      <c r="I41" s="122">
        <v>3.73</v>
      </c>
      <c r="J41" s="122">
        <v>3.73</v>
      </c>
      <c r="K41" s="122">
        <v>3.73</v>
      </c>
      <c r="L41" s="122">
        <v>3.73</v>
      </c>
      <c r="M41" s="122">
        <v>3.73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122"/>
      <c r="F42" s="122"/>
      <c r="G42" s="122"/>
      <c r="H42" s="122"/>
      <c r="I42" s="122"/>
      <c r="J42" s="122"/>
      <c r="K42" s="122"/>
      <c r="L42" s="122"/>
      <c r="M42" s="122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122"/>
      <c r="F43" s="122"/>
      <c r="G43" s="122"/>
      <c r="H43" s="122"/>
      <c r="I43" s="122"/>
      <c r="J43" s="122"/>
      <c r="K43" s="122"/>
      <c r="L43" s="122"/>
      <c r="M43" s="122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122">
        <v>20</v>
      </c>
      <c r="F44" s="122">
        <v>20</v>
      </c>
      <c r="G44" s="122">
        <v>20</v>
      </c>
      <c r="H44" s="122">
        <v>20</v>
      </c>
      <c r="I44" s="122">
        <v>20</v>
      </c>
      <c r="J44" s="122">
        <v>20</v>
      </c>
      <c r="K44" s="122">
        <v>20</v>
      </c>
      <c r="L44" s="122">
        <v>20</v>
      </c>
      <c r="M44" s="122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123">
        <v>756.50213541090761</v>
      </c>
      <c r="F45" s="123">
        <v>540.20663720034383</v>
      </c>
      <c r="G45" s="123">
        <v>421.48150193390472</v>
      </c>
      <c r="H45" s="123">
        <v>421.48150193390472</v>
      </c>
      <c r="I45" s="123">
        <v>421.48150193390472</v>
      </c>
      <c r="J45" s="123">
        <v>421.48150193390472</v>
      </c>
      <c r="K45" s="123">
        <v>1120.903443434433</v>
      </c>
      <c r="L45" s="123">
        <v>975.21226311391229</v>
      </c>
      <c r="M45" s="123">
        <v>857.30536609258718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124">
        <v>0</v>
      </c>
      <c r="F46" s="124">
        <v>0</v>
      </c>
      <c r="G46" s="124">
        <v>0</v>
      </c>
      <c r="H46" s="124">
        <v>0</v>
      </c>
      <c r="I46" s="124">
        <v>0</v>
      </c>
      <c r="J46" s="124">
        <v>0</v>
      </c>
      <c r="K46" s="124">
        <v>0</v>
      </c>
      <c r="L46" s="124">
        <v>0</v>
      </c>
      <c r="M46" s="124">
        <v>0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123">
        <v>11.347532031163613</v>
      </c>
      <c r="F48" s="123">
        <v>8.103099558005157</v>
      </c>
      <c r="G48" s="123">
        <v>6.3222225290085703</v>
      </c>
      <c r="H48" s="123">
        <v>6.3222225290085703</v>
      </c>
      <c r="I48" s="123">
        <v>6.3222225290085703</v>
      </c>
      <c r="J48" s="123">
        <v>6.3222225290085703</v>
      </c>
      <c r="K48" s="123">
        <v>1.538</v>
      </c>
      <c r="L48" s="123">
        <v>1.538</v>
      </c>
      <c r="M48" s="123">
        <v>1.538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123">
        <v>0</v>
      </c>
      <c r="F49" s="123">
        <v>0</v>
      </c>
      <c r="G49" s="123">
        <v>0</v>
      </c>
      <c r="H49" s="123">
        <v>0</v>
      </c>
      <c r="I49" s="123">
        <v>0</v>
      </c>
      <c r="J49" s="123">
        <v>0</v>
      </c>
      <c r="K49" s="123">
        <v>2.0100000000000001E-3</v>
      </c>
      <c r="L49" s="123">
        <v>2.0100000000000001E-3</v>
      </c>
      <c r="M49" s="123">
        <v>2.0100000000000001E-3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123">
        <v>0</v>
      </c>
      <c r="F51" s="123">
        <v>0</v>
      </c>
      <c r="G51" s="123">
        <v>0</v>
      </c>
      <c r="H51" s="123">
        <v>0</v>
      </c>
      <c r="I51" s="123">
        <v>0</v>
      </c>
      <c r="J51" s="123">
        <v>0</v>
      </c>
      <c r="K51" s="123">
        <v>0</v>
      </c>
      <c r="L51" s="123">
        <v>0</v>
      </c>
      <c r="M51" s="123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122">
        <v>3.48</v>
      </c>
      <c r="F52" s="122">
        <v>3.48</v>
      </c>
      <c r="G52" s="122">
        <v>3.48</v>
      </c>
      <c r="H52" s="122">
        <v>3.48</v>
      </c>
      <c r="I52" s="122">
        <v>3.48</v>
      </c>
      <c r="J52" s="122">
        <v>3.48</v>
      </c>
      <c r="K52" s="122">
        <v>3.48</v>
      </c>
      <c r="L52" s="122">
        <v>3.48</v>
      </c>
      <c r="M52" s="122">
        <v>3.48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122"/>
      <c r="F53" s="122"/>
      <c r="G53" s="122"/>
      <c r="H53" s="122"/>
      <c r="I53" s="122"/>
      <c r="J53" s="122"/>
      <c r="K53" s="122"/>
      <c r="L53" s="122"/>
      <c r="M53" s="122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122"/>
      <c r="F54" s="122"/>
      <c r="G54" s="122"/>
      <c r="H54" s="122"/>
      <c r="I54" s="122"/>
      <c r="J54" s="122"/>
      <c r="K54" s="122"/>
      <c r="L54" s="122"/>
      <c r="M54" s="122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122">
        <v>20</v>
      </c>
      <c r="F55" s="122">
        <v>20</v>
      </c>
      <c r="G55" s="122">
        <v>20</v>
      </c>
      <c r="H55" s="122">
        <v>20</v>
      </c>
      <c r="I55" s="122">
        <v>20</v>
      </c>
      <c r="J55" s="122">
        <v>20</v>
      </c>
      <c r="K55" s="122">
        <v>20</v>
      </c>
      <c r="L55" s="122">
        <v>20</v>
      </c>
      <c r="M55" s="122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123">
        <v>690.37350466796431</v>
      </c>
      <c r="F56" s="123">
        <v>482.27864832153284</v>
      </c>
      <c r="G56" s="123">
        <v>370.24487330434692</v>
      </c>
      <c r="H56" s="123">
        <v>370.24487330434692</v>
      </c>
      <c r="I56" s="123">
        <v>370.24487330434692</v>
      </c>
      <c r="J56" s="123">
        <v>370.24487330434692</v>
      </c>
      <c r="K56" s="123">
        <v>566.30399999999997</v>
      </c>
      <c r="L56" s="123">
        <v>566.30399999999997</v>
      </c>
      <c r="M56" s="123">
        <v>566.30399999999997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124">
        <v>0</v>
      </c>
      <c r="F57" s="124">
        <v>0</v>
      </c>
      <c r="G57" s="124">
        <v>0</v>
      </c>
      <c r="H57" s="124">
        <v>0</v>
      </c>
      <c r="I57" s="124">
        <v>0</v>
      </c>
      <c r="J57" s="124">
        <v>0</v>
      </c>
      <c r="K57" s="124">
        <v>0</v>
      </c>
      <c r="L57" s="124">
        <v>0</v>
      </c>
      <c r="M57" s="124">
        <v>0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122"/>
      <c r="F58" s="122"/>
      <c r="G58" s="122"/>
      <c r="H58" s="122"/>
      <c r="I58" s="122"/>
      <c r="J58" s="122"/>
      <c r="K58" s="122"/>
      <c r="L58" s="122"/>
      <c r="M58" s="122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123">
        <v>10.355602570019464</v>
      </c>
      <c r="F59" s="123">
        <v>7.234179724822992</v>
      </c>
      <c r="G59" s="123">
        <v>5.5536730995652039</v>
      </c>
      <c r="H59" s="123">
        <v>5.5536730995652039</v>
      </c>
      <c r="I59" s="123">
        <v>5.5536730995652039</v>
      </c>
      <c r="J59" s="123">
        <v>5.5536730995652039</v>
      </c>
      <c r="K59" s="123">
        <v>1.538</v>
      </c>
      <c r="L59" s="123">
        <v>1.538</v>
      </c>
      <c r="M59" s="123">
        <v>1.538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123">
        <v>0</v>
      </c>
      <c r="F60" s="123">
        <v>0</v>
      </c>
      <c r="G60" s="123">
        <v>0</v>
      </c>
      <c r="H60" s="123">
        <v>0</v>
      </c>
      <c r="I60" s="123">
        <v>0</v>
      </c>
      <c r="J60" s="123">
        <v>0</v>
      </c>
      <c r="K60" s="123">
        <v>2.0100000000000001E-3</v>
      </c>
      <c r="L60" s="123">
        <v>2.0100000000000001E-3</v>
      </c>
      <c r="M60" s="123">
        <v>2.0100000000000001E-3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123">
        <v>0</v>
      </c>
      <c r="F61" s="123">
        <v>0</v>
      </c>
      <c r="G61" s="123">
        <v>0</v>
      </c>
      <c r="H61" s="123">
        <v>0</v>
      </c>
      <c r="I61" s="123">
        <v>0</v>
      </c>
      <c r="J61" s="123">
        <v>0</v>
      </c>
      <c r="K61" s="123">
        <v>0</v>
      </c>
      <c r="L61" s="123">
        <v>0</v>
      </c>
      <c r="M61" s="123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123">
        <v>0</v>
      </c>
      <c r="F62" s="123">
        <v>0</v>
      </c>
      <c r="G62" s="123">
        <v>0</v>
      </c>
      <c r="H62" s="123">
        <v>0</v>
      </c>
      <c r="I62" s="123">
        <v>0</v>
      </c>
      <c r="J62" s="123">
        <v>0</v>
      </c>
      <c r="K62" s="123">
        <v>0</v>
      </c>
      <c r="L62" s="123">
        <v>0</v>
      </c>
      <c r="M62" s="123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122">
        <v>5.22</v>
      </c>
      <c r="F63" s="122">
        <v>5.22</v>
      </c>
      <c r="G63" s="122">
        <v>5.22</v>
      </c>
      <c r="H63" s="122">
        <v>5.22</v>
      </c>
      <c r="I63" s="122">
        <v>5.22</v>
      </c>
      <c r="J63" s="122">
        <v>5.22</v>
      </c>
      <c r="K63" s="122">
        <v>5.22</v>
      </c>
      <c r="L63" s="122">
        <v>5.22</v>
      </c>
      <c r="M63" s="122">
        <v>5.22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122"/>
      <c r="F64" s="122"/>
      <c r="G64" s="122"/>
      <c r="H64" s="122"/>
      <c r="I64" s="122"/>
      <c r="J64" s="122"/>
      <c r="K64" s="122"/>
      <c r="L64" s="122"/>
      <c r="M64" s="122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122"/>
      <c r="F65" s="122"/>
      <c r="G65" s="122"/>
      <c r="H65" s="122"/>
      <c r="I65" s="122"/>
      <c r="J65" s="122"/>
      <c r="K65" s="122"/>
      <c r="L65" s="122"/>
      <c r="M65" s="122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123">
        <v>3105.227139824588</v>
      </c>
      <c r="F66" s="123">
        <v>2124.7890355573581</v>
      </c>
      <c r="G66" s="123">
        <v>1336.2661902848918</v>
      </c>
      <c r="H66" s="123">
        <v>464.19686267796163</v>
      </c>
      <c r="I66" s="123">
        <v>316.51784616801797</v>
      </c>
      <c r="J66" s="123">
        <v>200.62554706645031</v>
      </c>
      <c r="K66" s="123">
        <v>97.370367192094207</v>
      </c>
      <c r="L66" s="123">
        <v>85.294657716252502</v>
      </c>
      <c r="M66" s="123">
        <v>85.294657716252502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122"/>
      <c r="F67" s="122"/>
      <c r="G67" s="122"/>
      <c r="H67" s="122"/>
      <c r="I67" s="122"/>
      <c r="J67" s="122"/>
      <c r="K67" s="122"/>
      <c r="L67" s="122"/>
      <c r="M67" s="122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122">
        <v>20</v>
      </c>
      <c r="F68" s="122">
        <v>20</v>
      </c>
      <c r="G68" s="122">
        <v>20</v>
      </c>
      <c r="H68" s="122">
        <v>20</v>
      </c>
      <c r="I68" s="122">
        <v>20</v>
      </c>
      <c r="J68" s="122">
        <v>20</v>
      </c>
      <c r="K68" s="122">
        <v>20</v>
      </c>
      <c r="L68" s="122">
        <v>20</v>
      </c>
      <c r="M68" s="122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123">
        <v>690.37350466796431</v>
      </c>
      <c r="F69" s="123">
        <v>482.27864832153284</v>
      </c>
      <c r="G69" s="123">
        <v>370.24487330434692</v>
      </c>
      <c r="H69" s="123">
        <v>370.24487330434692</v>
      </c>
      <c r="I69" s="123">
        <v>370.24487330434692</v>
      </c>
      <c r="J69" s="123">
        <v>370.24487330434692</v>
      </c>
      <c r="K69" s="123">
        <v>566.30399999999997</v>
      </c>
      <c r="L69" s="123">
        <v>566.30399999999997</v>
      </c>
      <c r="M69" s="123">
        <v>566.30399999999997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124">
        <v>0</v>
      </c>
      <c r="F70" s="124">
        <v>0</v>
      </c>
      <c r="G70" s="124">
        <v>0</v>
      </c>
      <c r="H70" s="124">
        <v>0</v>
      </c>
      <c r="I70" s="124">
        <v>0</v>
      </c>
      <c r="J70" s="124">
        <v>0</v>
      </c>
      <c r="K70" s="124">
        <v>0</v>
      </c>
      <c r="L70" s="124">
        <v>0</v>
      </c>
      <c r="M70" s="124">
        <v>0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122"/>
      <c r="F71" s="122"/>
      <c r="G71" s="122"/>
      <c r="H71" s="122"/>
      <c r="I71" s="122"/>
      <c r="J71" s="122"/>
      <c r="K71" s="122"/>
      <c r="L71" s="122"/>
      <c r="M71" s="122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123">
        <v>10.355602570019464</v>
      </c>
      <c r="F72" s="123">
        <v>7.234179724822992</v>
      </c>
      <c r="G72" s="123">
        <v>5.5536730995652039</v>
      </c>
      <c r="H72" s="123">
        <v>5.5536730995652039</v>
      </c>
      <c r="I72" s="123">
        <v>5.5536730995652039</v>
      </c>
      <c r="J72" s="123">
        <v>5.5536730995652039</v>
      </c>
      <c r="K72" s="123">
        <v>1.538</v>
      </c>
      <c r="L72" s="123">
        <v>1.538</v>
      </c>
      <c r="M72" s="123">
        <v>1.538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123">
        <v>0</v>
      </c>
      <c r="F73" s="123">
        <v>0</v>
      </c>
      <c r="G73" s="123">
        <v>0</v>
      </c>
      <c r="H73" s="123">
        <v>0</v>
      </c>
      <c r="I73" s="123">
        <v>0</v>
      </c>
      <c r="J73" s="123">
        <v>0</v>
      </c>
      <c r="K73" s="123">
        <v>2.0100000000000001E-3</v>
      </c>
      <c r="L73" s="123">
        <v>2.0100000000000001E-3</v>
      </c>
      <c r="M73" s="123">
        <v>2.0100000000000001E-3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123">
        <v>0</v>
      </c>
      <c r="F74" s="123">
        <v>0</v>
      </c>
      <c r="G74" s="123">
        <v>0</v>
      </c>
      <c r="H74" s="123">
        <v>0</v>
      </c>
      <c r="I74" s="123">
        <v>0</v>
      </c>
      <c r="J74" s="123">
        <v>0</v>
      </c>
      <c r="K74" s="123">
        <v>0</v>
      </c>
      <c r="L74" s="123">
        <v>0</v>
      </c>
      <c r="M74" s="123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123">
        <v>0</v>
      </c>
      <c r="F75" s="123">
        <v>0</v>
      </c>
      <c r="G75" s="123">
        <v>0</v>
      </c>
      <c r="H75" s="123">
        <v>0</v>
      </c>
      <c r="I75" s="123">
        <v>0</v>
      </c>
      <c r="J75" s="123">
        <v>0</v>
      </c>
      <c r="K75" s="123">
        <v>0</v>
      </c>
      <c r="L75" s="123">
        <v>0</v>
      </c>
      <c r="M75" s="123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122">
        <v>4.875</v>
      </c>
      <c r="F76" s="122">
        <v>4.875</v>
      </c>
      <c r="G76" s="122">
        <v>4.875</v>
      </c>
      <c r="H76" s="122">
        <v>4.875</v>
      </c>
      <c r="I76" s="122">
        <v>4.875</v>
      </c>
      <c r="J76" s="122">
        <v>4.875</v>
      </c>
      <c r="K76" s="122">
        <v>4.875</v>
      </c>
      <c r="L76" s="122">
        <v>4.875</v>
      </c>
      <c r="M76" s="122">
        <v>4.875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122"/>
      <c r="F77" s="122"/>
      <c r="G77" s="122"/>
      <c r="H77" s="122"/>
      <c r="I77" s="122"/>
      <c r="J77" s="122"/>
      <c r="K77" s="122"/>
      <c r="L77" s="122"/>
      <c r="M77" s="122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122"/>
      <c r="F78" s="122"/>
      <c r="G78" s="122"/>
      <c r="H78" s="122"/>
      <c r="I78" s="122"/>
      <c r="J78" s="122"/>
      <c r="K78" s="122"/>
      <c r="L78" s="122"/>
      <c r="M78" s="122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123">
        <v>3105.227139824588</v>
      </c>
      <c r="F79" s="123">
        <v>2124.7890355573581</v>
      </c>
      <c r="G79" s="123">
        <v>1336.2661902848918</v>
      </c>
      <c r="H79" s="123">
        <v>464.19686267796163</v>
      </c>
      <c r="I79" s="123">
        <v>316.51784616801797</v>
      </c>
      <c r="J79" s="123">
        <v>200.62554706645031</v>
      </c>
      <c r="K79" s="123">
        <v>97.370367192094207</v>
      </c>
      <c r="L79" s="123">
        <v>85.294657716252502</v>
      </c>
      <c r="M79" s="123">
        <v>85.294657716252502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122"/>
      <c r="F80" s="122"/>
      <c r="G80" s="122"/>
      <c r="H80" s="122"/>
      <c r="I80" s="122"/>
      <c r="J80" s="122"/>
      <c r="K80" s="122"/>
      <c r="L80" s="122"/>
      <c r="M80" s="122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122">
        <v>20</v>
      </c>
      <c r="F81" s="122">
        <v>20</v>
      </c>
      <c r="G81" s="122">
        <v>20</v>
      </c>
      <c r="H81" s="122">
        <v>20</v>
      </c>
      <c r="I81" s="122">
        <v>20</v>
      </c>
      <c r="J81" s="122">
        <v>20</v>
      </c>
      <c r="K81" s="122">
        <v>20</v>
      </c>
      <c r="L81" s="122">
        <v>20</v>
      </c>
      <c r="M81" s="122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123">
        <v>690.37350466796431</v>
      </c>
      <c r="F82" s="123">
        <v>482.27864832153284</v>
      </c>
      <c r="G82" s="123">
        <v>370.24487330434692</v>
      </c>
      <c r="H82" s="123">
        <v>370.24487330434692</v>
      </c>
      <c r="I82" s="123">
        <v>370.24487330434692</v>
      </c>
      <c r="J82" s="123">
        <v>370.24487330434692</v>
      </c>
      <c r="K82" s="123">
        <v>566.30399999999997</v>
      </c>
      <c r="L82" s="123">
        <v>566.30399999999997</v>
      </c>
      <c r="M82" s="123">
        <v>566.30399999999997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124">
        <v>0</v>
      </c>
      <c r="F83" s="124">
        <v>0</v>
      </c>
      <c r="G83" s="124">
        <v>0</v>
      </c>
      <c r="H83" s="124">
        <v>0</v>
      </c>
      <c r="I83" s="124">
        <v>0</v>
      </c>
      <c r="J83" s="124">
        <v>0</v>
      </c>
      <c r="K83" s="124">
        <v>0</v>
      </c>
      <c r="L83" s="124">
        <v>0</v>
      </c>
      <c r="M83" s="124">
        <v>0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122"/>
      <c r="F84" s="122"/>
      <c r="G84" s="122"/>
      <c r="H84" s="122"/>
      <c r="I84" s="122"/>
      <c r="J84" s="122"/>
      <c r="K84" s="122"/>
      <c r="L84" s="122"/>
      <c r="M84" s="122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123">
        <v>10.355602570019464</v>
      </c>
      <c r="F85" s="123">
        <v>7.234179724822992</v>
      </c>
      <c r="G85" s="123">
        <v>5.5536730995652039</v>
      </c>
      <c r="H85" s="123">
        <v>5.5536730995652039</v>
      </c>
      <c r="I85" s="123">
        <v>5.5536730995652039</v>
      </c>
      <c r="J85" s="123">
        <v>5.5536730995652039</v>
      </c>
      <c r="K85" s="123">
        <v>1.538</v>
      </c>
      <c r="L85" s="123">
        <v>1.538</v>
      </c>
      <c r="M85" s="123">
        <v>1.538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123">
        <v>0</v>
      </c>
      <c r="F86" s="123">
        <v>0</v>
      </c>
      <c r="G86" s="123">
        <v>0</v>
      </c>
      <c r="H86" s="123">
        <v>0</v>
      </c>
      <c r="I86" s="123">
        <v>0</v>
      </c>
      <c r="J86" s="123">
        <v>0</v>
      </c>
      <c r="K86" s="123">
        <v>2.0100000000000001E-3</v>
      </c>
      <c r="L86" s="123">
        <v>2.0100000000000001E-3</v>
      </c>
      <c r="M86" s="123">
        <v>2.0100000000000001E-3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123">
        <v>0</v>
      </c>
      <c r="F87" s="123">
        <v>0</v>
      </c>
      <c r="G87" s="123">
        <v>0</v>
      </c>
      <c r="H87" s="123">
        <v>0</v>
      </c>
      <c r="I87" s="123">
        <v>0</v>
      </c>
      <c r="J87" s="123">
        <v>0</v>
      </c>
      <c r="K87" s="123">
        <v>0</v>
      </c>
      <c r="L87" s="123">
        <v>0</v>
      </c>
      <c r="M87" s="123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123">
        <v>0</v>
      </c>
      <c r="F88" s="123">
        <v>0</v>
      </c>
      <c r="G88" s="123">
        <v>0</v>
      </c>
      <c r="H88" s="123">
        <v>0</v>
      </c>
      <c r="I88" s="123">
        <v>0</v>
      </c>
      <c r="J88" s="123">
        <v>0</v>
      </c>
      <c r="K88" s="123">
        <v>0</v>
      </c>
      <c r="L88" s="123">
        <v>0</v>
      </c>
      <c r="M88" s="123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122">
        <v>4.5299999999999994</v>
      </c>
      <c r="F89" s="122">
        <v>4.5299999999999994</v>
      </c>
      <c r="G89" s="122">
        <v>4.5299999999999994</v>
      </c>
      <c r="H89" s="122">
        <v>4.5299999999999994</v>
      </c>
      <c r="I89" s="122">
        <v>4.5299999999999994</v>
      </c>
      <c r="J89" s="122">
        <v>4.5299999999999994</v>
      </c>
      <c r="K89" s="122">
        <v>4.5299999999999994</v>
      </c>
      <c r="L89" s="122">
        <v>4.5299999999999994</v>
      </c>
      <c r="M89" s="122">
        <v>4.5299999999999994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122"/>
      <c r="F90" s="122"/>
      <c r="G90" s="122"/>
      <c r="H90" s="122"/>
      <c r="I90" s="122"/>
      <c r="J90" s="122"/>
      <c r="K90" s="122"/>
      <c r="L90" s="122"/>
      <c r="M90" s="122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122"/>
      <c r="F91" s="122"/>
      <c r="G91" s="122"/>
      <c r="H91" s="122"/>
      <c r="I91" s="122"/>
      <c r="J91" s="122"/>
      <c r="K91" s="122"/>
      <c r="L91" s="122"/>
      <c r="M91" s="122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123">
        <v>3105.227139824588</v>
      </c>
      <c r="F92" s="123">
        <v>2124.7890355573581</v>
      </c>
      <c r="G92" s="123">
        <v>1336.2661902848918</v>
      </c>
      <c r="H92" s="123">
        <v>464.19686267796163</v>
      </c>
      <c r="I92" s="123">
        <v>316.51784616801797</v>
      </c>
      <c r="J92" s="123">
        <v>200.62554706645031</v>
      </c>
      <c r="K92" s="123">
        <v>97.370367192094207</v>
      </c>
      <c r="L92" s="123">
        <v>85.294657716252502</v>
      </c>
      <c r="M92" s="123">
        <v>85.294657716252502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122"/>
      <c r="F93" s="122"/>
      <c r="G93" s="122"/>
      <c r="H93" s="122"/>
      <c r="I93" s="122"/>
      <c r="J93" s="122"/>
      <c r="K93" s="122"/>
      <c r="L93" s="122"/>
      <c r="M93" s="122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122">
        <v>1</v>
      </c>
      <c r="F94" s="122">
        <v>1</v>
      </c>
      <c r="G94" s="122">
        <v>1</v>
      </c>
      <c r="H94" s="122">
        <v>1</v>
      </c>
      <c r="I94" s="122">
        <v>1</v>
      </c>
      <c r="J94" s="122">
        <v>1</v>
      </c>
      <c r="K94" s="122">
        <v>1</v>
      </c>
      <c r="L94" s="122">
        <v>1</v>
      </c>
      <c r="M94" s="122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122">
        <v>0.35</v>
      </c>
      <c r="F95" s="122">
        <v>0.35</v>
      </c>
      <c r="G95" s="122">
        <v>0.35</v>
      </c>
      <c r="H95" s="122">
        <v>0.35</v>
      </c>
      <c r="I95" s="122">
        <v>0.35</v>
      </c>
      <c r="J95" s="122">
        <v>0.35</v>
      </c>
      <c r="K95" s="122">
        <v>0.35</v>
      </c>
      <c r="L95" s="122">
        <v>0.35</v>
      </c>
      <c r="M95" s="122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122">
        <v>20</v>
      </c>
      <c r="F96" s="122">
        <v>20</v>
      </c>
      <c r="G96" s="122">
        <v>20</v>
      </c>
      <c r="H96" s="122">
        <v>20</v>
      </c>
      <c r="I96" s="122">
        <v>20</v>
      </c>
      <c r="J96" s="122">
        <v>20</v>
      </c>
      <c r="K96" s="122">
        <v>20</v>
      </c>
      <c r="L96" s="122">
        <v>20</v>
      </c>
      <c r="M96" s="122">
        <v>20</v>
      </c>
      <c r="N96" s="54"/>
    </row>
    <row r="97" spans="1:14" x14ac:dyDescent="0.25">
      <c r="A97" s="208"/>
      <c r="B97" s="225"/>
      <c r="C97" s="25" t="s">
        <v>23</v>
      </c>
      <c r="D97" s="1" t="s">
        <v>6</v>
      </c>
      <c r="E97" s="123">
        <v>192.56641637688614</v>
      </c>
      <c r="F97" s="123">
        <v>163.18945257039451</v>
      </c>
      <c r="G97" s="123">
        <v>127.27927465146402</v>
      </c>
      <c r="H97" s="123">
        <v>102.70540718565383</v>
      </c>
      <c r="I97" s="123">
        <v>107.31263157894738</v>
      </c>
      <c r="J97" s="123">
        <v>107.00631578947369</v>
      </c>
      <c r="K97" s="123">
        <v>105.98526315789475</v>
      </c>
      <c r="L97" s="123">
        <v>103.84105263157896</v>
      </c>
      <c r="M97" s="123">
        <v>99.55263157894737</v>
      </c>
      <c r="N97" s="54"/>
    </row>
    <row r="98" spans="1:14" x14ac:dyDescent="0.25">
      <c r="A98" s="208"/>
      <c r="B98" s="225"/>
      <c r="C98" s="25" t="s">
        <v>177</v>
      </c>
      <c r="D98" s="1" t="s">
        <v>19</v>
      </c>
      <c r="E98" s="124">
        <v>0</v>
      </c>
      <c r="F98" s="124">
        <v>0</v>
      </c>
      <c r="G98" s="124">
        <v>0</v>
      </c>
      <c r="H98" s="124">
        <v>0</v>
      </c>
      <c r="I98" s="124">
        <v>0</v>
      </c>
      <c r="J98" s="124">
        <v>0</v>
      </c>
      <c r="K98" s="124">
        <v>0</v>
      </c>
      <c r="L98" s="124">
        <v>0</v>
      </c>
      <c r="M98" s="124">
        <v>0</v>
      </c>
      <c r="N98" s="54"/>
    </row>
    <row r="99" spans="1:14" x14ac:dyDescent="0.25">
      <c r="A99" s="208"/>
      <c r="B99" s="225"/>
      <c r="C99" s="25" t="s">
        <v>114</v>
      </c>
      <c r="D99" s="1" t="s">
        <v>8</v>
      </c>
      <c r="E99" s="122"/>
      <c r="F99" s="122"/>
      <c r="G99" s="122"/>
      <c r="H99" s="122"/>
      <c r="I99" s="122"/>
      <c r="J99" s="122"/>
      <c r="K99" s="122"/>
      <c r="L99" s="122"/>
      <c r="M99" s="122"/>
      <c r="N99" s="54"/>
    </row>
    <row r="100" spans="1:14" x14ac:dyDescent="0.25">
      <c r="A100" s="208"/>
      <c r="B100" s="225"/>
      <c r="C100" s="25" t="s">
        <v>115</v>
      </c>
      <c r="D100" s="1" t="s">
        <v>9</v>
      </c>
      <c r="E100" s="123">
        <v>5.7769924913065838</v>
      </c>
      <c r="F100" s="123">
        <v>4.8956835771118348</v>
      </c>
      <c r="G100" s="123">
        <v>3.8183782395439203</v>
      </c>
      <c r="H100" s="123">
        <v>3.0811622155696146</v>
      </c>
      <c r="I100" s="123">
        <v>2.0378947368421052</v>
      </c>
      <c r="J100" s="123">
        <v>2.0189473684210526</v>
      </c>
      <c r="K100" s="123">
        <v>1.9557894736842103</v>
      </c>
      <c r="L100" s="123">
        <v>1.8231578947368419</v>
      </c>
      <c r="M100" s="123">
        <v>1.557894736842105</v>
      </c>
      <c r="N100" s="54"/>
    </row>
    <row r="101" spans="1:14" x14ac:dyDescent="0.25">
      <c r="A101" s="208"/>
      <c r="B101" s="225"/>
      <c r="C101" s="25" t="s">
        <v>35</v>
      </c>
      <c r="D101" s="1" t="s">
        <v>10</v>
      </c>
      <c r="E101" s="123">
        <v>0</v>
      </c>
      <c r="F101" s="123">
        <v>0</v>
      </c>
      <c r="G101" s="123">
        <v>0</v>
      </c>
      <c r="H101" s="123">
        <v>0</v>
      </c>
      <c r="I101" s="123">
        <v>0</v>
      </c>
      <c r="J101" s="123">
        <v>0</v>
      </c>
      <c r="K101" s="123">
        <v>1.7051368421052632E-3</v>
      </c>
      <c r="L101" s="123">
        <v>1.5645473684210527E-3</v>
      </c>
      <c r="M101" s="123">
        <v>1.2833684210526316E-3</v>
      </c>
      <c r="N101" s="54"/>
    </row>
    <row r="102" spans="1:14" x14ac:dyDescent="0.25">
      <c r="A102" s="208"/>
      <c r="B102" s="225"/>
      <c r="C102" s="26" t="s">
        <v>24</v>
      </c>
      <c r="D102" s="27" t="s">
        <v>10</v>
      </c>
      <c r="E102" s="124">
        <v>0</v>
      </c>
      <c r="F102" s="124">
        <v>0</v>
      </c>
      <c r="G102" s="124">
        <v>0</v>
      </c>
      <c r="H102" s="124">
        <v>0</v>
      </c>
      <c r="I102" s="124">
        <v>0</v>
      </c>
      <c r="J102" s="124">
        <v>0</v>
      </c>
      <c r="K102" s="124">
        <v>0</v>
      </c>
      <c r="L102" s="124">
        <v>0</v>
      </c>
      <c r="M102" s="124">
        <v>0</v>
      </c>
      <c r="N102" s="54"/>
    </row>
    <row r="103" spans="1:14" x14ac:dyDescent="0.25">
      <c r="A103" s="208"/>
      <c r="B103" s="225"/>
      <c r="C103" s="25" t="s">
        <v>25</v>
      </c>
      <c r="D103" s="1" t="s">
        <v>7</v>
      </c>
      <c r="E103" s="124">
        <v>0.99749999999999994</v>
      </c>
      <c r="F103" s="124">
        <v>0.99749999999999994</v>
      </c>
      <c r="G103" s="124">
        <v>0.99749999999999994</v>
      </c>
      <c r="H103" s="124">
        <v>0.99749999999999994</v>
      </c>
      <c r="I103" s="124">
        <v>0.99749999999999994</v>
      </c>
      <c r="J103" s="124">
        <v>0.99749999999999994</v>
      </c>
      <c r="K103" s="124">
        <v>0.999</v>
      </c>
      <c r="L103" s="124">
        <v>0.999</v>
      </c>
      <c r="M103" s="124">
        <v>0.999</v>
      </c>
      <c r="N103" s="54"/>
    </row>
    <row r="104" spans="1:14" x14ac:dyDescent="0.25">
      <c r="A104" s="208"/>
      <c r="B104" s="225"/>
      <c r="C104" s="25" t="s">
        <v>26</v>
      </c>
      <c r="D104" s="1" t="s">
        <v>14</v>
      </c>
      <c r="E104" s="123">
        <v>1524.6</v>
      </c>
      <c r="F104" s="123">
        <v>1749.6</v>
      </c>
      <c r="G104" s="123">
        <v>2349.6</v>
      </c>
      <c r="H104" s="123">
        <v>3174.6</v>
      </c>
      <c r="I104" s="123">
        <v>4299.6000000000004</v>
      </c>
      <c r="J104" s="123">
        <v>14213</v>
      </c>
      <c r="K104" s="123">
        <v>21713</v>
      </c>
      <c r="L104" s="123">
        <v>37463</v>
      </c>
      <c r="M104" s="123">
        <v>68963</v>
      </c>
      <c r="N104" s="54"/>
    </row>
    <row r="105" spans="1:14" x14ac:dyDescent="0.25">
      <c r="A105" s="208"/>
      <c r="B105" s="225"/>
      <c r="C105" s="25" t="s">
        <v>27</v>
      </c>
      <c r="D105" s="1" t="s">
        <v>4</v>
      </c>
      <c r="E105" s="122">
        <v>40</v>
      </c>
      <c r="F105" s="122">
        <v>40</v>
      </c>
      <c r="G105" s="122">
        <v>40</v>
      </c>
      <c r="H105" s="122">
        <v>40</v>
      </c>
      <c r="I105" s="122">
        <v>40</v>
      </c>
      <c r="J105" s="122">
        <v>40</v>
      </c>
      <c r="K105" s="122">
        <v>40</v>
      </c>
      <c r="L105" s="122">
        <v>40</v>
      </c>
      <c r="M105" s="122">
        <v>40</v>
      </c>
      <c r="N105" s="54"/>
    </row>
    <row r="106" spans="1:14" x14ac:dyDescent="0.25">
      <c r="A106" s="208"/>
      <c r="B106" s="225"/>
      <c r="C106" s="25" t="s">
        <v>116</v>
      </c>
      <c r="D106" s="1" t="s">
        <v>19</v>
      </c>
      <c r="E106" s="122">
        <v>0.5</v>
      </c>
      <c r="F106" s="122">
        <v>0.5</v>
      </c>
      <c r="G106" s="122">
        <v>0.5</v>
      </c>
      <c r="H106" s="122">
        <v>0.5</v>
      </c>
      <c r="I106" s="122">
        <v>0.5</v>
      </c>
      <c r="J106" s="122">
        <v>0.5</v>
      </c>
      <c r="K106" s="122">
        <v>0.5</v>
      </c>
      <c r="L106" s="122">
        <v>0.5</v>
      </c>
      <c r="M106" s="122">
        <v>0.5</v>
      </c>
      <c r="N106" s="54"/>
    </row>
    <row r="107" spans="1:14" x14ac:dyDescent="0.25">
      <c r="A107" s="208"/>
      <c r="B107" s="225"/>
      <c r="C107" s="25" t="s">
        <v>28</v>
      </c>
      <c r="D107" s="1" t="s">
        <v>19</v>
      </c>
      <c r="E107" s="122">
        <v>1.3</v>
      </c>
      <c r="F107" s="122">
        <v>1.3</v>
      </c>
      <c r="G107" s="122">
        <v>1.3</v>
      </c>
      <c r="H107" s="122">
        <v>1.3</v>
      </c>
      <c r="I107" s="122">
        <v>1.3</v>
      </c>
      <c r="J107" s="122">
        <v>1.3</v>
      </c>
      <c r="K107" s="122">
        <v>1.3</v>
      </c>
      <c r="L107" s="122">
        <v>1.3</v>
      </c>
      <c r="M107" s="122">
        <v>1.3</v>
      </c>
      <c r="N107" s="54"/>
    </row>
    <row r="108" spans="1:14" x14ac:dyDescent="0.25">
      <c r="A108" s="208"/>
      <c r="B108" s="225"/>
      <c r="C108" s="25" t="s">
        <v>29</v>
      </c>
      <c r="D108" s="1" t="s">
        <v>4</v>
      </c>
      <c r="E108" s="122">
        <v>20</v>
      </c>
      <c r="F108" s="122">
        <v>20</v>
      </c>
      <c r="G108" s="122">
        <v>20</v>
      </c>
      <c r="H108" s="122">
        <v>20</v>
      </c>
      <c r="I108" s="122">
        <v>20</v>
      </c>
      <c r="J108" s="122">
        <v>20</v>
      </c>
      <c r="K108" s="122">
        <v>20</v>
      </c>
      <c r="L108" s="122">
        <v>20</v>
      </c>
      <c r="M108" s="122">
        <v>20</v>
      </c>
      <c r="N108" s="54"/>
    </row>
    <row r="109" spans="1:14" x14ac:dyDescent="0.25">
      <c r="A109" s="208"/>
      <c r="B109" s="225"/>
      <c r="C109" s="25" t="s">
        <v>30</v>
      </c>
      <c r="D109" s="1" t="s">
        <v>6</v>
      </c>
      <c r="E109" s="123">
        <v>1059.4010540988941</v>
      </c>
      <c r="F109" s="123">
        <v>756.50213541090761</v>
      </c>
      <c r="G109" s="123">
        <v>501.22759185375315</v>
      </c>
      <c r="H109" s="123">
        <v>421.48150193390472</v>
      </c>
      <c r="I109" s="123">
        <v>421.48150193390472</v>
      </c>
      <c r="J109" s="123">
        <v>421.48150193390472</v>
      </c>
      <c r="K109" s="123">
        <v>1263.7926377407807</v>
      </c>
      <c r="L109" s="123">
        <v>1099.5292106353315</v>
      </c>
      <c r="M109" s="123">
        <v>966.59191860788746</v>
      </c>
      <c r="N109" s="54"/>
    </row>
    <row r="110" spans="1:14" x14ac:dyDescent="0.25">
      <c r="A110" s="208"/>
      <c r="B110" s="225"/>
      <c r="C110" s="25" t="s">
        <v>178</v>
      </c>
      <c r="D110" s="1" t="s">
        <v>19</v>
      </c>
      <c r="E110" s="124">
        <v>0</v>
      </c>
      <c r="F110" s="124">
        <v>0</v>
      </c>
      <c r="G110" s="124">
        <v>0</v>
      </c>
      <c r="H110" s="124">
        <v>0</v>
      </c>
      <c r="I110" s="124">
        <v>0</v>
      </c>
      <c r="J110" s="124">
        <v>0</v>
      </c>
      <c r="K110" s="124">
        <v>0</v>
      </c>
      <c r="L110" s="124">
        <v>0</v>
      </c>
      <c r="M110" s="124">
        <v>0</v>
      </c>
      <c r="N110" s="54"/>
    </row>
    <row r="111" spans="1:14" x14ac:dyDescent="0.25">
      <c r="A111" s="208"/>
      <c r="B111" s="225"/>
      <c r="C111" s="25" t="s">
        <v>117</v>
      </c>
      <c r="D111" s="1" t="s">
        <v>8</v>
      </c>
      <c r="E111" s="122"/>
      <c r="F111" s="122"/>
      <c r="G111" s="122"/>
      <c r="H111" s="122"/>
      <c r="I111" s="122"/>
      <c r="J111" s="122"/>
      <c r="K111" s="122"/>
      <c r="L111" s="122"/>
      <c r="M111" s="122"/>
      <c r="N111" s="54"/>
    </row>
    <row r="112" spans="1:14" x14ac:dyDescent="0.25">
      <c r="A112" s="208"/>
      <c r="B112" s="225"/>
      <c r="C112" s="25" t="s">
        <v>118</v>
      </c>
      <c r="D112" s="1" t="s">
        <v>9</v>
      </c>
      <c r="E112" s="122"/>
      <c r="F112" s="122"/>
      <c r="G112" s="122"/>
      <c r="H112" s="122"/>
      <c r="I112" s="122"/>
      <c r="J112" s="122"/>
      <c r="K112" s="122"/>
      <c r="L112" s="122"/>
      <c r="M112" s="122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0</v>
      </c>
      <c r="K113" s="123">
        <v>0</v>
      </c>
      <c r="L113" s="123">
        <v>2.0100000000000001E-3</v>
      </c>
      <c r="M113" s="123">
        <v>2.0100000000000001E-3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0</v>
      </c>
      <c r="M114" s="123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122">
        <v>3.48</v>
      </c>
      <c r="F116" s="122">
        <v>3.48</v>
      </c>
      <c r="G116" s="122">
        <v>3.48</v>
      </c>
      <c r="H116" s="122">
        <v>3.48</v>
      </c>
      <c r="I116" s="122">
        <v>3.48</v>
      </c>
      <c r="J116" s="122">
        <v>3.48</v>
      </c>
      <c r="K116" s="122">
        <v>3.48</v>
      </c>
      <c r="L116" s="122">
        <v>3.48</v>
      </c>
      <c r="M116" s="122">
        <v>3.48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122"/>
      <c r="F117" s="122"/>
      <c r="G117" s="122"/>
      <c r="H117" s="122"/>
      <c r="I117" s="122"/>
      <c r="J117" s="122"/>
      <c r="K117" s="122"/>
      <c r="L117" s="122"/>
      <c r="M117" s="122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122"/>
      <c r="F118" s="122"/>
      <c r="G118" s="122"/>
      <c r="H118" s="122"/>
      <c r="I118" s="122"/>
      <c r="J118" s="122"/>
      <c r="K118" s="122"/>
      <c r="L118" s="122"/>
      <c r="M118" s="122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122">
        <v>1</v>
      </c>
      <c r="F119" s="122">
        <v>1</v>
      </c>
      <c r="G119" s="122">
        <v>1</v>
      </c>
      <c r="H119" s="122">
        <v>1</v>
      </c>
      <c r="I119" s="122">
        <v>1</v>
      </c>
      <c r="J119" s="122">
        <v>1</v>
      </c>
      <c r="K119" s="122">
        <v>1</v>
      </c>
      <c r="L119" s="122">
        <v>1</v>
      </c>
      <c r="M119" s="122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122">
        <v>0.35</v>
      </c>
      <c r="F120" s="122">
        <v>0.35</v>
      </c>
      <c r="G120" s="122">
        <v>0.35</v>
      </c>
      <c r="H120" s="122">
        <v>0.35</v>
      </c>
      <c r="I120" s="122">
        <v>0.35</v>
      </c>
      <c r="J120" s="122">
        <v>0.35</v>
      </c>
      <c r="K120" s="122">
        <v>0.35</v>
      </c>
      <c r="L120" s="122">
        <v>0.35</v>
      </c>
      <c r="M120" s="122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122">
        <v>20</v>
      </c>
      <c r="F121" s="122">
        <v>20</v>
      </c>
      <c r="G121" s="122">
        <v>20</v>
      </c>
      <c r="H121" s="122">
        <v>20</v>
      </c>
      <c r="I121" s="122">
        <v>20</v>
      </c>
      <c r="J121" s="122">
        <v>20</v>
      </c>
      <c r="K121" s="122">
        <v>20</v>
      </c>
      <c r="L121" s="122">
        <v>20</v>
      </c>
      <c r="M121" s="122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123">
        <v>192.56641637688614</v>
      </c>
      <c r="F122" s="123">
        <v>163.18945257039451</v>
      </c>
      <c r="G122" s="123">
        <v>127.27927465146402</v>
      </c>
      <c r="H122" s="123">
        <v>102.70540718565383</v>
      </c>
      <c r="I122" s="123">
        <v>107.31263157894738</v>
      </c>
      <c r="J122" s="123">
        <v>107.00631578947369</v>
      </c>
      <c r="K122" s="123">
        <v>105.98526315789475</v>
      </c>
      <c r="L122" s="123">
        <v>103.84105263157896</v>
      </c>
      <c r="M122" s="123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124">
        <v>0</v>
      </c>
      <c r="F123" s="124">
        <v>0</v>
      </c>
      <c r="G123" s="124">
        <v>0</v>
      </c>
      <c r="H123" s="124">
        <v>0</v>
      </c>
      <c r="I123" s="124">
        <v>0</v>
      </c>
      <c r="J123" s="124">
        <v>0</v>
      </c>
      <c r="K123" s="124">
        <v>0</v>
      </c>
      <c r="L123" s="124">
        <v>0</v>
      </c>
      <c r="M123" s="124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122"/>
      <c r="F124" s="122"/>
      <c r="G124" s="122"/>
      <c r="H124" s="122"/>
      <c r="I124" s="122"/>
      <c r="J124" s="122"/>
      <c r="K124" s="122"/>
      <c r="L124" s="122"/>
      <c r="M124" s="122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123">
        <v>5.7769924913065838</v>
      </c>
      <c r="F125" s="123">
        <v>4.8956835771118348</v>
      </c>
      <c r="G125" s="123">
        <v>3.8183782395439203</v>
      </c>
      <c r="H125" s="123">
        <v>3.0811622155696146</v>
      </c>
      <c r="I125" s="123">
        <v>2.0378947368421052</v>
      </c>
      <c r="J125" s="123">
        <v>2.0189473684210526</v>
      </c>
      <c r="K125" s="123">
        <v>1.9557894736842103</v>
      </c>
      <c r="L125" s="123">
        <v>1.8231578947368419</v>
      </c>
      <c r="M125" s="123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1.7051368421052632E-3</v>
      </c>
      <c r="L126" s="123">
        <v>1.5645473684210527E-3</v>
      </c>
      <c r="M126" s="123">
        <v>1.2833684210526316E-3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124">
        <v>0.99749999999999994</v>
      </c>
      <c r="F128" s="124">
        <v>0.99749999999999994</v>
      </c>
      <c r="G128" s="124">
        <v>0.99749999999999994</v>
      </c>
      <c r="H128" s="124">
        <v>0.99749999999999994</v>
      </c>
      <c r="I128" s="124">
        <v>0.99749999999999994</v>
      </c>
      <c r="J128" s="124">
        <v>0.99749999999999994</v>
      </c>
      <c r="K128" s="124">
        <v>0.999</v>
      </c>
      <c r="L128" s="124">
        <v>0.999</v>
      </c>
      <c r="M128" s="124">
        <v>0.999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123">
        <v>1524.6</v>
      </c>
      <c r="F129" s="123">
        <v>1749.6</v>
      </c>
      <c r="G129" s="123">
        <v>2349.6</v>
      </c>
      <c r="H129" s="123">
        <v>3174.6</v>
      </c>
      <c r="I129" s="123">
        <v>4299.6000000000004</v>
      </c>
      <c r="J129" s="123">
        <v>14213</v>
      </c>
      <c r="K129" s="123">
        <v>21713</v>
      </c>
      <c r="L129" s="123">
        <v>37463</v>
      </c>
      <c r="M129" s="123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122">
        <v>40</v>
      </c>
      <c r="F130" s="122">
        <v>40</v>
      </c>
      <c r="G130" s="122">
        <v>40</v>
      </c>
      <c r="H130" s="122">
        <v>40</v>
      </c>
      <c r="I130" s="122">
        <v>40</v>
      </c>
      <c r="J130" s="122">
        <v>40</v>
      </c>
      <c r="K130" s="122">
        <v>40</v>
      </c>
      <c r="L130" s="122">
        <v>40</v>
      </c>
      <c r="M130" s="122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122">
        <v>0.35</v>
      </c>
      <c r="F131" s="122">
        <v>0.35</v>
      </c>
      <c r="G131" s="122">
        <v>0.35</v>
      </c>
      <c r="H131" s="122">
        <v>0.35</v>
      </c>
      <c r="I131" s="122">
        <v>0.35</v>
      </c>
      <c r="J131" s="122">
        <v>0.35</v>
      </c>
      <c r="K131" s="122">
        <v>0.35</v>
      </c>
      <c r="L131" s="122">
        <v>0.35</v>
      </c>
      <c r="M131" s="122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122">
        <v>1.8571428571428572</v>
      </c>
      <c r="F132" s="122">
        <v>1.8571428571428572</v>
      </c>
      <c r="G132" s="122">
        <v>1.8571428571428572</v>
      </c>
      <c r="H132" s="122">
        <v>1.8571428571428572</v>
      </c>
      <c r="I132" s="122">
        <v>1.8571428571428572</v>
      </c>
      <c r="J132" s="122">
        <v>1.8571428571428572</v>
      </c>
      <c r="K132" s="122">
        <v>1.8571428571428572</v>
      </c>
      <c r="L132" s="122">
        <v>1.8571428571428572</v>
      </c>
      <c r="M132" s="122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122">
        <v>20</v>
      </c>
      <c r="F133" s="122">
        <v>20</v>
      </c>
      <c r="G133" s="122">
        <v>20</v>
      </c>
      <c r="H133" s="122">
        <v>20</v>
      </c>
      <c r="I133" s="122">
        <v>20</v>
      </c>
      <c r="J133" s="122">
        <v>20</v>
      </c>
      <c r="K133" s="122">
        <v>20</v>
      </c>
      <c r="L133" s="122">
        <v>20</v>
      </c>
      <c r="M133" s="122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123">
        <v>6026.3877491334342</v>
      </c>
      <c r="F134" s="123">
        <v>4043.5340683802879</v>
      </c>
      <c r="G134" s="123">
        <v>2482.706791769042</v>
      </c>
      <c r="H134" s="123">
        <v>1970.6064607058622</v>
      </c>
      <c r="I134" s="123">
        <v>1675.7711440547848</v>
      </c>
      <c r="J134" s="123">
        <v>1316.9956928123304</v>
      </c>
      <c r="K134" s="123">
        <v>1036.1348879875416</v>
      </c>
      <c r="L134" s="123">
        <v>833.65074245015387</v>
      </c>
      <c r="M134" s="123">
        <v>681.69161459745465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124">
        <v>0</v>
      </c>
      <c r="F135" s="124">
        <v>0</v>
      </c>
      <c r="G135" s="124">
        <v>0</v>
      </c>
      <c r="H135" s="124">
        <v>0</v>
      </c>
      <c r="I135" s="124">
        <v>0</v>
      </c>
      <c r="J135" s="124">
        <v>0</v>
      </c>
      <c r="K135" s="124">
        <v>0</v>
      </c>
      <c r="L135" s="124">
        <v>0</v>
      </c>
      <c r="M135" s="124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122"/>
      <c r="F136" s="122"/>
      <c r="G136" s="122"/>
      <c r="H136" s="122"/>
      <c r="I136" s="122"/>
      <c r="J136" s="122"/>
      <c r="K136" s="122"/>
      <c r="L136" s="122"/>
      <c r="M136" s="122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122"/>
      <c r="F137" s="122"/>
      <c r="G137" s="122"/>
      <c r="H137" s="122"/>
      <c r="I137" s="122"/>
      <c r="J137" s="122"/>
      <c r="K137" s="122"/>
      <c r="L137" s="122"/>
      <c r="M137" s="122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123">
        <v>5.4632155805897732E-2</v>
      </c>
      <c r="F138" s="123">
        <v>6.9225169277652349E-2</v>
      </c>
      <c r="G138" s="123">
        <v>5.5072970988733948E-2</v>
      </c>
      <c r="H138" s="123">
        <v>4.6604222305577481E-2</v>
      </c>
      <c r="I138" s="123">
        <v>4.0289223212275231E-2</v>
      </c>
      <c r="J138" s="123">
        <v>2.4583755873341454E-2</v>
      </c>
      <c r="K138" s="123">
        <v>1.9104989606490121E-2</v>
      </c>
      <c r="L138" s="123">
        <v>1.5182594783541725E-2</v>
      </c>
      <c r="M138" s="123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122"/>
      <c r="F140" s="122"/>
      <c r="G140" s="122"/>
      <c r="H140" s="122"/>
      <c r="I140" s="122"/>
      <c r="J140" s="122"/>
      <c r="K140" s="122"/>
      <c r="L140" s="122"/>
      <c r="M140" s="122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122"/>
      <c r="F141" s="122"/>
      <c r="G141" s="122"/>
      <c r="H141" s="122"/>
      <c r="I141" s="122"/>
      <c r="J141" s="122"/>
      <c r="K141" s="122"/>
      <c r="L141" s="122"/>
      <c r="M141" s="122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125">
        <v>0.25</v>
      </c>
      <c r="F142" s="125">
        <v>0.25</v>
      </c>
      <c r="G142" s="125">
        <v>0.25</v>
      </c>
      <c r="H142" s="125">
        <v>0.25</v>
      </c>
      <c r="I142" s="125">
        <v>0.25</v>
      </c>
      <c r="J142" s="125">
        <v>0.25</v>
      </c>
      <c r="K142" s="125">
        <v>0.25</v>
      </c>
      <c r="L142" s="125">
        <v>0.25</v>
      </c>
      <c r="M142" s="125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124">
        <v>0.66625430833964439</v>
      </c>
      <c r="F143" s="124">
        <v>0.66367464936796561</v>
      </c>
      <c r="G143" s="124">
        <v>0.65679555877682227</v>
      </c>
      <c r="H143" s="124">
        <v>0.64733680921400016</v>
      </c>
      <c r="I143" s="124">
        <v>0.63443851435560639</v>
      </c>
      <c r="J143" s="124">
        <v>0.4680070358050421</v>
      </c>
      <c r="K143" s="124">
        <v>0.46713859851464173</v>
      </c>
      <c r="L143" s="124">
        <v>0.46531488020480088</v>
      </c>
      <c r="M143" s="124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124">
        <v>0.25092243745356524</v>
      </c>
      <c r="F144" s="124">
        <v>0.25657675134016689</v>
      </c>
      <c r="G144" s="124">
        <v>0.27165492170443795</v>
      </c>
      <c r="H144" s="124">
        <v>0.29238740595531065</v>
      </c>
      <c r="I144" s="124">
        <v>0.32065897538831889</v>
      </c>
      <c r="J144" s="124">
        <v>0.41290384467151914</v>
      </c>
      <c r="K144" s="124">
        <v>0.41363974384019625</v>
      </c>
      <c r="L144" s="124">
        <v>0.41518513209441815</v>
      </c>
      <c r="M144" s="124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122">
        <v>0</v>
      </c>
      <c r="F147" s="122">
        <v>0</v>
      </c>
      <c r="G147" s="122">
        <v>0</v>
      </c>
      <c r="H147" s="122">
        <v>0</v>
      </c>
      <c r="I147" s="122">
        <v>0</v>
      </c>
      <c r="J147" s="122">
        <v>0</v>
      </c>
      <c r="K147" s="122">
        <v>0</v>
      </c>
      <c r="L147" s="122">
        <v>0</v>
      </c>
      <c r="M147" s="122">
        <v>0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122">
        <v>1</v>
      </c>
      <c r="F148" s="122">
        <v>1</v>
      </c>
      <c r="G148" s="122">
        <v>1</v>
      </c>
      <c r="H148" s="122">
        <v>1</v>
      </c>
      <c r="I148" s="122">
        <v>1</v>
      </c>
      <c r="J148" s="122">
        <v>1</v>
      </c>
      <c r="K148" s="122">
        <v>1</v>
      </c>
      <c r="L148" s="122">
        <v>1</v>
      </c>
      <c r="M148" s="122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122">
        <v>0.35</v>
      </c>
      <c r="F149" s="122">
        <v>0.35</v>
      </c>
      <c r="G149" s="122">
        <v>0.35</v>
      </c>
      <c r="H149" s="122">
        <v>0.35</v>
      </c>
      <c r="I149" s="122">
        <v>0.35</v>
      </c>
      <c r="J149" s="122">
        <v>0.35</v>
      </c>
      <c r="K149" s="122">
        <v>0.35</v>
      </c>
      <c r="L149" s="122">
        <v>0.35</v>
      </c>
      <c r="M149" s="122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122">
        <v>20</v>
      </c>
      <c r="F150" s="122">
        <v>20</v>
      </c>
      <c r="G150" s="122">
        <v>20</v>
      </c>
      <c r="H150" s="122">
        <v>20</v>
      </c>
      <c r="I150" s="122">
        <v>20</v>
      </c>
      <c r="J150" s="122">
        <v>20</v>
      </c>
      <c r="K150" s="122">
        <v>20</v>
      </c>
      <c r="L150" s="122">
        <v>20</v>
      </c>
      <c r="M150" s="122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123">
        <v>192.56641637688614</v>
      </c>
      <c r="F151" s="123">
        <v>163.18945257039451</v>
      </c>
      <c r="G151" s="123">
        <v>127.27927465146402</v>
      </c>
      <c r="H151" s="123">
        <v>102.70540718565383</v>
      </c>
      <c r="I151" s="123">
        <v>107.31263157894738</v>
      </c>
      <c r="J151" s="123">
        <v>107.00631578947369</v>
      </c>
      <c r="K151" s="123">
        <v>105.98526315789475</v>
      </c>
      <c r="L151" s="123">
        <v>103.84105263157896</v>
      </c>
      <c r="M151" s="123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124">
        <v>0</v>
      </c>
      <c r="F152" s="124">
        <v>0</v>
      </c>
      <c r="G152" s="124">
        <v>0</v>
      </c>
      <c r="H152" s="124">
        <v>0</v>
      </c>
      <c r="I152" s="124">
        <v>0</v>
      </c>
      <c r="J152" s="124">
        <v>0</v>
      </c>
      <c r="K152" s="124">
        <v>0</v>
      </c>
      <c r="L152" s="124">
        <v>0</v>
      </c>
      <c r="M152" s="124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122"/>
      <c r="F153" s="122"/>
      <c r="G153" s="122"/>
      <c r="H153" s="122"/>
      <c r="I153" s="122"/>
      <c r="J153" s="122"/>
      <c r="K153" s="122"/>
      <c r="L153" s="122"/>
      <c r="M153" s="122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123">
        <v>5.7769924913065838</v>
      </c>
      <c r="F154" s="123">
        <v>4.8956835771118348</v>
      </c>
      <c r="G154" s="123">
        <v>3.8183782395439203</v>
      </c>
      <c r="H154" s="123">
        <v>3.0811622155696146</v>
      </c>
      <c r="I154" s="123">
        <v>2.0378947368421052</v>
      </c>
      <c r="J154" s="123">
        <v>2.0189473684210526</v>
      </c>
      <c r="K154" s="123">
        <v>1.9557894736842103</v>
      </c>
      <c r="L154" s="123">
        <v>1.8231578947368419</v>
      </c>
      <c r="M154" s="123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1.7051368421052632E-3</v>
      </c>
      <c r="L155" s="123">
        <v>1.5645473684210527E-3</v>
      </c>
      <c r="M155" s="123">
        <v>1.2833684210526316E-3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122">
        <v>0.99749999999999994</v>
      </c>
      <c r="F157" s="122">
        <v>0.99749999999999994</v>
      </c>
      <c r="G157" s="122">
        <v>0.99749999999999994</v>
      </c>
      <c r="H157" s="122">
        <v>0.99749999999999994</v>
      </c>
      <c r="I157" s="122">
        <v>0.99749999999999994</v>
      </c>
      <c r="J157" s="122">
        <v>0.99749999999999994</v>
      </c>
      <c r="K157" s="122">
        <v>0.999</v>
      </c>
      <c r="L157" s="122">
        <v>0.999</v>
      </c>
      <c r="M157" s="122">
        <v>0.999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123">
        <v>1524.6</v>
      </c>
      <c r="F158" s="123">
        <v>1749.6</v>
      </c>
      <c r="G158" s="123">
        <v>2349.6</v>
      </c>
      <c r="H158" s="123">
        <v>3174.6</v>
      </c>
      <c r="I158" s="123">
        <v>4299.6000000000004</v>
      </c>
      <c r="J158" s="123">
        <v>14213</v>
      </c>
      <c r="K158" s="123">
        <v>21713</v>
      </c>
      <c r="L158" s="123">
        <v>37463</v>
      </c>
      <c r="M158" s="123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122">
        <v>40</v>
      </c>
      <c r="F159" s="122">
        <v>40</v>
      </c>
      <c r="G159" s="122">
        <v>40</v>
      </c>
      <c r="H159" s="122">
        <v>40</v>
      </c>
      <c r="I159" s="122">
        <v>40</v>
      </c>
      <c r="J159" s="122">
        <v>40</v>
      </c>
      <c r="K159" s="122">
        <v>40</v>
      </c>
      <c r="L159" s="122">
        <v>40</v>
      </c>
      <c r="M159" s="122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122">
        <v>0.35</v>
      </c>
      <c r="F160" s="122">
        <v>0.35</v>
      </c>
      <c r="G160" s="122">
        <v>0.35</v>
      </c>
      <c r="H160" s="122">
        <v>0.35</v>
      </c>
      <c r="I160" s="122">
        <v>0.35</v>
      </c>
      <c r="J160" s="122">
        <v>0.35</v>
      </c>
      <c r="K160" s="122">
        <v>0.35</v>
      </c>
      <c r="L160" s="122">
        <v>0.35</v>
      </c>
      <c r="M160" s="122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122">
        <v>1.8571428571428572</v>
      </c>
      <c r="F161" s="122">
        <v>1.8571428571428572</v>
      </c>
      <c r="G161" s="122">
        <v>1.8571428571428572</v>
      </c>
      <c r="H161" s="122">
        <v>1.8571428571428572</v>
      </c>
      <c r="I161" s="122">
        <v>1.8571428571428572</v>
      </c>
      <c r="J161" s="122">
        <v>1.8571428571428572</v>
      </c>
      <c r="K161" s="122">
        <v>1.8571428571428572</v>
      </c>
      <c r="L161" s="122">
        <v>1.8571428571428572</v>
      </c>
      <c r="M161" s="122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122">
        <v>20</v>
      </c>
      <c r="F162" s="122">
        <v>20</v>
      </c>
      <c r="G162" s="122">
        <v>20</v>
      </c>
      <c r="H162" s="122">
        <v>20</v>
      </c>
      <c r="I162" s="122">
        <v>20</v>
      </c>
      <c r="J162" s="122">
        <v>20</v>
      </c>
      <c r="K162" s="122">
        <v>20</v>
      </c>
      <c r="L162" s="122">
        <v>20</v>
      </c>
      <c r="M162" s="122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123">
        <v>6026.3877491334342</v>
      </c>
      <c r="F163" s="123">
        <v>4043.5340683802879</v>
      </c>
      <c r="G163" s="123">
        <v>2482.706791769042</v>
      </c>
      <c r="H163" s="123">
        <v>1970.6064607058622</v>
      </c>
      <c r="I163" s="123">
        <v>1675.7711440547848</v>
      </c>
      <c r="J163" s="123">
        <v>1316.9956928123304</v>
      </c>
      <c r="K163" s="123">
        <v>1036.1348879875416</v>
      </c>
      <c r="L163" s="123">
        <v>833.65074245015387</v>
      </c>
      <c r="M163" s="123">
        <v>681.69161459745465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124">
        <v>0</v>
      </c>
      <c r="F164" s="124">
        <v>0</v>
      </c>
      <c r="G164" s="124">
        <v>0</v>
      </c>
      <c r="H164" s="124">
        <v>0</v>
      </c>
      <c r="I164" s="124">
        <v>0</v>
      </c>
      <c r="J164" s="124">
        <v>0</v>
      </c>
      <c r="K164" s="124">
        <v>0</v>
      </c>
      <c r="L164" s="124">
        <v>0</v>
      </c>
      <c r="M164" s="124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122"/>
      <c r="F165" s="122"/>
      <c r="G165" s="122"/>
      <c r="H165" s="122"/>
      <c r="I165" s="122"/>
      <c r="J165" s="122"/>
      <c r="K165" s="122"/>
      <c r="L165" s="122"/>
      <c r="M165" s="122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122"/>
      <c r="F166" s="122"/>
      <c r="G166" s="122"/>
      <c r="H166" s="122"/>
      <c r="I166" s="122"/>
      <c r="J166" s="122"/>
      <c r="K166" s="122"/>
      <c r="L166" s="122"/>
      <c r="M166" s="122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123">
        <v>5.4632155805897732E-2</v>
      </c>
      <c r="F167" s="123">
        <v>6.9225169277652349E-2</v>
      </c>
      <c r="G167" s="123">
        <v>5.5072970988733948E-2</v>
      </c>
      <c r="H167" s="123">
        <v>4.6604222305577481E-2</v>
      </c>
      <c r="I167" s="123">
        <v>4.0289223212275231E-2</v>
      </c>
      <c r="J167" s="123">
        <v>2.4583755873341454E-2</v>
      </c>
      <c r="K167" s="123">
        <v>1.9104989606490121E-2</v>
      </c>
      <c r="L167" s="123">
        <v>1.5182594783541725E-2</v>
      </c>
      <c r="M167" s="123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122"/>
      <c r="F169" s="122"/>
      <c r="G169" s="122"/>
      <c r="H169" s="122"/>
      <c r="I169" s="122"/>
      <c r="J169" s="122"/>
      <c r="K169" s="122"/>
      <c r="L169" s="122"/>
      <c r="M169" s="122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122"/>
      <c r="F170" s="122"/>
      <c r="G170" s="122"/>
      <c r="H170" s="122"/>
      <c r="I170" s="122"/>
      <c r="J170" s="122"/>
      <c r="K170" s="122"/>
      <c r="L170" s="122"/>
      <c r="M170" s="122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125">
        <v>0.5</v>
      </c>
      <c r="F171" s="125">
        <v>0.5</v>
      </c>
      <c r="G171" s="125">
        <v>0.5</v>
      </c>
      <c r="H171" s="125">
        <v>0.5</v>
      </c>
      <c r="I171" s="125">
        <v>0.5</v>
      </c>
      <c r="J171" s="125">
        <v>0.5</v>
      </c>
      <c r="K171" s="125">
        <v>0.5</v>
      </c>
      <c r="L171" s="125">
        <v>0.5</v>
      </c>
      <c r="M171" s="125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124">
        <v>0.66625430833964439</v>
      </c>
      <c r="F172" s="124">
        <v>0.66367464936796561</v>
      </c>
      <c r="G172" s="124">
        <v>0.65679555877682227</v>
      </c>
      <c r="H172" s="124">
        <v>0.64733680921400016</v>
      </c>
      <c r="I172" s="124">
        <v>0.63443851435560639</v>
      </c>
      <c r="J172" s="124">
        <v>0.4680070358050421</v>
      </c>
      <c r="K172" s="124">
        <v>0.46713859851464173</v>
      </c>
      <c r="L172" s="124">
        <v>0.46531488020480088</v>
      </c>
      <c r="M172" s="124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124">
        <v>0.25092243745356524</v>
      </c>
      <c r="F173" s="124">
        <v>0.25657675134016689</v>
      </c>
      <c r="G173" s="124">
        <v>0.27165492170443795</v>
      </c>
      <c r="H173" s="124">
        <v>0.29238740595531065</v>
      </c>
      <c r="I173" s="124">
        <v>0.32065897538831889</v>
      </c>
      <c r="J173" s="124">
        <v>0.41290384467151914</v>
      </c>
      <c r="K173" s="124">
        <v>0.41363974384019625</v>
      </c>
      <c r="L173" s="124">
        <v>0.41518513209441815</v>
      </c>
      <c r="M173" s="124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123">
        <v>0</v>
      </c>
      <c r="F174" s="123">
        <v>0</v>
      </c>
      <c r="G174" s="123">
        <v>0</v>
      </c>
      <c r="H174" s="123">
        <v>0</v>
      </c>
      <c r="I174" s="123">
        <v>0</v>
      </c>
      <c r="J174" s="123">
        <v>0</v>
      </c>
      <c r="K174" s="123">
        <v>0</v>
      </c>
      <c r="L174" s="123">
        <v>0</v>
      </c>
      <c r="M174" s="123">
        <v>0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123">
        <v>0</v>
      </c>
      <c r="F175" s="123">
        <v>0</v>
      </c>
      <c r="G175" s="123">
        <v>0</v>
      </c>
      <c r="H175" s="123">
        <v>0</v>
      </c>
      <c r="I175" s="123">
        <v>0</v>
      </c>
      <c r="J175" s="123">
        <v>0</v>
      </c>
      <c r="K175" s="123">
        <v>0</v>
      </c>
      <c r="L175" s="123">
        <v>0</v>
      </c>
      <c r="M175" s="123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122">
        <v>0</v>
      </c>
      <c r="F176" s="122">
        <v>0</v>
      </c>
      <c r="G176" s="122">
        <v>0</v>
      </c>
      <c r="H176" s="122">
        <v>0</v>
      </c>
      <c r="I176" s="122">
        <v>0</v>
      </c>
      <c r="J176" s="122">
        <v>0</v>
      </c>
      <c r="K176" s="122">
        <v>0</v>
      </c>
      <c r="L176" s="122">
        <v>0</v>
      </c>
      <c r="M176" s="122">
        <v>0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126">
        <v>1</v>
      </c>
      <c r="F177" s="126">
        <v>1</v>
      </c>
      <c r="G177" s="126">
        <v>1</v>
      </c>
      <c r="H177" s="126">
        <v>1</v>
      </c>
      <c r="I177" s="126">
        <v>1</v>
      </c>
      <c r="J177" s="126">
        <v>1</v>
      </c>
      <c r="K177" s="126">
        <v>1</v>
      </c>
      <c r="L177" s="126">
        <v>1</v>
      </c>
      <c r="M177" s="126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122">
        <v>0.8</v>
      </c>
      <c r="F178" s="122">
        <v>0.8</v>
      </c>
      <c r="G178" s="122">
        <v>0.8</v>
      </c>
      <c r="H178" s="122">
        <v>0.8</v>
      </c>
      <c r="I178" s="122">
        <v>0.8</v>
      </c>
      <c r="J178" s="122">
        <v>0.8</v>
      </c>
      <c r="K178" s="122">
        <v>0.8</v>
      </c>
      <c r="L178" s="122">
        <v>0.8</v>
      </c>
      <c r="M178" s="122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122">
        <v>20</v>
      </c>
      <c r="F179" s="122">
        <v>20</v>
      </c>
      <c r="G179" s="122">
        <v>20</v>
      </c>
      <c r="H179" s="122">
        <v>20</v>
      </c>
      <c r="I179" s="122">
        <v>20</v>
      </c>
      <c r="J179" s="122">
        <v>20</v>
      </c>
      <c r="K179" s="122">
        <v>20</v>
      </c>
      <c r="L179" s="122">
        <v>20</v>
      </c>
      <c r="M179" s="122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123">
        <v>192.56641637688614</v>
      </c>
      <c r="F180" s="123">
        <v>163.18945257039451</v>
      </c>
      <c r="G180" s="123">
        <v>127.27927465146402</v>
      </c>
      <c r="H180" s="123">
        <v>102.70540718565383</v>
      </c>
      <c r="I180" s="123">
        <v>107.31263157894738</v>
      </c>
      <c r="J180" s="123">
        <v>107.00631578947369</v>
      </c>
      <c r="K180" s="123">
        <v>105.98526315789475</v>
      </c>
      <c r="L180" s="123">
        <v>103.84105263157896</v>
      </c>
      <c r="M180" s="123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124">
        <v>0</v>
      </c>
      <c r="F181" s="124">
        <v>0</v>
      </c>
      <c r="G181" s="124">
        <v>0</v>
      </c>
      <c r="H181" s="124">
        <v>0</v>
      </c>
      <c r="I181" s="124">
        <v>0</v>
      </c>
      <c r="J181" s="124">
        <v>0</v>
      </c>
      <c r="K181" s="124">
        <v>0</v>
      </c>
      <c r="L181" s="124">
        <v>0</v>
      </c>
      <c r="M181" s="124">
        <v>0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122"/>
      <c r="F182" s="122"/>
      <c r="G182" s="122"/>
      <c r="H182" s="122"/>
      <c r="I182" s="122"/>
      <c r="J182" s="122"/>
      <c r="K182" s="122"/>
      <c r="L182" s="122"/>
      <c r="M182" s="122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123">
        <v>5.7769924913065838</v>
      </c>
      <c r="F183" s="123">
        <v>4.8956835771118348</v>
      </c>
      <c r="G183" s="123">
        <v>3.8183782395439203</v>
      </c>
      <c r="H183" s="123">
        <v>3.0811622155696146</v>
      </c>
      <c r="I183" s="123">
        <v>2.0378947368421052</v>
      </c>
      <c r="J183" s="123">
        <v>2.0189473684210526</v>
      </c>
      <c r="K183" s="123">
        <v>1.9557894736842103</v>
      </c>
      <c r="L183" s="123">
        <v>1.8231578947368419</v>
      </c>
      <c r="M183" s="123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123">
        <v>0</v>
      </c>
      <c r="F184" s="123">
        <v>0</v>
      </c>
      <c r="G184" s="123">
        <v>0</v>
      </c>
      <c r="H184" s="123">
        <v>0</v>
      </c>
      <c r="I184" s="123">
        <v>0</v>
      </c>
      <c r="J184" s="123">
        <v>0</v>
      </c>
      <c r="K184" s="123">
        <v>1.7051368421052632E-3</v>
      </c>
      <c r="L184" s="123">
        <v>1.5645473684210527E-3</v>
      </c>
      <c r="M184" s="123">
        <v>1.2833684210526316E-3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123">
        <v>0</v>
      </c>
      <c r="F185" s="123">
        <v>0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122">
        <v>0.99749999999999994</v>
      </c>
      <c r="F186" s="122">
        <v>0.99749999999999994</v>
      </c>
      <c r="G186" s="122">
        <v>0.99749999999999994</v>
      </c>
      <c r="H186" s="122">
        <v>0.99749999999999994</v>
      </c>
      <c r="I186" s="122">
        <v>0.99749999999999994</v>
      </c>
      <c r="J186" s="122">
        <v>0.99749999999999994</v>
      </c>
      <c r="K186" s="122">
        <v>0.999</v>
      </c>
      <c r="L186" s="122">
        <v>0.999</v>
      </c>
      <c r="M186" s="122">
        <v>0.999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123">
        <v>1524.6</v>
      </c>
      <c r="F187" s="123">
        <v>1749.6</v>
      </c>
      <c r="G187" s="123">
        <v>2349.6</v>
      </c>
      <c r="H187" s="123">
        <v>3174.6</v>
      </c>
      <c r="I187" s="123">
        <v>4299.6000000000004</v>
      </c>
      <c r="J187" s="123">
        <v>14213</v>
      </c>
      <c r="K187" s="123">
        <v>21713</v>
      </c>
      <c r="L187" s="123">
        <v>37463</v>
      </c>
      <c r="M187" s="123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122">
        <v>40</v>
      </c>
      <c r="F188" s="122">
        <v>40</v>
      </c>
      <c r="G188" s="122">
        <v>40</v>
      </c>
      <c r="H188" s="122">
        <v>40</v>
      </c>
      <c r="I188" s="122">
        <v>40</v>
      </c>
      <c r="J188" s="122">
        <v>40</v>
      </c>
      <c r="K188" s="122">
        <v>40</v>
      </c>
      <c r="L188" s="122">
        <v>40</v>
      </c>
      <c r="M188" s="122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126">
        <v>0.3125</v>
      </c>
      <c r="F189" s="126">
        <v>0.3125</v>
      </c>
      <c r="G189" s="126">
        <v>0.3125</v>
      </c>
      <c r="H189" s="126">
        <v>0.3125</v>
      </c>
      <c r="I189" s="126">
        <v>0.3125</v>
      </c>
      <c r="J189" s="126">
        <v>0.3125</v>
      </c>
      <c r="K189" s="126">
        <v>0.3125</v>
      </c>
      <c r="L189" s="126">
        <v>0.3125</v>
      </c>
      <c r="M189" s="126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122">
        <v>0.64</v>
      </c>
      <c r="F190" s="122">
        <v>0.64</v>
      </c>
      <c r="G190" s="122">
        <v>0.64</v>
      </c>
      <c r="H190" s="122">
        <v>0.64</v>
      </c>
      <c r="I190" s="122">
        <v>0.64</v>
      </c>
      <c r="J190" s="122">
        <v>0.64</v>
      </c>
      <c r="K190" s="122">
        <v>0.64</v>
      </c>
      <c r="L190" s="122">
        <v>0.64</v>
      </c>
      <c r="M190" s="122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122">
        <v>20</v>
      </c>
      <c r="F191" s="122">
        <v>20</v>
      </c>
      <c r="G191" s="122">
        <v>20</v>
      </c>
      <c r="H191" s="122">
        <v>20</v>
      </c>
      <c r="I191" s="122">
        <v>20</v>
      </c>
      <c r="J191" s="122">
        <v>20</v>
      </c>
      <c r="K191" s="122">
        <v>20</v>
      </c>
      <c r="L191" s="122">
        <v>20</v>
      </c>
      <c r="M191" s="122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127">
        <v>855.32731520443224</v>
      </c>
      <c r="F192" s="123">
        <v>842.44893575987089</v>
      </c>
      <c r="G192" s="123">
        <v>808.10659057437408</v>
      </c>
      <c r="H192" s="123">
        <v>760.88586594431581</v>
      </c>
      <c r="I192" s="123">
        <v>696.49396872150919</v>
      </c>
      <c r="J192" s="123">
        <v>567.71017427589595</v>
      </c>
      <c r="K192" s="123">
        <v>483.57142857142856</v>
      </c>
      <c r="L192" s="123">
        <v>483.57142857142856</v>
      </c>
      <c r="M192" s="123">
        <v>483.57142857142856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124">
        <v>0</v>
      </c>
      <c r="F193" s="124">
        <v>0</v>
      </c>
      <c r="G193" s="124">
        <v>0</v>
      </c>
      <c r="H193" s="124">
        <v>0</v>
      </c>
      <c r="I193" s="124">
        <v>0</v>
      </c>
      <c r="J193" s="124">
        <v>0</v>
      </c>
      <c r="K193" s="124">
        <v>0</v>
      </c>
      <c r="L193" s="124">
        <v>0</v>
      </c>
      <c r="M193" s="124">
        <v>0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123">
        <v>49.290721649484539</v>
      </c>
      <c r="F194" s="123">
        <v>65.52783505154639</v>
      </c>
      <c r="G194" s="123">
        <v>108.82680412371134</v>
      </c>
      <c r="H194" s="123">
        <v>168.36288659793814</v>
      </c>
      <c r="I194" s="123">
        <v>249.54845360824743</v>
      </c>
      <c r="J194" s="123">
        <v>411.91958762886594</v>
      </c>
      <c r="K194" s="123">
        <v>574.29072164948457</v>
      </c>
      <c r="L194" s="123">
        <v>574.29072164948457</v>
      </c>
      <c r="M194" s="123">
        <v>574.29072164948457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122"/>
      <c r="F195" s="122"/>
      <c r="G195" s="122"/>
      <c r="H195" s="122"/>
      <c r="I195" s="122"/>
      <c r="J195" s="122"/>
      <c r="K195" s="122"/>
      <c r="L195" s="122"/>
      <c r="M195" s="122"/>
    </row>
    <row r="196" spans="1:14" x14ac:dyDescent="0.25">
      <c r="A196" s="208"/>
      <c r="B196" s="225"/>
      <c r="C196" s="25" t="s">
        <v>135</v>
      </c>
      <c r="D196" s="1" t="s">
        <v>10</v>
      </c>
      <c r="E196" s="122"/>
      <c r="F196" s="122"/>
      <c r="G196" s="122"/>
      <c r="H196" s="122"/>
      <c r="I196" s="122"/>
      <c r="J196" s="122"/>
      <c r="K196" s="122"/>
      <c r="L196" s="122"/>
      <c r="M196" s="122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122"/>
      <c r="F197" s="122"/>
      <c r="G197" s="122"/>
      <c r="H197" s="122"/>
      <c r="I197" s="122"/>
      <c r="J197" s="122"/>
      <c r="K197" s="122"/>
      <c r="L197" s="122"/>
      <c r="M197" s="122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122">
        <v>1</v>
      </c>
      <c r="F198" s="122">
        <v>1</v>
      </c>
      <c r="G198" s="122">
        <v>1</v>
      </c>
      <c r="H198" s="122">
        <v>1</v>
      </c>
      <c r="I198" s="122">
        <v>1</v>
      </c>
      <c r="J198" s="122">
        <v>1</v>
      </c>
      <c r="K198" s="122">
        <v>1</v>
      </c>
      <c r="L198" s="122">
        <v>1</v>
      </c>
      <c r="M198" s="122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122">
        <v>0.65</v>
      </c>
      <c r="F199" s="122">
        <v>0.65</v>
      </c>
      <c r="G199" s="122">
        <v>0.65</v>
      </c>
      <c r="H199" s="122">
        <v>0.65</v>
      </c>
      <c r="I199" s="122">
        <v>0.65</v>
      </c>
      <c r="J199" s="122">
        <v>0.65</v>
      </c>
      <c r="K199" s="122">
        <v>0.65</v>
      </c>
      <c r="L199" s="122">
        <v>0.65</v>
      </c>
      <c r="M199" s="122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122">
        <v>20</v>
      </c>
      <c r="F200" s="122">
        <v>20</v>
      </c>
      <c r="G200" s="122">
        <v>20</v>
      </c>
      <c r="H200" s="122">
        <v>20</v>
      </c>
      <c r="I200" s="122">
        <v>20</v>
      </c>
      <c r="J200" s="122">
        <v>20</v>
      </c>
      <c r="K200" s="122">
        <v>20</v>
      </c>
      <c r="L200" s="122">
        <v>20</v>
      </c>
      <c r="M200" s="122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123">
        <v>192.56641637688614</v>
      </c>
      <c r="F201" s="123">
        <v>163.18945257039451</v>
      </c>
      <c r="G201" s="123">
        <v>127.27927465146402</v>
      </c>
      <c r="H201" s="123">
        <v>102.70540718565383</v>
      </c>
      <c r="I201" s="123">
        <v>107.31263157894738</v>
      </c>
      <c r="J201" s="123">
        <v>107.00631578947369</v>
      </c>
      <c r="K201" s="123">
        <v>105.98526315789475</v>
      </c>
      <c r="L201" s="123">
        <v>103.84105263157896</v>
      </c>
      <c r="M201" s="123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124">
        <v>0</v>
      </c>
      <c r="F202" s="124">
        <v>0</v>
      </c>
      <c r="G202" s="124">
        <v>0</v>
      </c>
      <c r="H202" s="124">
        <v>0</v>
      </c>
      <c r="I202" s="124">
        <v>0</v>
      </c>
      <c r="J202" s="124">
        <v>0</v>
      </c>
      <c r="K202" s="124">
        <v>0</v>
      </c>
      <c r="L202" s="124">
        <v>0</v>
      </c>
      <c r="M202" s="124">
        <v>0</v>
      </c>
    </row>
    <row r="203" spans="1:14" x14ac:dyDescent="0.25">
      <c r="A203" s="208"/>
      <c r="B203" s="225"/>
      <c r="C203" s="25" t="s">
        <v>114</v>
      </c>
      <c r="D203" s="1" t="s">
        <v>8</v>
      </c>
      <c r="E203" s="122"/>
      <c r="F203" s="122"/>
      <c r="G203" s="122"/>
      <c r="H203" s="122"/>
      <c r="I203" s="122"/>
      <c r="J203" s="122"/>
      <c r="K203" s="122"/>
      <c r="L203" s="122"/>
      <c r="M203" s="122"/>
    </row>
    <row r="204" spans="1:14" x14ac:dyDescent="0.25">
      <c r="A204" s="208"/>
      <c r="B204" s="225"/>
      <c r="C204" s="25" t="s">
        <v>115</v>
      </c>
      <c r="D204" s="1" t="s">
        <v>9</v>
      </c>
      <c r="E204" s="123">
        <v>5.7769924913065838</v>
      </c>
      <c r="F204" s="123">
        <v>4.8956835771118348</v>
      </c>
      <c r="G204" s="123">
        <v>3.8183782395439203</v>
      </c>
      <c r="H204" s="123">
        <v>3.0811622155696146</v>
      </c>
      <c r="I204" s="123">
        <v>2.0378947368421052</v>
      </c>
      <c r="J204" s="123">
        <v>2.0189473684210526</v>
      </c>
      <c r="K204" s="123">
        <v>1.9557894736842103</v>
      </c>
      <c r="L204" s="123">
        <v>1.8231578947368419</v>
      </c>
      <c r="M204" s="123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1.7051368421052632E-3</v>
      </c>
      <c r="L205" s="123">
        <v>1.5645473684210527E-3</v>
      </c>
      <c r="M205" s="123">
        <v>1.2833684210526316E-3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122">
        <v>0.99749999999999994</v>
      </c>
      <c r="F207" s="122">
        <v>0.99749999999999994</v>
      </c>
      <c r="G207" s="122">
        <v>0.99749999999999994</v>
      </c>
      <c r="H207" s="122">
        <v>0.99749999999999994</v>
      </c>
      <c r="I207" s="122">
        <v>0.99749999999999994</v>
      </c>
      <c r="J207" s="122">
        <v>0.99749999999999994</v>
      </c>
      <c r="K207" s="122">
        <v>0.999</v>
      </c>
      <c r="L207" s="122">
        <v>0.999</v>
      </c>
      <c r="M207" s="122">
        <v>0.999</v>
      </c>
    </row>
    <row r="208" spans="1:14" x14ac:dyDescent="0.25">
      <c r="A208" s="208"/>
      <c r="B208" s="225"/>
      <c r="C208" s="25" t="s">
        <v>26</v>
      </c>
      <c r="D208" s="1" t="s">
        <v>14</v>
      </c>
      <c r="E208" s="123">
        <v>1524.6</v>
      </c>
      <c r="F208" s="123">
        <v>1749.6</v>
      </c>
      <c r="G208" s="123">
        <v>2349.6</v>
      </c>
      <c r="H208" s="123">
        <v>3174.6</v>
      </c>
      <c r="I208" s="123">
        <v>4299.6000000000004</v>
      </c>
      <c r="J208" s="123">
        <v>14213</v>
      </c>
      <c r="K208" s="123">
        <v>21713</v>
      </c>
      <c r="L208" s="123">
        <v>37463</v>
      </c>
      <c r="M208" s="123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122">
        <v>40</v>
      </c>
      <c r="F209" s="122">
        <v>40</v>
      </c>
      <c r="G209" s="122">
        <v>40</v>
      </c>
      <c r="H209" s="122">
        <v>40</v>
      </c>
      <c r="I209" s="122">
        <v>40</v>
      </c>
      <c r="J209" s="122">
        <v>40</v>
      </c>
      <c r="K209" s="122">
        <v>40</v>
      </c>
      <c r="L209" s="122">
        <v>40</v>
      </c>
      <c r="M209" s="122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126">
        <v>0.546875</v>
      </c>
      <c r="F210" s="126">
        <v>0.546875</v>
      </c>
      <c r="G210" s="126">
        <v>0.54687499999999989</v>
      </c>
      <c r="H210" s="126">
        <v>0.546875</v>
      </c>
      <c r="I210" s="126">
        <v>0.546875</v>
      </c>
      <c r="J210" s="126">
        <v>0.546875</v>
      </c>
      <c r="K210" s="126">
        <v>0.546875</v>
      </c>
      <c r="L210" s="126">
        <v>0.546875</v>
      </c>
      <c r="M210" s="126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122">
        <v>0.64</v>
      </c>
      <c r="F211" s="122">
        <v>0.64</v>
      </c>
      <c r="G211" s="122">
        <v>0.64</v>
      </c>
      <c r="H211" s="122">
        <v>0.64</v>
      </c>
      <c r="I211" s="122">
        <v>0.64</v>
      </c>
      <c r="J211" s="122">
        <v>0.64</v>
      </c>
      <c r="K211" s="122">
        <v>0.64</v>
      </c>
      <c r="L211" s="122">
        <v>0.64</v>
      </c>
      <c r="M211" s="122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122">
        <v>20</v>
      </c>
      <c r="F212" s="122">
        <v>20</v>
      </c>
      <c r="G212" s="122">
        <v>20</v>
      </c>
      <c r="H212" s="122">
        <v>20</v>
      </c>
      <c r="I212" s="122">
        <v>20</v>
      </c>
      <c r="J212" s="122">
        <v>20</v>
      </c>
      <c r="K212" s="122">
        <v>20</v>
      </c>
      <c r="L212" s="122">
        <v>20</v>
      </c>
      <c r="M212" s="122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127">
        <v>845.66853062101131</v>
      </c>
      <c r="F213" s="123">
        <v>823.13136659302893</v>
      </c>
      <c r="G213" s="123">
        <v>763.03226251840942</v>
      </c>
      <c r="H213" s="123">
        <v>680.39599441580754</v>
      </c>
      <c r="I213" s="123">
        <v>567.71017427589595</v>
      </c>
      <c r="J213" s="123">
        <v>483.57142857142856</v>
      </c>
      <c r="K213" s="123">
        <v>483.57142857142856</v>
      </c>
      <c r="L213" s="123">
        <v>483.57142857142856</v>
      </c>
      <c r="M213" s="123">
        <v>483.57142857142856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124">
        <v>0</v>
      </c>
      <c r="F214" s="124">
        <v>0</v>
      </c>
      <c r="G214" s="124">
        <v>0</v>
      </c>
      <c r="H214" s="124">
        <v>0</v>
      </c>
      <c r="I214" s="124">
        <v>0</v>
      </c>
      <c r="J214" s="124">
        <v>0</v>
      </c>
      <c r="K214" s="124">
        <v>0</v>
      </c>
      <c r="L214" s="124">
        <v>0</v>
      </c>
      <c r="M214" s="124">
        <v>0</v>
      </c>
    </row>
    <row r="215" spans="1:13" x14ac:dyDescent="0.25">
      <c r="A215" s="208"/>
      <c r="B215" s="225"/>
      <c r="C215" s="25" t="s">
        <v>133</v>
      </c>
      <c r="D215" s="1" t="s">
        <v>8</v>
      </c>
      <c r="E215" s="123">
        <v>49.290721649484539</v>
      </c>
      <c r="F215" s="123">
        <v>65.52783505154639</v>
      </c>
      <c r="G215" s="123">
        <v>108.82680412371134</v>
      </c>
      <c r="H215" s="123">
        <v>168.36288659793814</v>
      </c>
      <c r="I215" s="123">
        <v>249.54845360824743</v>
      </c>
      <c r="J215" s="123">
        <v>411.91958762886594</v>
      </c>
      <c r="K215" s="123">
        <v>574.29072164948457</v>
      </c>
      <c r="L215" s="123">
        <v>574.29072164948457</v>
      </c>
      <c r="M215" s="123">
        <v>574.29072164948457</v>
      </c>
    </row>
    <row r="216" spans="1:13" x14ac:dyDescent="0.25">
      <c r="A216" s="208"/>
      <c r="B216" s="225"/>
      <c r="C216" s="25" t="s">
        <v>134</v>
      </c>
      <c r="D216" s="1" t="s">
        <v>9</v>
      </c>
      <c r="E216" s="122"/>
      <c r="F216" s="122"/>
      <c r="G216" s="122"/>
      <c r="H216" s="122"/>
      <c r="I216" s="122"/>
      <c r="J216" s="122"/>
      <c r="K216" s="122"/>
      <c r="L216" s="122"/>
      <c r="M216" s="122"/>
    </row>
    <row r="217" spans="1:13" x14ac:dyDescent="0.25">
      <c r="A217" s="208"/>
      <c r="B217" s="225"/>
      <c r="C217" s="25" t="s">
        <v>135</v>
      </c>
      <c r="D217" s="1" t="s">
        <v>10</v>
      </c>
      <c r="E217" s="122"/>
      <c r="F217" s="122"/>
      <c r="G217" s="122"/>
      <c r="H217" s="122"/>
      <c r="I217" s="122"/>
      <c r="J217" s="122"/>
      <c r="K217" s="122"/>
      <c r="L217" s="122"/>
      <c r="M217" s="122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122"/>
      <c r="F218" s="122"/>
      <c r="G218" s="122"/>
      <c r="H218" s="122"/>
      <c r="I218" s="122"/>
      <c r="J218" s="122"/>
      <c r="K218" s="122"/>
      <c r="L218" s="122"/>
      <c r="M218" s="122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126">
        <v>1</v>
      </c>
      <c r="F219" s="126">
        <v>1</v>
      </c>
      <c r="G219" s="126">
        <v>1</v>
      </c>
      <c r="H219" s="126">
        <v>1</v>
      </c>
      <c r="I219" s="126">
        <v>1</v>
      </c>
      <c r="J219" s="126">
        <v>1</v>
      </c>
      <c r="K219" s="126">
        <v>1</v>
      </c>
      <c r="L219" s="126">
        <v>1</v>
      </c>
      <c r="M219" s="126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122">
        <v>0.8</v>
      </c>
      <c r="F220" s="122">
        <v>0.8</v>
      </c>
      <c r="G220" s="122">
        <v>0.8</v>
      </c>
      <c r="H220" s="122">
        <v>0.8</v>
      </c>
      <c r="I220" s="122">
        <v>0.8</v>
      </c>
      <c r="J220" s="122">
        <v>0.8</v>
      </c>
      <c r="K220" s="122">
        <v>0.8</v>
      </c>
      <c r="L220" s="122">
        <v>0.8</v>
      </c>
      <c r="M220" s="122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122">
        <v>20</v>
      </c>
      <c r="F221" s="122">
        <v>20</v>
      </c>
      <c r="G221" s="122">
        <v>20</v>
      </c>
      <c r="H221" s="122">
        <v>20</v>
      </c>
      <c r="I221" s="122">
        <v>20</v>
      </c>
      <c r="J221" s="122">
        <v>20</v>
      </c>
      <c r="K221" s="122">
        <v>20</v>
      </c>
      <c r="L221" s="122">
        <v>20</v>
      </c>
      <c r="M221" s="122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123">
        <v>756.50213541090761</v>
      </c>
      <c r="F222" s="123">
        <v>540.20663720034383</v>
      </c>
      <c r="G222" s="123">
        <v>421.48150193390472</v>
      </c>
      <c r="H222" s="123">
        <v>421.48150193390472</v>
      </c>
      <c r="I222" s="123">
        <v>421.48150193390472</v>
      </c>
      <c r="J222" s="123">
        <v>421.48150193390472</v>
      </c>
      <c r="K222" s="123">
        <v>1120.903443434433</v>
      </c>
      <c r="L222" s="123">
        <v>975.21226311391229</v>
      </c>
      <c r="M222" s="123">
        <v>857.30536609258718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124">
        <v>0</v>
      </c>
      <c r="F223" s="124">
        <v>0</v>
      </c>
      <c r="G223" s="124">
        <v>0</v>
      </c>
      <c r="H223" s="124">
        <v>0</v>
      </c>
      <c r="I223" s="124">
        <v>0</v>
      </c>
      <c r="J223" s="124">
        <v>0</v>
      </c>
      <c r="K223" s="124">
        <v>0</v>
      </c>
      <c r="L223" s="124">
        <v>0</v>
      </c>
      <c r="M223" s="124">
        <v>0</v>
      </c>
    </row>
    <row r="224" spans="1:13" x14ac:dyDescent="0.25">
      <c r="A224" s="227"/>
      <c r="B224" s="230"/>
      <c r="C224" s="25" t="s">
        <v>117</v>
      </c>
      <c r="D224" s="1" t="s">
        <v>8</v>
      </c>
      <c r="E224" s="122"/>
      <c r="F224" s="122"/>
      <c r="G224" s="122"/>
      <c r="H224" s="122"/>
      <c r="I224" s="122"/>
      <c r="J224" s="122"/>
      <c r="K224" s="122"/>
      <c r="L224" s="122"/>
      <c r="M224" s="122"/>
    </row>
    <row r="225" spans="1:13" x14ac:dyDescent="0.25">
      <c r="A225" s="227"/>
      <c r="B225" s="230"/>
      <c r="C225" s="25" t="s">
        <v>118</v>
      </c>
      <c r="D225" s="1" t="s">
        <v>9</v>
      </c>
      <c r="E225" s="122"/>
      <c r="F225" s="122"/>
      <c r="G225" s="122"/>
      <c r="H225" s="122"/>
      <c r="I225" s="122"/>
      <c r="J225" s="122"/>
      <c r="K225" s="122"/>
      <c r="L225" s="122"/>
      <c r="M225" s="122"/>
    </row>
    <row r="226" spans="1:13" x14ac:dyDescent="0.25">
      <c r="A226" s="227"/>
      <c r="B226" s="230"/>
      <c r="C226" s="25" t="s">
        <v>119</v>
      </c>
      <c r="D226" s="1" t="s">
        <v>10</v>
      </c>
      <c r="E226" s="123">
        <v>0</v>
      </c>
      <c r="F226" s="123">
        <v>0</v>
      </c>
      <c r="G226" s="123">
        <v>0</v>
      </c>
      <c r="H226" s="123">
        <v>0</v>
      </c>
      <c r="I226" s="123">
        <v>0</v>
      </c>
      <c r="J226" s="123">
        <v>0</v>
      </c>
      <c r="K226" s="123">
        <v>2.0100000000000001E-3</v>
      </c>
      <c r="L226" s="123">
        <v>2.0100000000000001E-3</v>
      </c>
      <c r="M226" s="123">
        <v>2.0100000000000001E-3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123">
        <v>0</v>
      </c>
      <c r="F227" s="123">
        <v>0</v>
      </c>
      <c r="G227" s="123">
        <v>0</v>
      </c>
      <c r="H227" s="123">
        <v>0</v>
      </c>
      <c r="I227" s="123">
        <v>0</v>
      </c>
      <c r="J227" s="123">
        <v>0</v>
      </c>
      <c r="K227" s="123">
        <v>0</v>
      </c>
      <c r="L227" s="123">
        <v>0</v>
      </c>
      <c r="M227" s="123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123">
        <v>0</v>
      </c>
      <c r="F228" s="123">
        <v>0</v>
      </c>
      <c r="G228" s="123">
        <v>0</v>
      </c>
      <c r="H228" s="123">
        <v>0</v>
      </c>
      <c r="I228" s="123">
        <v>0</v>
      </c>
      <c r="J228" s="123">
        <v>0</v>
      </c>
      <c r="K228" s="123">
        <v>0</v>
      </c>
      <c r="L228" s="123">
        <v>0</v>
      </c>
      <c r="M228" s="123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122">
        <v>3.48</v>
      </c>
      <c r="F229" s="122">
        <v>3.48</v>
      </c>
      <c r="G229" s="122">
        <v>3.48</v>
      </c>
      <c r="H229" s="122">
        <v>3.48</v>
      </c>
      <c r="I229" s="122">
        <v>3.48</v>
      </c>
      <c r="J229" s="122">
        <v>3.48</v>
      </c>
      <c r="K229" s="122">
        <v>3.48</v>
      </c>
      <c r="L229" s="122">
        <v>3.48</v>
      </c>
      <c r="M229" s="122">
        <v>3.48</v>
      </c>
    </row>
    <row r="230" spans="1:13" x14ac:dyDescent="0.25">
      <c r="A230" s="227"/>
      <c r="B230" s="230"/>
      <c r="C230" s="25" t="s">
        <v>33</v>
      </c>
      <c r="D230" s="2" t="s">
        <v>14</v>
      </c>
      <c r="E230" s="122"/>
      <c r="F230" s="122"/>
      <c r="G230" s="122"/>
      <c r="H230" s="122"/>
      <c r="I230" s="122"/>
      <c r="J230" s="122"/>
      <c r="K230" s="122"/>
      <c r="L230" s="122"/>
      <c r="M230" s="122"/>
    </row>
    <row r="231" spans="1:13" x14ac:dyDescent="0.25">
      <c r="A231" s="227"/>
      <c r="B231" s="230"/>
      <c r="C231" s="25" t="s">
        <v>34</v>
      </c>
      <c r="D231" s="2" t="s">
        <v>4</v>
      </c>
      <c r="E231" s="122"/>
      <c r="F231" s="122"/>
      <c r="G231" s="122"/>
      <c r="H231" s="122"/>
      <c r="I231" s="122"/>
      <c r="J231" s="122"/>
      <c r="K231" s="122"/>
      <c r="L231" s="122"/>
      <c r="M231" s="122"/>
    </row>
    <row r="232" spans="1:13" x14ac:dyDescent="0.25">
      <c r="A232" s="227"/>
      <c r="B232" s="230"/>
      <c r="C232" s="25" t="s">
        <v>129</v>
      </c>
      <c r="D232" s="1" t="s">
        <v>19</v>
      </c>
      <c r="E232" s="126">
        <v>0.3125</v>
      </c>
      <c r="F232" s="126">
        <v>0.3125</v>
      </c>
      <c r="G232" s="126">
        <v>0.3125</v>
      </c>
      <c r="H232" s="126">
        <v>0.3125</v>
      </c>
      <c r="I232" s="126">
        <v>0.3125</v>
      </c>
      <c r="J232" s="126">
        <v>0.3125</v>
      </c>
      <c r="K232" s="126">
        <v>0.3125</v>
      </c>
      <c r="L232" s="126">
        <v>0.3125</v>
      </c>
      <c r="M232" s="126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122">
        <v>0.64</v>
      </c>
      <c r="F233" s="122">
        <v>0.64</v>
      </c>
      <c r="G233" s="122">
        <v>0.64</v>
      </c>
      <c r="H233" s="122">
        <v>0.64</v>
      </c>
      <c r="I233" s="122">
        <v>0.64</v>
      </c>
      <c r="J233" s="122">
        <v>0.64</v>
      </c>
      <c r="K233" s="122">
        <v>0.64</v>
      </c>
      <c r="L233" s="122">
        <v>0.64</v>
      </c>
      <c r="M233" s="122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122">
        <v>20</v>
      </c>
      <c r="F234" s="122">
        <v>20</v>
      </c>
      <c r="G234" s="122">
        <v>20</v>
      </c>
      <c r="H234" s="122">
        <v>20</v>
      </c>
      <c r="I234" s="122">
        <v>20</v>
      </c>
      <c r="J234" s="122">
        <v>20</v>
      </c>
      <c r="K234" s="122">
        <v>20</v>
      </c>
      <c r="L234" s="122">
        <v>20</v>
      </c>
      <c r="M234" s="122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127">
        <v>855.32731520443224</v>
      </c>
      <c r="F235" s="127">
        <v>842.44893575987089</v>
      </c>
      <c r="G235" s="127">
        <v>808.10659057437408</v>
      </c>
      <c r="H235" s="127">
        <v>760.88586594431581</v>
      </c>
      <c r="I235" s="127">
        <v>696.49396872150919</v>
      </c>
      <c r="J235" s="127">
        <v>567.71017427589595</v>
      </c>
      <c r="K235" s="127">
        <v>483.57142857142856</v>
      </c>
      <c r="L235" s="127">
        <v>483.57142857142856</v>
      </c>
      <c r="M235" s="127">
        <v>483.57142857142856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124">
        <v>0</v>
      </c>
      <c r="F236" s="124">
        <v>0</v>
      </c>
      <c r="G236" s="124">
        <v>0</v>
      </c>
      <c r="H236" s="124">
        <v>0</v>
      </c>
      <c r="I236" s="124">
        <v>0</v>
      </c>
      <c r="J236" s="124">
        <v>0</v>
      </c>
      <c r="K236" s="124">
        <v>0</v>
      </c>
      <c r="L236" s="124">
        <v>0</v>
      </c>
      <c r="M236" s="124">
        <v>0</v>
      </c>
    </row>
    <row r="237" spans="1:13" x14ac:dyDescent="0.25">
      <c r="A237" s="227"/>
      <c r="B237" s="230"/>
      <c r="C237" s="25" t="s">
        <v>133</v>
      </c>
      <c r="D237" s="1" t="s">
        <v>8</v>
      </c>
      <c r="E237" s="123">
        <v>49.290721649484539</v>
      </c>
      <c r="F237" s="123">
        <v>65.52783505154639</v>
      </c>
      <c r="G237" s="123">
        <v>108.82680412371134</v>
      </c>
      <c r="H237" s="123">
        <v>168.36288659793814</v>
      </c>
      <c r="I237" s="123">
        <v>249.54845360824743</v>
      </c>
      <c r="J237" s="123">
        <v>411.91958762886594</v>
      </c>
      <c r="K237" s="123">
        <v>574.29072164948457</v>
      </c>
      <c r="L237" s="123">
        <v>574.29072164948457</v>
      </c>
      <c r="M237" s="123">
        <v>574.29072164948457</v>
      </c>
    </row>
    <row r="238" spans="1:13" x14ac:dyDescent="0.25">
      <c r="A238" s="227"/>
      <c r="B238" s="230"/>
      <c r="C238" s="25" t="s">
        <v>134</v>
      </c>
      <c r="D238" s="1" t="s">
        <v>9</v>
      </c>
      <c r="E238" s="122"/>
      <c r="F238" s="122"/>
      <c r="G238" s="122"/>
      <c r="H238" s="122"/>
      <c r="I238" s="122"/>
      <c r="J238" s="122"/>
      <c r="K238" s="122"/>
      <c r="L238" s="122"/>
      <c r="M238" s="122"/>
    </row>
    <row r="239" spans="1:13" x14ac:dyDescent="0.25">
      <c r="A239" s="227"/>
      <c r="B239" s="230"/>
      <c r="C239" s="25" t="s">
        <v>135</v>
      </c>
      <c r="D239" s="1" t="s">
        <v>10</v>
      </c>
      <c r="E239" s="122"/>
      <c r="F239" s="122"/>
      <c r="G239" s="122"/>
      <c r="H239" s="122"/>
      <c r="I239" s="122"/>
      <c r="J239" s="122"/>
      <c r="K239" s="122"/>
      <c r="L239" s="122"/>
      <c r="M239" s="122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122"/>
      <c r="F240" s="122"/>
      <c r="G240" s="122"/>
      <c r="H240" s="122"/>
      <c r="I240" s="122"/>
      <c r="J240" s="122"/>
      <c r="K240" s="122"/>
      <c r="L240" s="122"/>
      <c r="M240" s="122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126">
        <v>1</v>
      </c>
      <c r="F241" s="126">
        <v>1</v>
      </c>
      <c r="G241" s="126">
        <v>1</v>
      </c>
      <c r="H241" s="126">
        <v>1</v>
      </c>
      <c r="I241" s="126">
        <v>1</v>
      </c>
      <c r="J241" s="126">
        <v>1</v>
      </c>
      <c r="K241" s="126">
        <v>1</v>
      </c>
      <c r="L241" s="126">
        <v>1</v>
      </c>
      <c r="M241" s="126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122">
        <v>0.65</v>
      </c>
      <c r="F242" s="122">
        <v>0.65</v>
      </c>
      <c r="G242" s="122">
        <v>0.65</v>
      </c>
      <c r="H242" s="122">
        <v>0.65</v>
      </c>
      <c r="I242" s="122">
        <v>0.65</v>
      </c>
      <c r="J242" s="122">
        <v>0.65</v>
      </c>
      <c r="K242" s="122">
        <v>0.65</v>
      </c>
      <c r="L242" s="122">
        <v>0.65</v>
      </c>
      <c r="M242" s="122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122">
        <v>20</v>
      </c>
      <c r="F243" s="122">
        <v>20</v>
      </c>
      <c r="G243" s="122">
        <v>20</v>
      </c>
      <c r="H243" s="122">
        <v>20</v>
      </c>
      <c r="I243" s="122">
        <v>20</v>
      </c>
      <c r="J243" s="122">
        <v>20</v>
      </c>
      <c r="K243" s="122">
        <v>20</v>
      </c>
      <c r="L243" s="122">
        <v>20</v>
      </c>
      <c r="M243" s="122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123">
        <v>756.50213541090761</v>
      </c>
      <c r="F244" s="123">
        <v>540.20663720034383</v>
      </c>
      <c r="G244" s="123">
        <v>421.48150193390472</v>
      </c>
      <c r="H244" s="123">
        <v>421.48150193390472</v>
      </c>
      <c r="I244" s="123">
        <v>421.48150193390472</v>
      </c>
      <c r="J244" s="123">
        <v>421.48150193390472</v>
      </c>
      <c r="K244" s="123">
        <v>1120.903443434433</v>
      </c>
      <c r="L244" s="123">
        <v>975.21226311391229</v>
      </c>
      <c r="M244" s="123">
        <v>857.30536609258718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124">
        <v>0</v>
      </c>
      <c r="F245" s="124">
        <v>0</v>
      </c>
      <c r="G245" s="124">
        <v>0</v>
      </c>
      <c r="H245" s="124">
        <v>0</v>
      </c>
      <c r="I245" s="124">
        <v>0</v>
      </c>
      <c r="J245" s="124">
        <v>0</v>
      </c>
      <c r="K245" s="124">
        <v>0</v>
      </c>
      <c r="L245" s="124">
        <v>0</v>
      </c>
      <c r="M245" s="124">
        <v>0</v>
      </c>
    </row>
    <row r="246" spans="1:13" x14ac:dyDescent="0.25">
      <c r="A246" s="227"/>
      <c r="B246" s="230"/>
      <c r="C246" s="25" t="s">
        <v>117</v>
      </c>
      <c r="D246" s="1" t="s">
        <v>8</v>
      </c>
      <c r="E246" s="122"/>
      <c r="F246" s="122"/>
      <c r="G246" s="122"/>
      <c r="H246" s="122"/>
      <c r="I246" s="122"/>
      <c r="J246" s="122"/>
      <c r="K246" s="122"/>
      <c r="L246" s="122"/>
      <c r="M246" s="122"/>
    </row>
    <row r="247" spans="1:13" x14ac:dyDescent="0.25">
      <c r="A247" s="227"/>
      <c r="B247" s="230"/>
      <c r="C247" s="25" t="s">
        <v>118</v>
      </c>
      <c r="D247" s="1" t="s">
        <v>9</v>
      </c>
      <c r="E247" s="122"/>
      <c r="F247" s="122"/>
      <c r="G247" s="122"/>
      <c r="H247" s="122"/>
      <c r="I247" s="122"/>
      <c r="J247" s="122"/>
      <c r="K247" s="122"/>
      <c r="L247" s="122"/>
      <c r="M247" s="122"/>
    </row>
    <row r="248" spans="1:13" x14ac:dyDescent="0.25">
      <c r="A248" s="227"/>
      <c r="B248" s="230"/>
      <c r="C248" s="25" t="s">
        <v>119</v>
      </c>
      <c r="D248" s="1" t="s">
        <v>10</v>
      </c>
      <c r="E248" s="123">
        <v>0</v>
      </c>
      <c r="F248" s="123">
        <v>0</v>
      </c>
      <c r="G248" s="123">
        <v>0</v>
      </c>
      <c r="H248" s="123">
        <v>0</v>
      </c>
      <c r="I248" s="123">
        <v>0</v>
      </c>
      <c r="J248" s="123">
        <v>0</v>
      </c>
      <c r="K248" s="123">
        <v>2.0100000000000001E-3</v>
      </c>
      <c r="L248" s="123">
        <v>2.0100000000000001E-3</v>
      </c>
      <c r="M248" s="123">
        <v>2.0100000000000001E-3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123">
        <v>0</v>
      </c>
      <c r="F249" s="123">
        <v>0</v>
      </c>
      <c r="G249" s="123">
        <v>0</v>
      </c>
      <c r="H249" s="123">
        <v>0</v>
      </c>
      <c r="I249" s="123">
        <v>0</v>
      </c>
      <c r="J249" s="123">
        <v>0</v>
      </c>
      <c r="K249" s="123">
        <v>0</v>
      </c>
      <c r="L249" s="123">
        <v>0</v>
      </c>
      <c r="M249" s="123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123">
        <v>0</v>
      </c>
      <c r="F250" s="123">
        <v>0</v>
      </c>
      <c r="G250" s="123">
        <v>0</v>
      </c>
      <c r="H250" s="123">
        <v>0</v>
      </c>
      <c r="I250" s="123">
        <v>0</v>
      </c>
      <c r="J250" s="123">
        <v>0</v>
      </c>
      <c r="K250" s="123">
        <v>0</v>
      </c>
      <c r="L250" s="123">
        <v>0</v>
      </c>
      <c r="M250" s="123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122">
        <v>3.48</v>
      </c>
      <c r="F251" s="122">
        <v>3.48</v>
      </c>
      <c r="G251" s="122">
        <v>3.48</v>
      </c>
      <c r="H251" s="122">
        <v>3.48</v>
      </c>
      <c r="I251" s="122">
        <v>3.48</v>
      </c>
      <c r="J251" s="122">
        <v>3.48</v>
      </c>
      <c r="K251" s="122">
        <v>3.48</v>
      </c>
      <c r="L251" s="122">
        <v>3.48</v>
      </c>
      <c r="M251" s="122">
        <v>3.48</v>
      </c>
    </row>
    <row r="252" spans="1:13" x14ac:dyDescent="0.25">
      <c r="A252" s="227"/>
      <c r="B252" s="230"/>
      <c r="C252" s="25" t="s">
        <v>33</v>
      </c>
      <c r="D252" s="2" t="s">
        <v>14</v>
      </c>
      <c r="E252" s="122"/>
      <c r="F252" s="122"/>
      <c r="G252" s="122"/>
      <c r="H252" s="122"/>
      <c r="I252" s="122"/>
      <c r="J252" s="122"/>
      <c r="K252" s="122"/>
      <c r="L252" s="122"/>
      <c r="M252" s="122"/>
    </row>
    <row r="253" spans="1:13" x14ac:dyDescent="0.25">
      <c r="A253" s="227"/>
      <c r="B253" s="230"/>
      <c r="C253" s="25" t="s">
        <v>34</v>
      </c>
      <c r="D253" s="2" t="s">
        <v>4</v>
      </c>
      <c r="E253" s="122"/>
      <c r="F253" s="122"/>
      <c r="G253" s="122"/>
      <c r="H253" s="122"/>
      <c r="I253" s="122"/>
      <c r="J253" s="122"/>
      <c r="K253" s="122"/>
      <c r="L253" s="122"/>
      <c r="M253" s="122"/>
    </row>
    <row r="254" spans="1:13" x14ac:dyDescent="0.25">
      <c r="A254" s="227"/>
      <c r="B254" s="230"/>
      <c r="C254" s="25" t="s">
        <v>129</v>
      </c>
      <c r="D254" s="1" t="s">
        <v>19</v>
      </c>
      <c r="E254" s="126">
        <v>0.546875</v>
      </c>
      <c r="F254" s="126">
        <v>0.546875</v>
      </c>
      <c r="G254" s="126">
        <v>0.54687499999999989</v>
      </c>
      <c r="H254" s="126">
        <v>0.546875</v>
      </c>
      <c r="I254" s="126">
        <v>0.546875</v>
      </c>
      <c r="J254" s="126">
        <v>0.546875</v>
      </c>
      <c r="K254" s="126">
        <v>0.546875</v>
      </c>
      <c r="L254" s="126">
        <v>0.546875</v>
      </c>
      <c r="M254" s="126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122">
        <v>0.64</v>
      </c>
      <c r="F255" s="122">
        <v>0.64</v>
      </c>
      <c r="G255" s="122">
        <v>0.64</v>
      </c>
      <c r="H255" s="122">
        <v>0.64</v>
      </c>
      <c r="I255" s="122">
        <v>0.64</v>
      </c>
      <c r="J255" s="122">
        <v>0.64</v>
      </c>
      <c r="K255" s="122">
        <v>0.64</v>
      </c>
      <c r="L255" s="122">
        <v>0.64</v>
      </c>
      <c r="M255" s="122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122">
        <v>20</v>
      </c>
      <c r="F256" s="122">
        <v>20</v>
      </c>
      <c r="G256" s="122">
        <v>20</v>
      </c>
      <c r="H256" s="122">
        <v>20</v>
      </c>
      <c r="I256" s="122">
        <v>20</v>
      </c>
      <c r="J256" s="122">
        <v>20</v>
      </c>
      <c r="K256" s="122">
        <v>20</v>
      </c>
      <c r="L256" s="122">
        <v>20</v>
      </c>
      <c r="M256" s="122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127">
        <v>845.66853062101131</v>
      </c>
      <c r="F257" s="127">
        <v>823.13136659302893</v>
      </c>
      <c r="G257" s="127">
        <v>763.03226251840942</v>
      </c>
      <c r="H257" s="127">
        <v>680.39599441580754</v>
      </c>
      <c r="I257" s="127">
        <v>567.71017427589595</v>
      </c>
      <c r="J257" s="127">
        <v>483.57142857142856</v>
      </c>
      <c r="K257" s="127">
        <v>483.57142857142856</v>
      </c>
      <c r="L257" s="127">
        <v>483.57142857142856</v>
      </c>
      <c r="M257" s="127">
        <v>483.57142857142856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124">
        <v>0</v>
      </c>
      <c r="F258" s="124">
        <v>0</v>
      </c>
      <c r="G258" s="124">
        <v>0</v>
      </c>
      <c r="H258" s="124">
        <v>0</v>
      </c>
      <c r="I258" s="124">
        <v>0</v>
      </c>
      <c r="J258" s="124">
        <v>0</v>
      </c>
      <c r="K258" s="124">
        <v>0</v>
      </c>
      <c r="L258" s="124">
        <v>0</v>
      </c>
      <c r="M258" s="124">
        <v>0</v>
      </c>
    </row>
    <row r="259" spans="1:13" x14ac:dyDescent="0.25">
      <c r="A259" s="227"/>
      <c r="B259" s="230"/>
      <c r="C259" s="25" t="s">
        <v>133</v>
      </c>
      <c r="D259" s="1" t="s">
        <v>8</v>
      </c>
      <c r="E259" s="123">
        <v>49.290721649484539</v>
      </c>
      <c r="F259" s="123">
        <v>65.52783505154639</v>
      </c>
      <c r="G259" s="123">
        <v>108.82680412371134</v>
      </c>
      <c r="H259" s="123">
        <v>168.36288659793814</v>
      </c>
      <c r="I259" s="123">
        <v>249.54845360824743</v>
      </c>
      <c r="J259" s="123">
        <v>411.91958762886594</v>
      </c>
      <c r="K259" s="123">
        <v>574.29072164948457</v>
      </c>
      <c r="L259" s="123">
        <v>574.29072164948457</v>
      </c>
      <c r="M259" s="123">
        <v>574.29072164948457</v>
      </c>
    </row>
    <row r="260" spans="1:13" x14ac:dyDescent="0.25">
      <c r="A260" s="227"/>
      <c r="B260" s="230"/>
      <c r="C260" s="25" t="s">
        <v>134</v>
      </c>
      <c r="D260" s="1" t="s">
        <v>9</v>
      </c>
      <c r="E260" s="122"/>
      <c r="F260" s="122"/>
      <c r="G260" s="122"/>
      <c r="H260" s="122"/>
      <c r="I260" s="122"/>
      <c r="J260" s="122"/>
      <c r="K260" s="122"/>
      <c r="L260" s="122"/>
      <c r="M260" s="122"/>
    </row>
    <row r="261" spans="1:13" x14ac:dyDescent="0.25">
      <c r="A261" s="227"/>
      <c r="B261" s="230"/>
      <c r="C261" s="25" t="s">
        <v>135</v>
      </c>
      <c r="D261" s="1" t="s">
        <v>10</v>
      </c>
      <c r="E261" s="122"/>
      <c r="F261" s="122"/>
      <c r="G261" s="122"/>
      <c r="H261" s="122"/>
      <c r="I261" s="122"/>
      <c r="J261" s="122"/>
      <c r="K261" s="122"/>
      <c r="L261" s="122"/>
      <c r="M261" s="122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122"/>
      <c r="F262" s="122"/>
      <c r="G262" s="122"/>
      <c r="H262" s="122"/>
      <c r="I262" s="122"/>
      <c r="J262" s="122"/>
      <c r="K262" s="122"/>
      <c r="L262" s="122"/>
      <c r="M262" s="122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122">
        <v>40</v>
      </c>
      <c r="F263" s="122">
        <v>40</v>
      </c>
      <c r="G263" s="122">
        <v>40</v>
      </c>
      <c r="H263" s="122">
        <v>40</v>
      </c>
      <c r="I263" s="122">
        <v>40</v>
      </c>
      <c r="J263" s="122">
        <v>40</v>
      </c>
      <c r="K263" s="122">
        <v>40</v>
      </c>
      <c r="L263" s="122">
        <v>40</v>
      </c>
      <c r="M263" s="122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123">
        <v>300</v>
      </c>
      <c r="F264" s="123">
        <v>183.33333333333334</v>
      </c>
      <c r="G264" s="123">
        <v>100</v>
      </c>
      <c r="H264" s="123">
        <v>76</v>
      </c>
      <c r="I264" s="123">
        <v>60</v>
      </c>
      <c r="J264" s="123">
        <v>42.857142857142854</v>
      </c>
      <c r="K264" s="123">
        <v>27.058823529411764</v>
      </c>
      <c r="L264" s="123">
        <v>18.421052631578949</v>
      </c>
      <c r="M264" s="123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124">
        <v>0</v>
      </c>
      <c r="F265" s="124">
        <v>0</v>
      </c>
      <c r="G265" s="124">
        <v>0</v>
      </c>
      <c r="H265" s="124">
        <v>0</v>
      </c>
      <c r="I265" s="124">
        <v>0</v>
      </c>
      <c r="J265" s="124">
        <v>0</v>
      </c>
      <c r="K265" s="124">
        <v>0</v>
      </c>
      <c r="L265" s="124">
        <v>0</v>
      </c>
      <c r="M265" s="124">
        <v>0</v>
      </c>
    </row>
    <row r="266" spans="1:13" x14ac:dyDescent="0.25">
      <c r="A266" s="208"/>
      <c r="B266" s="225"/>
      <c r="C266" s="25" t="s">
        <v>106</v>
      </c>
      <c r="D266" s="1" t="s">
        <v>8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23">
        <v>0</v>
      </c>
      <c r="M266" s="123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122"/>
      <c r="F267" s="122"/>
      <c r="G267" s="122"/>
      <c r="H267" s="122"/>
      <c r="I267" s="122"/>
      <c r="J267" s="122"/>
      <c r="K267" s="122"/>
      <c r="L267" s="122"/>
      <c r="M267" s="122"/>
    </row>
    <row r="268" spans="1:13" x14ac:dyDescent="0.25">
      <c r="A268" s="208"/>
      <c r="B268" s="225"/>
      <c r="C268" s="25" t="s">
        <v>108</v>
      </c>
      <c r="D268" s="1" t="s">
        <v>10</v>
      </c>
      <c r="E268" s="122"/>
      <c r="F268" s="122"/>
      <c r="G268" s="122"/>
      <c r="H268" s="122"/>
      <c r="I268" s="122"/>
      <c r="J268" s="122"/>
      <c r="K268" s="122"/>
      <c r="L268" s="122"/>
      <c r="M268" s="122"/>
    </row>
    <row r="269" spans="1:13" x14ac:dyDescent="0.25">
      <c r="A269" s="208"/>
      <c r="B269" s="225"/>
      <c r="C269" s="26" t="s">
        <v>11</v>
      </c>
      <c r="D269" s="27" t="s">
        <v>10</v>
      </c>
      <c r="E269" s="122"/>
      <c r="F269" s="122"/>
      <c r="G269" s="122"/>
      <c r="H269" s="122"/>
      <c r="I269" s="122"/>
      <c r="J269" s="122"/>
      <c r="K269" s="122"/>
      <c r="L269" s="122"/>
      <c r="M269" s="122"/>
    </row>
    <row r="270" spans="1:13" x14ac:dyDescent="0.25">
      <c r="A270" s="208"/>
      <c r="B270" s="225"/>
      <c r="C270" s="25" t="s">
        <v>12</v>
      </c>
      <c r="D270" s="1" t="s">
        <v>7</v>
      </c>
      <c r="E270" s="124">
        <v>1</v>
      </c>
      <c r="F270" s="124">
        <v>1</v>
      </c>
      <c r="G270" s="124">
        <v>1</v>
      </c>
      <c r="H270" s="124">
        <v>1</v>
      </c>
      <c r="I270" s="124">
        <v>1</v>
      </c>
      <c r="J270" s="124">
        <v>1</v>
      </c>
      <c r="K270" s="124">
        <v>1</v>
      </c>
      <c r="L270" s="124">
        <v>1</v>
      </c>
      <c r="M270" s="124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123">
        <v>31017</v>
      </c>
      <c r="F271" s="123">
        <v>31902</v>
      </c>
      <c r="G271" s="123">
        <v>34262</v>
      </c>
      <c r="H271" s="123">
        <v>37507</v>
      </c>
      <c r="I271" s="123">
        <v>41932</v>
      </c>
      <c r="J271" s="123">
        <v>50782</v>
      </c>
      <c r="K271" s="123">
        <v>80282</v>
      </c>
      <c r="L271" s="123">
        <v>151952</v>
      </c>
      <c r="M271" s="123">
        <v>292470.28399999999</v>
      </c>
    </row>
    <row r="272" spans="1:13" x14ac:dyDescent="0.25">
      <c r="A272" s="208"/>
      <c r="B272" s="225"/>
      <c r="C272" s="25" t="s">
        <v>15</v>
      </c>
      <c r="D272" s="1" t="s">
        <v>4</v>
      </c>
      <c r="E272" s="122">
        <v>40</v>
      </c>
      <c r="F272" s="122">
        <v>40</v>
      </c>
      <c r="G272" s="122">
        <v>40</v>
      </c>
      <c r="H272" s="122">
        <v>40</v>
      </c>
      <c r="I272" s="122">
        <v>40</v>
      </c>
      <c r="J272" s="122">
        <v>40</v>
      </c>
      <c r="K272" s="122">
        <v>40</v>
      </c>
      <c r="L272" s="122">
        <v>40</v>
      </c>
      <c r="M272" s="122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122">
        <v>40</v>
      </c>
      <c r="F273" s="122">
        <v>40</v>
      </c>
      <c r="G273" s="122">
        <v>40</v>
      </c>
      <c r="H273" s="122">
        <v>40</v>
      </c>
      <c r="I273" s="122">
        <v>40</v>
      </c>
      <c r="J273" s="122">
        <v>40</v>
      </c>
      <c r="K273" s="122">
        <v>40</v>
      </c>
      <c r="L273" s="122">
        <v>40</v>
      </c>
      <c r="M273" s="122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122"/>
      <c r="F274" s="122"/>
      <c r="G274" s="122"/>
      <c r="H274" s="122"/>
      <c r="I274" s="122"/>
      <c r="J274" s="122"/>
      <c r="K274" s="122"/>
      <c r="L274" s="122"/>
      <c r="M274" s="122"/>
    </row>
    <row r="275" spans="1:13" x14ac:dyDescent="0.25">
      <c r="A275" s="208"/>
      <c r="B275" s="225"/>
      <c r="C275" s="25" t="s">
        <v>176</v>
      </c>
      <c r="D275" s="1" t="s">
        <v>19</v>
      </c>
      <c r="E275" s="124">
        <v>0</v>
      </c>
      <c r="F275" s="124">
        <v>0</v>
      </c>
      <c r="G275" s="124">
        <v>0</v>
      </c>
      <c r="H275" s="124">
        <v>0</v>
      </c>
      <c r="I275" s="124">
        <v>0</v>
      </c>
      <c r="J275" s="124">
        <v>0</v>
      </c>
      <c r="K275" s="124">
        <v>0</v>
      </c>
      <c r="L275" s="124">
        <v>0</v>
      </c>
      <c r="M275" s="124">
        <v>0</v>
      </c>
    </row>
    <row r="276" spans="1:13" x14ac:dyDescent="0.25">
      <c r="A276" s="208"/>
      <c r="B276" s="225"/>
      <c r="C276" s="25" t="s">
        <v>106</v>
      </c>
      <c r="D276" s="1" t="s">
        <v>8</v>
      </c>
      <c r="E276" s="123">
        <v>0</v>
      </c>
      <c r="F276" s="123">
        <v>0</v>
      </c>
      <c r="G276" s="123">
        <v>0</v>
      </c>
      <c r="H276" s="123">
        <v>0</v>
      </c>
      <c r="I276" s="123">
        <v>0</v>
      </c>
      <c r="J276" s="123">
        <v>0</v>
      </c>
      <c r="K276" s="123">
        <v>0</v>
      </c>
      <c r="L276" s="123">
        <v>0</v>
      </c>
      <c r="M276" s="123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122"/>
      <c r="F277" s="122"/>
      <c r="G277" s="122"/>
      <c r="H277" s="122"/>
      <c r="I277" s="122"/>
      <c r="J277" s="122"/>
      <c r="K277" s="122"/>
      <c r="L277" s="122"/>
      <c r="M277" s="122"/>
    </row>
    <row r="278" spans="1:13" x14ac:dyDescent="0.25">
      <c r="A278" s="208"/>
      <c r="B278" s="225"/>
      <c r="C278" s="25" t="s">
        <v>108</v>
      </c>
      <c r="D278" s="1" t="s">
        <v>10</v>
      </c>
      <c r="E278" s="122"/>
      <c r="F278" s="122"/>
      <c r="G278" s="122"/>
      <c r="H278" s="122"/>
      <c r="I278" s="122"/>
      <c r="J278" s="122"/>
      <c r="K278" s="122"/>
      <c r="L278" s="122"/>
      <c r="M278" s="122"/>
    </row>
    <row r="279" spans="1:13" x14ac:dyDescent="0.25">
      <c r="A279" s="208"/>
      <c r="B279" s="225"/>
      <c r="C279" s="26" t="s">
        <v>11</v>
      </c>
      <c r="D279" s="27" t="s">
        <v>10</v>
      </c>
      <c r="E279" s="122"/>
      <c r="F279" s="122"/>
      <c r="G279" s="122"/>
      <c r="H279" s="122"/>
      <c r="I279" s="122"/>
      <c r="J279" s="122"/>
      <c r="K279" s="122"/>
      <c r="L279" s="122"/>
      <c r="M279" s="122"/>
    </row>
    <row r="280" spans="1:13" x14ac:dyDescent="0.25">
      <c r="A280" s="208"/>
      <c r="B280" s="225"/>
      <c r="C280" s="25" t="s">
        <v>12</v>
      </c>
      <c r="D280" s="1" t="s">
        <v>7</v>
      </c>
      <c r="E280" s="124">
        <v>1</v>
      </c>
      <c r="F280" s="124">
        <v>1</v>
      </c>
      <c r="G280" s="124">
        <v>1</v>
      </c>
      <c r="H280" s="124">
        <v>1</v>
      </c>
      <c r="I280" s="124">
        <v>1</v>
      </c>
      <c r="J280" s="124">
        <v>1</v>
      </c>
      <c r="K280" s="124">
        <v>1</v>
      </c>
      <c r="L280" s="124">
        <v>1</v>
      </c>
      <c r="M280" s="124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123">
        <v>92256.599999999991</v>
      </c>
      <c r="F281" s="123">
        <v>92691.599999999991</v>
      </c>
      <c r="G281" s="123">
        <v>93851.599999999991</v>
      </c>
      <c r="H281" s="123">
        <v>95446.599999999991</v>
      </c>
      <c r="I281" s="123">
        <v>97621.599999999991</v>
      </c>
      <c r="J281" s="123">
        <v>101971.59999999999</v>
      </c>
      <c r="K281" s="123">
        <v>116471.59999999999</v>
      </c>
      <c r="L281" s="123">
        <v>146921.59999999998</v>
      </c>
      <c r="M281" s="123">
        <v>207821.59999999998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123">
        <v>40</v>
      </c>
      <c r="F282" s="123">
        <v>40</v>
      </c>
      <c r="G282" s="123">
        <v>40</v>
      </c>
      <c r="H282" s="123">
        <v>40</v>
      </c>
      <c r="I282" s="123">
        <v>40</v>
      </c>
      <c r="J282" s="123">
        <v>40</v>
      </c>
      <c r="K282" s="123">
        <v>40</v>
      </c>
      <c r="L282" s="123">
        <v>40</v>
      </c>
      <c r="M282" s="123">
        <v>40</v>
      </c>
    </row>
  </sheetData>
  <sheetProtection algorithmName="SHA-512" hashValue="M/IC/V3Zxl+1l16dCj2Tn4YQsKJX8Tg99OPqpYjJ3mJfrdGQRUQECuNakS1A293/NeoTgR1WGmo0CP7aVDuwbA==" saltValue="Non1G43ZLAu7YL3VrdNVww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0">
    <tabColor theme="9" tint="-0.249977111117893"/>
  </sheetPr>
  <dimension ref="A1:O282"/>
  <sheetViews>
    <sheetView zoomScale="85" zoomScaleNormal="85" workbookViewId="0">
      <pane ySplit="1" topLeftCell="A74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51">
        <v>15</v>
      </c>
      <c r="F1" s="52">
        <v>30</v>
      </c>
      <c r="G1" s="52">
        <v>70</v>
      </c>
      <c r="H1" s="52">
        <v>125</v>
      </c>
      <c r="I1" s="52">
        <v>200</v>
      </c>
      <c r="J1" s="52">
        <v>350</v>
      </c>
      <c r="K1" s="52">
        <v>850</v>
      </c>
      <c r="L1" s="52">
        <v>1900</v>
      </c>
      <c r="M1" s="52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53">
        <v>20</v>
      </c>
      <c r="F2" s="53">
        <v>20</v>
      </c>
      <c r="G2" s="53">
        <v>20</v>
      </c>
      <c r="H2" s="53">
        <v>20</v>
      </c>
      <c r="I2" s="53">
        <v>20</v>
      </c>
      <c r="J2" s="53">
        <v>20</v>
      </c>
      <c r="K2" s="53">
        <v>20</v>
      </c>
      <c r="L2" s="53">
        <v>20</v>
      </c>
      <c r="M2" s="53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55">
        <v>218.34121214018199</v>
      </c>
      <c r="F3" s="55">
        <v>184.87398682120613</v>
      </c>
      <c r="G3" s="55">
        <v>143.96390422813076</v>
      </c>
      <c r="H3" s="55">
        <v>115.96852782183296</v>
      </c>
      <c r="I3" s="55">
        <v>107.31263157894738</v>
      </c>
      <c r="J3" s="55">
        <v>107.00631578947369</v>
      </c>
      <c r="K3" s="55">
        <v>105.98526315789475</v>
      </c>
      <c r="L3" s="55">
        <v>103.84105263157896</v>
      </c>
      <c r="M3" s="55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53"/>
      <c r="F5" s="53"/>
      <c r="G5" s="53"/>
      <c r="H5" s="53"/>
      <c r="I5" s="53"/>
      <c r="J5" s="53"/>
      <c r="K5" s="53"/>
      <c r="L5" s="53"/>
      <c r="M5" s="53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55">
        <v>6.5502363642054595</v>
      </c>
      <c r="F6" s="55">
        <v>5.5462196046361836</v>
      </c>
      <c r="G6" s="55">
        <v>4.3189171268439228</v>
      </c>
      <c r="H6" s="55">
        <v>3.4790558346549889</v>
      </c>
      <c r="I6" s="55">
        <v>2.0378947368421052</v>
      </c>
      <c r="J6" s="55">
        <v>2.0189473684210526</v>
      </c>
      <c r="K6" s="55">
        <v>1.9557894736842103</v>
      </c>
      <c r="L6" s="55">
        <v>1.8231578947368419</v>
      </c>
      <c r="M6" s="55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55">
        <v>0</v>
      </c>
      <c r="F7" s="55">
        <v>0</v>
      </c>
      <c r="G7" s="55">
        <v>0</v>
      </c>
      <c r="H7" s="55">
        <v>0</v>
      </c>
      <c r="I7" s="55">
        <v>0</v>
      </c>
      <c r="J7" s="55">
        <v>0</v>
      </c>
      <c r="K7" s="55">
        <v>1.6357894736842103E-3</v>
      </c>
      <c r="L7" s="55">
        <v>1.5031578947368419E-3</v>
      </c>
      <c r="M7" s="55">
        <v>1.2378947368421051E-3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55">
        <v>0</v>
      </c>
      <c r="F8" s="53"/>
      <c r="G8" s="53"/>
      <c r="H8" s="53"/>
      <c r="I8" s="53"/>
      <c r="J8" s="53"/>
      <c r="K8" s="53"/>
      <c r="L8" s="53"/>
      <c r="M8" s="53"/>
      <c r="N8" s="54"/>
    </row>
    <row r="9" spans="1:14" x14ac:dyDescent="0.25">
      <c r="A9" s="208"/>
      <c r="B9" s="224"/>
      <c r="C9" s="25" t="s">
        <v>12</v>
      </c>
      <c r="D9" s="1" t="s">
        <v>7</v>
      </c>
      <c r="E9" s="56">
        <v>0.94349999999999989</v>
      </c>
      <c r="F9" s="56">
        <v>0.94349999999999989</v>
      </c>
      <c r="G9" s="56">
        <v>0.94349999999999989</v>
      </c>
      <c r="H9" s="56">
        <v>0.94349999999999989</v>
      </c>
      <c r="I9" s="56">
        <v>0.94349999999999989</v>
      </c>
      <c r="J9" s="56">
        <v>0.94349999999999989</v>
      </c>
      <c r="K9" s="56">
        <v>0.99</v>
      </c>
      <c r="L9" s="56">
        <v>0.99</v>
      </c>
      <c r="M9" s="56">
        <v>0.99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55">
        <v>1524.6</v>
      </c>
      <c r="F10" s="55">
        <v>1749.6</v>
      </c>
      <c r="G10" s="55">
        <v>2349.6</v>
      </c>
      <c r="H10" s="55">
        <v>3174.6</v>
      </c>
      <c r="I10" s="55">
        <v>4299.6000000000004</v>
      </c>
      <c r="J10" s="55">
        <v>14213</v>
      </c>
      <c r="K10" s="55">
        <v>21713</v>
      </c>
      <c r="L10" s="55">
        <v>37463</v>
      </c>
      <c r="M10" s="55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53">
        <v>40</v>
      </c>
      <c r="F11" s="53">
        <v>40</v>
      </c>
      <c r="G11" s="53">
        <v>40</v>
      </c>
      <c r="H11" s="53">
        <v>40</v>
      </c>
      <c r="I11" s="53">
        <v>40</v>
      </c>
      <c r="J11" s="53">
        <v>40</v>
      </c>
      <c r="K11" s="53">
        <v>40</v>
      </c>
      <c r="L11" s="53">
        <v>40</v>
      </c>
      <c r="M11" s="53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53">
        <v>20</v>
      </c>
      <c r="F12" s="53">
        <v>20</v>
      </c>
      <c r="G12" s="53">
        <v>20</v>
      </c>
      <c r="H12" s="53">
        <v>20</v>
      </c>
      <c r="I12" s="53">
        <v>20</v>
      </c>
      <c r="J12" s="53">
        <v>20</v>
      </c>
      <c r="K12" s="53">
        <v>20</v>
      </c>
      <c r="L12" s="53">
        <v>20</v>
      </c>
      <c r="M12" s="53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55">
        <v>558.65265042413671</v>
      </c>
      <c r="F13" s="55">
        <v>352.73550340580886</v>
      </c>
      <c r="G13" s="55">
        <v>201.0695678061135</v>
      </c>
      <c r="H13" s="55">
        <v>136.8683894043277</v>
      </c>
      <c r="I13" s="55">
        <v>120.6</v>
      </c>
      <c r="J13" s="55">
        <v>120.6</v>
      </c>
      <c r="K13" s="55">
        <v>187.07496087792157</v>
      </c>
      <c r="L13" s="55">
        <v>271.30291449905741</v>
      </c>
      <c r="M13" s="55">
        <v>439.75882174132914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56">
        <v>0</v>
      </c>
      <c r="F14" s="56">
        <v>0</v>
      </c>
      <c r="G14" s="56">
        <v>0</v>
      </c>
      <c r="H14" s="56">
        <v>0</v>
      </c>
      <c r="I14" s="56">
        <v>0</v>
      </c>
      <c r="J14" s="56">
        <v>0</v>
      </c>
      <c r="K14" s="56">
        <v>0</v>
      </c>
      <c r="L14" s="56">
        <v>0</v>
      </c>
      <c r="M14" s="56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53"/>
      <c r="F15" s="53"/>
      <c r="G15" s="53"/>
      <c r="H15" s="53"/>
      <c r="I15" s="53"/>
      <c r="J15" s="53"/>
      <c r="K15" s="53"/>
      <c r="L15" s="53"/>
      <c r="M15" s="53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55">
        <v>33.519159025448168</v>
      </c>
      <c r="F16" s="55">
        <v>21.16413020434851</v>
      </c>
      <c r="G16" s="55">
        <v>12.0641740683668</v>
      </c>
      <c r="H16" s="55">
        <v>8.2121033642596579</v>
      </c>
      <c r="I16" s="55">
        <v>7.7476375167543381</v>
      </c>
      <c r="J16" s="55">
        <v>7.7476375167543381</v>
      </c>
      <c r="K16" s="55">
        <v>7.3651642626194009</v>
      </c>
      <c r="L16" s="55">
        <v>6.7473228520937312</v>
      </c>
      <c r="M16" s="55">
        <v>5.5116400310423916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55">
        <v>0</v>
      </c>
      <c r="F17" s="55">
        <v>0</v>
      </c>
      <c r="G17" s="55">
        <v>0</v>
      </c>
      <c r="H17" s="55">
        <v>0</v>
      </c>
      <c r="I17" s="55">
        <v>0</v>
      </c>
      <c r="J17" s="55">
        <v>0</v>
      </c>
      <c r="K17" s="55">
        <v>1.8177407782710754E-3</v>
      </c>
      <c r="L17" s="55">
        <v>1.8177407782710754E-3</v>
      </c>
      <c r="M17" s="55">
        <v>1.8177407782710754E-3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55">
        <v>0</v>
      </c>
      <c r="F18" s="55">
        <v>0</v>
      </c>
      <c r="G18" s="55">
        <v>0</v>
      </c>
      <c r="H18" s="55">
        <v>0</v>
      </c>
      <c r="I18" s="55">
        <v>0</v>
      </c>
      <c r="J18" s="55">
        <v>0</v>
      </c>
      <c r="K18" s="55">
        <v>0</v>
      </c>
      <c r="L18" s="55">
        <v>0</v>
      </c>
      <c r="M18" s="55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56">
        <v>0.66</v>
      </c>
      <c r="F19" s="56">
        <v>0.66</v>
      </c>
      <c r="G19" s="56">
        <v>0.66</v>
      </c>
      <c r="H19" s="56">
        <v>0.66</v>
      </c>
      <c r="I19" s="56">
        <v>0.66</v>
      </c>
      <c r="J19" s="56">
        <v>0.66</v>
      </c>
      <c r="K19" s="56">
        <v>0.66</v>
      </c>
      <c r="L19" s="56">
        <v>0.95899999999999996</v>
      </c>
      <c r="M19" s="56">
        <v>0.95899999999999996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53"/>
      <c r="F20" s="53"/>
      <c r="G20" s="53"/>
      <c r="H20" s="53"/>
      <c r="I20" s="53"/>
      <c r="J20" s="53"/>
      <c r="K20" s="53"/>
      <c r="L20" s="53"/>
      <c r="M20" s="53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53"/>
      <c r="F21" s="53"/>
      <c r="G21" s="53"/>
      <c r="H21" s="53"/>
      <c r="I21" s="53"/>
      <c r="J21" s="53"/>
      <c r="K21" s="53"/>
      <c r="L21" s="53"/>
      <c r="M21" s="53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53">
        <v>20</v>
      </c>
      <c r="F22" s="53">
        <v>20</v>
      </c>
      <c r="G22" s="53">
        <v>20</v>
      </c>
      <c r="H22" s="53">
        <v>20</v>
      </c>
      <c r="I22" s="53">
        <v>20</v>
      </c>
      <c r="J22" s="53">
        <v>20</v>
      </c>
      <c r="K22" s="53">
        <v>20</v>
      </c>
      <c r="L22" s="53">
        <v>20</v>
      </c>
      <c r="M22" s="53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55">
        <v>939.47924488610727</v>
      </c>
      <c r="F23" s="55">
        <v>670.86780042435419</v>
      </c>
      <c r="G23" s="55">
        <v>523.42631254470632</v>
      </c>
      <c r="H23" s="55">
        <v>523.42631254470632</v>
      </c>
      <c r="I23" s="55">
        <v>523.42631254470632</v>
      </c>
      <c r="J23" s="55">
        <v>523.42631254470632</v>
      </c>
      <c r="K23" s="55">
        <v>1136.3124641115969</v>
      </c>
      <c r="L23" s="55">
        <v>988.42533284709032</v>
      </c>
      <c r="M23" s="55">
        <v>868.76381718516643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56">
        <v>0.35</v>
      </c>
      <c r="F24" s="56">
        <v>0.35</v>
      </c>
      <c r="G24" s="56">
        <v>0.35</v>
      </c>
      <c r="H24" s="56">
        <v>0.35</v>
      </c>
      <c r="I24" s="56">
        <v>0.35</v>
      </c>
      <c r="J24" s="56">
        <v>0.35</v>
      </c>
      <c r="K24" s="56">
        <v>0.35</v>
      </c>
      <c r="L24" s="56">
        <v>0.35</v>
      </c>
      <c r="M24" s="56">
        <v>0.35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53"/>
      <c r="F25" s="53"/>
      <c r="G25" s="53"/>
      <c r="H25" s="53"/>
      <c r="I25" s="53"/>
      <c r="J25" s="53"/>
      <c r="K25" s="53"/>
      <c r="L25" s="53"/>
      <c r="M25" s="53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55">
        <v>14.092188673291609</v>
      </c>
      <c r="F26" s="55">
        <v>10.063017006365312</v>
      </c>
      <c r="G26" s="55">
        <v>7.8513946881705952</v>
      </c>
      <c r="H26" s="55">
        <v>7.8513946881705952</v>
      </c>
      <c r="I26" s="55">
        <v>7.8513946881705952</v>
      </c>
      <c r="J26" s="55">
        <v>7.8513946881705952</v>
      </c>
      <c r="K26" s="55">
        <v>1.91</v>
      </c>
      <c r="L26" s="55">
        <v>1.91</v>
      </c>
      <c r="M26" s="55">
        <v>1.91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2.1700000000000001E-3</v>
      </c>
      <c r="L27" s="55">
        <v>2.1700000000000001E-3</v>
      </c>
      <c r="M27" s="55">
        <v>2.1700000000000001E-3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55">
        <v>0</v>
      </c>
      <c r="F28" s="55">
        <v>0</v>
      </c>
      <c r="G28" s="55">
        <v>0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5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55">
        <v>0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53">
        <v>3.59</v>
      </c>
      <c r="F30" s="53">
        <v>3.59</v>
      </c>
      <c r="G30" s="53">
        <v>3.59</v>
      </c>
      <c r="H30" s="53">
        <v>3.59</v>
      </c>
      <c r="I30" s="53">
        <v>3.59</v>
      </c>
      <c r="J30" s="53">
        <v>3.59</v>
      </c>
      <c r="K30" s="53">
        <v>3.59</v>
      </c>
      <c r="L30" s="53">
        <v>3.59</v>
      </c>
      <c r="M30" s="53">
        <v>3.59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53"/>
      <c r="F31" s="53"/>
      <c r="G31" s="53"/>
      <c r="H31" s="53"/>
      <c r="I31" s="53"/>
      <c r="J31" s="53"/>
      <c r="K31" s="53"/>
      <c r="L31" s="53"/>
      <c r="M31" s="53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53"/>
      <c r="F32" s="53"/>
      <c r="G32" s="53"/>
      <c r="H32" s="53"/>
      <c r="I32" s="53"/>
      <c r="J32" s="53"/>
      <c r="K32" s="53"/>
      <c r="L32" s="53"/>
      <c r="M32" s="53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53">
        <v>20</v>
      </c>
      <c r="F33" s="53">
        <v>20</v>
      </c>
      <c r="G33" s="53">
        <v>20</v>
      </c>
      <c r="H33" s="53">
        <v>20</v>
      </c>
      <c r="I33" s="53">
        <v>20</v>
      </c>
      <c r="J33" s="53">
        <v>20</v>
      </c>
      <c r="K33" s="53">
        <v>20</v>
      </c>
      <c r="L33" s="53">
        <v>20</v>
      </c>
      <c r="M33" s="53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55">
        <v>939.47924488610727</v>
      </c>
      <c r="F34" s="55">
        <v>670.86780042435419</v>
      </c>
      <c r="G34" s="55">
        <v>523.42631254470632</v>
      </c>
      <c r="H34" s="55">
        <v>523.42631254470632</v>
      </c>
      <c r="I34" s="55">
        <v>523.42631254470632</v>
      </c>
      <c r="J34" s="55">
        <v>523.42631254470632</v>
      </c>
      <c r="K34" s="55">
        <v>1136.3124641115969</v>
      </c>
      <c r="L34" s="55">
        <v>988.42533284709032</v>
      </c>
      <c r="M34" s="55">
        <v>868.76381718516643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56">
        <v>0.35</v>
      </c>
      <c r="F35" s="56">
        <v>0.35</v>
      </c>
      <c r="G35" s="56">
        <v>0.35</v>
      </c>
      <c r="H35" s="56">
        <v>0.35</v>
      </c>
      <c r="I35" s="56">
        <v>0.35</v>
      </c>
      <c r="J35" s="56">
        <v>0.35</v>
      </c>
      <c r="K35" s="56">
        <v>0.35</v>
      </c>
      <c r="L35" s="56">
        <v>0.35</v>
      </c>
      <c r="M35" s="56">
        <v>0.35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53"/>
      <c r="F36" s="53"/>
      <c r="G36" s="53"/>
      <c r="H36" s="53"/>
      <c r="I36" s="53"/>
      <c r="J36" s="53"/>
      <c r="K36" s="53"/>
      <c r="L36" s="53"/>
      <c r="M36" s="53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55">
        <v>14.092188673291609</v>
      </c>
      <c r="F37" s="55">
        <v>10.063017006365312</v>
      </c>
      <c r="G37" s="55">
        <v>7.8513946881705952</v>
      </c>
      <c r="H37" s="55">
        <v>7.8513946881705952</v>
      </c>
      <c r="I37" s="55">
        <v>7.8513946881705952</v>
      </c>
      <c r="J37" s="55">
        <v>7.8513946881705952</v>
      </c>
      <c r="K37" s="55">
        <v>1.91</v>
      </c>
      <c r="L37" s="55">
        <v>1.91</v>
      </c>
      <c r="M37" s="55">
        <v>1.91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2.1700000000000001E-3</v>
      </c>
      <c r="L38" s="55">
        <v>2.1700000000000001E-3</v>
      </c>
      <c r="M38" s="55">
        <v>2.1700000000000001E-3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53">
        <v>3.34</v>
      </c>
      <c r="F41" s="53">
        <v>3.34</v>
      </c>
      <c r="G41" s="53">
        <v>3.34</v>
      </c>
      <c r="H41" s="53">
        <v>3.34</v>
      </c>
      <c r="I41" s="53">
        <v>3.34</v>
      </c>
      <c r="J41" s="53">
        <v>3.34</v>
      </c>
      <c r="K41" s="53">
        <v>3.34</v>
      </c>
      <c r="L41" s="53">
        <v>3.34</v>
      </c>
      <c r="M41" s="53">
        <v>3.34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53"/>
      <c r="F42" s="53"/>
      <c r="G42" s="53"/>
      <c r="H42" s="53"/>
      <c r="I42" s="53"/>
      <c r="J42" s="53"/>
      <c r="K42" s="53"/>
      <c r="L42" s="53"/>
      <c r="M42" s="53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53"/>
      <c r="F43" s="53"/>
      <c r="G43" s="53"/>
      <c r="H43" s="53"/>
      <c r="I43" s="53"/>
      <c r="J43" s="53"/>
      <c r="K43" s="53"/>
      <c r="L43" s="53"/>
      <c r="M43" s="53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53">
        <v>20</v>
      </c>
      <c r="F44" s="53">
        <v>20</v>
      </c>
      <c r="G44" s="53">
        <v>20</v>
      </c>
      <c r="H44" s="53">
        <v>20</v>
      </c>
      <c r="I44" s="53">
        <v>20</v>
      </c>
      <c r="J44" s="53">
        <v>20</v>
      </c>
      <c r="K44" s="53">
        <v>20</v>
      </c>
      <c r="L44" s="53">
        <v>20</v>
      </c>
      <c r="M44" s="53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55">
        <v>939.47924488610727</v>
      </c>
      <c r="F45" s="55">
        <v>670.86780042435419</v>
      </c>
      <c r="G45" s="55">
        <v>523.42631254470632</v>
      </c>
      <c r="H45" s="55">
        <v>523.42631254470632</v>
      </c>
      <c r="I45" s="55">
        <v>523.42631254470632</v>
      </c>
      <c r="J45" s="55">
        <v>523.42631254470632</v>
      </c>
      <c r="K45" s="55">
        <v>1136.3124641115969</v>
      </c>
      <c r="L45" s="55">
        <v>988.42533284709032</v>
      </c>
      <c r="M45" s="55">
        <v>868.76381718516643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56">
        <v>0.35</v>
      </c>
      <c r="F46" s="56">
        <v>0.35</v>
      </c>
      <c r="G46" s="56">
        <v>0.35</v>
      </c>
      <c r="H46" s="56">
        <v>0.35</v>
      </c>
      <c r="I46" s="56">
        <v>0.35</v>
      </c>
      <c r="J46" s="56">
        <v>0.35</v>
      </c>
      <c r="K46" s="56">
        <v>0.35</v>
      </c>
      <c r="L46" s="56">
        <v>0.35</v>
      </c>
      <c r="M46" s="56">
        <v>0.35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53"/>
      <c r="F47" s="53"/>
      <c r="G47" s="53"/>
      <c r="H47" s="53"/>
      <c r="I47" s="53"/>
      <c r="J47" s="53"/>
      <c r="K47" s="53"/>
      <c r="L47" s="53"/>
      <c r="M47" s="53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55">
        <v>14.092188673291609</v>
      </c>
      <c r="F48" s="55">
        <v>10.063017006365312</v>
      </c>
      <c r="G48" s="55">
        <v>7.8513946881705952</v>
      </c>
      <c r="H48" s="55">
        <v>7.8513946881705952</v>
      </c>
      <c r="I48" s="55">
        <v>7.8513946881705952</v>
      </c>
      <c r="J48" s="55">
        <v>7.8513946881705952</v>
      </c>
      <c r="K48" s="55">
        <v>1.91</v>
      </c>
      <c r="L48" s="55">
        <v>1.91</v>
      </c>
      <c r="M48" s="55">
        <v>1.91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55">
        <v>0</v>
      </c>
      <c r="F49" s="55">
        <v>0</v>
      </c>
      <c r="G49" s="55">
        <v>0</v>
      </c>
      <c r="H49" s="55">
        <v>0</v>
      </c>
      <c r="I49" s="55">
        <v>0</v>
      </c>
      <c r="J49" s="55">
        <v>0</v>
      </c>
      <c r="K49" s="55">
        <v>2.1700000000000001E-3</v>
      </c>
      <c r="L49" s="55">
        <v>2.1700000000000001E-3</v>
      </c>
      <c r="M49" s="55">
        <v>2.1700000000000001E-3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55">
        <v>0</v>
      </c>
      <c r="F51" s="55">
        <v>0</v>
      </c>
      <c r="G51" s="55">
        <v>0</v>
      </c>
      <c r="H51" s="55">
        <v>0</v>
      </c>
      <c r="I51" s="55">
        <v>0</v>
      </c>
      <c r="J51" s="55">
        <v>0</v>
      </c>
      <c r="K51" s="55">
        <v>0</v>
      </c>
      <c r="L51" s="55">
        <v>0</v>
      </c>
      <c r="M51" s="55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53">
        <v>3.09</v>
      </c>
      <c r="F52" s="53">
        <v>3.09</v>
      </c>
      <c r="G52" s="53">
        <v>3.09</v>
      </c>
      <c r="H52" s="53">
        <v>3.09</v>
      </c>
      <c r="I52" s="53">
        <v>3.09</v>
      </c>
      <c r="J52" s="53">
        <v>3.09</v>
      </c>
      <c r="K52" s="53">
        <v>3.09</v>
      </c>
      <c r="L52" s="53">
        <v>3.09</v>
      </c>
      <c r="M52" s="53">
        <v>3.09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53"/>
      <c r="F53" s="53"/>
      <c r="G53" s="53"/>
      <c r="H53" s="53"/>
      <c r="I53" s="53"/>
      <c r="J53" s="53"/>
      <c r="K53" s="53"/>
      <c r="L53" s="53"/>
      <c r="M53" s="53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53"/>
      <c r="F54" s="53"/>
      <c r="G54" s="53"/>
      <c r="H54" s="53"/>
      <c r="I54" s="53"/>
      <c r="J54" s="53"/>
      <c r="K54" s="53"/>
      <c r="L54" s="53"/>
      <c r="M54" s="53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53">
        <v>20</v>
      </c>
      <c r="F55" s="53">
        <v>20</v>
      </c>
      <c r="G55" s="53">
        <v>20</v>
      </c>
      <c r="H55" s="53">
        <v>20</v>
      </c>
      <c r="I55" s="53">
        <v>20</v>
      </c>
      <c r="J55" s="53">
        <v>20</v>
      </c>
      <c r="K55" s="53">
        <v>20</v>
      </c>
      <c r="L55" s="53">
        <v>20</v>
      </c>
      <c r="M55" s="53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55">
        <v>909.21153254208934</v>
      </c>
      <c r="F56" s="55">
        <v>627.05637164757331</v>
      </c>
      <c r="G56" s="55">
        <v>475.93332461067337</v>
      </c>
      <c r="H56" s="55">
        <v>475.93332461067337</v>
      </c>
      <c r="I56" s="55">
        <v>475.93332461067337</v>
      </c>
      <c r="J56" s="55">
        <v>475.93332461067337</v>
      </c>
      <c r="K56" s="55">
        <v>674.78400000000011</v>
      </c>
      <c r="L56" s="55">
        <v>674.78400000000011</v>
      </c>
      <c r="M56" s="55">
        <v>674.78400000000011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56">
        <v>0.35</v>
      </c>
      <c r="F57" s="56">
        <v>0.35</v>
      </c>
      <c r="G57" s="56">
        <v>0.35</v>
      </c>
      <c r="H57" s="56">
        <v>0.35</v>
      </c>
      <c r="I57" s="56">
        <v>0.35</v>
      </c>
      <c r="J57" s="56">
        <v>0.35</v>
      </c>
      <c r="K57" s="56">
        <v>0.35</v>
      </c>
      <c r="L57" s="56">
        <v>0.35</v>
      </c>
      <c r="M57" s="56">
        <v>0.35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53"/>
      <c r="F58" s="53"/>
      <c r="G58" s="53"/>
      <c r="H58" s="53"/>
      <c r="I58" s="53"/>
      <c r="J58" s="53"/>
      <c r="K58" s="53"/>
      <c r="L58" s="53"/>
      <c r="M58" s="53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55">
        <v>13.638172988131339</v>
      </c>
      <c r="F59" s="55">
        <v>9.4058455747135987</v>
      </c>
      <c r="G59" s="55">
        <v>7.1389998691601004</v>
      </c>
      <c r="H59" s="55">
        <v>7.1389998691601004</v>
      </c>
      <c r="I59" s="55">
        <v>7.1389998691601004</v>
      </c>
      <c r="J59" s="55">
        <v>7.1389998691601004</v>
      </c>
      <c r="K59" s="55">
        <v>1.91</v>
      </c>
      <c r="L59" s="55">
        <v>1.91</v>
      </c>
      <c r="M59" s="55">
        <v>1.91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55">
        <v>0</v>
      </c>
      <c r="F60" s="55">
        <v>0</v>
      </c>
      <c r="G60" s="55">
        <v>0</v>
      </c>
      <c r="H60" s="55">
        <v>0</v>
      </c>
      <c r="I60" s="55">
        <v>0</v>
      </c>
      <c r="J60" s="55">
        <v>0</v>
      </c>
      <c r="K60" s="55">
        <v>2.1700000000000001E-3</v>
      </c>
      <c r="L60" s="55">
        <v>2.1700000000000001E-3</v>
      </c>
      <c r="M60" s="55">
        <v>2.1700000000000001E-3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55">
        <v>0</v>
      </c>
      <c r="F61" s="55">
        <v>0</v>
      </c>
      <c r="G61" s="55">
        <v>0</v>
      </c>
      <c r="H61" s="55">
        <v>0</v>
      </c>
      <c r="I61" s="55">
        <v>0</v>
      </c>
      <c r="J61" s="55">
        <v>0</v>
      </c>
      <c r="K61" s="55">
        <v>0</v>
      </c>
      <c r="L61" s="55">
        <v>0</v>
      </c>
      <c r="M61" s="55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55">
        <v>0</v>
      </c>
      <c r="F62" s="55">
        <v>0</v>
      </c>
      <c r="G62" s="55">
        <v>0</v>
      </c>
      <c r="H62" s="55">
        <v>0</v>
      </c>
      <c r="I62" s="55">
        <v>0</v>
      </c>
      <c r="J62" s="55">
        <v>0</v>
      </c>
      <c r="K62" s="55">
        <v>0</v>
      </c>
      <c r="L62" s="55">
        <v>0</v>
      </c>
      <c r="M62" s="55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53">
        <v>4.22</v>
      </c>
      <c r="F63" s="53">
        <v>4.22</v>
      </c>
      <c r="G63" s="53">
        <v>4.22</v>
      </c>
      <c r="H63" s="53">
        <v>4.22</v>
      </c>
      <c r="I63" s="53">
        <v>4.22</v>
      </c>
      <c r="J63" s="53">
        <v>4.22</v>
      </c>
      <c r="K63" s="53">
        <v>4.22</v>
      </c>
      <c r="L63" s="53">
        <v>4.22</v>
      </c>
      <c r="M63" s="53">
        <v>4.22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53"/>
      <c r="F64" s="53"/>
      <c r="G64" s="53"/>
      <c r="H64" s="53"/>
      <c r="I64" s="53"/>
      <c r="J64" s="53"/>
      <c r="K64" s="53"/>
      <c r="L64" s="53"/>
      <c r="M64" s="53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53"/>
      <c r="F65" s="53"/>
      <c r="G65" s="53"/>
      <c r="H65" s="53"/>
      <c r="I65" s="53"/>
      <c r="J65" s="53"/>
      <c r="K65" s="53"/>
      <c r="L65" s="53"/>
      <c r="M65" s="53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55">
        <v>2419.8158607382284</v>
      </c>
      <c r="F66" s="55">
        <v>1655.7881203031177</v>
      </c>
      <c r="G66" s="55">
        <v>1041.3145241292364</v>
      </c>
      <c r="H66" s="55">
        <v>361.73551248702233</v>
      </c>
      <c r="I66" s="55">
        <v>246.65342336513888</v>
      </c>
      <c r="J66" s="55">
        <v>156.34182589557849</v>
      </c>
      <c r="K66" s="55">
        <v>75.877978739630933</v>
      </c>
      <c r="L66" s="55">
        <v>66.467719198694567</v>
      </c>
      <c r="M66" s="55">
        <v>66.467719198694567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53"/>
      <c r="F67" s="53"/>
      <c r="G67" s="53"/>
      <c r="H67" s="53"/>
      <c r="I67" s="53"/>
      <c r="J67" s="53"/>
      <c r="K67" s="53"/>
      <c r="L67" s="53"/>
      <c r="M67" s="53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53">
        <v>20</v>
      </c>
      <c r="F68" s="53">
        <v>20</v>
      </c>
      <c r="G68" s="53">
        <v>20</v>
      </c>
      <c r="H68" s="53">
        <v>20</v>
      </c>
      <c r="I68" s="53">
        <v>20</v>
      </c>
      <c r="J68" s="53">
        <v>20</v>
      </c>
      <c r="K68" s="53">
        <v>20</v>
      </c>
      <c r="L68" s="53">
        <v>20</v>
      </c>
      <c r="M68" s="53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55">
        <v>909.21153254208934</v>
      </c>
      <c r="F69" s="55">
        <v>627.05637164757331</v>
      </c>
      <c r="G69" s="55">
        <v>475.93332461067337</v>
      </c>
      <c r="H69" s="55">
        <v>475.93332461067337</v>
      </c>
      <c r="I69" s="55">
        <v>475.93332461067337</v>
      </c>
      <c r="J69" s="55">
        <v>475.93332461067337</v>
      </c>
      <c r="K69" s="55">
        <v>674.78400000000011</v>
      </c>
      <c r="L69" s="55">
        <v>674.78400000000011</v>
      </c>
      <c r="M69" s="55">
        <v>674.78400000000011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56">
        <v>0.35</v>
      </c>
      <c r="F70" s="56">
        <v>0.35</v>
      </c>
      <c r="G70" s="56">
        <v>0.35</v>
      </c>
      <c r="H70" s="56">
        <v>0.35</v>
      </c>
      <c r="I70" s="56">
        <v>0.35</v>
      </c>
      <c r="J70" s="56">
        <v>0.35</v>
      </c>
      <c r="K70" s="56">
        <v>0.35</v>
      </c>
      <c r="L70" s="56">
        <v>0.35</v>
      </c>
      <c r="M70" s="56">
        <v>0.35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53"/>
      <c r="F71" s="53"/>
      <c r="G71" s="53"/>
      <c r="H71" s="53"/>
      <c r="I71" s="53"/>
      <c r="J71" s="53"/>
      <c r="K71" s="53"/>
      <c r="L71" s="53"/>
      <c r="M71" s="53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55">
        <v>13.638172988131339</v>
      </c>
      <c r="F72" s="55">
        <v>9.4058455747135987</v>
      </c>
      <c r="G72" s="55">
        <v>7.1389998691601004</v>
      </c>
      <c r="H72" s="55">
        <v>7.1389998691601004</v>
      </c>
      <c r="I72" s="55">
        <v>7.1389998691601004</v>
      </c>
      <c r="J72" s="55">
        <v>7.1389998691601004</v>
      </c>
      <c r="K72" s="55">
        <v>1.91</v>
      </c>
      <c r="L72" s="55">
        <v>1.91</v>
      </c>
      <c r="M72" s="55">
        <v>1.91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2.1700000000000001E-3</v>
      </c>
      <c r="L73" s="55">
        <v>2.1700000000000001E-3</v>
      </c>
      <c r="M73" s="55">
        <v>2.1700000000000001E-3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55">
        <v>0</v>
      </c>
      <c r="F75" s="55">
        <v>0</v>
      </c>
      <c r="G75" s="55">
        <v>0</v>
      </c>
      <c r="H75" s="55">
        <v>0</v>
      </c>
      <c r="I75" s="55">
        <v>0</v>
      </c>
      <c r="J75" s="55">
        <v>0</v>
      </c>
      <c r="K75" s="55">
        <v>0</v>
      </c>
      <c r="L75" s="55">
        <v>0</v>
      </c>
      <c r="M75" s="55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53">
        <v>3.92</v>
      </c>
      <c r="F76" s="53">
        <v>3.92</v>
      </c>
      <c r="G76" s="53">
        <v>3.92</v>
      </c>
      <c r="H76" s="53">
        <v>3.92</v>
      </c>
      <c r="I76" s="53">
        <v>3.92</v>
      </c>
      <c r="J76" s="53">
        <v>3.92</v>
      </c>
      <c r="K76" s="53">
        <v>3.92</v>
      </c>
      <c r="L76" s="53">
        <v>3.92</v>
      </c>
      <c r="M76" s="53">
        <v>3.92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53"/>
      <c r="F77" s="53"/>
      <c r="G77" s="53"/>
      <c r="H77" s="53"/>
      <c r="I77" s="53"/>
      <c r="J77" s="53"/>
      <c r="K77" s="53"/>
      <c r="L77" s="53"/>
      <c r="M77" s="53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53"/>
      <c r="F78" s="53"/>
      <c r="G78" s="53"/>
      <c r="H78" s="53"/>
      <c r="I78" s="53"/>
      <c r="J78" s="53"/>
      <c r="K78" s="53"/>
      <c r="L78" s="53"/>
      <c r="M78" s="53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55">
        <v>2419.8158607382284</v>
      </c>
      <c r="F79" s="55">
        <v>1655.7881203031177</v>
      </c>
      <c r="G79" s="55">
        <v>1041.3145241292364</v>
      </c>
      <c r="H79" s="55">
        <v>361.73551248702233</v>
      </c>
      <c r="I79" s="55">
        <v>246.65342336513888</v>
      </c>
      <c r="J79" s="55">
        <v>156.34182589557849</v>
      </c>
      <c r="K79" s="55">
        <v>75.877978739630933</v>
      </c>
      <c r="L79" s="55">
        <v>66.467719198694567</v>
      </c>
      <c r="M79" s="55">
        <v>66.467719198694567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53"/>
      <c r="F80" s="53"/>
      <c r="G80" s="53"/>
      <c r="H80" s="53"/>
      <c r="I80" s="53"/>
      <c r="J80" s="53"/>
      <c r="K80" s="53"/>
      <c r="L80" s="53"/>
      <c r="M80" s="53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53">
        <v>20</v>
      </c>
      <c r="F81" s="53">
        <v>20</v>
      </c>
      <c r="G81" s="53">
        <v>20</v>
      </c>
      <c r="H81" s="53">
        <v>20</v>
      </c>
      <c r="I81" s="53">
        <v>20</v>
      </c>
      <c r="J81" s="53">
        <v>20</v>
      </c>
      <c r="K81" s="53">
        <v>20</v>
      </c>
      <c r="L81" s="53">
        <v>20</v>
      </c>
      <c r="M81" s="53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55">
        <v>909.21153254208934</v>
      </c>
      <c r="F82" s="55">
        <v>627.05637164757331</v>
      </c>
      <c r="G82" s="55">
        <v>475.93332461067337</v>
      </c>
      <c r="H82" s="55">
        <v>475.93332461067337</v>
      </c>
      <c r="I82" s="55">
        <v>475.93332461067337</v>
      </c>
      <c r="J82" s="55">
        <v>475.93332461067337</v>
      </c>
      <c r="K82" s="55">
        <v>674.78400000000011</v>
      </c>
      <c r="L82" s="55">
        <v>674.78400000000011</v>
      </c>
      <c r="M82" s="55">
        <v>674.78400000000011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56">
        <v>0.35</v>
      </c>
      <c r="F83" s="56">
        <v>0.35</v>
      </c>
      <c r="G83" s="56">
        <v>0.35</v>
      </c>
      <c r="H83" s="56">
        <v>0.35</v>
      </c>
      <c r="I83" s="56">
        <v>0.35</v>
      </c>
      <c r="J83" s="56">
        <v>0.35</v>
      </c>
      <c r="K83" s="56">
        <v>0.35</v>
      </c>
      <c r="L83" s="56">
        <v>0.35</v>
      </c>
      <c r="M83" s="56">
        <v>0.35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53"/>
      <c r="F84" s="53"/>
      <c r="G84" s="53"/>
      <c r="H84" s="53"/>
      <c r="I84" s="53"/>
      <c r="J84" s="53"/>
      <c r="K84" s="53"/>
      <c r="L84" s="53"/>
      <c r="M84" s="53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55">
        <v>13.638172988131339</v>
      </c>
      <c r="F85" s="55">
        <v>9.4058455747135987</v>
      </c>
      <c r="G85" s="55">
        <v>7.1389998691601004</v>
      </c>
      <c r="H85" s="55">
        <v>7.1389998691601004</v>
      </c>
      <c r="I85" s="55">
        <v>7.1389998691601004</v>
      </c>
      <c r="J85" s="55">
        <v>7.1389998691601004</v>
      </c>
      <c r="K85" s="55">
        <v>1.91</v>
      </c>
      <c r="L85" s="55">
        <v>1.91</v>
      </c>
      <c r="M85" s="55">
        <v>1.91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55">
        <v>0</v>
      </c>
      <c r="F86" s="55">
        <v>0</v>
      </c>
      <c r="G86" s="55">
        <v>0</v>
      </c>
      <c r="H86" s="55">
        <v>0</v>
      </c>
      <c r="I86" s="55">
        <v>0</v>
      </c>
      <c r="J86" s="55">
        <v>0</v>
      </c>
      <c r="K86" s="55">
        <v>2.1700000000000001E-3</v>
      </c>
      <c r="L86" s="55">
        <v>2.1700000000000001E-3</v>
      </c>
      <c r="M86" s="55">
        <v>2.1700000000000001E-3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55">
        <v>0</v>
      </c>
      <c r="F87" s="55">
        <v>0</v>
      </c>
      <c r="G87" s="55">
        <v>0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53">
        <v>3.62</v>
      </c>
      <c r="F89" s="53">
        <v>3.62</v>
      </c>
      <c r="G89" s="53">
        <v>3.62</v>
      </c>
      <c r="H89" s="53">
        <v>3.62</v>
      </c>
      <c r="I89" s="53">
        <v>3.62</v>
      </c>
      <c r="J89" s="53">
        <v>3.62</v>
      </c>
      <c r="K89" s="53">
        <v>3.62</v>
      </c>
      <c r="L89" s="53">
        <v>3.62</v>
      </c>
      <c r="M89" s="53">
        <v>3.62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53"/>
      <c r="F90" s="53"/>
      <c r="G90" s="53"/>
      <c r="H90" s="53"/>
      <c r="I90" s="53"/>
      <c r="J90" s="53"/>
      <c r="K90" s="53"/>
      <c r="L90" s="53"/>
      <c r="M90" s="53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53"/>
      <c r="F91" s="53"/>
      <c r="G91" s="53"/>
      <c r="H91" s="53"/>
      <c r="I91" s="53"/>
      <c r="J91" s="53"/>
      <c r="K91" s="53"/>
      <c r="L91" s="53"/>
      <c r="M91" s="53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55">
        <v>2419.8158607382284</v>
      </c>
      <c r="F92" s="55">
        <v>1655.7881203031177</v>
      </c>
      <c r="G92" s="55">
        <v>1041.3145241292364</v>
      </c>
      <c r="H92" s="55">
        <v>361.73551248702233</v>
      </c>
      <c r="I92" s="55">
        <v>246.65342336513888</v>
      </c>
      <c r="J92" s="55">
        <v>156.34182589557849</v>
      </c>
      <c r="K92" s="55">
        <v>75.877978739630933</v>
      </c>
      <c r="L92" s="55">
        <v>66.467719198694567</v>
      </c>
      <c r="M92" s="55">
        <v>66.467719198694567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53"/>
      <c r="F93" s="53"/>
      <c r="G93" s="53"/>
      <c r="H93" s="53"/>
      <c r="I93" s="53"/>
      <c r="J93" s="53"/>
      <c r="K93" s="53"/>
      <c r="L93" s="53"/>
      <c r="M93" s="53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53">
        <v>1</v>
      </c>
      <c r="F94" s="53">
        <v>1</v>
      </c>
      <c r="G94" s="53">
        <v>1</v>
      </c>
      <c r="H94" s="53">
        <v>1</v>
      </c>
      <c r="I94" s="53">
        <v>1</v>
      </c>
      <c r="J94" s="53">
        <v>1</v>
      </c>
      <c r="K94" s="53">
        <v>1</v>
      </c>
      <c r="L94" s="53">
        <v>1</v>
      </c>
      <c r="M94" s="53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53">
        <v>0.35</v>
      </c>
      <c r="F95" s="53">
        <v>0.35</v>
      </c>
      <c r="G95" s="53">
        <v>0.35</v>
      </c>
      <c r="H95" s="53">
        <v>0.35</v>
      </c>
      <c r="I95" s="53">
        <v>0.35</v>
      </c>
      <c r="J95" s="53">
        <v>0.35</v>
      </c>
      <c r="K95" s="53">
        <v>0.35</v>
      </c>
      <c r="L95" s="53">
        <v>0.35</v>
      </c>
      <c r="M95" s="53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53">
        <v>20</v>
      </c>
      <c r="F96" s="53">
        <v>20</v>
      </c>
      <c r="G96" s="53">
        <v>20</v>
      </c>
      <c r="H96" s="53">
        <v>20</v>
      </c>
      <c r="I96" s="53">
        <v>20</v>
      </c>
      <c r="J96" s="53">
        <v>20</v>
      </c>
      <c r="K96" s="53">
        <v>20</v>
      </c>
      <c r="L96" s="53">
        <v>20</v>
      </c>
      <c r="M96" s="53">
        <v>20</v>
      </c>
      <c r="N96" s="54"/>
    </row>
    <row r="97" spans="1:15" x14ac:dyDescent="0.25">
      <c r="A97" s="208"/>
      <c r="B97" s="225"/>
      <c r="C97" s="25" t="s">
        <v>23</v>
      </c>
      <c r="D97" s="1" t="s">
        <v>6</v>
      </c>
      <c r="E97" s="55">
        <v>218.34121214018199</v>
      </c>
      <c r="F97" s="55">
        <v>184.87398682120613</v>
      </c>
      <c r="G97" s="55">
        <v>143.96390422813076</v>
      </c>
      <c r="H97" s="55">
        <v>115.96852782183296</v>
      </c>
      <c r="I97" s="55">
        <v>107.31263157894738</v>
      </c>
      <c r="J97" s="55">
        <v>107.00631578947369</v>
      </c>
      <c r="K97" s="55">
        <v>105.98526315789475</v>
      </c>
      <c r="L97" s="55">
        <v>103.84105263157896</v>
      </c>
      <c r="M97" s="55">
        <v>99.55263157894737</v>
      </c>
      <c r="N97" s="54"/>
    </row>
    <row r="98" spans="1:15" x14ac:dyDescent="0.25">
      <c r="A98" s="208"/>
      <c r="B98" s="225"/>
      <c r="C98" s="25" t="s">
        <v>177</v>
      </c>
      <c r="D98" s="1" t="s">
        <v>19</v>
      </c>
      <c r="E98" s="56">
        <v>0.2</v>
      </c>
      <c r="F98" s="56">
        <v>0.2</v>
      </c>
      <c r="G98" s="56">
        <v>0.2</v>
      </c>
      <c r="H98" s="56">
        <v>0.2</v>
      </c>
      <c r="I98" s="56">
        <v>0.2</v>
      </c>
      <c r="J98" s="56">
        <v>0.2</v>
      </c>
      <c r="K98" s="56">
        <v>0.2</v>
      </c>
      <c r="L98" s="56">
        <v>0.2</v>
      </c>
      <c r="M98" s="56">
        <v>0.2</v>
      </c>
      <c r="N98" s="54"/>
    </row>
    <row r="99" spans="1:15" x14ac:dyDescent="0.25">
      <c r="A99" s="208"/>
      <c r="B99" s="225"/>
      <c r="C99" s="25" t="s">
        <v>114</v>
      </c>
      <c r="D99" s="1" t="s">
        <v>8</v>
      </c>
      <c r="E99" s="53"/>
      <c r="F99" s="53"/>
      <c r="G99" s="53"/>
      <c r="H99" s="53"/>
      <c r="I99" s="53"/>
      <c r="J99" s="53"/>
      <c r="K99" s="53"/>
      <c r="L99" s="53"/>
      <c r="M99" s="53"/>
      <c r="N99" s="54"/>
    </row>
    <row r="100" spans="1:15" x14ac:dyDescent="0.25">
      <c r="A100" s="208"/>
      <c r="B100" s="225"/>
      <c r="C100" s="25" t="s">
        <v>115</v>
      </c>
      <c r="D100" s="1" t="s">
        <v>9</v>
      </c>
      <c r="E100" s="55">
        <v>6.5502363642054595</v>
      </c>
      <c r="F100" s="55">
        <v>5.5462196046361836</v>
      </c>
      <c r="G100" s="55">
        <v>4.3189171268439228</v>
      </c>
      <c r="H100" s="55">
        <v>3.4790558346549889</v>
      </c>
      <c r="I100" s="55">
        <v>2.0378947368421052</v>
      </c>
      <c r="J100" s="55">
        <v>2.0189473684210526</v>
      </c>
      <c r="K100" s="55">
        <v>1.9557894736842103</v>
      </c>
      <c r="L100" s="55">
        <v>1.8231578947368419</v>
      </c>
      <c r="M100" s="55">
        <v>1.557894736842105</v>
      </c>
      <c r="N100" s="54"/>
    </row>
    <row r="101" spans="1:15" x14ac:dyDescent="0.25">
      <c r="A101" s="208"/>
      <c r="B101" s="225"/>
      <c r="C101" s="25" t="s">
        <v>35</v>
      </c>
      <c r="D101" s="1" t="s">
        <v>10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1.6357894736842103E-3</v>
      </c>
      <c r="L101" s="55">
        <v>1.5031578947368419E-3</v>
      </c>
      <c r="M101" s="55">
        <v>1.2378947368421051E-3</v>
      </c>
      <c r="N101" s="54"/>
    </row>
    <row r="102" spans="1:15" x14ac:dyDescent="0.25">
      <c r="A102" s="208"/>
      <c r="B102" s="225"/>
      <c r="C102" s="26" t="s">
        <v>24</v>
      </c>
      <c r="D102" s="27" t="s">
        <v>10</v>
      </c>
      <c r="E102" s="56">
        <v>0</v>
      </c>
      <c r="F102" s="56">
        <v>0</v>
      </c>
      <c r="G102" s="56">
        <v>0</v>
      </c>
      <c r="H102" s="56">
        <v>0</v>
      </c>
      <c r="I102" s="56">
        <v>0</v>
      </c>
      <c r="J102" s="56">
        <v>0</v>
      </c>
      <c r="K102" s="56">
        <v>0</v>
      </c>
      <c r="L102" s="56">
        <v>0</v>
      </c>
      <c r="M102" s="56">
        <v>0</v>
      </c>
      <c r="N102" s="54"/>
    </row>
    <row r="103" spans="1:15" x14ac:dyDescent="0.25">
      <c r="A103" s="208"/>
      <c r="B103" s="225"/>
      <c r="C103" s="25" t="s">
        <v>25</v>
      </c>
      <c r="D103" s="1" t="s">
        <v>7</v>
      </c>
      <c r="E103" s="56">
        <v>0.94349999999999989</v>
      </c>
      <c r="F103" s="56">
        <v>0.94349999999999989</v>
      </c>
      <c r="G103" s="56">
        <v>0.94349999999999989</v>
      </c>
      <c r="H103" s="56">
        <v>0.94349999999999989</v>
      </c>
      <c r="I103" s="56">
        <v>0.94349999999999989</v>
      </c>
      <c r="J103" s="56">
        <v>0.94349999999999989</v>
      </c>
      <c r="K103" s="56">
        <v>0.99</v>
      </c>
      <c r="L103" s="56">
        <v>0.99</v>
      </c>
      <c r="M103" s="56">
        <v>0.99</v>
      </c>
      <c r="N103" s="54"/>
    </row>
    <row r="104" spans="1:15" x14ac:dyDescent="0.25">
      <c r="A104" s="208"/>
      <c r="B104" s="225"/>
      <c r="C104" s="25" t="s">
        <v>26</v>
      </c>
      <c r="D104" s="1" t="s">
        <v>14</v>
      </c>
      <c r="E104" s="55">
        <v>1524.6</v>
      </c>
      <c r="F104" s="55">
        <v>1749.6</v>
      </c>
      <c r="G104" s="55">
        <v>2349.6</v>
      </c>
      <c r="H104" s="55">
        <v>3174.6</v>
      </c>
      <c r="I104" s="55">
        <v>4299.6000000000004</v>
      </c>
      <c r="J104" s="55">
        <v>14213</v>
      </c>
      <c r="K104" s="55">
        <v>21713</v>
      </c>
      <c r="L104" s="55">
        <v>37463</v>
      </c>
      <c r="M104" s="55">
        <v>68963</v>
      </c>
      <c r="N104" s="54"/>
    </row>
    <row r="105" spans="1:15" x14ac:dyDescent="0.25">
      <c r="A105" s="208"/>
      <c r="B105" s="225"/>
      <c r="C105" s="25" t="s">
        <v>27</v>
      </c>
      <c r="D105" s="1" t="s">
        <v>4</v>
      </c>
      <c r="E105" s="53">
        <v>40</v>
      </c>
      <c r="F105" s="53">
        <v>40</v>
      </c>
      <c r="G105" s="53">
        <v>40</v>
      </c>
      <c r="H105" s="53">
        <v>40</v>
      </c>
      <c r="I105" s="53">
        <v>40</v>
      </c>
      <c r="J105" s="53">
        <v>40</v>
      </c>
      <c r="K105" s="53">
        <v>40</v>
      </c>
      <c r="L105" s="53">
        <v>40</v>
      </c>
      <c r="M105" s="53">
        <v>40</v>
      </c>
      <c r="N105" s="54"/>
    </row>
    <row r="106" spans="1:15" x14ac:dyDescent="0.25">
      <c r="A106" s="208"/>
      <c r="B106" s="225"/>
      <c r="C106" s="25" t="s">
        <v>116</v>
      </c>
      <c r="D106" s="1" t="s">
        <v>19</v>
      </c>
      <c r="E106" s="53">
        <v>0.5</v>
      </c>
      <c r="F106" s="53">
        <v>0.5</v>
      </c>
      <c r="G106" s="53">
        <v>0.5</v>
      </c>
      <c r="H106" s="53">
        <v>0.5</v>
      </c>
      <c r="I106" s="53">
        <v>0.5</v>
      </c>
      <c r="J106" s="53">
        <v>0.5</v>
      </c>
      <c r="K106" s="53">
        <v>0.5</v>
      </c>
      <c r="L106" s="53">
        <v>0.5</v>
      </c>
      <c r="M106" s="53">
        <v>0.5</v>
      </c>
      <c r="N106" s="54"/>
      <c r="O106" s="75"/>
    </row>
    <row r="107" spans="1:15" x14ac:dyDescent="0.25">
      <c r="A107" s="208"/>
      <c r="B107" s="225"/>
      <c r="C107" s="25" t="s">
        <v>28</v>
      </c>
      <c r="D107" s="1" t="s">
        <v>19</v>
      </c>
      <c r="E107" s="53">
        <v>1.3</v>
      </c>
      <c r="F107" s="53">
        <v>1.3</v>
      </c>
      <c r="G107" s="53">
        <v>1.3</v>
      </c>
      <c r="H107" s="53">
        <v>1.3</v>
      </c>
      <c r="I107" s="53">
        <v>1.3</v>
      </c>
      <c r="J107" s="53">
        <v>1.3</v>
      </c>
      <c r="K107" s="53">
        <v>1.3</v>
      </c>
      <c r="L107" s="53">
        <v>1.3</v>
      </c>
      <c r="M107" s="53">
        <v>1.3</v>
      </c>
      <c r="N107" s="54"/>
    </row>
    <row r="108" spans="1:15" x14ac:dyDescent="0.25">
      <c r="A108" s="208"/>
      <c r="B108" s="225"/>
      <c r="C108" s="25" t="s">
        <v>29</v>
      </c>
      <c r="D108" s="1" t="s">
        <v>4</v>
      </c>
      <c r="E108" s="53">
        <v>20</v>
      </c>
      <c r="F108" s="53">
        <v>20</v>
      </c>
      <c r="G108" s="53">
        <v>20</v>
      </c>
      <c r="H108" s="53">
        <v>20</v>
      </c>
      <c r="I108" s="53">
        <v>20</v>
      </c>
      <c r="J108" s="53">
        <v>20</v>
      </c>
      <c r="K108" s="53">
        <v>20</v>
      </c>
      <c r="L108" s="53">
        <v>20</v>
      </c>
      <c r="M108" s="53">
        <v>20</v>
      </c>
      <c r="N108" s="54"/>
    </row>
    <row r="109" spans="1:15" x14ac:dyDescent="0.25">
      <c r="A109" s="208"/>
      <c r="B109" s="225"/>
      <c r="C109" s="25" t="s">
        <v>30</v>
      </c>
      <c r="D109" s="1" t="s">
        <v>6</v>
      </c>
      <c r="E109" s="55">
        <v>1315.6411009940743</v>
      </c>
      <c r="F109" s="55">
        <v>939.47924488610727</v>
      </c>
      <c r="G109" s="55">
        <v>622.46079352449192</v>
      </c>
      <c r="H109" s="55">
        <v>523.42631254470632</v>
      </c>
      <c r="I109" s="55">
        <v>523.42631254470632</v>
      </c>
      <c r="J109" s="55">
        <v>523.42631254470632</v>
      </c>
      <c r="K109" s="55">
        <v>1281.3816732362875</v>
      </c>
      <c r="L109" s="55">
        <v>1114.6142868924398</v>
      </c>
      <c r="M109" s="55">
        <v>979.67598602574503</v>
      </c>
      <c r="N109" s="54"/>
    </row>
    <row r="110" spans="1:15" x14ac:dyDescent="0.25">
      <c r="A110" s="208"/>
      <c r="B110" s="225"/>
      <c r="C110" s="25" t="s">
        <v>178</v>
      </c>
      <c r="D110" s="1" t="s">
        <v>19</v>
      </c>
      <c r="E110" s="56">
        <v>0.35</v>
      </c>
      <c r="F110" s="56">
        <v>0.35</v>
      </c>
      <c r="G110" s="56">
        <v>0.35</v>
      </c>
      <c r="H110" s="56">
        <v>0.35</v>
      </c>
      <c r="I110" s="56">
        <v>0.35</v>
      </c>
      <c r="J110" s="56">
        <v>0.35</v>
      </c>
      <c r="K110" s="56">
        <v>0.35</v>
      </c>
      <c r="L110" s="56">
        <v>0.35</v>
      </c>
      <c r="M110" s="56">
        <v>0.35</v>
      </c>
      <c r="N110" s="54"/>
    </row>
    <row r="111" spans="1:15" x14ac:dyDescent="0.25">
      <c r="A111" s="208"/>
      <c r="B111" s="225"/>
      <c r="C111" s="25" t="s">
        <v>117</v>
      </c>
      <c r="D111" s="1" t="s">
        <v>8</v>
      </c>
      <c r="E111" s="53"/>
      <c r="F111" s="53"/>
      <c r="G111" s="53"/>
      <c r="H111" s="53"/>
      <c r="I111" s="53"/>
      <c r="J111" s="53"/>
      <c r="K111" s="53"/>
      <c r="L111" s="53"/>
      <c r="M111" s="53"/>
      <c r="N111" s="54"/>
    </row>
    <row r="112" spans="1:15" x14ac:dyDescent="0.25">
      <c r="A112" s="208"/>
      <c r="B112" s="225"/>
      <c r="C112" s="25" t="s">
        <v>118</v>
      </c>
      <c r="D112" s="1" t="s">
        <v>9</v>
      </c>
      <c r="E112" s="53"/>
      <c r="F112" s="53"/>
      <c r="G112" s="53"/>
      <c r="H112" s="53"/>
      <c r="I112" s="53"/>
      <c r="J112" s="53"/>
      <c r="K112" s="53"/>
      <c r="L112" s="53"/>
      <c r="M112" s="53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55">
        <v>0</v>
      </c>
      <c r="F113" s="55">
        <v>0</v>
      </c>
      <c r="G113" s="55">
        <v>0</v>
      </c>
      <c r="H113" s="55">
        <v>0</v>
      </c>
      <c r="I113" s="55">
        <v>0</v>
      </c>
      <c r="J113" s="55">
        <v>0</v>
      </c>
      <c r="K113" s="55">
        <v>0</v>
      </c>
      <c r="L113" s="55">
        <v>2.1700000000000001E-3</v>
      </c>
      <c r="M113" s="55">
        <v>2.1700000000000001E-3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53">
        <v>3.09</v>
      </c>
      <c r="F116" s="53">
        <v>3.09</v>
      </c>
      <c r="G116" s="53">
        <v>3.09</v>
      </c>
      <c r="H116" s="53">
        <v>3.09</v>
      </c>
      <c r="I116" s="53">
        <v>3.09</v>
      </c>
      <c r="J116" s="53">
        <v>3.09</v>
      </c>
      <c r="K116" s="53">
        <v>3.09</v>
      </c>
      <c r="L116" s="53">
        <v>3.09</v>
      </c>
      <c r="M116" s="53">
        <v>3.09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53"/>
      <c r="F117" s="53"/>
      <c r="G117" s="53"/>
      <c r="H117" s="53"/>
      <c r="I117" s="53"/>
      <c r="J117" s="53"/>
      <c r="K117" s="53"/>
      <c r="L117" s="53"/>
      <c r="M117" s="53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53"/>
      <c r="F118" s="53"/>
      <c r="G118" s="53"/>
      <c r="H118" s="53"/>
      <c r="I118" s="53"/>
      <c r="J118" s="53"/>
      <c r="K118" s="53"/>
      <c r="L118" s="53"/>
      <c r="M118" s="53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53">
        <v>1</v>
      </c>
      <c r="F119" s="53">
        <v>1</v>
      </c>
      <c r="G119" s="53">
        <v>1</v>
      </c>
      <c r="H119" s="53">
        <v>1</v>
      </c>
      <c r="I119" s="53">
        <v>1</v>
      </c>
      <c r="J119" s="53">
        <v>1</v>
      </c>
      <c r="K119" s="53">
        <v>1</v>
      </c>
      <c r="L119" s="53">
        <v>1</v>
      </c>
      <c r="M119" s="53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53">
        <v>0.35</v>
      </c>
      <c r="F120" s="53">
        <v>0.35</v>
      </c>
      <c r="G120" s="53">
        <v>0.35</v>
      </c>
      <c r="H120" s="53">
        <v>0.35</v>
      </c>
      <c r="I120" s="53">
        <v>0.35</v>
      </c>
      <c r="J120" s="53">
        <v>0.35</v>
      </c>
      <c r="K120" s="53">
        <v>0.35</v>
      </c>
      <c r="L120" s="53">
        <v>0.35</v>
      </c>
      <c r="M120" s="53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53">
        <v>20</v>
      </c>
      <c r="F121" s="53">
        <v>20</v>
      </c>
      <c r="G121" s="53">
        <v>20</v>
      </c>
      <c r="H121" s="53">
        <v>20</v>
      </c>
      <c r="I121" s="53">
        <v>20</v>
      </c>
      <c r="J121" s="53">
        <v>20</v>
      </c>
      <c r="K121" s="53">
        <v>20</v>
      </c>
      <c r="L121" s="53">
        <v>20</v>
      </c>
      <c r="M121" s="53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55">
        <v>218.34121214018199</v>
      </c>
      <c r="F122" s="55">
        <v>184.87398682120613</v>
      </c>
      <c r="G122" s="55">
        <v>143.96390422813076</v>
      </c>
      <c r="H122" s="55">
        <v>115.96852782183296</v>
      </c>
      <c r="I122" s="55">
        <v>107.31263157894738</v>
      </c>
      <c r="J122" s="55">
        <v>107.00631578947369</v>
      </c>
      <c r="K122" s="55">
        <v>105.98526315789475</v>
      </c>
      <c r="L122" s="55">
        <v>103.84105263157896</v>
      </c>
      <c r="M122" s="55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56">
        <v>0</v>
      </c>
      <c r="F123" s="56">
        <v>0</v>
      </c>
      <c r="G123" s="56">
        <v>0</v>
      </c>
      <c r="H123" s="56">
        <v>0</v>
      </c>
      <c r="I123" s="56">
        <v>0</v>
      </c>
      <c r="J123" s="56">
        <v>0</v>
      </c>
      <c r="K123" s="56">
        <v>0</v>
      </c>
      <c r="L123" s="56">
        <v>0</v>
      </c>
      <c r="M123" s="56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53"/>
      <c r="F124" s="53"/>
      <c r="G124" s="53"/>
      <c r="H124" s="53"/>
      <c r="I124" s="53"/>
      <c r="J124" s="53"/>
      <c r="K124" s="53"/>
      <c r="L124" s="53"/>
      <c r="M124" s="53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55">
        <v>6.5502363642054595</v>
      </c>
      <c r="F125" s="55">
        <v>5.5462196046361836</v>
      </c>
      <c r="G125" s="55">
        <v>4.3189171268439228</v>
      </c>
      <c r="H125" s="55">
        <v>3.4790558346549889</v>
      </c>
      <c r="I125" s="55">
        <v>2.0378947368421052</v>
      </c>
      <c r="J125" s="55">
        <v>2.0189473684210526</v>
      </c>
      <c r="K125" s="55">
        <v>1.9557894736842103</v>
      </c>
      <c r="L125" s="55">
        <v>1.8231578947368419</v>
      </c>
      <c r="M125" s="55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55">
        <v>0</v>
      </c>
      <c r="F126" s="55">
        <v>0</v>
      </c>
      <c r="G126" s="55">
        <v>0</v>
      </c>
      <c r="H126" s="55">
        <v>0</v>
      </c>
      <c r="I126" s="55">
        <v>0</v>
      </c>
      <c r="J126" s="55">
        <v>0</v>
      </c>
      <c r="K126" s="55">
        <v>1.6357894736842103E-3</v>
      </c>
      <c r="L126" s="55">
        <v>1.5031578947368419E-3</v>
      </c>
      <c r="M126" s="55">
        <v>1.2378947368421051E-3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56">
        <v>0.94349999999999989</v>
      </c>
      <c r="F128" s="56">
        <v>0.94349999999999989</v>
      </c>
      <c r="G128" s="56">
        <v>0.94349999999999989</v>
      </c>
      <c r="H128" s="56">
        <v>0.94349999999999989</v>
      </c>
      <c r="I128" s="56">
        <v>0.94349999999999989</v>
      </c>
      <c r="J128" s="56">
        <v>0.94349999999999989</v>
      </c>
      <c r="K128" s="56">
        <v>0.99</v>
      </c>
      <c r="L128" s="56">
        <v>0.99</v>
      </c>
      <c r="M128" s="56">
        <v>0.99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55">
        <v>1524.6</v>
      </c>
      <c r="F129" s="55">
        <v>1749.6</v>
      </c>
      <c r="G129" s="55">
        <v>2349.6</v>
      </c>
      <c r="H129" s="55">
        <v>3174.6</v>
      </c>
      <c r="I129" s="55">
        <v>4299.6000000000004</v>
      </c>
      <c r="J129" s="55">
        <v>14213</v>
      </c>
      <c r="K129" s="55">
        <v>21713</v>
      </c>
      <c r="L129" s="55">
        <v>37463</v>
      </c>
      <c r="M129" s="55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53">
        <v>40</v>
      </c>
      <c r="F130" s="53">
        <v>40</v>
      </c>
      <c r="G130" s="53">
        <v>40</v>
      </c>
      <c r="H130" s="53">
        <v>40</v>
      </c>
      <c r="I130" s="53">
        <v>40</v>
      </c>
      <c r="J130" s="53">
        <v>40</v>
      </c>
      <c r="K130" s="53">
        <v>40</v>
      </c>
      <c r="L130" s="53">
        <v>40</v>
      </c>
      <c r="M130" s="53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53">
        <v>0.35</v>
      </c>
      <c r="F131" s="53">
        <v>0.35</v>
      </c>
      <c r="G131" s="53">
        <v>0.35</v>
      </c>
      <c r="H131" s="53">
        <v>0.35</v>
      </c>
      <c r="I131" s="53">
        <v>0.35</v>
      </c>
      <c r="J131" s="53">
        <v>0.35</v>
      </c>
      <c r="K131" s="53">
        <v>0.35</v>
      </c>
      <c r="L131" s="53">
        <v>0.35</v>
      </c>
      <c r="M131" s="53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53">
        <v>1.8571428571428572</v>
      </c>
      <c r="F132" s="53">
        <v>1.8571428571428572</v>
      </c>
      <c r="G132" s="53">
        <v>1.8571428571428572</v>
      </c>
      <c r="H132" s="53">
        <v>1.8571428571428572</v>
      </c>
      <c r="I132" s="53">
        <v>1.8571428571428572</v>
      </c>
      <c r="J132" s="53">
        <v>1.8571428571428572</v>
      </c>
      <c r="K132" s="53">
        <v>1.8571428571428572</v>
      </c>
      <c r="L132" s="53">
        <v>1.8571428571428572</v>
      </c>
      <c r="M132" s="53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53">
        <v>20</v>
      </c>
      <c r="F133" s="53">
        <v>20</v>
      </c>
      <c r="G133" s="53">
        <v>20</v>
      </c>
      <c r="H133" s="53">
        <v>20</v>
      </c>
      <c r="I133" s="53">
        <v>20</v>
      </c>
      <c r="J133" s="53">
        <v>20</v>
      </c>
      <c r="K133" s="53">
        <v>20</v>
      </c>
      <c r="L133" s="53">
        <v>20</v>
      </c>
      <c r="M133" s="53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55">
        <v>6439.2406849033259</v>
      </c>
      <c r="F134" s="55">
        <v>4332.7824241831977</v>
      </c>
      <c r="G134" s="55">
        <v>2669.5160351066907</v>
      </c>
      <c r="H134" s="55">
        <v>2110.1894367812192</v>
      </c>
      <c r="I134" s="55">
        <v>1784.2871082104245</v>
      </c>
      <c r="J134" s="55">
        <v>1409.7428212977536</v>
      </c>
      <c r="K134" s="55">
        <v>1109.4282603302854</v>
      </c>
      <c r="L134" s="55">
        <v>892.85832488167068</v>
      </c>
      <c r="M134" s="55">
        <v>730.28644907126954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56">
        <v>0</v>
      </c>
      <c r="F135" s="56">
        <v>0</v>
      </c>
      <c r="G135" s="56">
        <v>0</v>
      </c>
      <c r="H135" s="56">
        <v>0</v>
      </c>
      <c r="I135" s="56">
        <v>0</v>
      </c>
      <c r="J135" s="56">
        <v>0</v>
      </c>
      <c r="K135" s="56">
        <v>0</v>
      </c>
      <c r="L135" s="56">
        <v>0</v>
      </c>
      <c r="M135" s="56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53"/>
      <c r="F137" s="53"/>
      <c r="G137" s="53"/>
      <c r="H137" s="53"/>
      <c r="I137" s="53"/>
      <c r="J137" s="53"/>
      <c r="K137" s="53"/>
      <c r="L137" s="53"/>
      <c r="M137" s="53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55">
        <v>5.4632155805897732E-2</v>
      </c>
      <c r="F138" s="55">
        <v>6.9225169277652349E-2</v>
      </c>
      <c r="G138" s="55">
        <v>5.5072970988733948E-2</v>
      </c>
      <c r="H138" s="55">
        <v>4.6604222305577481E-2</v>
      </c>
      <c r="I138" s="55">
        <v>4.0289223212275231E-2</v>
      </c>
      <c r="J138" s="55">
        <v>2.4583755873341454E-2</v>
      </c>
      <c r="K138" s="55">
        <v>1.9104989606490121E-2</v>
      </c>
      <c r="L138" s="55">
        <v>1.5182594783541725E-2</v>
      </c>
      <c r="M138" s="55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59">
        <v>0.25</v>
      </c>
      <c r="F142" s="59">
        <v>0.25</v>
      </c>
      <c r="G142" s="59">
        <v>0.25</v>
      </c>
      <c r="H142" s="59">
        <v>0.25</v>
      </c>
      <c r="I142" s="59">
        <v>0.25</v>
      </c>
      <c r="J142" s="59">
        <v>0.25</v>
      </c>
      <c r="K142" s="59">
        <v>0.25</v>
      </c>
      <c r="L142" s="59">
        <v>0.25</v>
      </c>
      <c r="M142" s="59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56">
        <v>0.66625430833964439</v>
      </c>
      <c r="F143" s="56">
        <v>0.66367464936796561</v>
      </c>
      <c r="G143" s="56">
        <v>0.65679555877682227</v>
      </c>
      <c r="H143" s="56">
        <v>0.64733680921400016</v>
      </c>
      <c r="I143" s="56">
        <v>0.63443851435560639</v>
      </c>
      <c r="J143" s="56">
        <v>0.4680070358050421</v>
      </c>
      <c r="K143" s="56">
        <v>0.46713859851464173</v>
      </c>
      <c r="L143" s="56">
        <v>0.46531488020480088</v>
      </c>
      <c r="M143" s="56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56">
        <v>0.25092243745356524</v>
      </c>
      <c r="F144" s="56">
        <v>0.25657675134016689</v>
      </c>
      <c r="G144" s="56">
        <v>0.27165492170443795</v>
      </c>
      <c r="H144" s="56">
        <v>0.29238740595531065</v>
      </c>
      <c r="I144" s="56">
        <v>0.32065897538831889</v>
      </c>
      <c r="J144" s="56">
        <v>0.41290384467151914</v>
      </c>
      <c r="K144" s="56">
        <v>0.41363974384019625</v>
      </c>
      <c r="L144" s="56">
        <v>0.41518513209441815</v>
      </c>
      <c r="M144" s="56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55">
        <v>0.16</v>
      </c>
      <c r="F145" s="55">
        <v>0.16</v>
      </c>
      <c r="G145" s="55">
        <v>0.16</v>
      </c>
      <c r="H145" s="55">
        <v>0.16</v>
      </c>
      <c r="I145" s="55">
        <v>0.06</v>
      </c>
      <c r="J145" s="55">
        <v>0.05</v>
      </c>
      <c r="K145" s="55">
        <v>4.3999999999999997E-2</v>
      </c>
      <c r="L145" s="55">
        <v>4.3999999999999997E-2</v>
      </c>
      <c r="M145" s="55">
        <v>4.3999999999999997E-2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55">
        <v>0.08</v>
      </c>
      <c r="F146" s="55">
        <v>0.08</v>
      </c>
      <c r="G146" s="55">
        <v>0.08</v>
      </c>
      <c r="H146" s="55">
        <v>0.08</v>
      </c>
      <c r="I146" s="55">
        <v>0.03</v>
      </c>
      <c r="J146" s="55">
        <v>0</v>
      </c>
      <c r="K146" s="55">
        <v>0</v>
      </c>
      <c r="L146" s="55">
        <v>0</v>
      </c>
      <c r="M146" s="55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53">
        <v>5.4999999999999997E-3</v>
      </c>
      <c r="F147" s="53">
        <v>5.4999999999999997E-3</v>
      </c>
      <c r="G147" s="53">
        <v>5.4999999999999997E-3</v>
      </c>
      <c r="H147" s="53">
        <v>5.4999999999999997E-3</v>
      </c>
      <c r="I147" s="53">
        <v>5.4999999999999997E-3</v>
      </c>
      <c r="J147" s="53">
        <v>5.4999999999999997E-3</v>
      </c>
      <c r="K147" s="53">
        <v>5.4999999999999997E-3</v>
      </c>
      <c r="L147" s="53">
        <v>5.4999999999999997E-3</v>
      </c>
      <c r="M147" s="53">
        <v>5.4999999999999997E-3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53">
        <v>1</v>
      </c>
      <c r="F148" s="53">
        <v>1</v>
      </c>
      <c r="G148" s="53">
        <v>1</v>
      </c>
      <c r="H148" s="53">
        <v>1</v>
      </c>
      <c r="I148" s="53">
        <v>1</v>
      </c>
      <c r="J148" s="53">
        <v>1</v>
      </c>
      <c r="K148" s="53">
        <v>1</v>
      </c>
      <c r="L148" s="53">
        <v>1</v>
      </c>
      <c r="M148" s="53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53">
        <v>0.35</v>
      </c>
      <c r="F149" s="53">
        <v>0.35</v>
      </c>
      <c r="G149" s="53">
        <v>0.35</v>
      </c>
      <c r="H149" s="53">
        <v>0.35</v>
      </c>
      <c r="I149" s="53">
        <v>0.35</v>
      </c>
      <c r="J149" s="53">
        <v>0.35</v>
      </c>
      <c r="K149" s="53">
        <v>0.35</v>
      </c>
      <c r="L149" s="53">
        <v>0.35</v>
      </c>
      <c r="M149" s="53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53">
        <v>20</v>
      </c>
      <c r="F150" s="53">
        <v>20</v>
      </c>
      <c r="G150" s="53">
        <v>20</v>
      </c>
      <c r="H150" s="53">
        <v>20</v>
      </c>
      <c r="I150" s="53">
        <v>20</v>
      </c>
      <c r="J150" s="53">
        <v>20</v>
      </c>
      <c r="K150" s="53">
        <v>20</v>
      </c>
      <c r="L150" s="53">
        <v>20</v>
      </c>
      <c r="M150" s="53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55">
        <v>218.34121214018199</v>
      </c>
      <c r="F151" s="55">
        <v>184.87398682120613</v>
      </c>
      <c r="G151" s="55">
        <v>143.96390422813076</v>
      </c>
      <c r="H151" s="55">
        <v>115.96852782183296</v>
      </c>
      <c r="I151" s="55">
        <v>107.31263157894738</v>
      </c>
      <c r="J151" s="55">
        <v>107.00631578947369</v>
      </c>
      <c r="K151" s="55">
        <v>105.98526315789475</v>
      </c>
      <c r="L151" s="55">
        <v>103.84105263157896</v>
      </c>
      <c r="M151" s="55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56">
        <v>0</v>
      </c>
      <c r="F152" s="56">
        <v>0</v>
      </c>
      <c r="G152" s="56">
        <v>0</v>
      </c>
      <c r="H152" s="56">
        <v>0</v>
      </c>
      <c r="I152" s="56">
        <v>0</v>
      </c>
      <c r="J152" s="56">
        <v>0</v>
      </c>
      <c r="K152" s="56">
        <v>0</v>
      </c>
      <c r="L152" s="56">
        <v>0</v>
      </c>
      <c r="M152" s="56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53"/>
      <c r="F153" s="53"/>
      <c r="G153" s="53"/>
      <c r="H153" s="53"/>
      <c r="I153" s="53"/>
      <c r="J153" s="53"/>
      <c r="K153" s="53"/>
      <c r="L153" s="53"/>
      <c r="M153" s="53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55">
        <v>6.5502363642054595</v>
      </c>
      <c r="F154" s="55">
        <v>5.5462196046361836</v>
      </c>
      <c r="G154" s="55">
        <v>4.3189171268439228</v>
      </c>
      <c r="H154" s="55">
        <v>3.4790558346549889</v>
      </c>
      <c r="I154" s="55">
        <v>2.0378947368421052</v>
      </c>
      <c r="J154" s="55">
        <v>2.0189473684210526</v>
      </c>
      <c r="K154" s="55">
        <v>1.9557894736842103</v>
      </c>
      <c r="L154" s="55">
        <v>1.8231578947368419</v>
      </c>
      <c r="M154" s="55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55">
        <v>0</v>
      </c>
      <c r="F155" s="55">
        <v>0</v>
      </c>
      <c r="G155" s="55">
        <v>0</v>
      </c>
      <c r="H155" s="55">
        <v>0</v>
      </c>
      <c r="I155" s="55">
        <v>0</v>
      </c>
      <c r="J155" s="55">
        <v>0</v>
      </c>
      <c r="K155" s="55">
        <v>1.6357894736842103E-3</v>
      </c>
      <c r="L155" s="55">
        <v>1.5031578947368419E-3</v>
      </c>
      <c r="M155" s="55">
        <v>1.2378947368421051E-3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56">
        <v>0.94349999999999989</v>
      </c>
      <c r="F157" s="56">
        <v>0.94349999999999989</v>
      </c>
      <c r="G157" s="56">
        <v>0.94349999999999989</v>
      </c>
      <c r="H157" s="56">
        <v>0.94349999999999989</v>
      </c>
      <c r="I157" s="56">
        <v>0.94349999999999989</v>
      </c>
      <c r="J157" s="56">
        <v>0.94349999999999989</v>
      </c>
      <c r="K157" s="56">
        <v>0.99</v>
      </c>
      <c r="L157" s="56">
        <v>0.99</v>
      </c>
      <c r="M157" s="56">
        <v>0.99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55">
        <v>1524.6</v>
      </c>
      <c r="F158" s="55">
        <v>1749.6</v>
      </c>
      <c r="G158" s="55">
        <v>2349.6</v>
      </c>
      <c r="H158" s="55">
        <v>3174.6</v>
      </c>
      <c r="I158" s="55">
        <v>4299.6000000000004</v>
      </c>
      <c r="J158" s="55">
        <v>14213</v>
      </c>
      <c r="K158" s="55">
        <v>21713</v>
      </c>
      <c r="L158" s="55">
        <v>37463</v>
      </c>
      <c r="M158" s="55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53">
        <v>40</v>
      </c>
      <c r="F159" s="53">
        <v>40</v>
      </c>
      <c r="G159" s="53">
        <v>40</v>
      </c>
      <c r="H159" s="53">
        <v>40</v>
      </c>
      <c r="I159" s="53">
        <v>40</v>
      </c>
      <c r="J159" s="53">
        <v>40</v>
      </c>
      <c r="K159" s="53">
        <v>40</v>
      </c>
      <c r="L159" s="53">
        <v>40</v>
      </c>
      <c r="M159" s="53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53">
        <v>0.35</v>
      </c>
      <c r="F160" s="53">
        <v>0.35</v>
      </c>
      <c r="G160" s="53">
        <v>0.35</v>
      </c>
      <c r="H160" s="53">
        <v>0.35</v>
      </c>
      <c r="I160" s="53">
        <v>0.35</v>
      </c>
      <c r="J160" s="53">
        <v>0.35</v>
      </c>
      <c r="K160" s="53">
        <v>0.35</v>
      </c>
      <c r="L160" s="53">
        <v>0.35</v>
      </c>
      <c r="M160" s="53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53">
        <v>1.8571428571428572</v>
      </c>
      <c r="F161" s="53">
        <v>1.8571428571428572</v>
      </c>
      <c r="G161" s="53">
        <v>1.8571428571428572</v>
      </c>
      <c r="H161" s="53">
        <v>1.8571428571428572</v>
      </c>
      <c r="I161" s="53">
        <v>1.8571428571428572</v>
      </c>
      <c r="J161" s="53">
        <v>1.8571428571428572</v>
      </c>
      <c r="K161" s="53">
        <v>1.8571428571428572</v>
      </c>
      <c r="L161" s="53">
        <v>1.8571428571428572</v>
      </c>
      <c r="M161" s="53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53">
        <v>20</v>
      </c>
      <c r="F162" s="53">
        <v>20</v>
      </c>
      <c r="G162" s="53">
        <v>20</v>
      </c>
      <c r="H162" s="53">
        <v>20</v>
      </c>
      <c r="I162" s="53">
        <v>20</v>
      </c>
      <c r="J162" s="53">
        <v>20</v>
      </c>
      <c r="K162" s="53">
        <v>20</v>
      </c>
      <c r="L162" s="53">
        <v>20</v>
      </c>
      <c r="M162" s="53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55">
        <v>6439.2406849033259</v>
      </c>
      <c r="F163" s="55">
        <v>4332.7824241831977</v>
      </c>
      <c r="G163" s="55">
        <v>2669.5160351066907</v>
      </c>
      <c r="H163" s="55">
        <v>2110.1894367812192</v>
      </c>
      <c r="I163" s="55">
        <v>1784.2871082104245</v>
      </c>
      <c r="J163" s="55">
        <v>1409.7428212977536</v>
      </c>
      <c r="K163" s="55">
        <v>1109.4282603302854</v>
      </c>
      <c r="L163" s="55">
        <v>892.85832488167068</v>
      </c>
      <c r="M163" s="55">
        <v>730.28644907126954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56">
        <v>0</v>
      </c>
      <c r="F164" s="56">
        <v>0</v>
      </c>
      <c r="G164" s="56">
        <v>0</v>
      </c>
      <c r="H164" s="56">
        <v>0</v>
      </c>
      <c r="I164" s="56">
        <v>0</v>
      </c>
      <c r="J164" s="56">
        <v>0</v>
      </c>
      <c r="K164" s="56">
        <v>0</v>
      </c>
      <c r="L164" s="56">
        <v>0</v>
      </c>
      <c r="M164" s="56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53"/>
      <c r="F165" s="53"/>
      <c r="G165" s="53"/>
      <c r="H165" s="53"/>
      <c r="I165" s="53"/>
      <c r="J165" s="53"/>
      <c r="K165" s="53"/>
      <c r="L165" s="53"/>
      <c r="M165" s="53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53"/>
      <c r="F166" s="53"/>
      <c r="G166" s="53"/>
      <c r="H166" s="53"/>
      <c r="I166" s="53"/>
      <c r="J166" s="53"/>
      <c r="K166" s="53"/>
      <c r="L166" s="53"/>
      <c r="M166" s="53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55">
        <v>5.4632155805897732E-2</v>
      </c>
      <c r="F167" s="55">
        <v>6.9225169277652349E-2</v>
      </c>
      <c r="G167" s="55">
        <v>5.5072970988733948E-2</v>
      </c>
      <c r="H167" s="55">
        <v>4.6604222305577481E-2</v>
      </c>
      <c r="I167" s="55">
        <v>4.0289223212275231E-2</v>
      </c>
      <c r="J167" s="55">
        <v>2.4583755873341454E-2</v>
      </c>
      <c r="K167" s="55">
        <v>1.9104989606490121E-2</v>
      </c>
      <c r="L167" s="55">
        <v>1.5182594783541725E-2</v>
      </c>
      <c r="M167" s="55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55">
        <v>0</v>
      </c>
      <c r="F168" s="55">
        <v>0</v>
      </c>
      <c r="G168" s="55">
        <v>0</v>
      </c>
      <c r="H168" s="55">
        <v>0</v>
      </c>
      <c r="I168" s="55">
        <v>0</v>
      </c>
      <c r="J168" s="55">
        <v>0</v>
      </c>
      <c r="K168" s="55">
        <v>0</v>
      </c>
      <c r="L168" s="55">
        <v>0</v>
      </c>
      <c r="M168" s="55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53"/>
      <c r="F169" s="53"/>
      <c r="G169" s="53"/>
      <c r="H169" s="53"/>
      <c r="I169" s="53"/>
      <c r="J169" s="53"/>
      <c r="K169" s="53"/>
      <c r="L169" s="53"/>
      <c r="M169" s="53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53"/>
      <c r="F170" s="53"/>
      <c r="G170" s="53"/>
      <c r="H170" s="53"/>
      <c r="I170" s="53"/>
      <c r="J170" s="53"/>
      <c r="K170" s="53"/>
      <c r="L170" s="53"/>
      <c r="M170" s="53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59">
        <v>0.5</v>
      </c>
      <c r="F171" s="59">
        <v>0.5</v>
      </c>
      <c r="G171" s="59">
        <v>0.5</v>
      </c>
      <c r="H171" s="59">
        <v>0.5</v>
      </c>
      <c r="I171" s="59">
        <v>0.5</v>
      </c>
      <c r="J171" s="59">
        <v>0.5</v>
      </c>
      <c r="K171" s="59">
        <v>0.5</v>
      </c>
      <c r="L171" s="59">
        <v>0.5</v>
      </c>
      <c r="M171" s="59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56">
        <v>0.66625430833964439</v>
      </c>
      <c r="F172" s="56">
        <v>0.66367464936796561</v>
      </c>
      <c r="G172" s="56">
        <v>0.65679555877682227</v>
      </c>
      <c r="H172" s="56">
        <v>0.64733680921400016</v>
      </c>
      <c r="I172" s="56">
        <v>0.63443851435560639</v>
      </c>
      <c r="J172" s="56">
        <v>0.4680070358050421</v>
      </c>
      <c r="K172" s="56">
        <v>0.46713859851464173</v>
      </c>
      <c r="L172" s="56">
        <v>0.46531488020480088</v>
      </c>
      <c r="M172" s="56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56">
        <v>0.25092243745356524</v>
      </c>
      <c r="F173" s="56">
        <v>0.25657675134016689</v>
      </c>
      <c r="G173" s="56">
        <v>0.27165492170443795</v>
      </c>
      <c r="H173" s="56">
        <v>0.29238740595531065</v>
      </c>
      <c r="I173" s="56">
        <v>0.32065897538831889</v>
      </c>
      <c r="J173" s="56">
        <v>0.41290384467151914</v>
      </c>
      <c r="K173" s="56">
        <v>0.41363974384019625</v>
      </c>
      <c r="L173" s="56">
        <v>0.41518513209441815</v>
      </c>
      <c r="M173" s="56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55">
        <v>0.16</v>
      </c>
      <c r="F174" s="55">
        <v>0.16</v>
      </c>
      <c r="G174" s="55">
        <v>0.16</v>
      </c>
      <c r="H174" s="55">
        <v>0.16</v>
      </c>
      <c r="I174" s="55">
        <v>0.06</v>
      </c>
      <c r="J174" s="55">
        <v>0.05</v>
      </c>
      <c r="K174" s="55">
        <v>4.3999999999999997E-2</v>
      </c>
      <c r="L174" s="55">
        <v>4.3999999999999997E-2</v>
      </c>
      <c r="M174" s="55">
        <v>4.3999999999999997E-2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55">
        <v>0.08</v>
      </c>
      <c r="F175" s="55">
        <v>0.08</v>
      </c>
      <c r="G175" s="55">
        <v>0.08</v>
      </c>
      <c r="H175" s="55">
        <v>0.08</v>
      </c>
      <c r="I175" s="55">
        <v>0.03</v>
      </c>
      <c r="J175" s="55">
        <v>0</v>
      </c>
      <c r="K175" s="55">
        <v>0</v>
      </c>
      <c r="L175" s="55">
        <v>0</v>
      </c>
      <c r="M175" s="55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53">
        <v>5.4999999999999997E-3</v>
      </c>
      <c r="F176" s="53">
        <v>5.4999999999999997E-3</v>
      </c>
      <c r="G176" s="53">
        <v>5.4999999999999997E-3</v>
      </c>
      <c r="H176" s="53">
        <v>5.4999999999999997E-3</v>
      </c>
      <c r="I176" s="53">
        <v>5.4999999999999997E-3</v>
      </c>
      <c r="J176" s="53">
        <v>5.4999999999999997E-3</v>
      </c>
      <c r="K176" s="53">
        <v>5.4999999999999997E-3</v>
      </c>
      <c r="L176" s="53">
        <v>5.4999999999999997E-3</v>
      </c>
      <c r="M176" s="53">
        <v>5.4999999999999997E-3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60">
        <v>1</v>
      </c>
      <c r="F177" s="60">
        <v>1</v>
      </c>
      <c r="G177" s="60">
        <v>1</v>
      </c>
      <c r="H177" s="60">
        <v>1</v>
      </c>
      <c r="I177" s="60">
        <v>1</v>
      </c>
      <c r="J177" s="60">
        <v>1</v>
      </c>
      <c r="K177" s="60">
        <v>1</v>
      </c>
      <c r="L177" s="60">
        <v>1</v>
      </c>
      <c r="M177" s="60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53">
        <v>0.8</v>
      </c>
      <c r="F178" s="53">
        <v>0.8</v>
      </c>
      <c r="G178" s="53">
        <v>0.8</v>
      </c>
      <c r="H178" s="53">
        <v>0.8</v>
      </c>
      <c r="I178" s="53">
        <v>0.8</v>
      </c>
      <c r="J178" s="53">
        <v>0.8</v>
      </c>
      <c r="K178" s="53">
        <v>0.8</v>
      </c>
      <c r="L178" s="53">
        <v>0.8</v>
      </c>
      <c r="M178" s="53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53">
        <v>20</v>
      </c>
      <c r="F179" s="53">
        <v>20</v>
      </c>
      <c r="G179" s="53">
        <v>20</v>
      </c>
      <c r="H179" s="53">
        <v>20</v>
      </c>
      <c r="I179" s="53">
        <v>20</v>
      </c>
      <c r="J179" s="53">
        <v>20</v>
      </c>
      <c r="K179" s="53">
        <v>20</v>
      </c>
      <c r="L179" s="53">
        <v>20</v>
      </c>
      <c r="M179" s="53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55">
        <v>218.34121214018199</v>
      </c>
      <c r="F180" s="55">
        <v>184.87398682120613</v>
      </c>
      <c r="G180" s="55">
        <v>143.96390422813076</v>
      </c>
      <c r="H180" s="55">
        <v>115.96852782183296</v>
      </c>
      <c r="I180" s="55">
        <v>107.31263157894738</v>
      </c>
      <c r="J180" s="55">
        <v>107.00631578947369</v>
      </c>
      <c r="K180" s="55">
        <v>105.98526315789475</v>
      </c>
      <c r="L180" s="55">
        <v>103.84105263157896</v>
      </c>
      <c r="M180" s="55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56">
        <v>0.2</v>
      </c>
      <c r="F181" s="56">
        <v>0.2</v>
      </c>
      <c r="G181" s="56">
        <v>0.2</v>
      </c>
      <c r="H181" s="56">
        <v>0.2</v>
      </c>
      <c r="I181" s="56">
        <v>0.2</v>
      </c>
      <c r="J181" s="56">
        <v>0.2</v>
      </c>
      <c r="K181" s="56">
        <v>0.2</v>
      </c>
      <c r="L181" s="56">
        <v>0.2</v>
      </c>
      <c r="M181" s="56">
        <v>0.2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53"/>
      <c r="F182" s="53"/>
      <c r="G182" s="53"/>
      <c r="H182" s="53"/>
      <c r="I182" s="53"/>
      <c r="J182" s="53"/>
      <c r="K182" s="53"/>
      <c r="L182" s="53"/>
      <c r="M182" s="53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55">
        <v>6.5502363642054595</v>
      </c>
      <c r="F183" s="55">
        <v>5.5462196046361836</v>
      </c>
      <c r="G183" s="55">
        <v>4.3189171268439228</v>
      </c>
      <c r="H183" s="55">
        <v>3.4790558346549889</v>
      </c>
      <c r="I183" s="55">
        <v>2.0378947368421052</v>
      </c>
      <c r="J183" s="55">
        <v>2.0189473684210526</v>
      </c>
      <c r="K183" s="55">
        <v>1.9557894736842103</v>
      </c>
      <c r="L183" s="55">
        <v>1.8231578947368419</v>
      </c>
      <c r="M183" s="55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1.6357894736842103E-3</v>
      </c>
      <c r="L184" s="55">
        <v>1.5031578947368419E-3</v>
      </c>
      <c r="M184" s="55">
        <v>1.2378947368421051E-3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55">
        <v>0</v>
      </c>
      <c r="F185" s="55">
        <v>0</v>
      </c>
      <c r="G185" s="55">
        <v>0</v>
      </c>
      <c r="H185" s="55">
        <v>0</v>
      </c>
      <c r="I185" s="55">
        <v>0</v>
      </c>
      <c r="J185" s="55">
        <v>0</v>
      </c>
      <c r="K185" s="55">
        <v>0</v>
      </c>
      <c r="L185" s="55">
        <v>0</v>
      </c>
      <c r="M185" s="55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56">
        <v>0.94349999999999989</v>
      </c>
      <c r="F186" s="56">
        <v>0.94349999999999989</v>
      </c>
      <c r="G186" s="56">
        <v>0.94349999999999989</v>
      </c>
      <c r="H186" s="56">
        <v>0.94349999999999989</v>
      </c>
      <c r="I186" s="56">
        <v>0.94349999999999989</v>
      </c>
      <c r="J186" s="56">
        <v>0.94349999999999989</v>
      </c>
      <c r="K186" s="56">
        <v>0.99</v>
      </c>
      <c r="L186" s="56">
        <v>0.99</v>
      </c>
      <c r="M186" s="56">
        <v>0.99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55">
        <v>1524.6</v>
      </c>
      <c r="F187" s="55">
        <v>1749.6</v>
      </c>
      <c r="G187" s="55">
        <v>2349.6</v>
      </c>
      <c r="H187" s="55">
        <v>3174.6</v>
      </c>
      <c r="I187" s="55">
        <v>4299.6000000000004</v>
      </c>
      <c r="J187" s="55">
        <v>14213</v>
      </c>
      <c r="K187" s="55">
        <v>21713</v>
      </c>
      <c r="L187" s="55">
        <v>37463</v>
      </c>
      <c r="M187" s="55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53">
        <v>40</v>
      </c>
      <c r="F188" s="53">
        <v>40</v>
      </c>
      <c r="G188" s="53">
        <v>40</v>
      </c>
      <c r="H188" s="53">
        <v>40</v>
      </c>
      <c r="I188" s="53">
        <v>40</v>
      </c>
      <c r="J188" s="53">
        <v>40</v>
      </c>
      <c r="K188" s="53">
        <v>40</v>
      </c>
      <c r="L188" s="53">
        <v>40</v>
      </c>
      <c r="M188" s="53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60">
        <v>0.3125</v>
      </c>
      <c r="F189" s="60">
        <v>0.3125</v>
      </c>
      <c r="G189" s="60">
        <v>0.3125</v>
      </c>
      <c r="H189" s="60">
        <v>0.3125</v>
      </c>
      <c r="I189" s="60">
        <v>0.3125</v>
      </c>
      <c r="J189" s="60">
        <v>0.3125</v>
      </c>
      <c r="K189" s="60">
        <v>0.3125</v>
      </c>
      <c r="L189" s="60">
        <v>0.3125</v>
      </c>
      <c r="M189" s="60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53">
        <v>0.64</v>
      </c>
      <c r="F190" s="53">
        <v>0.64</v>
      </c>
      <c r="G190" s="53">
        <v>0.64</v>
      </c>
      <c r="H190" s="53">
        <v>0.64</v>
      </c>
      <c r="I190" s="53">
        <v>0.64</v>
      </c>
      <c r="J190" s="53">
        <v>0.64</v>
      </c>
      <c r="K190" s="53">
        <v>0.64</v>
      </c>
      <c r="L190" s="53">
        <v>0.64</v>
      </c>
      <c r="M190" s="53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53">
        <v>20</v>
      </c>
      <c r="F191" s="53">
        <v>20</v>
      </c>
      <c r="G191" s="53">
        <v>20</v>
      </c>
      <c r="H191" s="53">
        <v>20</v>
      </c>
      <c r="I191" s="53">
        <v>20</v>
      </c>
      <c r="J191" s="53">
        <v>20</v>
      </c>
      <c r="K191" s="53">
        <v>20</v>
      </c>
      <c r="L191" s="53">
        <v>20</v>
      </c>
      <c r="M191" s="53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61">
        <v>969.96443035977279</v>
      </c>
      <c r="F192" s="55">
        <v>955.88615085209335</v>
      </c>
      <c r="G192" s="55">
        <v>918.34407216494844</v>
      </c>
      <c r="H192" s="55">
        <v>866.72371397012409</v>
      </c>
      <c r="I192" s="55">
        <v>796.33231643172724</v>
      </c>
      <c r="J192" s="55">
        <v>655.54952135493363</v>
      </c>
      <c r="K192" s="55">
        <v>563.57142857142856</v>
      </c>
      <c r="L192" s="55">
        <v>563.57142857142856</v>
      </c>
      <c r="M192" s="55">
        <v>563.57142857142856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56">
        <v>0</v>
      </c>
      <c r="F193" s="56">
        <v>0.35</v>
      </c>
      <c r="G193" s="56">
        <v>0.35</v>
      </c>
      <c r="H193" s="56">
        <v>0.35</v>
      </c>
      <c r="I193" s="56">
        <v>0.35</v>
      </c>
      <c r="J193" s="56">
        <v>0.35</v>
      </c>
      <c r="K193" s="56">
        <v>0.35</v>
      </c>
      <c r="L193" s="56">
        <v>0.35</v>
      </c>
      <c r="M193" s="56">
        <v>0.35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55">
        <v>59.884830633284238</v>
      </c>
      <c r="F194" s="55">
        <v>77.502650957290129</v>
      </c>
      <c r="G194" s="55">
        <v>124.48350515463918</v>
      </c>
      <c r="H194" s="55">
        <v>189.0821796759941</v>
      </c>
      <c r="I194" s="55">
        <v>277.17128129602355</v>
      </c>
      <c r="J194" s="55">
        <v>453.34948453608251</v>
      </c>
      <c r="K194" s="55">
        <v>629.52768777614153</v>
      </c>
      <c r="L194" s="55">
        <v>629.52768777614153</v>
      </c>
      <c r="M194" s="55">
        <v>629.52768777614153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53"/>
      <c r="F195" s="53"/>
      <c r="G195" s="53"/>
      <c r="H195" s="53"/>
      <c r="I195" s="53"/>
      <c r="J195" s="53"/>
      <c r="K195" s="53"/>
      <c r="L195" s="53"/>
      <c r="M195" s="53"/>
    </row>
    <row r="196" spans="1:14" x14ac:dyDescent="0.25">
      <c r="A196" s="208"/>
      <c r="B196" s="225"/>
      <c r="C196" s="25" t="s">
        <v>135</v>
      </c>
      <c r="D196" s="1" t="s">
        <v>10</v>
      </c>
      <c r="E196" s="53"/>
      <c r="F196" s="53"/>
      <c r="G196" s="53"/>
      <c r="H196" s="53"/>
      <c r="I196" s="53"/>
      <c r="J196" s="53"/>
      <c r="K196" s="53"/>
      <c r="L196" s="53"/>
      <c r="M196" s="53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53"/>
      <c r="F197" s="53"/>
      <c r="G197" s="53"/>
      <c r="H197" s="53"/>
      <c r="I197" s="53"/>
      <c r="J197" s="53"/>
      <c r="K197" s="53"/>
      <c r="L197" s="53"/>
      <c r="M197" s="53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53">
        <v>1</v>
      </c>
      <c r="F198" s="53">
        <v>1</v>
      </c>
      <c r="G198" s="53">
        <v>1</v>
      </c>
      <c r="H198" s="53">
        <v>1</v>
      </c>
      <c r="I198" s="53">
        <v>1</v>
      </c>
      <c r="J198" s="53">
        <v>1</v>
      </c>
      <c r="K198" s="53">
        <v>1</v>
      </c>
      <c r="L198" s="53">
        <v>1</v>
      </c>
      <c r="M198" s="53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53">
        <v>0.65</v>
      </c>
      <c r="F199" s="53">
        <v>0.65</v>
      </c>
      <c r="G199" s="53">
        <v>0.65</v>
      </c>
      <c r="H199" s="53">
        <v>0.65</v>
      </c>
      <c r="I199" s="53">
        <v>0.65</v>
      </c>
      <c r="J199" s="53">
        <v>0.65</v>
      </c>
      <c r="K199" s="53">
        <v>0.65</v>
      </c>
      <c r="L199" s="53">
        <v>0.65</v>
      </c>
      <c r="M199" s="53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53">
        <v>20</v>
      </c>
      <c r="F200" s="53">
        <v>20</v>
      </c>
      <c r="G200" s="53">
        <v>20</v>
      </c>
      <c r="H200" s="53">
        <v>20</v>
      </c>
      <c r="I200" s="53">
        <v>20</v>
      </c>
      <c r="J200" s="53">
        <v>20</v>
      </c>
      <c r="K200" s="53">
        <v>20</v>
      </c>
      <c r="L200" s="53">
        <v>20</v>
      </c>
      <c r="M200" s="53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55">
        <v>218.34121214018199</v>
      </c>
      <c r="F201" s="55">
        <v>184.87398682120613</v>
      </c>
      <c r="G201" s="55">
        <v>143.96390422813076</v>
      </c>
      <c r="H201" s="55">
        <v>115.96852782183296</v>
      </c>
      <c r="I201" s="55">
        <v>107.31263157894738</v>
      </c>
      <c r="J201" s="55">
        <v>107.00631578947369</v>
      </c>
      <c r="K201" s="55">
        <v>105.98526315789475</v>
      </c>
      <c r="L201" s="55">
        <v>103.84105263157896</v>
      </c>
      <c r="M201" s="55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56">
        <v>0.2</v>
      </c>
      <c r="F202" s="56">
        <v>0.2</v>
      </c>
      <c r="G202" s="56">
        <v>0.2</v>
      </c>
      <c r="H202" s="56">
        <v>0.2</v>
      </c>
      <c r="I202" s="56">
        <v>0.2</v>
      </c>
      <c r="J202" s="56">
        <v>0.2</v>
      </c>
      <c r="K202" s="56">
        <v>0.2</v>
      </c>
      <c r="L202" s="56">
        <v>0.2</v>
      </c>
      <c r="M202" s="56">
        <v>0.2</v>
      </c>
    </row>
    <row r="203" spans="1:14" x14ac:dyDescent="0.25">
      <c r="A203" s="208"/>
      <c r="B203" s="225"/>
      <c r="C203" s="25" t="s">
        <v>114</v>
      </c>
      <c r="D203" s="1" t="s">
        <v>8</v>
      </c>
      <c r="E203" s="53"/>
      <c r="F203" s="53"/>
      <c r="G203" s="53"/>
      <c r="H203" s="53"/>
      <c r="I203" s="53"/>
      <c r="J203" s="53"/>
      <c r="K203" s="53"/>
      <c r="L203" s="53"/>
      <c r="M203" s="53"/>
    </row>
    <row r="204" spans="1:14" x14ac:dyDescent="0.25">
      <c r="A204" s="208"/>
      <c r="B204" s="225"/>
      <c r="C204" s="25" t="s">
        <v>115</v>
      </c>
      <c r="D204" s="1" t="s">
        <v>9</v>
      </c>
      <c r="E204" s="55">
        <v>6.5502363642054595</v>
      </c>
      <c r="F204" s="55">
        <v>5.5462196046361836</v>
      </c>
      <c r="G204" s="55">
        <v>4.3189171268439228</v>
      </c>
      <c r="H204" s="55">
        <v>3.4790558346549889</v>
      </c>
      <c r="I204" s="55">
        <v>2.0378947368421052</v>
      </c>
      <c r="J204" s="55">
        <v>2.0189473684210526</v>
      </c>
      <c r="K204" s="55">
        <v>1.9557894736842103</v>
      </c>
      <c r="L204" s="55">
        <v>1.8231578947368419</v>
      </c>
      <c r="M204" s="55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55">
        <v>0</v>
      </c>
      <c r="F205" s="55">
        <v>0</v>
      </c>
      <c r="G205" s="55">
        <v>0</v>
      </c>
      <c r="H205" s="55">
        <v>0</v>
      </c>
      <c r="I205" s="55">
        <v>0</v>
      </c>
      <c r="J205" s="55">
        <v>0</v>
      </c>
      <c r="K205" s="55">
        <v>1.6357894736842103E-3</v>
      </c>
      <c r="L205" s="55">
        <v>1.5031578947368419E-3</v>
      </c>
      <c r="M205" s="55">
        <v>1.2378947368421051E-3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55">
        <v>0</v>
      </c>
      <c r="F206" s="55">
        <v>0</v>
      </c>
      <c r="G206" s="55">
        <v>0</v>
      </c>
      <c r="H206" s="55">
        <v>0</v>
      </c>
      <c r="I206" s="55">
        <v>0</v>
      </c>
      <c r="J206" s="55">
        <v>0</v>
      </c>
      <c r="K206" s="55">
        <v>0</v>
      </c>
      <c r="L206" s="55">
        <v>0</v>
      </c>
      <c r="M206" s="55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56">
        <v>0.94349999999999989</v>
      </c>
      <c r="F207" s="56">
        <v>0.94349999999999989</v>
      </c>
      <c r="G207" s="56">
        <v>0.94349999999999989</v>
      </c>
      <c r="H207" s="56">
        <v>0.94349999999999989</v>
      </c>
      <c r="I207" s="56">
        <v>0.94349999999999989</v>
      </c>
      <c r="J207" s="56">
        <v>0.94349999999999989</v>
      </c>
      <c r="K207" s="56">
        <v>0.99</v>
      </c>
      <c r="L207" s="56">
        <v>0.99</v>
      </c>
      <c r="M207" s="56">
        <v>0.99</v>
      </c>
    </row>
    <row r="208" spans="1:14" x14ac:dyDescent="0.25">
      <c r="A208" s="208"/>
      <c r="B208" s="225"/>
      <c r="C208" s="25" t="s">
        <v>26</v>
      </c>
      <c r="D208" s="1" t="s">
        <v>14</v>
      </c>
      <c r="E208" s="55">
        <v>1524.6</v>
      </c>
      <c r="F208" s="55">
        <v>1749.6</v>
      </c>
      <c r="G208" s="55">
        <v>2349.6</v>
      </c>
      <c r="H208" s="55">
        <v>3174.6</v>
      </c>
      <c r="I208" s="55">
        <v>4299.6000000000004</v>
      </c>
      <c r="J208" s="55">
        <v>14213</v>
      </c>
      <c r="K208" s="55">
        <v>21713</v>
      </c>
      <c r="L208" s="55">
        <v>37463</v>
      </c>
      <c r="M208" s="55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53">
        <v>40</v>
      </c>
      <c r="F209" s="53">
        <v>40</v>
      </c>
      <c r="G209" s="53">
        <v>40</v>
      </c>
      <c r="H209" s="53">
        <v>40</v>
      </c>
      <c r="I209" s="53">
        <v>40</v>
      </c>
      <c r="J209" s="53">
        <v>40</v>
      </c>
      <c r="K209" s="53">
        <v>40</v>
      </c>
      <c r="L209" s="53">
        <v>40</v>
      </c>
      <c r="M209" s="53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60">
        <v>0.546875</v>
      </c>
      <c r="F210" s="60">
        <v>0.546875</v>
      </c>
      <c r="G210" s="60">
        <v>0.54687499999999989</v>
      </c>
      <c r="H210" s="60">
        <v>0.546875</v>
      </c>
      <c r="I210" s="60">
        <v>0.546875</v>
      </c>
      <c r="J210" s="60">
        <v>0.546875</v>
      </c>
      <c r="K210" s="60">
        <v>0.546875</v>
      </c>
      <c r="L210" s="60">
        <v>0.546875</v>
      </c>
      <c r="M210" s="60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53">
        <v>0.64</v>
      </c>
      <c r="F211" s="53">
        <v>0.64</v>
      </c>
      <c r="G211" s="53">
        <v>0.64</v>
      </c>
      <c r="H211" s="53">
        <v>0.64</v>
      </c>
      <c r="I211" s="53">
        <v>0.64</v>
      </c>
      <c r="J211" s="53">
        <v>0.64</v>
      </c>
      <c r="K211" s="53">
        <v>0.64</v>
      </c>
      <c r="L211" s="53">
        <v>0.64</v>
      </c>
      <c r="M211" s="53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53">
        <v>20</v>
      </c>
      <c r="F212" s="53">
        <v>20</v>
      </c>
      <c r="G212" s="53">
        <v>20</v>
      </c>
      <c r="H212" s="53">
        <v>20</v>
      </c>
      <c r="I212" s="53">
        <v>20</v>
      </c>
      <c r="J212" s="53">
        <v>20</v>
      </c>
      <c r="K212" s="53">
        <v>20</v>
      </c>
      <c r="L212" s="53">
        <v>20</v>
      </c>
      <c r="M212" s="53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61">
        <v>959.40572072901318</v>
      </c>
      <c r="F213" s="55">
        <v>934.76873159057436</v>
      </c>
      <c r="G213" s="55">
        <v>869.07009388807069</v>
      </c>
      <c r="H213" s="55">
        <v>778.73446704712808</v>
      </c>
      <c r="I213" s="55">
        <v>655.54952135493363</v>
      </c>
      <c r="J213" s="55">
        <v>563.57142857142856</v>
      </c>
      <c r="K213" s="55">
        <v>563.57142857142856</v>
      </c>
      <c r="L213" s="55">
        <v>563.57142857142856</v>
      </c>
      <c r="M213" s="55">
        <v>563.57142857142856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56">
        <v>0.35</v>
      </c>
      <c r="F214" s="56">
        <v>0.35</v>
      </c>
      <c r="G214" s="56">
        <v>0.35</v>
      </c>
      <c r="H214" s="56">
        <v>0.35</v>
      </c>
      <c r="I214" s="56">
        <v>0.35</v>
      </c>
      <c r="J214" s="56">
        <v>0.35</v>
      </c>
      <c r="K214" s="56">
        <v>0.35</v>
      </c>
      <c r="L214" s="56">
        <v>0.35</v>
      </c>
      <c r="M214" s="56">
        <v>0.35</v>
      </c>
    </row>
    <row r="215" spans="1:13" x14ac:dyDescent="0.25">
      <c r="A215" s="208"/>
      <c r="B215" s="225"/>
      <c r="C215" s="25" t="s">
        <v>133</v>
      </c>
      <c r="D215" s="1" t="s">
        <v>8</v>
      </c>
      <c r="E215" s="55">
        <v>59.884830633284238</v>
      </c>
      <c r="F215" s="55">
        <v>77.502650957290129</v>
      </c>
      <c r="G215" s="55">
        <v>124.48350515463918</v>
      </c>
      <c r="H215" s="55">
        <v>189.0821796759941</v>
      </c>
      <c r="I215" s="55">
        <v>277.17128129602355</v>
      </c>
      <c r="J215" s="55">
        <v>453.34948453608251</v>
      </c>
      <c r="K215" s="55">
        <v>629.52768777614153</v>
      </c>
      <c r="L215" s="55">
        <v>629.52768777614153</v>
      </c>
      <c r="M215" s="55">
        <v>629.52768777614153</v>
      </c>
    </row>
    <row r="216" spans="1:13" x14ac:dyDescent="0.25">
      <c r="A216" s="208"/>
      <c r="B216" s="225"/>
      <c r="C216" s="25" t="s">
        <v>134</v>
      </c>
      <c r="D216" s="1" t="s">
        <v>9</v>
      </c>
      <c r="E216" s="53"/>
      <c r="F216" s="53"/>
      <c r="G216" s="53"/>
      <c r="H216" s="53"/>
      <c r="I216" s="53"/>
      <c r="J216" s="53"/>
      <c r="K216" s="53"/>
      <c r="L216" s="53"/>
      <c r="M216" s="53"/>
    </row>
    <row r="217" spans="1:13" x14ac:dyDescent="0.25">
      <c r="A217" s="208"/>
      <c r="B217" s="225"/>
      <c r="C217" s="25" t="s">
        <v>135</v>
      </c>
      <c r="D217" s="1" t="s">
        <v>10</v>
      </c>
      <c r="E217" s="53"/>
      <c r="F217" s="53"/>
      <c r="G217" s="53"/>
      <c r="H217" s="53"/>
      <c r="I217" s="53"/>
      <c r="J217" s="53"/>
      <c r="K217" s="53"/>
      <c r="L217" s="53"/>
      <c r="M217" s="53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53"/>
      <c r="F218" s="53"/>
      <c r="G218" s="53"/>
      <c r="H218" s="53"/>
      <c r="I218" s="53"/>
      <c r="J218" s="53"/>
      <c r="K218" s="53"/>
      <c r="L218" s="53"/>
      <c r="M218" s="53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60">
        <v>1</v>
      </c>
      <c r="F219" s="60">
        <v>1</v>
      </c>
      <c r="G219" s="60">
        <v>1</v>
      </c>
      <c r="H219" s="60">
        <v>1</v>
      </c>
      <c r="I219" s="60">
        <v>1</v>
      </c>
      <c r="J219" s="60">
        <v>1</v>
      </c>
      <c r="K219" s="60">
        <v>1</v>
      </c>
      <c r="L219" s="60">
        <v>1</v>
      </c>
      <c r="M219" s="60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53">
        <v>0.8</v>
      </c>
      <c r="F220" s="53">
        <v>0.8</v>
      </c>
      <c r="G220" s="53">
        <v>0.8</v>
      </c>
      <c r="H220" s="53">
        <v>0.8</v>
      </c>
      <c r="I220" s="53">
        <v>0.8</v>
      </c>
      <c r="J220" s="53">
        <v>0.8</v>
      </c>
      <c r="K220" s="53">
        <v>0.8</v>
      </c>
      <c r="L220" s="53">
        <v>0.8</v>
      </c>
      <c r="M220" s="53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53">
        <v>20</v>
      </c>
      <c r="F221" s="53">
        <v>20</v>
      </c>
      <c r="G221" s="53">
        <v>20</v>
      </c>
      <c r="H221" s="53">
        <v>20</v>
      </c>
      <c r="I221" s="53">
        <v>20</v>
      </c>
      <c r="J221" s="53">
        <v>20</v>
      </c>
      <c r="K221" s="53">
        <v>20</v>
      </c>
      <c r="L221" s="53">
        <v>20</v>
      </c>
      <c r="M221" s="53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55">
        <v>939.47924488610727</v>
      </c>
      <c r="F222" s="55">
        <v>670.86780042435419</v>
      </c>
      <c r="G222" s="55">
        <v>523.42631254470632</v>
      </c>
      <c r="H222" s="55">
        <v>523.42631254470632</v>
      </c>
      <c r="I222" s="55">
        <v>523.42631254470632</v>
      </c>
      <c r="J222" s="55">
        <v>523.42631254470632</v>
      </c>
      <c r="K222" s="55">
        <v>1136.3124641115969</v>
      </c>
      <c r="L222" s="55">
        <v>988.42533284709032</v>
      </c>
      <c r="M222" s="55">
        <v>868.76381718516643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56">
        <v>0.35</v>
      </c>
      <c r="F223" s="56">
        <v>0.35</v>
      </c>
      <c r="G223" s="56">
        <v>0.35</v>
      </c>
      <c r="H223" s="56">
        <v>0.35</v>
      </c>
      <c r="I223" s="56">
        <v>0.35</v>
      </c>
      <c r="J223" s="56">
        <v>0.35</v>
      </c>
      <c r="K223" s="56">
        <v>0.35</v>
      </c>
      <c r="L223" s="56">
        <v>0.35</v>
      </c>
      <c r="M223" s="56">
        <v>0.35</v>
      </c>
    </row>
    <row r="224" spans="1:13" x14ac:dyDescent="0.25">
      <c r="A224" s="227"/>
      <c r="B224" s="230"/>
      <c r="C224" s="25" t="s">
        <v>117</v>
      </c>
      <c r="D224" s="1" t="s">
        <v>8</v>
      </c>
      <c r="E224" s="53"/>
      <c r="F224" s="53"/>
      <c r="G224" s="53"/>
      <c r="H224" s="53"/>
      <c r="I224" s="53"/>
      <c r="J224" s="53"/>
      <c r="K224" s="53"/>
      <c r="L224" s="53"/>
      <c r="M224" s="53"/>
    </row>
    <row r="225" spans="1:13" x14ac:dyDescent="0.25">
      <c r="A225" s="227"/>
      <c r="B225" s="230"/>
      <c r="C225" s="25" t="s">
        <v>118</v>
      </c>
      <c r="D225" s="1" t="s">
        <v>9</v>
      </c>
      <c r="E225" s="53"/>
      <c r="F225" s="53"/>
      <c r="G225" s="53"/>
      <c r="H225" s="53"/>
      <c r="I225" s="53"/>
      <c r="J225" s="53"/>
      <c r="K225" s="53"/>
      <c r="L225" s="53"/>
      <c r="M225" s="53"/>
    </row>
    <row r="226" spans="1:13" x14ac:dyDescent="0.25">
      <c r="A226" s="227"/>
      <c r="B226" s="230"/>
      <c r="C226" s="25" t="s">
        <v>119</v>
      </c>
      <c r="D226" s="1" t="s">
        <v>10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2.1700000000000001E-3</v>
      </c>
      <c r="L226" s="55">
        <v>2.1700000000000001E-3</v>
      </c>
      <c r="M226" s="55">
        <v>2.1700000000000001E-3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55">
        <v>0</v>
      </c>
      <c r="F228" s="55">
        <v>0</v>
      </c>
      <c r="G228" s="55">
        <v>0</v>
      </c>
      <c r="H228" s="55">
        <v>0</v>
      </c>
      <c r="I228" s="55">
        <v>0</v>
      </c>
      <c r="J228" s="55">
        <v>0</v>
      </c>
      <c r="K228" s="55">
        <v>0</v>
      </c>
      <c r="L228" s="55">
        <v>0</v>
      </c>
      <c r="M228" s="55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53">
        <v>3.09</v>
      </c>
      <c r="F229" s="53">
        <v>3.09</v>
      </c>
      <c r="G229" s="53">
        <v>3.09</v>
      </c>
      <c r="H229" s="53">
        <v>3.09</v>
      </c>
      <c r="I229" s="53">
        <v>3.09</v>
      </c>
      <c r="J229" s="53">
        <v>3.09</v>
      </c>
      <c r="K229" s="53">
        <v>3.09</v>
      </c>
      <c r="L229" s="53">
        <v>3.09</v>
      </c>
      <c r="M229" s="53">
        <v>3.09</v>
      </c>
    </row>
    <row r="230" spans="1:13" x14ac:dyDescent="0.25">
      <c r="A230" s="227"/>
      <c r="B230" s="230"/>
      <c r="C230" s="25" t="s">
        <v>33</v>
      </c>
      <c r="D230" s="2" t="s">
        <v>14</v>
      </c>
      <c r="E230" s="53"/>
      <c r="F230" s="53"/>
      <c r="G230" s="53"/>
      <c r="H230" s="53"/>
      <c r="I230" s="53"/>
      <c r="J230" s="53"/>
      <c r="K230" s="53"/>
      <c r="L230" s="53"/>
      <c r="M230" s="53"/>
    </row>
    <row r="231" spans="1:13" x14ac:dyDescent="0.25">
      <c r="A231" s="227"/>
      <c r="B231" s="230"/>
      <c r="C231" s="25" t="s">
        <v>34</v>
      </c>
      <c r="D231" s="2" t="s">
        <v>4</v>
      </c>
      <c r="E231" s="53"/>
      <c r="F231" s="53"/>
      <c r="G231" s="53"/>
      <c r="H231" s="53"/>
      <c r="I231" s="53"/>
      <c r="J231" s="53"/>
      <c r="K231" s="53"/>
      <c r="L231" s="53"/>
      <c r="M231" s="53"/>
    </row>
    <row r="232" spans="1:13" x14ac:dyDescent="0.25">
      <c r="A232" s="227"/>
      <c r="B232" s="230"/>
      <c r="C232" s="25" t="s">
        <v>129</v>
      </c>
      <c r="D232" s="1" t="s">
        <v>19</v>
      </c>
      <c r="E232" s="60">
        <v>0.3125</v>
      </c>
      <c r="F232" s="60">
        <v>0.3125</v>
      </c>
      <c r="G232" s="60">
        <v>0.3125</v>
      </c>
      <c r="H232" s="60">
        <v>0.3125</v>
      </c>
      <c r="I232" s="60">
        <v>0.3125</v>
      </c>
      <c r="J232" s="60">
        <v>0.3125</v>
      </c>
      <c r="K232" s="60">
        <v>0.3125</v>
      </c>
      <c r="L232" s="60">
        <v>0.3125</v>
      </c>
      <c r="M232" s="60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53">
        <v>0.64</v>
      </c>
      <c r="F233" s="53">
        <v>0.64</v>
      </c>
      <c r="G233" s="53">
        <v>0.64</v>
      </c>
      <c r="H233" s="53">
        <v>0.64</v>
      </c>
      <c r="I233" s="53">
        <v>0.64</v>
      </c>
      <c r="J233" s="53">
        <v>0.64</v>
      </c>
      <c r="K233" s="53">
        <v>0.64</v>
      </c>
      <c r="L233" s="53">
        <v>0.64</v>
      </c>
      <c r="M233" s="53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53">
        <v>20</v>
      </c>
      <c r="F234" s="53">
        <v>20</v>
      </c>
      <c r="G234" s="53">
        <v>20</v>
      </c>
      <c r="H234" s="53">
        <v>20</v>
      </c>
      <c r="I234" s="53">
        <v>20</v>
      </c>
      <c r="J234" s="53">
        <v>20</v>
      </c>
      <c r="K234" s="53">
        <v>20</v>
      </c>
      <c r="L234" s="53">
        <v>20</v>
      </c>
      <c r="M234" s="53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61">
        <v>969.96443035977279</v>
      </c>
      <c r="F235" s="61">
        <v>955.88615085209335</v>
      </c>
      <c r="G235" s="61">
        <v>918.34407216494844</v>
      </c>
      <c r="H235" s="61">
        <v>866.72371397012409</v>
      </c>
      <c r="I235" s="61">
        <v>796.33231643172724</v>
      </c>
      <c r="J235" s="61">
        <v>655.54952135493363</v>
      </c>
      <c r="K235" s="61">
        <v>563.57142857142856</v>
      </c>
      <c r="L235" s="61">
        <v>563.57142857142856</v>
      </c>
      <c r="M235" s="61">
        <v>563.57142857142856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56">
        <v>0.35</v>
      </c>
      <c r="F236" s="56">
        <v>0.35</v>
      </c>
      <c r="G236" s="56">
        <v>0.35</v>
      </c>
      <c r="H236" s="56">
        <v>0.35</v>
      </c>
      <c r="I236" s="56">
        <v>0.35</v>
      </c>
      <c r="J236" s="56">
        <v>0.35</v>
      </c>
      <c r="K236" s="56">
        <v>0.35</v>
      </c>
      <c r="L236" s="56">
        <v>0.35</v>
      </c>
      <c r="M236" s="56">
        <v>0.35</v>
      </c>
    </row>
    <row r="237" spans="1:13" x14ac:dyDescent="0.25">
      <c r="A237" s="227"/>
      <c r="B237" s="230"/>
      <c r="C237" s="25" t="s">
        <v>133</v>
      </c>
      <c r="D237" s="1" t="s">
        <v>8</v>
      </c>
      <c r="E237" s="55">
        <v>59.884830633284238</v>
      </c>
      <c r="F237" s="55">
        <v>77.502650957290129</v>
      </c>
      <c r="G237" s="55">
        <v>124.48350515463918</v>
      </c>
      <c r="H237" s="55">
        <v>189.0821796759941</v>
      </c>
      <c r="I237" s="55">
        <v>277.17128129602355</v>
      </c>
      <c r="J237" s="55">
        <v>453.34948453608251</v>
      </c>
      <c r="K237" s="55">
        <v>629.52768777614153</v>
      </c>
      <c r="L237" s="55">
        <v>629.52768777614153</v>
      </c>
      <c r="M237" s="55">
        <v>629.52768777614153</v>
      </c>
    </row>
    <row r="238" spans="1:13" x14ac:dyDescent="0.25">
      <c r="A238" s="227"/>
      <c r="B238" s="230"/>
      <c r="C238" s="25" t="s">
        <v>134</v>
      </c>
      <c r="D238" s="1" t="s">
        <v>9</v>
      </c>
      <c r="E238" s="53"/>
      <c r="F238" s="53"/>
      <c r="G238" s="53"/>
      <c r="H238" s="53"/>
      <c r="I238" s="53"/>
      <c r="J238" s="53"/>
      <c r="K238" s="53"/>
      <c r="L238" s="53"/>
      <c r="M238" s="53"/>
    </row>
    <row r="239" spans="1:13" x14ac:dyDescent="0.25">
      <c r="A239" s="227"/>
      <c r="B239" s="230"/>
      <c r="C239" s="25" t="s">
        <v>135</v>
      </c>
      <c r="D239" s="1" t="s">
        <v>10</v>
      </c>
      <c r="E239" s="53"/>
      <c r="F239" s="53"/>
      <c r="G239" s="53"/>
      <c r="H239" s="53"/>
      <c r="I239" s="53"/>
      <c r="J239" s="53"/>
      <c r="K239" s="53"/>
      <c r="L239" s="53"/>
      <c r="M239" s="53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53"/>
      <c r="F240" s="53"/>
      <c r="G240" s="53"/>
      <c r="H240" s="53"/>
      <c r="I240" s="53"/>
      <c r="J240" s="53"/>
      <c r="K240" s="53"/>
      <c r="L240" s="53"/>
      <c r="M240" s="53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60">
        <v>1</v>
      </c>
      <c r="F241" s="60">
        <v>1</v>
      </c>
      <c r="G241" s="60">
        <v>1</v>
      </c>
      <c r="H241" s="60">
        <v>1</v>
      </c>
      <c r="I241" s="60">
        <v>1</v>
      </c>
      <c r="J241" s="60">
        <v>1</v>
      </c>
      <c r="K241" s="60">
        <v>1</v>
      </c>
      <c r="L241" s="60">
        <v>1</v>
      </c>
      <c r="M241" s="60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53">
        <v>0.65</v>
      </c>
      <c r="F242" s="53">
        <v>0.65</v>
      </c>
      <c r="G242" s="53">
        <v>0.65</v>
      </c>
      <c r="H242" s="53">
        <v>0.65</v>
      </c>
      <c r="I242" s="53">
        <v>0.65</v>
      </c>
      <c r="J242" s="53">
        <v>0.65</v>
      </c>
      <c r="K242" s="53">
        <v>0.65</v>
      </c>
      <c r="L242" s="53">
        <v>0.65</v>
      </c>
      <c r="M242" s="53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53">
        <v>20</v>
      </c>
      <c r="F243" s="53">
        <v>20</v>
      </c>
      <c r="G243" s="53">
        <v>20</v>
      </c>
      <c r="H243" s="53">
        <v>20</v>
      </c>
      <c r="I243" s="53">
        <v>20</v>
      </c>
      <c r="J243" s="53">
        <v>20</v>
      </c>
      <c r="K243" s="53">
        <v>20</v>
      </c>
      <c r="L243" s="53">
        <v>20</v>
      </c>
      <c r="M243" s="53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55">
        <v>939.47924488610727</v>
      </c>
      <c r="F244" s="55">
        <v>670.86780042435419</v>
      </c>
      <c r="G244" s="55">
        <v>523.42631254470632</v>
      </c>
      <c r="H244" s="55">
        <v>523.42631254470632</v>
      </c>
      <c r="I244" s="55">
        <v>523.42631254470632</v>
      </c>
      <c r="J244" s="55">
        <v>523.42631254470632</v>
      </c>
      <c r="K244" s="55">
        <v>1136.3124641115969</v>
      </c>
      <c r="L244" s="55">
        <v>988.42533284709032</v>
      </c>
      <c r="M244" s="55">
        <v>868.76381718516643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56">
        <v>0.35</v>
      </c>
      <c r="F245" s="56">
        <v>0.35</v>
      </c>
      <c r="G245" s="56">
        <v>0.35</v>
      </c>
      <c r="H245" s="56">
        <v>0.35</v>
      </c>
      <c r="I245" s="56">
        <v>0.35</v>
      </c>
      <c r="J245" s="56">
        <v>0.35</v>
      </c>
      <c r="K245" s="56">
        <v>0.35</v>
      </c>
      <c r="L245" s="56">
        <v>0.35</v>
      </c>
      <c r="M245" s="56">
        <v>0.35</v>
      </c>
    </row>
    <row r="246" spans="1:13" x14ac:dyDescent="0.25">
      <c r="A246" s="227"/>
      <c r="B246" s="230"/>
      <c r="C246" s="25" t="s">
        <v>117</v>
      </c>
      <c r="D246" s="1" t="s">
        <v>8</v>
      </c>
      <c r="E246" s="53"/>
      <c r="F246" s="53"/>
      <c r="G246" s="53"/>
      <c r="H246" s="53"/>
      <c r="I246" s="53"/>
      <c r="J246" s="53"/>
      <c r="K246" s="53"/>
      <c r="L246" s="53"/>
      <c r="M246" s="53"/>
    </row>
    <row r="247" spans="1:13" x14ac:dyDescent="0.25">
      <c r="A247" s="227"/>
      <c r="B247" s="230"/>
      <c r="C247" s="25" t="s">
        <v>118</v>
      </c>
      <c r="D247" s="1" t="s">
        <v>9</v>
      </c>
      <c r="E247" s="53"/>
      <c r="F247" s="53"/>
      <c r="G247" s="53"/>
      <c r="H247" s="53"/>
      <c r="I247" s="53"/>
      <c r="J247" s="53"/>
      <c r="K247" s="53"/>
      <c r="L247" s="53"/>
      <c r="M247" s="53"/>
    </row>
    <row r="248" spans="1:13" x14ac:dyDescent="0.25">
      <c r="A248" s="227"/>
      <c r="B248" s="230"/>
      <c r="C248" s="25" t="s">
        <v>119</v>
      </c>
      <c r="D248" s="1" t="s">
        <v>10</v>
      </c>
      <c r="E248" s="55">
        <v>0</v>
      </c>
      <c r="F248" s="55">
        <v>0</v>
      </c>
      <c r="G248" s="55">
        <v>0</v>
      </c>
      <c r="H248" s="55">
        <v>0</v>
      </c>
      <c r="I248" s="55">
        <v>0</v>
      </c>
      <c r="J248" s="55">
        <v>0</v>
      </c>
      <c r="K248" s="55">
        <v>2.1700000000000001E-3</v>
      </c>
      <c r="L248" s="55">
        <v>2.1700000000000001E-3</v>
      </c>
      <c r="M248" s="55">
        <v>2.1700000000000001E-3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55">
        <v>0</v>
      </c>
      <c r="F249" s="55">
        <v>0</v>
      </c>
      <c r="G249" s="55">
        <v>0</v>
      </c>
      <c r="H249" s="55">
        <v>0</v>
      </c>
      <c r="I249" s="55">
        <v>0</v>
      </c>
      <c r="J249" s="55">
        <v>0</v>
      </c>
      <c r="K249" s="55">
        <v>0</v>
      </c>
      <c r="L249" s="55">
        <v>0</v>
      </c>
      <c r="M249" s="55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53">
        <v>3.09</v>
      </c>
      <c r="F251" s="53">
        <v>3.09</v>
      </c>
      <c r="G251" s="53">
        <v>3.09</v>
      </c>
      <c r="H251" s="53">
        <v>3.09</v>
      </c>
      <c r="I251" s="53">
        <v>3.09</v>
      </c>
      <c r="J251" s="53">
        <v>3.09</v>
      </c>
      <c r="K251" s="53">
        <v>3.09</v>
      </c>
      <c r="L251" s="53">
        <v>3.09</v>
      </c>
      <c r="M251" s="53">
        <v>3.09</v>
      </c>
    </row>
    <row r="252" spans="1:13" x14ac:dyDescent="0.25">
      <c r="A252" s="227"/>
      <c r="B252" s="230"/>
      <c r="C252" s="25" t="s">
        <v>33</v>
      </c>
      <c r="D252" s="2" t="s">
        <v>14</v>
      </c>
      <c r="E252" s="53"/>
      <c r="F252" s="53"/>
      <c r="G252" s="53"/>
      <c r="H252" s="53"/>
      <c r="I252" s="53"/>
      <c r="J252" s="53"/>
      <c r="K252" s="53"/>
      <c r="L252" s="53"/>
      <c r="M252" s="53"/>
    </row>
    <row r="253" spans="1:13" x14ac:dyDescent="0.25">
      <c r="A253" s="227"/>
      <c r="B253" s="230"/>
      <c r="C253" s="25" t="s">
        <v>34</v>
      </c>
      <c r="D253" s="2" t="s">
        <v>4</v>
      </c>
      <c r="E253" s="53"/>
      <c r="F253" s="53"/>
      <c r="G253" s="53"/>
      <c r="H253" s="53"/>
      <c r="I253" s="53"/>
      <c r="J253" s="53"/>
      <c r="K253" s="53"/>
      <c r="L253" s="53"/>
      <c r="M253" s="53"/>
    </row>
    <row r="254" spans="1:13" x14ac:dyDescent="0.25">
      <c r="A254" s="227"/>
      <c r="B254" s="230"/>
      <c r="C254" s="25" t="s">
        <v>129</v>
      </c>
      <c r="D254" s="1" t="s">
        <v>19</v>
      </c>
      <c r="E254" s="60">
        <v>0.546875</v>
      </c>
      <c r="F254" s="60">
        <v>0.546875</v>
      </c>
      <c r="G254" s="60">
        <v>0.54687499999999989</v>
      </c>
      <c r="H254" s="60">
        <v>0.546875</v>
      </c>
      <c r="I254" s="60">
        <v>0.546875</v>
      </c>
      <c r="J254" s="60">
        <v>0.546875</v>
      </c>
      <c r="K254" s="60">
        <v>0.546875</v>
      </c>
      <c r="L254" s="60">
        <v>0.546875</v>
      </c>
      <c r="M254" s="60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53">
        <v>0.64</v>
      </c>
      <c r="F255" s="53">
        <v>0.64</v>
      </c>
      <c r="G255" s="53">
        <v>0.64</v>
      </c>
      <c r="H255" s="53">
        <v>0.64</v>
      </c>
      <c r="I255" s="53">
        <v>0.64</v>
      </c>
      <c r="J255" s="53">
        <v>0.64</v>
      </c>
      <c r="K255" s="53">
        <v>0.64</v>
      </c>
      <c r="L255" s="53">
        <v>0.64</v>
      </c>
      <c r="M255" s="53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53">
        <v>20</v>
      </c>
      <c r="F256" s="53">
        <v>20</v>
      </c>
      <c r="G256" s="53">
        <v>20</v>
      </c>
      <c r="H256" s="53">
        <v>20</v>
      </c>
      <c r="I256" s="53">
        <v>20</v>
      </c>
      <c r="J256" s="53">
        <v>20</v>
      </c>
      <c r="K256" s="53">
        <v>20</v>
      </c>
      <c r="L256" s="53">
        <v>20</v>
      </c>
      <c r="M256" s="53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61">
        <v>959.40572072901318</v>
      </c>
      <c r="F257" s="61">
        <v>934.76873159057436</v>
      </c>
      <c r="G257" s="61">
        <v>869.07009388807069</v>
      </c>
      <c r="H257" s="61">
        <v>778.73446704712808</v>
      </c>
      <c r="I257" s="61">
        <v>655.54952135493363</v>
      </c>
      <c r="J257" s="61">
        <v>563.57142857142856</v>
      </c>
      <c r="K257" s="61">
        <v>563.57142857142856</v>
      </c>
      <c r="L257" s="61">
        <v>563.57142857142856</v>
      </c>
      <c r="M257" s="61">
        <v>563.57142857142856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56">
        <v>0.35</v>
      </c>
      <c r="F258" s="56">
        <v>0.35</v>
      </c>
      <c r="G258" s="56">
        <v>0.35</v>
      </c>
      <c r="H258" s="56">
        <v>0.35</v>
      </c>
      <c r="I258" s="56">
        <v>0.35</v>
      </c>
      <c r="J258" s="56">
        <v>0.35</v>
      </c>
      <c r="K258" s="56">
        <v>0.35</v>
      </c>
      <c r="L258" s="56">
        <v>0.35</v>
      </c>
      <c r="M258" s="56">
        <v>0.35</v>
      </c>
    </row>
    <row r="259" spans="1:13" x14ac:dyDescent="0.25">
      <c r="A259" s="227"/>
      <c r="B259" s="230"/>
      <c r="C259" s="25" t="s">
        <v>133</v>
      </c>
      <c r="D259" s="1" t="s">
        <v>8</v>
      </c>
      <c r="E259" s="55">
        <v>59.884830633284238</v>
      </c>
      <c r="F259" s="55">
        <v>77.502650957290129</v>
      </c>
      <c r="G259" s="55">
        <v>124.48350515463918</v>
      </c>
      <c r="H259" s="55">
        <v>189.0821796759941</v>
      </c>
      <c r="I259" s="55">
        <v>277.17128129602355</v>
      </c>
      <c r="J259" s="55">
        <v>453.34948453608251</v>
      </c>
      <c r="K259" s="55">
        <v>629.52768777614153</v>
      </c>
      <c r="L259" s="55">
        <v>629.52768777614153</v>
      </c>
      <c r="M259" s="55">
        <v>629.52768777614153</v>
      </c>
    </row>
    <row r="260" spans="1:13" x14ac:dyDescent="0.25">
      <c r="A260" s="227"/>
      <c r="B260" s="230"/>
      <c r="C260" s="25" t="s">
        <v>134</v>
      </c>
      <c r="D260" s="1" t="s">
        <v>9</v>
      </c>
      <c r="E260" s="53"/>
      <c r="F260" s="53"/>
      <c r="G260" s="53"/>
      <c r="H260" s="53"/>
      <c r="I260" s="53"/>
      <c r="J260" s="53"/>
      <c r="K260" s="53"/>
      <c r="L260" s="53"/>
      <c r="M260" s="53"/>
    </row>
    <row r="261" spans="1:13" x14ac:dyDescent="0.25">
      <c r="A261" s="227"/>
      <c r="B261" s="230"/>
      <c r="C261" s="25" t="s">
        <v>135</v>
      </c>
      <c r="D261" s="1" t="s">
        <v>10</v>
      </c>
      <c r="E261" s="53"/>
      <c r="F261" s="53"/>
      <c r="G261" s="53"/>
      <c r="H261" s="53"/>
      <c r="I261" s="53"/>
      <c r="J261" s="53"/>
      <c r="K261" s="53"/>
      <c r="L261" s="53"/>
      <c r="M261" s="53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53"/>
      <c r="F262" s="53"/>
      <c r="G262" s="53"/>
      <c r="H262" s="53"/>
      <c r="I262" s="53"/>
      <c r="J262" s="53"/>
      <c r="K262" s="53"/>
      <c r="L262" s="53"/>
      <c r="M262" s="53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53">
        <v>40</v>
      </c>
      <c r="F263" s="53">
        <v>40</v>
      </c>
      <c r="G263" s="53">
        <v>40</v>
      </c>
      <c r="H263" s="53">
        <v>40</v>
      </c>
      <c r="I263" s="53">
        <v>40</v>
      </c>
      <c r="J263" s="53">
        <v>40</v>
      </c>
      <c r="K263" s="53">
        <v>40</v>
      </c>
      <c r="L263" s="53">
        <v>40</v>
      </c>
      <c r="M263" s="53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55">
        <v>300</v>
      </c>
      <c r="F264" s="55">
        <v>183.33333333333334</v>
      </c>
      <c r="G264" s="55">
        <v>100</v>
      </c>
      <c r="H264" s="55">
        <v>76</v>
      </c>
      <c r="I264" s="55">
        <v>60</v>
      </c>
      <c r="J264" s="55">
        <v>42.857142857142854</v>
      </c>
      <c r="K264" s="55">
        <v>27.058823529411764</v>
      </c>
      <c r="L264" s="55">
        <v>18.421052631578949</v>
      </c>
      <c r="M264" s="55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56">
        <v>0.35</v>
      </c>
      <c r="F265" s="56">
        <v>0.35</v>
      </c>
      <c r="G265" s="56">
        <v>0.35</v>
      </c>
      <c r="H265" s="56">
        <v>0.35</v>
      </c>
      <c r="I265" s="56">
        <v>0.35</v>
      </c>
      <c r="J265" s="56">
        <v>0.35</v>
      </c>
      <c r="K265" s="56">
        <v>0.35</v>
      </c>
      <c r="L265" s="56">
        <v>0.35</v>
      </c>
      <c r="M265" s="56">
        <v>0.35</v>
      </c>
    </row>
    <row r="266" spans="1:13" x14ac:dyDescent="0.25">
      <c r="A266" s="208"/>
      <c r="B266" s="225"/>
      <c r="C266" s="25" t="s">
        <v>106</v>
      </c>
      <c r="D266" s="1" t="s">
        <v>8</v>
      </c>
      <c r="E266" s="55">
        <v>0</v>
      </c>
      <c r="F266" s="55">
        <v>0</v>
      </c>
      <c r="G266" s="55">
        <v>0</v>
      </c>
      <c r="H266" s="55">
        <v>0</v>
      </c>
      <c r="I266" s="55">
        <v>0</v>
      </c>
      <c r="J266" s="55">
        <v>0</v>
      </c>
      <c r="K266" s="55">
        <v>0</v>
      </c>
      <c r="L266" s="55">
        <v>0</v>
      </c>
      <c r="M266" s="55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53"/>
      <c r="F267" s="53"/>
      <c r="G267" s="53"/>
      <c r="H267" s="53"/>
      <c r="I267" s="53"/>
      <c r="J267" s="53"/>
      <c r="K267" s="53"/>
      <c r="L267" s="53"/>
      <c r="M267" s="53"/>
    </row>
    <row r="268" spans="1:13" x14ac:dyDescent="0.25">
      <c r="A268" s="208"/>
      <c r="B268" s="225"/>
      <c r="C268" s="25" t="s">
        <v>108</v>
      </c>
      <c r="D268" s="1" t="s">
        <v>10</v>
      </c>
      <c r="E268" s="53"/>
      <c r="F268" s="53"/>
      <c r="G268" s="53"/>
      <c r="H268" s="53"/>
      <c r="I268" s="53"/>
      <c r="J268" s="53"/>
      <c r="K268" s="53"/>
      <c r="L268" s="53"/>
      <c r="M268" s="53"/>
    </row>
    <row r="269" spans="1:13" x14ac:dyDescent="0.25">
      <c r="A269" s="208"/>
      <c r="B269" s="225"/>
      <c r="C269" s="26" t="s">
        <v>11</v>
      </c>
      <c r="D269" s="27" t="s">
        <v>10</v>
      </c>
      <c r="E269" s="53"/>
      <c r="F269" s="53"/>
      <c r="G269" s="53"/>
      <c r="H269" s="53"/>
      <c r="I269" s="53"/>
      <c r="J269" s="53"/>
      <c r="K269" s="53"/>
      <c r="L269" s="53"/>
      <c r="M269" s="53"/>
    </row>
    <row r="270" spans="1:13" x14ac:dyDescent="0.25">
      <c r="A270" s="208"/>
      <c r="B270" s="225"/>
      <c r="C270" s="25" t="s">
        <v>12</v>
      </c>
      <c r="D270" s="1" t="s">
        <v>7</v>
      </c>
      <c r="E270" s="56">
        <v>1</v>
      </c>
      <c r="F270" s="56">
        <v>1</v>
      </c>
      <c r="G270" s="56">
        <v>1</v>
      </c>
      <c r="H270" s="56">
        <v>1</v>
      </c>
      <c r="I270" s="56">
        <v>1</v>
      </c>
      <c r="J270" s="56">
        <v>1</v>
      </c>
      <c r="K270" s="56">
        <v>1</v>
      </c>
      <c r="L270" s="56">
        <v>1</v>
      </c>
      <c r="M270" s="56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55">
        <v>20161.05</v>
      </c>
      <c r="F271" s="55">
        <v>20736.3</v>
      </c>
      <c r="G271" s="55">
        <v>22270.3</v>
      </c>
      <c r="H271" s="55">
        <v>24379.55</v>
      </c>
      <c r="I271" s="55">
        <v>27255.8</v>
      </c>
      <c r="J271" s="55">
        <v>33008.300000000003</v>
      </c>
      <c r="K271" s="55">
        <v>52183.3</v>
      </c>
      <c r="L271" s="55">
        <v>98768.8</v>
      </c>
      <c r="M271" s="55">
        <v>190105.68460000001</v>
      </c>
    </row>
    <row r="272" spans="1:13" x14ac:dyDescent="0.25">
      <c r="A272" s="208"/>
      <c r="B272" s="225"/>
      <c r="C272" s="25" t="s">
        <v>15</v>
      </c>
      <c r="D272" s="1" t="s">
        <v>4</v>
      </c>
      <c r="E272" s="53">
        <v>40</v>
      </c>
      <c r="F272" s="53">
        <v>40</v>
      </c>
      <c r="G272" s="53">
        <v>40</v>
      </c>
      <c r="H272" s="53">
        <v>40</v>
      </c>
      <c r="I272" s="53">
        <v>40</v>
      </c>
      <c r="J272" s="53">
        <v>40</v>
      </c>
      <c r="K272" s="53">
        <v>40</v>
      </c>
      <c r="L272" s="53">
        <v>40</v>
      </c>
      <c r="M272" s="53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53">
        <v>40</v>
      </c>
      <c r="F273" s="53">
        <v>40</v>
      </c>
      <c r="G273" s="53">
        <v>40</v>
      </c>
      <c r="H273" s="53">
        <v>40</v>
      </c>
      <c r="I273" s="53">
        <v>40</v>
      </c>
      <c r="J273" s="53">
        <v>40</v>
      </c>
      <c r="K273" s="53">
        <v>40</v>
      </c>
      <c r="L273" s="53">
        <v>40</v>
      </c>
      <c r="M273" s="53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53"/>
      <c r="F274" s="53"/>
      <c r="G274" s="53"/>
      <c r="H274" s="53"/>
      <c r="I274" s="53"/>
      <c r="J274" s="53"/>
      <c r="K274" s="53"/>
      <c r="L274" s="53"/>
      <c r="M274" s="53"/>
    </row>
    <row r="275" spans="1:13" x14ac:dyDescent="0.25">
      <c r="A275" s="208"/>
      <c r="B275" s="225"/>
      <c r="C275" s="25" t="s">
        <v>176</v>
      </c>
      <c r="D275" s="1" t="s">
        <v>19</v>
      </c>
      <c r="E275" s="56">
        <v>0.35</v>
      </c>
      <c r="F275" s="56">
        <v>0.35</v>
      </c>
      <c r="G275" s="56">
        <v>0.35</v>
      </c>
      <c r="H275" s="56">
        <v>0.35</v>
      </c>
      <c r="I275" s="56">
        <v>0.35</v>
      </c>
      <c r="J275" s="56">
        <v>0.35</v>
      </c>
      <c r="K275" s="56">
        <v>0.35</v>
      </c>
      <c r="L275" s="56">
        <v>0.35</v>
      </c>
      <c r="M275" s="56">
        <v>0.35</v>
      </c>
    </row>
    <row r="276" spans="1:13" x14ac:dyDescent="0.25">
      <c r="A276" s="208"/>
      <c r="B276" s="225"/>
      <c r="C276" s="25" t="s">
        <v>106</v>
      </c>
      <c r="D276" s="1" t="s">
        <v>8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53"/>
      <c r="F277" s="53"/>
      <c r="G277" s="53"/>
      <c r="H277" s="53"/>
      <c r="I277" s="53"/>
      <c r="J277" s="53"/>
      <c r="K277" s="53"/>
      <c r="L277" s="53"/>
      <c r="M277" s="53"/>
    </row>
    <row r="278" spans="1:13" x14ac:dyDescent="0.25">
      <c r="A278" s="208"/>
      <c r="B278" s="225"/>
      <c r="C278" s="25" t="s">
        <v>108</v>
      </c>
      <c r="D278" s="1" t="s">
        <v>10</v>
      </c>
      <c r="E278" s="53"/>
      <c r="F278" s="53"/>
      <c r="G278" s="53"/>
      <c r="H278" s="53"/>
      <c r="I278" s="53"/>
      <c r="J278" s="53"/>
      <c r="K278" s="53"/>
      <c r="L278" s="53"/>
      <c r="M278" s="53"/>
    </row>
    <row r="279" spans="1:13" x14ac:dyDescent="0.25">
      <c r="A279" s="208"/>
      <c r="B279" s="225"/>
      <c r="C279" s="26" t="s">
        <v>11</v>
      </c>
      <c r="D279" s="27" t="s">
        <v>10</v>
      </c>
      <c r="E279" s="53"/>
      <c r="F279" s="53"/>
      <c r="G279" s="53"/>
      <c r="H279" s="53"/>
      <c r="I279" s="53"/>
      <c r="J279" s="53"/>
      <c r="K279" s="53"/>
      <c r="L279" s="53"/>
      <c r="M279" s="53"/>
    </row>
    <row r="280" spans="1:13" x14ac:dyDescent="0.25">
      <c r="A280" s="208"/>
      <c r="B280" s="225"/>
      <c r="C280" s="25" t="s">
        <v>12</v>
      </c>
      <c r="D280" s="1" t="s">
        <v>7</v>
      </c>
      <c r="E280" s="56">
        <v>1</v>
      </c>
      <c r="F280" s="56">
        <v>1</v>
      </c>
      <c r="G280" s="56">
        <v>1</v>
      </c>
      <c r="H280" s="56">
        <v>1</v>
      </c>
      <c r="I280" s="56">
        <v>1</v>
      </c>
      <c r="J280" s="56">
        <v>1</v>
      </c>
      <c r="K280" s="56">
        <v>1</v>
      </c>
      <c r="L280" s="56">
        <v>1</v>
      </c>
      <c r="M280" s="56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55">
        <v>59966.789999999994</v>
      </c>
      <c r="F281" s="55">
        <v>60249.539999999994</v>
      </c>
      <c r="G281" s="55">
        <v>61003.539999999994</v>
      </c>
      <c r="H281" s="55">
        <v>62040.289999999994</v>
      </c>
      <c r="I281" s="55">
        <v>63454.039999999994</v>
      </c>
      <c r="J281" s="55">
        <v>66281.539999999994</v>
      </c>
      <c r="K281" s="55">
        <v>75706.539999999994</v>
      </c>
      <c r="L281" s="55">
        <v>95499.04</v>
      </c>
      <c r="M281" s="55">
        <v>135084.03999999998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55">
        <v>40</v>
      </c>
      <c r="F282" s="55">
        <v>40</v>
      </c>
      <c r="G282" s="55">
        <v>40</v>
      </c>
      <c r="H282" s="55">
        <v>40</v>
      </c>
      <c r="I282" s="55">
        <v>40</v>
      </c>
      <c r="J282" s="55">
        <v>40</v>
      </c>
      <c r="K282" s="55">
        <v>40</v>
      </c>
      <c r="L282" s="55">
        <v>40</v>
      </c>
      <c r="M282" s="55">
        <v>40</v>
      </c>
    </row>
  </sheetData>
  <sheetProtection algorithmName="SHA-512" hashValue="Q/LD+HizXkEjbbJ3qS5svCw1U5ycLu9eOsLhqsFYSOS41OdyTRQiaXYUD50JtVDldMwzTpezdI2jgvG3d/Ij1A==" saltValue="wfENVz1tqbOEqeLFsLwKHw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1">
    <tabColor theme="9" tint="-0.249977111117893"/>
  </sheetPr>
  <dimension ref="A1:O282"/>
  <sheetViews>
    <sheetView zoomScale="85" zoomScaleNormal="85" workbookViewId="0">
      <pane ySplit="1" topLeftCell="A77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51">
        <v>15</v>
      </c>
      <c r="F1" s="52">
        <v>30</v>
      </c>
      <c r="G1" s="52">
        <v>70</v>
      </c>
      <c r="H1" s="52">
        <v>125</v>
      </c>
      <c r="I1" s="52">
        <v>200</v>
      </c>
      <c r="J1" s="52">
        <v>350</v>
      </c>
      <c r="K1" s="52">
        <v>850</v>
      </c>
      <c r="L1" s="52">
        <v>1900</v>
      </c>
      <c r="M1" s="52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53">
        <v>20</v>
      </c>
      <c r="F2" s="53">
        <v>20</v>
      </c>
      <c r="G2" s="53">
        <v>20</v>
      </c>
      <c r="H2" s="53">
        <v>20</v>
      </c>
      <c r="I2" s="53">
        <v>20</v>
      </c>
      <c r="J2" s="53">
        <v>20</v>
      </c>
      <c r="K2" s="53">
        <v>20</v>
      </c>
      <c r="L2" s="53">
        <v>20</v>
      </c>
      <c r="M2" s="53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55">
        <v>212.90273464055423</v>
      </c>
      <c r="F3" s="55">
        <v>180.29847756137553</v>
      </c>
      <c r="G3" s="55">
        <v>140.44328080448224</v>
      </c>
      <c r="H3" s="55">
        <v>113.16977842477434</v>
      </c>
      <c r="I3" s="55">
        <v>107.31263157894738</v>
      </c>
      <c r="J3" s="55">
        <v>107.00631578947369</v>
      </c>
      <c r="K3" s="55">
        <v>105.98526315789475</v>
      </c>
      <c r="L3" s="55">
        <v>103.84105263157896</v>
      </c>
      <c r="M3" s="55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53"/>
      <c r="F5" s="53"/>
      <c r="G5" s="53"/>
      <c r="H5" s="53"/>
      <c r="I5" s="53"/>
      <c r="J5" s="53"/>
      <c r="K5" s="53"/>
      <c r="L5" s="53"/>
      <c r="M5" s="53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55">
        <v>6.3870820392166268</v>
      </c>
      <c r="F6" s="55">
        <v>5.4089543268412656</v>
      </c>
      <c r="G6" s="55">
        <v>4.2132984241344671</v>
      </c>
      <c r="H6" s="55">
        <v>3.3950933527432299</v>
      </c>
      <c r="I6" s="55">
        <v>2.0378947368421052</v>
      </c>
      <c r="J6" s="55">
        <v>2.0189473684210526</v>
      </c>
      <c r="K6" s="55">
        <v>1.9557894736842103</v>
      </c>
      <c r="L6" s="55">
        <v>1.8231578947368419</v>
      </c>
      <c r="M6" s="55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55">
        <v>0</v>
      </c>
      <c r="F7" s="55">
        <v>0</v>
      </c>
      <c r="G7" s="55">
        <v>0</v>
      </c>
      <c r="H7" s="55">
        <v>0</v>
      </c>
      <c r="I7" s="55">
        <v>0</v>
      </c>
      <c r="J7" s="55">
        <v>0</v>
      </c>
      <c r="K7" s="55">
        <v>1.6357894736842103E-3</v>
      </c>
      <c r="L7" s="55">
        <v>1.5031578947368419E-3</v>
      </c>
      <c r="M7" s="55">
        <v>1.2378947368421051E-3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55">
        <v>0</v>
      </c>
      <c r="F8" s="53"/>
      <c r="G8" s="53"/>
      <c r="H8" s="53"/>
      <c r="I8" s="53"/>
      <c r="J8" s="53"/>
      <c r="K8" s="53"/>
      <c r="L8" s="53"/>
      <c r="M8" s="53"/>
      <c r="N8" s="54"/>
    </row>
    <row r="9" spans="1:14" x14ac:dyDescent="0.25">
      <c r="A9" s="208"/>
      <c r="B9" s="224"/>
      <c r="C9" s="25" t="s">
        <v>12</v>
      </c>
      <c r="D9" s="1" t="s">
        <v>7</v>
      </c>
      <c r="E9" s="56">
        <v>0.96599999999999986</v>
      </c>
      <c r="F9" s="56">
        <v>0.96599999999999986</v>
      </c>
      <c r="G9" s="56">
        <v>0.96599999999999986</v>
      </c>
      <c r="H9" s="56">
        <v>0.96599999999999986</v>
      </c>
      <c r="I9" s="56">
        <v>0.96599999999999986</v>
      </c>
      <c r="J9" s="56">
        <v>0.96599999999999986</v>
      </c>
      <c r="K9" s="56">
        <v>0.99</v>
      </c>
      <c r="L9" s="56">
        <v>0.99</v>
      </c>
      <c r="M9" s="56">
        <v>0.99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55">
        <v>1524.6</v>
      </c>
      <c r="F10" s="55">
        <v>1749.6</v>
      </c>
      <c r="G10" s="55">
        <v>2349.6</v>
      </c>
      <c r="H10" s="55">
        <v>3174.6</v>
      </c>
      <c r="I10" s="55">
        <v>4299.6000000000004</v>
      </c>
      <c r="J10" s="55">
        <v>14213</v>
      </c>
      <c r="K10" s="55">
        <v>21713</v>
      </c>
      <c r="L10" s="55">
        <v>37463</v>
      </c>
      <c r="M10" s="55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53">
        <v>40</v>
      </c>
      <c r="F11" s="53">
        <v>40</v>
      </c>
      <c r="G11" s="53">
        <v>40</v>
      </c>
      <c r="H11" s="53">
        <v>40</v>
      </c>
      <c r="I11" s="53">
        <v>40</v>
      </c>
      <c r="J11" s="53">
        <v>40</v>
      </c>
      <c r="K11" s="53">
        <v>40</v>
      </c>
      <c r="L11" s="53">
        <v>40</v>
      </c>
      <c r="M11" s="53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53">
        <v>20</v>
      </c>
      <c r="F12" s="53">
        <v>20</v>
      </c>
      <c r="G12" s="53">
        <v>20</v>
      </c>
      <c r="H12" s="53">
        <v>20</v>
      </c>
      <c r="I12" s="53">
        <v>20</v>
      </c>
      <c r="J12" s="53">
        <v>20</v>
      </c>
      <c r="K12" s="53">
        <v>20</v>
      </c>
      <c r="L12" s="53">
        <v>20</v>
      </c>
      <c r="M12" s="53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55">
        <v>546.16621384855091</v>
      </c>
      <c r="F13" s="55">
        <v>344.85151773440816</v>
      </c>
      <c r="G13" s="55">
        <v>196.57546506841882</v>
      </c>
      <c r="H13" s="55">
        <v>133.8092461921685</v>
      </c>
      <c r="I13" s="55">
        <v>116.6</v>
      </c>
      <c r="J13" s="55">
        <v>116.6</v>
      </c>
      <c r="K13" s="55">
        <v>183.58935144726829</v>
      </c>
      <c r="L13" s="55">
        <v>266.9570997947219</v>
      </c>
      <c r="M13" s="55">
        <v>433.69259648962918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56">
        <v>0</v>
      </c>
      <c r="F14" s="56">
        <v>0</v>
      </c>
      <c r="G14" s="56">
        <v>0</v>
      </c>
      <c r="H14" s="56">
        <v>0</v>
      </c>
      <c r="I14" s="56">
        <v>0</v>
      </c>
      <c r="J14" s="56">
        <v>0</v>
      </c>
      <c r="K14" s="56">
        <v>0</v>
      </c>
      <c r="L14" s="56">
        <v>0</v>
      </c>
      <c r="M14" s="56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53"/>
      <c r="F15" s="53"/>
      <c r="G15" s="53"/>
      <c r="H15" s="53"/>
      <c r="I15" s="53"/>
      <c r="J15" s="53"/>
      <c r="K15" s="53"/>
      <c r="L15" s="53"/>
      <c r="M15" s="53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55">
        <v>32.769972830913019</v>
      </c>
      <c r="F16" s="55">
        <v>20.691091064064466</v>
      </c>
      <c r="G16" s="55">
        <v>11.79452790410512</v>
      </c>
      <c r="H16" s="55">
        <v>8.0285547715301089</v>
      </c>
      <c r="I16" s="55">
        <v>7.5737355939785713</v>
      </c>
      <c r="J16" s="55">
        <v>7.5737355939785713</v>
      </c>
      <c r="K16" s="55">
        <v>7.1924080591053237</v>
      </c>
      <c r="L16" s="55">
        <v>6.5764174258485379</v>
      </c>
      <c r="M16" s="55">
        <v>5.3444361593349683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55">
        <v>0</v>
      </c>
      <c r="F17" s="55">
        <v>0</v>
      </c>
      <c r="G17" s="55">
        <v>0</v>
      </c>
      <c r="H17" s="55">
        <v>0</v>
      </c>
      <c r="I17" s="55">
        <v>0</v>
      </c>
      <c r="J17" s="55">
        <v>0</v>
      </c>
      <c r="K17" s="55">
        <v>2.1041043506444756E-3</v>
      </c>
      <c r="L17" s="55">
        <v>2.1041043506444756E-3</v>
      </c>
      <c r="M17" s="55">
        <v>2.1041043506444756E-3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55">
        <v>0</v>
      </c>
      <c r="F18" s="55">
        <v>0</v>
      </c>
      <c r="G18" s="55">
        <v>0</v>
      </c>
      <c r="H18" s="55">
        <v>0</v>
      </c>
      <c r="I18" s="55">
        <v>0</v>
      </c>
      <c r="J18" s="55">
        <v>0</v>
      </c>
      <c r="K18" s="55">
        <v>0</v>
      </c>
      <c r="L18" s="55">
        <v>0</v>
      </c>
      <c r="M18" s="55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56">
        <v>0.76000000000000023</v>
      </c>
      <c r="F19" s="56">
        <v>0.76000000000000023</v>
      </c>
      <c r="G19" s="56">
        <v>0.76000000000000023</v>
      </c>
      <c r="H19" s="56">
        <v>0.76000000000000023</v>
      </c>
      <c r="I19" s="56">
        <v>0.76000000000000023</v>
      </c>
      <c r="J19" s="56">
        <v>0.76000000000000023</v>
      </c>
      <c r="K19" s="56">
        <v>0.76000000000000023</v>
      </c>
      <c r="L19" s="56">
        <v>0.95733333333333326</v>
      </c>
      <c r="M19" s="56">
        <v>0.95733333333333326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53"/>
      <c r="F20" s="53"/>
      <c r="G20" s="53"/>
      <c r="H20" s="53"/>
      <c r="I20" s="53"/>
      <c r="J20" s="53"/>
      <c r="K20" s="53"/>
      <c r="L20" s="53"/>
      <c r="M20" s="53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53"/>
      <c r="F21" s="53"/>
      <c r="G21" s="53"/>
      <c r="H21" s="53"/>
      <c r="I21" s="53"/>
      <c r="J21" s="53"/>
      <c r="K21" s="53"/>
      <c r="L21" s="53"/>
      <c r="M21" s="53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53">
        <v>20</v>
      </c>
      <c r="F22" s="53">
        <v>20</v>
      </c>
      <c r="G22" s="53">
        <v>20</v>
      </c>
      <c r="H22" s="53">
        <v>20</v>
      </c>
      <c r="I22" s="53">
        <v>20</v>
      </c>
      <c r="J22" s="53">
        <v>20</v>
      </c>
      <c r="K22" s="53">
        <v>20</v>
      </c>
      <c r="L22" s="53">
        <v>20</v>
      </c>
      <c r="M22" s="53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55">
        <v>865.6981523557846</v>
      </c>
      <c r="F23" s="55">
        <v>618.18184751144668</v>
      </c>
      <c r="G23" s="55">
        <v>482.31953407260886</v>
      </c>
      <c r="H23" s="55">
        <v>482.31953407260886</v>
      </c>
      <c r="I23" s="55">
        <v>482.31953407260886</v>
      </c>
      <c r="J23" s="55">
        <v>482.31953407260886</v>
      </c>
      <c r="K23" s="55">
        <v>1136.3124641115969</v>
      </c>
      <c r="L23" s="55">
        <v>988.42533284709032</v>
      </c>
      <c r="M23" s="55">
        <v>868.76381718516643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56">
        <v>0.35</v>
      </c>
      <c r="F24" s="56">
        <v>0.35</v>
      </c>
      <c r="G24" s="56">
        <v>0.35</v>
      </c>
      <c r="H24" s="56">
        <v>0.35</v>
      </c>
      <c r="I24" s="56">
        <v>0.35</v>
      </c>
      <c r="J24" s="56">
        <v>0.35</v>
      </c>
      <c r="K24" s="56">
        <v>0.35</v>
      </c>
      <c r="L24" s="56">
        <v>0.35</v>
      </c>
      <c r="M24" s="56">
        <v>0.35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53"/>
      <c r="F25" s="53"/>
      <c r="G25" s="53"/>
      <c r="H25" s="53"/>
      <c r="I25" s="53"/>
      <c r="J25" s="53"/>
      <c r="K25" s="53"/>
      <c r="L25" s="53"/>
      <c r="M25" s="53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55">
        <v>12.985472285336769</v>
      </c>
      <c r="F26" s="55">
        <v>9.2727277126716992</v>
      </c>
      <c r="G26" s="55">
        <v>7.234793011089133</v>
      </c>
      <c r="H26" s="55">
        <v>7.234793011089133</v>
      </c>
      <c r="I26" s="55">
        <v>7.234793011089133</v>
      </c>
      <c r="J26" s="55">
        <v>7.234793011089133</v>
      </c>
      <c r="K26" s="55">
        <v>1.76</v>
      </c>
      <c r="L26" s="55">
        <v>1.76</v>
      </c>
      <c r="M26" s="55">
        <v>1.76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2.1199999999999999E-3</v>
      </c>
      <c r="L27" s="55">
        <v>2.1199999999999999E-3</v>
      </c>
      <c r="M27" s="55">
        <v>2.1199999999999999E-3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55">
        <v>0</v>
      </c>
      <c r="F28" s="55">
        <v>0</v>
      </c>
      <c r="G28" s="55">
        <v>0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5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55">
        <v>0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53">
        <v>3.7399999999999998</v>
      </c>
      <c r="F30" s="53">
        <v>3.7399999999999998</v>
      </c>
      <c r="G30" s="53">
        <v>3.7399999999999998</v>
      </c>
      <c r="H30" s="53">
        <v>3.7399999999999998</v>
      </c>
      <c r="I30" s="53">
        <v>3.7399999999999998</v>
      </c>
      <c r="J30" s="53">
        <v>3.7399999999999998</v>
      </c>
      <c r="K30" s="53">
        <v>3.7399999999999998</v>
      </c>
      <c r="L30" s="53">
        <v>3.7399999999999998</v>
      </c>
      <c r="M30" s="53">
        <v>3.7399999999999998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53"/>
      <c r="F31" s="53"/>
      <c r="G31" s="53"/>
      <c r="H31" s="53"/>
      <c r="I31" s="53"/>
      <c r="J31" s="53"/>
      <c r="K31" s="53"/>
      <c r="L31" s="53"/>
      <c r="M31" s="53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53"/>
      <c r="F32" s="53"/>
      <c r="G32" s="53"/>
      <c r="H32" s="53"/>
      <c r="I32" s="53"/>
      <c r="J32" s="53"/>
      <c r="K32" s="53"/>
      <c r="L32" s="53"/>
      <c r="M32" s="53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53">
        <v>20</v>
      </c>
      <c r="F33" s="53">
        <v>20</v>
      </c>
      <c r="G33" s="53">
        <v>20</v>
      </c>
      <c r="H33" s="53">
        <v>20</v>
      </c>
      <c r="I33" s="53">
        <v>20</v>
      </c>
      <c r="J33" s="53">
        <v>20</v>
      </c>
      <c r="K33" s="53">
        <v>20</v>
      </c>
      <c r="L33" s="53">
        <v>20</v>
      </c>
      <c r="M33" s="53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55">
        <v>865.6981523557846</v>
      </c>
      <c r="F34" s="55">
        <v>618.18184751144668</v>
      </c>
      <c r="G34" s="55">
        <v>482.31953407260886</v>
      </c>
      <c r="H34" s="55">
        <v>482.31953407260886</v>
      </c>
      <c r="I34" s="55">
        <v>482.31953407260886</v>
      </c>
      <c r="J34" s="55">
        <v>482.31953407260886</v>
      </c>
      <c r="K34" s="55">
        <v>1136.3124641115969</v>
      </c>
      <c r="L34" s="55">
        <v>988.42533284709032</v>
      </c>
      <c r="M34" s="55">
        <v>868.76381718516643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56">
        <v>0.35</v>
      </c>
      <c r="F35" s="56">
        <v>0.35</v>
      </c>
      <c r="G35" s="56">
        <v>0.35</v>
      </c>
      <c r="H35" s="56">
        <v>0.35</v>
      </c>
      <c r="I35" s="56">
        <v>0.35</v>
      </c>
      <c r="J35" s="56">
        <v>0.35</v>
      </c>
      <c r="K35" s="56">
        <v>0.35</v>
      </c>
      <c r="L35" s="56">
        <v>0.35</v>
      </c>
      <c r="M35" s="56">
        <v>0.35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53"/>
      <c r="F36" s="53"/>
      <c r="G36" s="53"/>
      <c r="H36" s="53"/>
      <c r="I36" s="53"/>
      <c r="J36" s="53"/>
      <c r="K36" s="53"/>
      <c r="L36" s="53"/>
      <c r="M36" s="53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55">
        <v>12.985472285336769</v>
      </c>
      <c r="F37" s="55">
        <v>9.2727277126716992</v>
      </c>
      <c r="G37" s="55">
        <v>7.234793011089133</v>
      </c>
      <c r="H37" s="55">
        <v>7.234793011089133</v>
      </c>
      <c r="I37" s="55">
        <v>7.234793011089133</v>
      </c>
      <c r="J37" s="55">
        <v>7.234793011089133</v>
      </c>
      <c r="K37" s="55">
        <v>1.76</v>
      </c>
      <c r="L37" s="55">
        <v>1.76</v>
      </c>
      <c r="M37" s="55">
        <v>1.76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2.1199999999999999E-3</v>
      </c>
      <c r="L38" s="55">
        <v>2.1199999999999999E-3</v>
      </c>
      <c r="M38" s="55">
        <v>2.1199999999999999E-3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53">
        <v>3.4899999999999998</v>
      </c>
      <c r="F41" s="53">
        <v>3.4899999999999998</v>
      </c>
      <c r="G41" s="53">
        <v>3.4899999999999998</v>
      </c>
      <c r="H41" s="53">
        <v>3.4899999999999998</v>
      </c>
      <c r="I41" s="53">
        <v>3.4899999999999998</v>
      </c>
      <c r="J41" s="53">
        <v>3.4899999999999998</v>
      </c>
      <c r="K41" s="53">
        <v>3.4899999999999998</v>
      </c>
      <c r="L41" s="53">
        <v>3.4899999999999998</v>
      </c>
      <c r="M41" s="53">
        <v>3.4899999999999998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53"/>
      <c r="F42" s="53"/>
      <c r="G42" s="53"/>
      <c r="H42" s="53"/>
      <c r="I42" s="53"/>
      <c r="J42" s="53"/>
      <c r="K42" s="53"/>
      <c r="L42" s="53"/>
      <c r="M42" s="53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53"/>
      <c r="F43" s="53"/>
      <c r="G43" s="53"/>
      <c r="H43" s="53"/>
      <c r="I43" s="53"/>
      <c r="J43" s="53"/>
      <c r="K43" s="53"/>
      <c r="L43" s="53"/>
      <c r="M43" s="53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53">
        <v>20</v>
      </c>
      <c r="F44" s="53">
        <v>20</v>
      </c>
      <c r="G44" s="53">
        <v>20</v>
      </c>
      <c r="H44" s="53">
        <v>20</v>
      </c>
      <c r="I44" s="53">
        <v>20</v>
      </c>
      <c r="J44" s="53">
        <v>20</v>
      </c>
      <c r="K44" s="53">
        <v>20</v>
      </c>
      <c r="L44" s="53">
        <v>20</v>
      </c>
      <c r="M44" s="53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55">
        <v>865.6981523557846</v>
      </c>
      <c r="F45" s="55">
        <v>618.18184751144668</v>
      </c>
      <c r="G45" s="55">
        <v>482.31953407260886</v>
      </c>
      <c r="H45" s="55">
        <v>482.31953407260886</v>
      </c>
      <c r="I45" s="55">
        <v>482.31953407260886</v>
      </c>
      <c r="J45" s="55">
        <v>482.31953407260886</v>
      </c>
      <c r="K45" s="55">
        <v>1136.3124641115969</v>
      </c>
      <c r="L45" s="55">
        <v>988.42533284709032</v>
      </c>
      <c r="M45" s="55">
        <v>868.76381718516643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56">
        <v>0.35</v>
      </c>
      <c r="F46" s="56">
        <v>0.35</v>
      </c>
      <c r="G46" s="56">
        <v>0.35</v>
      </c>
      <c r="H46" s="56">
        <v>0.35</v>
      </c>
      <c r="I46" s="56">
        <v>0.35</v>
      </c>
      <c r="J46" s="56">
        <v>0.35</v>
      </c>
      <c r="K46" s="56">
        <v>0.35</v>
      </c>
      <c r="L46" s="56">
        <v>0.35</v>
      </c>
      <c r="M46" s="56">
        <v>0.35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53"/>
      <c r="F47" s="53"/>
      <c r="G47" s="53"/>
      <c r="H47" s="53"/>
      <c r="I47" s="53"/>
      <c r="J47" s="53"/>
      <c r="K47" s="53"/>
      <c r="L47" s="53"/>
      <c r="M47" s="53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55">
        <v>12.985472285336769</v>
      </c>
      <c r="F48" s="55">
        <v>9.2727277126716992</v>
      </c>
      <c r="G48" s="55">
        <v>7.234793011089133</v>
      </c>
      <c r="H48" s="55">
        <v>7.234793011089133</v>
      </c>
      <c r="I48" s="55">
        <v>7.234793011089133</v>
      </c>
      <c r="J48" s="55">
        <v>7.234793011089133</v>
      </c>
      <c r="K48" s="55">
        <v>1.76</v>
      </c>
      <c r="L48" s="55">
        <v>1.76</v>
      </c>
      <c r="M48" s="55">
        <v>1.76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55">
        <v>0</v>
      </c>
      <c r="F49" s="55">
        <v>0</v>
      </c>
      <c r="G49" s="55">
        <v>0</v>
      </c>
      <c r="H49" s="55">
        <v>0</v>
      </c>
      <c r="I49" s="55">
        <v>0</v>
      </c>
      <c r="J49" s="55">
        <v>0</v>
      </c>
      <c r="K49" s="55">
        <v>2.1199999999999999E-3</v>
      </c>
      <c r="L49" s="55">
        <v>2.1199999999999999E-3</v>
      </c>
      <c r="M49" s="55">
        <v>2.1199999999999999E-3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55">
        <v>0</v>
      </c>
      <c r="F51" s="55">
        <v>0</v>
      </c>
      <c r="G51" s="55">
        <v>0</v>
      </c>
      <c r="H51" s="55">
        <v>0</v>
      </c>
      <c r="I51" s="55">
        <v>0</v>
      </c>
      <c r="J51" s="55">
        <v>0</v>
      </c>
      <c r="K51" s="55">
        <v>0</v>
      </c>
      <c r="L51" s="55">
        <v>0</v>
      </c>
      <c r="M51" s="55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53">
        <v>3.2399999999999998</v>
      </c>
      <c r="F52" s="53">
        <v>3.2399999999999998</v>
      </c>
      <c r="G52" s="53">
        <v>3.2399999999999998</v>
      </c>
      <c r="H52" s="53">
        <v>3.2399999999999998</v>
      </c>
      <c r="I52" s="53">
        <v>3.2399999999999998</v>
      </c>
      <c r="J52" s="53">
        <v>3.2399999999999998</v>
      </c>
      <c r="K52" s="53">
        <v>3.2399999999999998</v>
      </c>
      <c r="L52" s="53">
        <v>3.2399999999999998</v>
      </c>
      <c r="M52" s="53">
        <v>3.2399999999999998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53"/>
      <c r="F53" s="53"/>
      <c r="G53" s="53"/>
      <c r="H53" s="53"/>
      <c r="I53" s="53"/>
      <c r="J53" s="53"/>
      <c r="K53" s="53"/>
      <c r="L53" s="53"/>
      <c r="M53" s="53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53"/>
      <c r="F54" s="53"/>
      <c r="G54" s="53"/>
      <c r="H54" s="53"/>
      <c r="I54" s="53"/>
      <c r="J54" s="53"/>
      <c r="K54" s="53"/>
      <c r="L54" s="53"/>
      <c r="M54" s="53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53">
        <v>20</v>
      </c>
      <c r="F55" s="53">
        <v>20</v>
      </c>
      <c r="G55" s="53">
        <v>20</v>
      </c>
      <c r="H55" s="53">
        <v>20</v>
      </c>
      <c r="I55" s="53">
        <v>20</v>
      </c>
      <c r="J55" s="53">
        <v>20</v>
      </c>
      <c r="K55" s="53">
        <v>20</v>
      </c>
      <c r="L55" s="53">
        <v>20</v>
      </c>
      <c r="M55" s="53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55">
        <v>876.88417547131348</v>
      </c>
      <c r="F56" s="55">
        <v>610.32909690692122</v>
      </c>
      <c r="G56" s="55">
        <v>466.55672962478747</v>
      </c>
      <c r="H56" s="55">
        <v>466.55672962478747</v>
      </c>
      <c r="I56" s="55">
        <v>466.55672962478747</v>
      </c>
      <c r="J56" s="55">
        <v>466.55672962478747</v>
      </c>
      <c r="K56" s="55">
        <v>637.82399999999996</v>
      </c>
      <c r="L56" s="55">
        <v>637.82399999999996</v>
      </c>
      <c r="M56" s="55">
        <v>637.82399999999996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56">
        <v>0.35</v>
      </c>
      <c r="F57" s="56">
        <v>0.35</v>
      </c>
      <c r="G57" s="56">
        <v>0.35</v>
      </c>
      <c r="H57" s="56">
        <v>0.35</v>
      </c>
      <c r="I57" s="56">
        <v>0.35</v>
      </c>
      <c r="J57" s="56">
        <v>0.35</v>
      </c>
      <c r="K57" s="56">
        <v>0.35</v>
      </c>
      <c r="L57" s="56">
        <v>0.35</v>
      </c>
      <c r="M57" s="56">
        <v>0.35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53"/>
      <c r="F58" s="53"/>
      <c r="G58" s="53"/>
      <c r="H58" s="53"/>
      <c r="I58" s="53"/>
      <c r="J58" s="53"/>
      <c r="K58" s="53"/>
      <c r="L58" s="53"/>
      <c r="M58" s="53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55">
        <v>13.153262632069701</v>
      </c>
      <c r="F59" s="55">
        <v>9.1549364536038187</v>
      </c>
      <c r="G59" s="55">
        <v>6.9983509443718122</v>
      </c>
      <c r="H59" s="55">
        <v>6.9983509443718122</v>
      </c>
      <c r="I59" s="55">
        <v>6.9983509443718122</v>
      </c>
      <c r="J59" s="55">
        <v>6.9983509443718122</v>
      </c>
      <c r="K59" s="55">
        <v>1.76</v>
      </c>
      <c r="L59" s="55">
        <v>1.76</v>
      </c>
      <c r="M59" s="55">
        <v>1.76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55">
        <v>0</v>
      </c>
      <c r="F60" s="55">
        <v>0</v>
      </c>
      <c r="G60" s="55">
        <v>0</v>
      </c>
      <c r="H60" s="55">
        <v>0</v>
      </c>
      <c r="I60" s="55">
        <v>0</v>
      </c>
      <c r="J60" s="55">
        <v>0</v>
      </c>
      <c r="K60" s="55">
        <v>2.1199999999999999E-3</v>
      </c>
      <c r="L60" s="55">
        <v>2.1199999999999999E-3</v>
      </c>
      <c r="M60" s="55">
        <v>2.1199999999999999E-3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55">
        <v>0</v>
      </c>
      <c r="F61" s="55">
        <v>0</v>
      </c>
      <c r="G61" s="55">
        <v>0</v>
      </c>
      <c r="H61" s="55">
        <v>0</v>
      </c>
      <c r="I61" s="55">
        <v>0</v>
      </c>
      <c r="J61" s="55">
        <v>0</v>
      </c>
      <c r="K61" s="55">
        <v>0</v>
      </c>
      <c r="L61" s="55">
        <v>0</v>
      </c>
      <c r="M61" s="55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55">
        <v>0</v>
      </c>
      <c r="F62" s="55">
        <v>0</v>
      </c>
      <c r="G62" s="55">
        <v>0</v>
      </c>
      <c r="H62" s="55">
        <v>0</v>
      </c>
      <c r="I62" s="55">
        <v>0</v>
      </c>
      <c r="J62" s="55">
        <v>0</v>
      </c>
      <c r="K62" s="55">
        <v>0</v>
      </c>
      <c r="L62" s="55">
        <v>0</v>
      </c>
      <c r="M62" s="55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53">
        <v>4.42</v>
      </c>
      <c r="F63" s="53">
        <v>4.42</v>
      </c>
      <c r="G63" s="53">
        <v>4.42</v>
      </c>
      <c r="H63" s="53">
        <v>4.42</v>
      </c>
      <c r="I63" s="53">
        <v>4.42</v>
      </c>
      <c r="J63" s="53">
        <v>4.42</v>
      </c>
      <c r="K63" s="53">
        <v>4.42</v>
      </c>
      <c r="L63" s="53">
        <v>4.42</v>
      </c>
      <c r="M63" s="53">
        <v>4.42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53"/>
      <c r="F64" s="53"/>
      <c r="G64" s="53"/>
      <c r="H64" s="53"/>
      <c r="I64" s="53"/>
      <c r="J64" s="53"/>
      <c r="K64" s="53"/>
      <c r="L64" s="53"/>
      <c r="M64" s="53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53"/>
      <c r="F65" s="53"/>
      <c r="G65" s="53"/>
      <c r="H65" s="53"/>
      <c r="I65" s="53"/>
      <c r="J65" s="53"/>
      <c r="K65" s="53"/>
      <c r="L65" s="53"/>
      <c r="M65" s="53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55">
        <v>2542.5468857578812</v>
      </c>
      <c r="F66" s="55">
        <v>1739.7683009926391</v>
      </c>
      <c r="G66" s="55">
        <v>1094.1291208875389</v>
      </c>
      <c r="H66" s="55">
        <v>380.08243340521</v>
      </c>
      <c r="I66" s="55">
        <v>259.16347752478634</v>
      </c>
      <c r="J66" s="55">
        <v>164.27135179750144</v>
      </c>
      <c r="K66" s="55">
        <v>79.72644599626463</v>
      </c>
      <c r="L66" s="55">
        <v>69.838906006886361</v>
      </c>
      <c r="M66" s="55">
        <v>69.838906006886361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53"/>
      <c r="F67" s="53"/>
      <c r="G67" s="53"/>
      <c r="H67" s="53"/>
      <c r="I67" s="53"/>
      <c r="J67" s="53"/>
      <c r="K67" s="53"/>
      <c r="L67" s="53"/>
      <c r="M67" s="53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53">
        <v>20</v>
      </c>
      <c r="F68" s="53">
        <v>20</v>
      </c>
      <c r="G68" s="53">
        <v>20</v>
      </c>
      <c r="H68" s="53">
        <v>20</v>
      </c>
      <c r="I68" s="53">
        <v>20</v>
      </c>
      <c r="J68" s="53">
        <v>20</v>
      </c>
      <c r="K68" s="53">
        <v>20</v>
      </c>
      <c r="L68" s="53">
        <v>20</v>
      </c>
      <c r="M68" s="53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55">
        <v>876.88417547131348</v>
      </c>
      <c r="F69" s="55">
        <v>610.32909690692122</v>
      </c>
      <c r="G69" s="55">
        <v>466.55672962478747</v>
      </c>
      <c r="H69" s="55">
        <v>466.55672962478747</v>
      </c>
      <c r="I69" s="55">
        <v>466.55672962478747</v>
      </c>
      <c r="J69" s="55">
        <v>466.55672962478747</v>
      </c>
      <c r="K69" s="55">
        <v>637.82399999999996</v>
      </c>
      <c r="L69" s="55">
        <v>637.82399999999996</v>
      </c>
      <c r="M69" s="55">
        <v>637.82399999999996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56">
        <v>0.35</v>
      </c>
      <c r="F70" s="56">
        <v>0.35</v>
      </c>
      <c r="G70" s="56">
        <v>0.35</v>
      </c>
      <c r="H70" s="56">
        <v>0.35</v>
      </c>
      <c r="I70" s="56">
        <v>0.35</v>
      </c>
      <c r="J70" s="56">
        <v>0.35</v>
      </c>
      <c r="K70" s="56">
        <v>0.35</v>
      </c>
      <c r="L70" s="56">
        <v>0.35</v>
      </c>
      <c r="M70" s="56">
        <v>0.35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53"/>
      <c r="F71" s="53"/>
      <c r="G71" s="53"/>
      <c r="H71" s="53"/>
      <c r="I71" s="53"/>
      <c r="J71" s="53"/>
      <c r="K71" s="53"/>
      <c r="L71" s="53"/>
      <c r="M71" s="53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55">
        <v>13.153262632069701</v>
      </c>
      <c r="F72" s="55">
        <v>9.1549364536038187</v>
      </c>
      <c r="G72" s="55">
        <v>6.9983509443718122</v>
      </c>
      <c r="H72" s="55">
        <v>6.9983509443718122</v>
      </c>
      <c r="I72" s="55">
        <v>6.9983509443718122</v>
      </c>
      <c r="J72" s="55">
        <v>6.9983509443718122</v>
      </c>
      <c r="K72" s="55">
        <v>1.76</v>
      </c>
      <c r="L72" s="55">
        <v>1.76</v>
      </c>
      <c r="M72" s="55">
        <v>1.76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2.1199999999999999E-3</v>
      </c>
      <c r="L73" s="55">
        <v>2.1199999999999999E-3</v>
      </c>
      <c r="M73" s="55">
        <v>2.1199999999999999E-3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55">
        <v>0</v>
      </c>
      <c r="F75" s="55">
        <v>0</v>
      </c>
      <c r="G75" s="55">
        <v>0</v>
      </c>
      <c r="H75" s="55">
        <v>0</v>
      </c>
      <c r="I75" s="55">
        <v>0</v>
      </c>
      <c r="J75" s="55">
        <v>0</v>
      </c>
      <c r="K75" s="55">
        <v>0</v>
      </c>
      <c r="L75" s="55">
        <v>0</v>
      </c>
      <c r="M75" s="55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53">
        <v>4.12</v>
      </c>
      <c r="F76" s="53">
        <v>4.12</v>
      </c>
      <c r="G76" s="53">
        <v>4.12</v>
      </c>
      <c r="H76" s="53">
        <v>4.12</v>
      </c>
      <c r="I76" s="53">
        <v>4.12</v>
      </c>
      <c r="J76" s="53">
        <v>4.12</v>
      </c>
      <c r="K76" s="53">
        <v>4.12</v>
      </c>
      <c r="L76" s="53">
        <v>4.12</v>
      </c>
      <c r="M76" s="53">
        <v>4.12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53"/>
      <c r="F77" s="53"/>
      <c r="G77" s="53"/>
      <c r="H77" s="53"/>
      <c r="I77" s="53"/>
      <c r="J77" s="53"/>
      <c r="K77" s="53"/>
      <c r="L77" s="53"/>
      <c r="M77" s="53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53"/>
      <c r="F78" s="53"/>
      <c r="G78" s="53"/>
      <c r="H78" s="53"/>
      <c r="I78" s="53"/>
      <c r="J78" s="53"/>
      <c r="K78" s="53"/>
      <c r="L78" s="53"/>
      <c r="M78" s="53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55">
        <v>2542.5468857578812</v>
      </c>
      <c r="F79" s="55">
        <v>1739.7683009926391</v>
      </c>
      <c r="G79" s="55">
        <v>1094.1291208875389</v>
      </c>
      <c r="H79" s="55">
        <v>380.08243340521</v>
      </c>
      <c r="I79" s="55">
        <v>259.16347752478634</v>
      </c>
      <c r="J79" s="55">
        <v>164.27135179750144</v>
      </c>
      <c r="K79" s="55">
        <v>79.72644599626463</v>
      </c>
      <c r="L79" s="55">
        <v>69.838906006886361</v>
      </c>
      <c r="M79" s="55">
        <v>69.838906006886361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53"/>
      <c r="F80" s="53"/>
      <c r="G80" s="53"/>
      <c r="H80" s="53"/>
      <c r="I80" s="53"/>
      <c r="J80" s="53"/>
      <c r="K80" s="53"/>
      <c r="L80" s="53"/>
      <c r="M80" s="53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53">
        <v>20</v>
      </c>
      <c r="F81" s="53">
        <v>20</v>
      </c>
      <c r="G81" s="53">
        <v>20</v>
      </c>
      <c r="H81" s="53">
        <v>20</v>
      </c>
      <c r="I81" s="53">
        <v>20</v>
      </c>
      <c r="J81" s="53">
        <v>20</v>
      </c>
      <c r="K81" s="53">
        <v>20</v>
      </c>
      <c r="L81" s="53">
        <v>20</v>
      </c>
      <c r="M81" s="53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55">
        <v>876.88417547131348</v>
      </c>
      <c r="F82" s="55">
        <v>610.32909690692122</v>
      </c>
      <c r="G82" s="55">
        <v>466.55672962478747</v>
      </c>
      <c r="H82" s="55">
        <v>466.55672962478747</v>
      </c>
      <c r="I82" s="55">
        <v>466.55672962478747</v>
      </c>
      <c r="J82" s="55">
        <v>466.55672962478747</v>
      </c>
      <c r="K82" s="55">
        <v>637.82399999999996</v>
      </c>
      <c r="L82" s="55">
        <v>637.82399999999996</v>
      </c>
      <c r="M82" s="55">
        <v>637.82399999999996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56">
        <v>0.35</v>
      </c>
      <c r="F83" s="56">
        <v>0.35</v>
      </c>
      <c r="G83" s="56">
        <v>0.35</v>
      </c>
      <c r="H83" s="56">
        <v>0.35</v>
      </c>
      <c r="I83" s="56">
        <v>0.35</v>
      </c>
      <c r="J83" s="56">
        <v>0.35</v>
      </c>
      <c r="K83" s="56">
        <v>0.35</v>
      </c>
      <c r="L83" s="56">
        <v>0.35</v>
      </c>
      <c r="M83" s="56">
        <v>0.35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53"/>
      <c r="F84" s="53"/>
      <c r="G84" s="53"/>
      <c r="H84" s="53"/>
      <c r="I84" s="53"/>
      <c r="J84" s="53"/>
      <c r="K84" s="53"/>
      <c r="L84" s="53"/>
      <c r="M84" s="53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55">
        <v>13.153262632069701</v>
      </c>
      <c r="F85" s="55">
        <v>9.1549364536038187</v>
      </c>
      <c r="G85" s="55">
        <v>6.9983509443718122</v>
      </c>
      <c r="H85" s="55">
        <v>6.9983509443718122</v>
      </c>
      <c r="I85" s="55">
        <v>6.9983509443718122</v>
      </c>
      <c r="J85" s="55">
        <v>6.9983509443718122</v>
      </c>
      <c r="K85" s="55">
        <v>1.76</v>
      </c>
      <c r="L85" s="55">
        <v>1.76</v>
      </c>
      <c r="M85" s="55">
        <v>1.76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55">
        <v>0</v>
      </c>
      <c r="F86" s="55">
        <v>0</v>
      </c>
      <c r="G86" s="55">
        <v>0</v>
      </c>
      <c r="H86" s="55">
        <v>0</v>
      </c>
      <c r="I86" s="55">
        <v>0</v>
      </c>
      <c r="J86" s="55">
        <v>0</v>
      </c>
      <c r="K86" s="55">
        <v>2.1199999999999999E-3</v>
      </c>
      <c r="L86" s="55">
        <v>2.1199999999999999E-3</v>
      </c>
      <c r="M86" s="55">
        <v>2.1199999999999999E-3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55">
        <v>0</v>
      </c>
      <c r="F87" s="55">
        <v>0</v>
      </c>
      <c r="G87" s="55">
        <v>0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53">
        <v>3.82</v>
      </c>
      <c r="F89" s="53">
        <v>3.82</v>
      </c>
      <c r="G89" s="53">
        <v>3.82</v>
      </c>
      <c r="H89" s="53">
        <v>3.82</v>
      </c>
      <c r="I89" s="53">
        <v>3.82</v>
      </c>
      <c r="J89" s="53">
        <v>3.82</v>
      </c>
      <c r="K89" s="53">
        <v>3.82</v>
      </c>
      <c r="L89" s="53">
        <v>3.82</v>
      </c>
      <c r="M89" s="53">
        <v>3.82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53"/>
      <c r="F90" s="53"/>
      <c r="G90" s="53"/>
      <c r="H90" s="53"/>
      <c r="I90" s="53"/>
      <c r="J90" s="53"/>
      <c r="K90" s="53"/>
      <c r="L90" s="53"/>
      <c r="M90" s="53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53"/>
      <c r="F91" s="53"/>
      <c r="G91" s="53"/>
      <c r="H91" s="53"/>
      <c r="I91" s="53"/>
      <c r="J91" s="53"/>
      <c r="K91" s="53"/>
      <c r="L91" s="53"/>
      <c r="M91" s="53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55">
        <v>2542.5468857578812</v>
      </c>
      <c r="F92" s="55">
        <v>1739.7683009926391</v>
      </c>
      <c r="G92" s="55">
        <v>1094.1291208875389</v>
      </c>
      <c r="H92" s="55">
        <v>380.08243340521</v>
      </c>
      <c r="I92" s="55">
        <v>259.16347752478634</v>
      </c>
      <c r="J92" s="55">
        <v>164.27135179750144</v>
      </c>
      <c r="K92" s="55">
        <v>79.72644599626463</v>
      </c>
      <c r="L92" s="55">
        <v>69.838906006886361</v>
      </c>
      <c r="M92" s="55">
        <v>69.838906006886361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53"/>
      <c r="F93" s="53"/>
      <c r="G93" s="53"/>
      <c r="H93" s="53"/>
      <c r="I93" s="53"/>
      <c r="J93" s="53"/>
      <c r="K93" s="53"/>
      <c r="L93" s="53"/>
      <c r="M93" s="53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53">
        <v>1</v>
      </c>
      <c r="F94" s="53">
        <v>1</v>
      </c>
      <c r="G94" s="53">
        <v>1</v>
      </c>
      <c r="H94" s="53">
        <v>1</v>
      </c>
      <c r="I94" s="53">
        <v>1</v>
      </c>
      <c r="J94" s="53">
        <v>1</v>
      </c>
      <c r="K94" s="53">
        <v>1</v>
      </c>
      <c r="L94" s="53">
        <v>1</v>
      </c>
      <c r="M94" s="53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53">
        <v>0.35</v>
      </c>
      <c r="F95" s="53">
        <v>0.35</v>
      </c>
      <c r="G95" s="53">
        <v>0.35</v>
      </c>
      <c r="H95" s="53">
        <v>0.35</v>
      </c>
      <c r="I95" s="53">
        <v>0.35</v>
      </c>
      <c r="J95" s="53">
        <v>0.35</v>
      </c>
      <c r="K95" s="53">
        <v>0.35</v>
      </c>
      <c r="L95" s="53">
        <v>0.35</v>
      </c>
      <c r="M95" s="53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53">
        <v>20</v>
      </c>
      <c r="F96" s="53">
        <v>20</v>
      </c>
      <c r="G96" s="53">
        <v>20</v>
      </c>
      <c r="H96" s="53">
        <v>20</v>
      </c>
      <c r="I96" s="53">
        <v>20</v>
      </c>
      <c r="J96" s="53">
        <v>20</v>
      </c>
      <c r="K96" s="53">
        <v>20</v>
      </c>
      <c r="L96" s="53">
        <v>20</v>
      </c>
      <c r="M96" s="53">
        <v>20</v>
      </c>
      <c r="N96" s="54"/>
    </row>
    <row r="97" spans="1:15" x14ac:dyDescent="0.25">
      <c r="A97" s="208"/>
      <c r="B97" s="225"/>
      <c r="C97" s="25" t="s">
        <v>23</v>
      </c>
      <c r="D97" s="1" t="s">
        <v>6</v>
      </c>
      <c r="E97" s="55">
        <v>212.90273464055423</v>
      </c>
      <c r="F97" s="55">
        <v>180.29847756137553</v>
      </c>
      <c r="G97" s="55">
        <v>140.44328080448224</v>
      </c>
      <c r="H97" s="55">
        <v>113.16977842477434</v>
      </c>
      <c r="I97" s="55">
        <v>107.31263157894738</v>
      </c>
      <c r="J97" s="55">
        <v>107.00631578947369</v>
      </c>
      <c r="K97" s="55">
        <v>105.98526315789475</v>
      </c>
      <c r="L97" s="55">
        <v>103.84105263157896</v>
      </c>
      <c r="M97" s="55">
        <v>99.55263157894737</v>
      </c>
      <c r="N97" s="54"/>
    </row>
    <row r="98" spans="1:15" x14ac:dyDescent="0.25">
      <c r="A98" s="208"/>
      <c r="B98" s="225"/>
      <c r="C98" s="25" t="s">
        <v>177</v>
      </c>
      <c r="D98" s="1" t="s">
        <v>19</v>
      </c>
      <c r="E98" s="56">
        <v>0.2</v>
      </c>
      <c r="F98" s="56">
        <v>0.2</v>
      </c>
      <c r="G98" s="56">
        <v>0.2</v>
      </c>
      <c r="H98" s="56">
        <v>0.2</v>
      </c>
      <c r="I98" s="56">
        <v>0.2</v>
      </c>
      <c r="J98" s="56">
        <v>0.2</v>
      </c>
      <c r="K98" s="56">
        <v>0.2</v>
      </c>
      <c r="L98" s="56">
        <v>0.2</v>
      </c>
      <c r="M98" s="56">
        <v>0.2</v>
      </c>
      <c r="N98" s="54"/>
    </row>
    <row r="99" spans="1:15" x14ac:dyDescent="0.25">
      <c r="A99" s="208"/>
      <c r="B99" s="225"/>
      <c r="C99" s="25" t="s">
        <v>114</v>
      </c>
      <c r="D99" s="1" t="s">
        <v>8</v>
      </c>
      <c r="E99" s="53"/>
      <c r="F99" s="53"/>
      <c r="G99" s="53"/>
      <c r="H99" s="53"/>
      <c r="I99" s="53"/>
      <c r="J99" s="53"/>
      <c r="K99" s="53"/>
      <c r="L99" s="53"/>
      <c r="M99" s="53"/>
      <c r="N99" s="54"/>
    </row>
    <row r="100" spans="1:15" x14ac:dyDescent="0.25">
      <c r="A100" s="208"/>
      <c r="B100" s="225"/>
      <c r="C100" s="25" t="s">
        <v>115</v>
      </c>
      <c r="D100" s="1" t="s">
        <v>9</v>
      </c>
      <c r="E100" s="55">
        <v>6.3870820392166268</v>
      </c>
      <c r="F100" s="55">
        <v>5.4089543268412656</v>
      </c>
      <c r="G100" s="55">
        <v>4.2132984241344671</v>
      </c>
      <c r="H100" s="55">
        <v>3.3950933527432299</v>
      </c>
      <c r="I100" s="55">
        <v>2.0378947368421052</v>
      </c>
      <c r="J100" s="55">
        <v>2.0189473684210526</v>
      </c>
      <c r="K100" s="55">
        <v>1.9557894736842103</v>
      </c>
      <c r="L100" s="55">
        <v>1.8231578947368419</v>
      </c>
      <c r="M100" s="55">
        <v>1.557894736842105</v>
      </c>
      <c r="N100" s="54"/>
    </row>
    <row r="101" spans="1:15" x14ac:dyDescent="0.25">
      <c r="A101" s="208"/>
      <c r="B101" s="225"/>
      <c r="C101" s="25" t="s">
        <v>35</v>
      </c>
      <c r="D101" s="1" t="s">
        <v>10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1.6357894736842103E-3</v>
      </c>
      <c r="L101" s="55">
        <v>1.5031578947368419E-3</v>
      </c>
      <c r="M101" s="55">
        <v>1.2378947368421051E-3</v>
      </c>
      <c r="N101" s="54"/>
    </row>
    <row r="102" spans="1:15" x14ac:dyDescent="0.25">
      <c r="A102" s="208"/>
      <c r="B102" s="225"/>
      <c r="C102" s="26" t="s">
        <v>24</v>
      </c>
      <c r="D102" s="27" t="s">
        <v>10</v>
      </c>
      <c r="E102" s="56">
        <v>0</v>
      </c>
      <c r="F102" s="56">
        <v>0</v>
      </c>
      <c r="G102" s="56">
        <v>0</v>
      </c>
      <c r="H102" s="56">
        <v>0</v>
      </c>
      <c r="I102" s="56">
        <v>0</v>
      </c>
      <c r="J102" s="56">
        <v>0</v>
      </c>
      <c r="K102" s="56">
        <v>0</v>
      </c>
      <c r="L102" s="56">
        <v>0</v>
      </c>
      <c r="M102" s="56">
        <v>0</v>
      </c>
      <c r="N102" s="54"/>
    </row>
    <row r="103" spans="1:15" x14ac:dyDescent="0.25">
      <c r="A103" s="208"/>
      <c r="B103" s="225"/>
      <c r="C103" s="25" t="s">
        <v>25</v>
      </c>
      <c r="D103" s="1" t="s">
        <v>7</v>
      </c>
      <c r="E103" s="56">
        <v>0.96599999999999986</v>
      </c>
      <c r="F103" s="56">
        <v>0.96599999999999986</v>
      </c>
      <c r="G103" s="56">
        <v>0.96599999999999986</v>
      </c>
      <c r="H103" s="56">
        <v>0.96599999999999986</v>
      </c>
      <c r="I103" s="56">
        <v>0.96599999999999986</v>
      </c>
      <c r="J103" s="56">
        <v>0.96599999999999986</v>
      </c>
      <c r="K103" s="56">
        <v>0.99</v>
      </c>
      <c r="L103" s="56">
        <v>0.99</v>
      </c>
      <c r="M103" s="56">
        <v>0.99</v>
      </c>
      <c r="N103" s="54"/>
    </row>
    <row r="104" spans="1:15" x14ac:dyDescent="0.25">
      <c r="A104" s="208"/>
      <c r="B104" s="225"/>
      <c r="C104" s="25" t="s">
        <v>26</v>
      </c>
      <c r="D104" s="1" t="s">
        <v>14</v>
      </c>
      <c r="E104" s="55">
        <v>1524.6</v>
      </c>
      <c r="F104" s="55">
        <v>1749.6</v>
      </c>
      <c r="G104" s="55">
        <v>2349.6</v>
      </c>
      <c r="H104" s="55">
        <v>3174.6</v>
      </c>
      <c r="I104" s="55">
        <v>4299.6000000000004</v>
      </c>
      <c r="J104" s="55">
        <v>14213</v>
      </c>
      <c r="K104" s="55">
        <v>21713</v>
      </c>
      <c r="L104" s="55">
        <v>37463</v>
      </c>
      <c r="M104" s="55">
        <v>68963</v>
      </c>
      <c r="N104" s="54"/>
    </row>
    <row r="105" spans="1:15" x14ac:dyDescent="0.25">
      <c r="A105" s="208"/>
      <c r="B105" s="225"/>
      <c r="C105" s="25" t="s">
        <v>27</v>
      </c>
      <c r="D105" s="1" t="s">
        <v>4</v>
      </c>
      <c r="E105" s="53">
        <v>40</v>
      </c>
      <c r="F105" s="53">
        <v>40</v>
      </c>
      <c r="G105" s="53">
        <v>40</v>
      </c>
      <c r="H105" s="53">
        <v>40</v>
      </c>
      <c r="I105" s="53">
        <v>40</v>
      </c>
      <c r="J105" s="53">
        <v>40</v>
      </c>
      <c r="K105" s="53">
        <v>40</v>
      </c>
      <c r="L105" s="53">
        <v>40</v>
      </c>
      <c r="M105" s="53">
        <v>40</v>
      </c>
      <c r="N105" s="54"/>
    </row>
    <row r="106" spans="1:15" x14ac:dyDescent="0.25">
      <c r="A106" s="208"/>
      <c r="B106" s="225"/>
      <c r="C106" s="25" t="s">
        <v>116</v>
      </c>
      <c r="D106" s="1" t="s">
        <v>19</v>
      </c>
      <c r="E106" s="53">
        <v>0.5</v>
      </c>
      <c r="F106" s="53">
        <v>0.5</v>
      </c>
      <c r="G106" s="53">
        <v>0.5</v>
      </c>
      <c r="H106" s="53">
        <v>0.5</v>
      </c>
      <c r="I106" s="53">
        <v>0.5</v>
      </c>
      <c r="J106" s="53">
        <v>0.5</v>
      </c>
      <c r="K106" s="53">
        <v>0.5</v>
      </c>
      <c r="L106" s="53">
        <v>0.5</v>
      </c>
      <c r="M106" s="53">
        <v>0.5</v>
      </c>
      <c r="N106" s="54"/>
      <c r="O106" s="75"/>
    </row>
    <row r="107" spans="1:15" x14ac:dyDescent="0.25">
      <c r="A107" s="208"/>
      <c r="B107" s="225"/>
      <c r="C107" s="25" t="s">
        <v>28</v>
      </c>
      <c r="D107" s="1" t="s">
        <v>19</v>
      </c>
      <c r="E107" s="53">
        <v>1.3</v>
      </c>
      <c r="F107" s="53">
        <v>1.3</v>
      </c>
      <c r="G107" s="53">
        <v>1.3</v>
      </c>
      <c r="H107" s="53">
        <v>1.3</v>
      </c>
      <c r="I107" s="53">
        <v>1.3</v>
      </c>
      <c r="J107" s="53">
        <v>1.3</v>
      </c>
      <c r="K107" s="53">
        <v>1.3</v>
      </c>
      <c r="L107" s="53">
        <v>1.3</v>
      </c>
      <c r="M107" s="53">
        <v>1.3</v>
      </c>
      <c r="N107" s="54"/>
    </row>
    <row r="108" spans="1:15" x14ac:dyDescent="0.25">
      <c r="A108" s="208"/>
      <c r="B108" s="225"/>
      <c r="C108" s="25" t="s">
        <v>29</v>
      </c>
      <c r="D108" s="1" t="s">
        <v>4</v>
      </c>
      <c r="E108" s="53">
        <v>20</v>
      </c>
      <c r="F108" s="53">
        <v>20</v>
      </c>
      <c r="G108" s="53">
        <v>20</v>
      </c>
      <c r="H108" s="53">
        <v>20</v>
      </c>
      <c r="I108" s="53">
        <v>20</v>
      </c>
      <c r="J108" s="53">
        <v>20</v>
      </c>
      <c r="K108" s="53">
        <v>20</v>
      </c>
      <c r="L108" s="53">
        <v>20</v>
      </c>
      <c r="M108" s="53">
        <v>20</v>
      </c>
      <c r="N108" s="54"/>
    </row>
    <row r="109" spans="1:15" x14ac:dyDescent="0.25">
      <c r="A109" s="208"/>
      <c r="B109" s="225"/>
      <c r="C109" s="25" t="s">
        <v>30</v>
      </c>
      <c r="D109" s="1" t="s">
        <v>6</v>
      </c>
      <c r="E109" s="55">
        <v>1212.3185014395658</v>
      </c>
      <c r="F109" s="55">
        <v>865.6981523557846</v>
      </c>
      <c r="G109" s="55">
        <v>573.57643801209713</v>
      </c>
      <c r="H109" s="55">
        <v>482.31953407260886</v>
      </c>
      <c r="I109" s="55">
        <v>482.31953407260886</v>
      </c>
      <c r="J109" s="55">
        <v>482.31953407260886</v>
      </c>
      <c r="K109" s="55">
        <v>1281.3816732362875</v>
      </c>
      <c r="L109" s="55">
        <v>1114.6142868924398</v>
      </c>
      <c r="M109" s="55">
        <v>979.67598602574503</v>
      </c>
      <c r="N109" s="54"/>
    </row>
    <row r="110" spans="1:15" x14ac:dyDescent="0.25">
      <c r="A110" s="208"/>
      <c r="B110" s="225"/>
      <c r="C110" s="25" t="s">
        <v>178</v>
      </c>
      <c r="D110" s="1" t="s">
        <v>19</v>
      </c>
      <c r="E110" s="56">
        <v>0.35</v>
      </c>
      <c r="F110" s="56">
        <v>0.35</v>
      </c>
      <c r="G110" s="56">
        <v>0.35</v>
      </c>
      <c r="H110" s="56">
        <v>0.35</v>
      </c>
      <c r="I110" s="56">
        <v>0.35</v>
      </c>
      <c r="J110" s="56">
        <v>0.35</v>
      </c>
      <c r="K110" s="56">
        <v>0.35</v>
      </c>
      <c r="L110" s="56">
        <v>0.35</v>
      </c>
      <c r="M110" s="56">
        <v>0.35</v>
      </c>
      <c r="N110" s="54"/>
    </row>
    <row r="111" spans="1:15" x14ac:dyDescent="0.25">
      <c r="A111" s="208"/>
      <c r="B111" s="225"/>
      <c r="C111" s="25" t="s">
        <v>117</v>
      </c>
      <c r="D111" s="1" t="s">
        <v>8</v>
      </c>
      <c r="E111" s="53"/>
      <c r="F111" s="53"/>
      <c r="G111" s="53"/>
      <c r="H111" s="53"/>
      <c r="I111" s="53"/>
      <c r="J111" s="53"/>
      <c r="K111" s="53"/>
      <c r="L111" s="53"/>
      <c r="M111" s="53"/>
      <c r="N111" s="54"/>
    </row>
    <row r="112" spans="1:15" x14ac:dyDescent="0.25">
      <c r="A112" s="208"/>
      <c r="B112" s="225"/>
      <c r="C112" s="25" t="s">
        <v>118</v>
      </c>
      <c r="D112" s="1" t="s">
        <v>9</v>
      </c>
      <c r="E112" s="53"/>
      <c r="F112" s="53"/>
      <c r="G112" s="53"/>
      <c r="H112" s="53"/>
      <c r="I112" s="53"/>
      <c r="J112" s="53"/>
      <c r="K112" s="53"/>
      <c r="L112" s="53"/>
      <c r="M112" s="53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55">
        <v>0</v>
      </c>
      <c r="F113" s="55">
        <v>0</v>
      </c>
      <c r="G113" s="55">
        <v>0</v>
      </c>
      <c r="H113" s="55">
        <v>0</v>
      </c>
      <c r="I113" s="55">
        <v>0</v>
      </c>
      <c r="J113" s="55">
        <v>0</v>
      </c>
      <c r="K113" s="55">
        <v>0</v>
      </c>
      <c r="L113" s="55">
        <v>2.1199999999999999E-3</v>
      </c>
      <c r="M113" s="55">
        <v>2.1199999999999999E-3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53">
        <v>3.2399999999999998</v>
      </c>
      <c r="F116" s="53">
        <v>3.2399999999999998</v>
      </c>
      <c r="G116" s="53">
        <v>3.2399999999999998</v>
      </c>
      <c r="H116" s="53">
        <v>3.2399999999999998</v>
      </c>
      <c r="I116" s="53">
        <v>3.2399999999999998</v>
      </c>
      <c r="J116" s="53">
        <v>3.2399999999999998</v>
      </c>
      <c r="K116" s="53">
        <v>3.2399999999999998</v>
      </c>
      <c r="L116" s="53">
        <v>3.2399999999999998</v>
      </c>
      <c r="M116" s="53">
        <v>3.2399999999999998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53"/>
      <c r="F117" s="53"/>
      <c r="G117" s="53"/>
      <c r="H117" s="53"/>
      <c r="I117" s="53"/>
      <c r="J117" s="53"/>
      <c r="K117" s="53"/>
      <c r="L117" s="53"/>
      <c r="M117" s="53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53"/>
      <c r="F118" s="53"/>
      <c r="G118" s="53"/>
      <c r="H118" s="53"/>
      <c r="I118" s="53"/>
      <c r="J118" s="53"/>
      <c r="K118" s="53"/>
      <c r="L118" s="53"/>
      <c r="M118" s="53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53">
        <v>1</v>
      </c>
      <c r="F119" s="53">
        <v>1</v>
      </c>
      <c r="G119" s="53">
        <v>1</v>
      </c>
      <c r="H119" s="53">
        <v>1</v>
      </c>
      <c r="I119" s="53">
        <v>1</v>
      </c>
      <c r="J119" s="53">
        <v>1</v>
      </c>
      <c r="K119" s="53">
        <v>1</v>
      </c>
      <c r="L119" s="53">
        <v>1</v>
      </c>
      <c r="M119" s="53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53">
        <v>0.35</v>
      </c>
      <c r="F120" s="53">
        <v>0.35</v>
      </c>
      <c r="G120" s="53">
        <v>0.35</v>
      </c>
      <c r="H120" s="53">
        <v>0.35</v>
      </c>
      <c r="I120" s="53">
        <v>0.35</v>
      </c>
      <c r="J120" s="53">
        <v>0.35</v>
      </c>
      <c r="K120" s="53">
        <v>0.35</v>
      </c>
      <c r="L120" s="53">
        <v>0.35</v>
      </c>
      <c r="M120" s="53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53">
        <v>20</v>
      </c>
      <c r="F121" s="53">
        <v>20</v>
      </c>
      <c r="G121" s="53">
        <v>20</v>
      </c>
      <c r="H121" s="53">
        <v>20</v>
      </c>
      <c r="I121" s="53">
        <v>20</v>
      </c>
      <c r="J121" s="53">
        <v>20</v>
      </c>
      <c r="K121" s="53">
        <v>20</v>
      </c>
      <c r="L121" s="53">
        <v>20</v>
      </c>
      <c r="M121" s="53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55">
        <v>212.90273464055423</v>
      </c>
      <c r="F122" s="55">
        <v>180.29847756137553</v>
      </c>
      <c r="G122" s="55">
        <v>140.44328080448224</v>
      </c>
      <c r="H122" s="55">
        <v>113.16977842477434</v>
      </c>
      <c r="I122" s="55">
        <v>107.31263157894738</v>
      </c>
      <c r="J122" s="55">
        <v>107.00631578947369</v>
      </c>
      <c r="K122" s="55">
        <v>105.98526315789475</v>
      </c>
      <c r="L122" s="55">
        <v>103.84105263157896</v>
      </c>
      <c r="M122" s="55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56">
        <v>0</v>
      </c>
      <c r="F123" s="56">
        <v>0</v>
      </c>
      <c r="G123" s="56">
        <v>0</v>
      </c>
      <c r="H123" s="56">
        <v>0</v>
      </c>
      <c r="I123" s="56">
        <v>0</v>
      </c>
      <c r="J123" s="56">
        <v>0</v>
      </c>
      <c r="K123" s="56">
        <v>0</v>
      </c>
      <c r="L123" s="56">
        <v>0</v>
      </c>
      <c r="M123" s="56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53"/>
      <c r="F124" s="53"/>
      <c r="G124" s="53"/>
      <c r="H124" s="53"/>
      <c r="I124" s="53"/>
      <c r="J124" s="53"/>
      <c r="K124" s="53"/>
      <c r="L124" s="53"/>
      <c r="M124" s="53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55">
        <v>6.3870820392166268</v>
      </c>
      <c r="F125" s="55">
        <v>5.4089543268412656</v>
      </c>
      <c r="G125" s="55">
        <v>4.2132984241344671</v>
      </c>
      <c r="H125" s="55">
        <v>3.3950933527432299</v>
      </c>
      <c r="I125" s="55">
        <v>2.0378947368421052</v>
      </c>
      <c r="J125" s="55">
        <v>2.0189473684210526</v>
      </c>
      <c r="K125" s="55">
        <v>1.9557894736842103</v>
      </c>
      <c r="L125" s="55">
        <v>1.8231578947368419</v>
      </c>
      <c r="M125" s="55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55">
        <v>0</v>
      </c>
      <c r="F126" s="55">
        <v>0</v>
      </c>
      <c r="G126" s="55">
        <v>0</v>
      </c>
      <c r="H126" s="55">
        <v>0</v>
      </c>
      <c r="I126" s="55">
        <v>0</v>
      </c>
      <c r="J126" s="55">
        <v>0</v>
      </c>
      <c r="K126" s="55">
        <v>1.6357894736842103E-3</v>
      </c>
      <c r="L126" s="55">
        <v>1.5031578947368419E-3</v>
      </c>
      <c r="M126" s="55">
        <v>1.2378947368421051E-3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56">
        <v>0.96599999999999986</v>
      </c>
      <c r="F128" s="56">
        <v>0.96599999999999986</v>
      </c>
      <c r="G128" s="56">
        <v>0.96599999999999986</v>
      </c>
      <c r="H128" s="56">
        <v>0.96599999999999986</v>
      </c>
      <c r="I128" s="56">
        <v>0.96599999999999986</v>
      </c>
      <c r="J128" s="56">
        <v>0.96599999999999986</v>
      </c>
      <c r="K128" s="56">
        <v>0.99</v>
      </c>
      <c r="L128" s="56">
        <v>0.99</v>
      </c>
      <c r="M128" s="56">
        <v>0.99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55">
        <v>1524.6</v>
      </c>
      <c r="F129" s="55">
        <v>1749.6</v>
      </c>
      <c r="G129" s="55">
        <v>2349.6</v>
      </c>
      <c r="H129" s="55">
        <v>3174.6</v>
      </c>
      <c r="I129" s="55">
        <v>4299.6000000000004</v>
      </c>
      <c r="J129" s="55">
        <v>14213</v>
      </c>
      <c r="K129" s="55">
        <v>21713</v>
      </c>
      <c r="L129" s="55">
        <v>37463</v>
      </c>
      <c r="M129" s="55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53">
        <v>40</v>
      </c>
      <c r="F130" s="53">
        <v>40</v>
      </c>
      <c r="G130" s="53">
        <v>40</v>
      </c>
      <c r="H130" s="53">
        <v>40</v>
      </c>
      <c r="I130" s="53">
        <v>40</v>
      </c>
      <c r="J130" s="53">
        <v>40</v>
      </c>
      <c r="K130" s="53">
        <v>40</v>
      </c>
      <c r="L130" s="53">
        <v>40</v>
      </c>
      <c r="M130" s="53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53">
        <v>0.35</v>
      </c>
      <c r="F131" s="53">
        <v>0.35</v>
      </c>
      <c r="G131" s="53">
        <v>0.35</v>
      </c>
      <c r="H131" s="53">
        <v>0.35</v>
      </c>
      <c r="I131" s="53">
        <v>0.35</v>
      </c>
      <c r="J131" s="53">
        <v>0.35</v>
      </c>
      <c r="K131" s="53">
        <v>0.35</v>
      </c>
      <c r="L131" s="53">
        <v>0.35</v>
      </c>
      <c r="M131" s="53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53">
        <v>1.8571428571428572</v>
      </c>
      <c r="F132" s="53">
        <v>1.8571428571428572</v>
      </c>
      <c r="G132" s="53">
        <v>1.8571428571428572</v>
      </c>
      <c r="H132" s="53">
        <v>1.8571428571428572</v>
      </c>
      <c r="I132" s="53">
        <v>1.8571428571428572</v>
      </c>
      <c r="J132" s="53">
        <v>1.8571428571428572</v>
      </c>
      <c r="K132" s="53">
        <v>1.8571428571428572</v>
      </c>
      <c r="L132" s="53">
        <v>1.8571428571428572</v>
      </c>
      <c r="M132" s="53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53">
        <v>20</v>
      </c>
      <c r="F133" s="53">
        <v>20</v>
      </c>
      <c r="G133" s="53">
        <v>20</v>
      </c>
      <c r="H133" s="53">
        <v>20</v>
      </c>
      <c r="I133" s="53">
        <v>20</v>
      </c>
      <c r="J133" s="53">
        <v>20</v>
      </c>
      <c r="K133" s="53">
        <v>20</v>
      </c>
      <c r="L133" s="53">
        <v>20</v>
      </c>
      <c r="M133" s="53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55">
        <v>6505.2925894863074</v>
      </c>
      <c r="F134" s="55">
        <v>4401.6753460736363</v>
      </c>
      <c r="G134" s="55">
        <v>2730.489848151858</v>
      </c>
      <c r="H134" s="55">
        <v>2119.9941480339958</v>
      </c>
      <c r="I134" s="55">
        <v>1761.8425600025264</v>
      </c>
      <c r="J134" s="55">
        <v>1439.7537496450543</v>
      </c>
      <c r="K134" s="55">
        <v>1128.0333292524301</v>
      </c>
      <c r="L134" s="55">
        <v>904.18982423028638</v>
      </c>
      <c r="M134" s="55">
        <v>736.80866636730173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56">
        <v>0</v>
      </c>
      <c r="F135" s="56">
        <v>0</v>
      </c>
      <c r="G135" s="56">
        <v>0</v>
      </c>
      <c r="H135" s="56">
        <v>0</v>
      </c>
      <c r="I135" s="56">
        <v>0</v>
      </c>
      <c r="J135" s="56">
        <v>0</v>
      </c>
      <c r="K135" s="56">
        <v>0</v>
      </c>
      <c r="L135" s="56">
        <v>0</v>
      </c>
      <c r="M135" s="56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53"/>
      <c r="F137" s="53"/>
      <c r="G137" s="53"/>
      <c r="H137" s="53"/>
      <c r="I137" s="53"/>
      <c r="J137" s="53"/>
      <c r="K137" s="53"/>
      <c r="L137" s="53"/>
      <c r="M137" s="53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55">
        <v>5.4632155805897732E-2</v>
      </c>
      <c r="F138" s="55">
        <v>6.9225169277652349E-2</v>
      </c>
      <c r="G138" s="55">
        <v>5.5072970988733948E-2</v>
      </c>
      <c r="H138" s="55">
        <v>4.6604222305577481E-2</v>
      </c>
      <c r="I138" s="55">
        <v>4.0289223212275231E-2</v>
      </c>
      <c r="J138" s="55">
        <v>2.4583755873341454E-2</v>
      </c>
      <c r="K138" s="55">
        <v>1.9104989606490121E-2</v>
      </c>
      <c r="L138" s="55">
        <v>1.5182594783541725E-2</v>
      </c>
      <c r="M138" s="55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59">
        <v>0.25</v>
      </c>
      <c r="F142" s="59">
        <v>0.25</v>
      </c>
      <c r="G142" s="59">
        <v>0.25</v>
      </c>
      <c r="H142" s="59">
        <v>0.25</v>
      </c>
      <c r="I142" s="59">
        <v>0.25</v>
      </c>
      <c r="J142" s="59">
        <v>0.25</v>
      </c>
      <c r="K142" s="59">
        <v>0.25</v>
      </c>
      <c r="L142" s="59">
        <v>0.25</v>
      </c>
      <c r="M142" s="59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56">
        <v>0.66625430833964439</v>
      </c>
      <c r="F143" s="56">
        <v>0.66367464936796561</v>
      </c>
      <c r="G143" s="56">
        <v>0.65679555877682227</v>
      </c>
      <c r="H143" s="56">
        <v>0.64733680921400016</v>
      </c>
      <c r="I143" s="56">
        <v>0.63443851435560639</v>
      </c>
      <c r="J143" s="56">
        <v>0.4680070358050421</v>
      </c>
      <c r="K143" s="56">
        <v>0.46713859851464173</v>
      </c>
      <c r="L143" s="56">
        <v>0.46531488020480088</v>
      </c>
      <c r="M143" s="56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56">
        <v>0.25092243745356524</v>
      </c>
      <c r="F144" s="56">
        <v>0.25657675134016689</v>
      </c>
      <c r="G144" s="56">
        <v>0.27165492170443795</v>
      </c>
      <c r="H144" s="56">
        <v>0.29238740595531065</v>
      </c>
      <c r="I144" s="56">
        <v>0.32065897538831889</v>
      </c>
      <c r="J144" s="56">
        <v>0.41290384467151914</v>
      </c>
      <c r="K144" s="56">
        <v>0.41363974384019625</v>
      </c>
      <c r="L144" s="56">
        <v>0.41518513209441815</v>
      </c>
      <c r="M144" s="56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55">
        <v>0.16</v>
      </c>
      <c r="F145" s="55">
        <v>0.16</v>
      </c>
      <c r="G145" s="55">
        <v>0.16</v>
      </c>
      <c r="H145" s="55">
        <v>0.16</v>
      </c>
      <c r="I145" s="55">
        <v>0.06</v>
      </c>
      <c r="J145" s="55">
        <v>0.05</v>
      </c>
      <c r="K145" s="55">
        <v>4.3999999999999997E-2</v>
      </c>
      <c r="L145" s="55">
        <v>4.3999999999999997E-2</v>
      </c>
      <c r="M145" s="55">
        <v>4.3999999999999997E-2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55">
        <v>0.08</v>
      </c>
      <c r="F146" s="55">
        <v>0.08</v>
      </c>
      <c r="G146" s="55">
        <v>0.08</v>
      </c>
      <c r="H146" s="55">
        <v>0.08</v>
      </c>
      <c r="I146" s="55">
        <v>0.03</v>
      </c>
      <c r="J146" s="55">
        <v>0</v>
      </c>
      <c r="K146" s="55">
        <v>0</v>
      </c>
      <c r="L146" s="55">
        <v>0</v>
      </c>
      <c r="M146" s="55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53">
        <v>5.4999999999999997E-3</v>
      </c>
      <c r="F147" s="53">
        <v>5.4999999999999997E-3</v>
      </c>
      <c r="G147" s="53">
        <v>5.4999999999999997E-3</v>
      </c>
      <c r="H147" s="53">
        <v>5.4999999999999997E-3</v>
      </c>
      <c r="I147" s="53">
        <v>5.4999999999999997E-3</v>
      </c>
      <c r="J147" s="53">
        <v>5.4999999999999997E-3</v>
      </c>
      <c r="K147" s="53">
        <v>5.4999999999999997E-3</v>
      </c>
      <c r="L147" s="53">
        <v>5.4999999999999997E-3</v>
      </c>
      <c r="M147" s="53">
        <v>5.4999999999999997E-3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53">
        <v>1</v>
      </c>
      <c r="F148" s="53">
        <v>1</v>
      </c>
      <c r="G148" s="53">
        <v>1</v>
      </c>
      <c r="H148" s="53">
        <v>1</v>
      </c>
      <c r="I148" s="53">
        <v>1</v>
      </c>
      <c r="J148" s="53">
        <v>1</v>
      </c>
      <c r="K148" s="53">
        <v>1</v>
      </c>
      <c r="L148" s="53">
        <v>1</v>
      </c>
      <c r="M148" s="53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53">
        <v>0.35</v>
      </c>
      <c r="F149" s="53">
        <v>0.35</v>
      </c>
      <c r="G149" s="53">
        <v>0.35</v>
      </c>
      <c r="H149" s="53">
        <v>0.35</v>
      </c>
      <c r="I149" s="53">
        <v>0.35</v>
      </c>
      <c r="J149" s="53">
        <v>0.35</v>
      </c>
      <c r="K149" s="53">
        <v>0.35</v>
      </c>
      <c r="L149" s="53">
        <v>0.35</v>
      </c>
      <c r="M149" s="53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53">
        <v>20</v>
      </c>
      <c r="F150" s="53">
        <v>20</v>
      </c>
      <c r="G150" s="53">
        <v>20</v>
      </c>
      <c r="H150" s="53">
        <v>20</v>
      </c>
      <c r="I150" s="53">
        <v>20</v>
      </c>
      <c r="J150" s="53">
        <v>20</v>
      </c>
      <c r="K150" s="53">
        <v>20</v>
      </c>
      <c r="L150" s="53">
        <v>20</v>
      </c>
      <c r="M150" s="53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55">
        <v>212.90273464055423</v>
      </c>
      <c r="F151" s="55">
        <v>180.29847756137553</v>
      </c>
      <c r="G151" s="55">
        <v>140.44328080448224</v>
      </c>
      <c r="H151" s="55">
        <v>113.16977842477434</v>
      </c>
      <c r="I151" s="55">
        <v>107.31263157894738</v>
      </c>
      <c r="J151" s="55">
        <v>107.00631578947369</v>
      </c>
      <c r="K151" s="55">
        <v>105.98526315789475</v>
      </c>
      <c r="L151" s="55">
        <v>103.84105263157896</v>
      </c>
      <c r="M151" s="55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56">
        <v>0</v>
      </c>
      <c r="F152" s="56">
        <v>0</v>
      </c>
      <c r="G152" s="56">
        <v>0</v>
      </c>
      <c r="H152" s="56">
        <v>0</v>
      </c>
      <c r="I152" s="56">
        <v>0</v>
      </c>
      <c r="J152" s="56">
        <v>0</v>
      </c>
      <c r="K152" s="56">
        <v>0</v>
      </c>
      <c r="L152" s="56">
        <v>0</v>
      </c>
      <c r="M152" s="56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53"/>
      <c r="F153" s="53"/>
      <c r="G153" s="53"/>
      <c r="H153" s="53"/>
      <c r="I153" s="53"/>
      <c r="J153" s="53"/>
      <c r="K153" s="53"/>
      <c r="L153" s="53"/>
      <c r="M153" s="53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55">
        <v>6.3870820392166268</v>
      </c>
      <c r="F154" s="55">
        <v>5.4089543268412656</v>
      </c>
      <c r="G154" s="55">
        <v>4.2132984241344671</v>
      </c>
      <c r="H154" s="55">
        <v>3.3950933527432299</v>
      </c>
      <c r="I154" s="55">
        <v>2.0378947368421052</v>
      </c>
      <c r="J154" s="55">
        <v>2.0189473684210526</v>
      </c>
      <c r="K154" s="55">
        <v>1.9557894736842103</v>
      </c>
      <c r="L154" s="55">
        <v>1.8231578947368419</v>
      </c>
      <c r="M154" s="55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55">
        <v>0</v>
      </c>
      <c r="F155" s="55">
        <v>0</v>
      </c>
      <c r="G155" s="55">
        <v>0</v>
      </c>
      <c r="H155" s="55">
        <v>0</v>
      </c>
      <c r="I155" s="55">
        <v>0</v>
      </c>
      <c r="J155" s="55">
        <v>0</v>
      </c>
      <c r="K155" s="55">
        <v>1.6357894736842103E-3</v>
      </c>
      <c r="L155" s="55">
        <v>1.5031578947368419E-3</v>
      </c>
      <c r="M155" s="55">
        <v>1.2378947368421051E-3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56">
        <v>0.96599999999999986</v>
      </c>
      <c r="F157" s="56">
        <v>0.96599999999999986</v>
      </c>
      <c r="G157" s="56">
        <v>0.96599999999999986</v>
      </c>
      <c r="H157" s="56">
        <v>0.96599999999999986</v>
      </c>
      <c r="I157" s="56">
        <v>0.96599999999999986</v>
      </c>
      <c r="J157" s="56">
        <v>0.96599999999999986</v>
      </c>
      <c r="K157" s="56">
        <v>0.99</v>
      </c>
      <c r="L157" s="56">
        <v>0.99</v>
      </c>
      <c r="M157" s="56">
        <v>0.99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55">
        <v>1524.6</v>
      </c>
      <c r="F158" s="55">
        <v>1749.6</v>
      </c>
      <c r="G158" s="55">
        <v>2349.6</v>
      </c>
      <c r="H158" s="55">
        <v>3174.6</v>
      </c>
      <c r="I158" s="55">
        <v>4299.6000000000004</v>
      </c>
      <c r="J158" s="55">
        <v>14213</v>
      </c>
      <c r="K158" s="55">
        <v>21713</v>
      </c>
      <c r="L158" s="55">
        <v>37463</v>
      </c>
      <c r="M158" s="55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53">
        <v>40</v>
      </c>
      <c r="F159" s="53">
        <v>40</v>
      </c>
      <c r="G159" s="53">
        <v>40</v>
      </c>
      <c r="H159" s="53">
        <v>40</v>
      </c>
      <c r="I159" s="53">
        <v>40</v>
      </c>
      <c r="J159" s="53">
        <v>40</v>
      </c>
      <c r="K159" s="53">
        <v>40</v>
      </c>
      <c r="L159" s="53">
        <v>40</v>
      </c>
      <c r="M159" s="53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53">
        <v>0.35</v>
      </c>
      <c r="F160" s="53">
        <v>0.35</v>
      </c>
      <c r="G160" s="53">
        <v>0.35</v>
      </c>
      <c r="H160" s="53">
        <v>0.35</v>
      </c>
      <c r="I160" s="53">
        <v>0.35</v>
      </c>
      <c r="J160" s="53">
        <v>0.35</v>
      </c>
      <c r="K160" s="53">
        <v>0.35</v>
      </c>
      <c r="L160" s="53">
        <v>0.35</v>
      </c>
      <c r="M160" s="53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53">
        <v>1.8571428571428572</v>
      </c>
      <c r="F161" s="53">
        <v>1.8571428571428572</v>
      </c>
      <c r="G161" s="53">
        <v>1.8571428571428572</v>
      </c>
      <c r="H161" s="53">
        <v>1.8571428571428572</v>
      </c>
      <c r="I161" s="53">
        <v>1.8571428571428572</v>
      </c>
      <c r="J161" s="53">
        <v>1.8571428571428572</v>
      </c>
      <c r="K161" s="53">
        <v>1.8571428571428572</v>
      </c>
      <c r="L161" s="53">
        <v>1.8571428571428572</v>
      </c>
      <c r="M161" s="53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53">
        <v>20</v>
      </c>
      <c r="F162" s="53">
        <v>20</v>
      </c>
      <c r="G162" s="53">
        <v>20</v>
      </c>
      <c r="H162" s="53">
        <v>20</v>
      </c>
      <c r="I162" s="53">
        <v>20</v>
      </c>
      <c r="J162" s="53">
        <v>20</v>
      </c>
      <c r="K162" s="53">
        <v>20</v>
      </c>
      <c r="L162" s="53">
        <v>20</v>
      </c>
      <c r="M162" s="53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55">
        <v>6505.2925894863074</v>
      </c>
      <c r="F163" s="55">
        <v>4401.6753460736363</v>
      </c>
      <c r="G163" s="55">
        <v>2730.489848151858</v>
      </c>
      <c r="H163" s="55">
        <v>2119.9941480339958</v>
      </c>
      <c r="I163" s="55">
        <v>1761.8425600025264</v>
      </c>
      <c r="J163" s="55">
        <v>1439.7537496450543</v>
      </c>
      <c r="K163" s="55">
        <v>1128.0333292524301</v>
      </c>
      <c r="L163" s="55">
        <v>904.18982423028638</v>
      </c>
      <c r="M163" s="55">
        <v>736.80866636730173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56">
        <v>0</v>
      </c>
      <c r="F164" s="56">
        <v>0</v>
      </c>
      <c r="G164" s="56">
        <v>0</v>
      </c>
      <c r="H164" s="56">
        <v>0</v>
      </c>
      <c r="I164" s="56">
        <v>0</v>
      </c>
      <c r="J164" s="56">
        <v>0</v>
      </c>
      <c r="K164" s="56">
        <v>0</v>
      </c>
      <c r="L164" s="56">
        <v>0</v>
      </c>
      <c r="M164" s="56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53"/>
      <c r="F165" s="53"/>
      <c r="G165" s="53"/>
      <c r="H165" s="53"/>
      <c r="I165" s="53"/>
      <c r="J165" s="53"/>
      <c r="K165" s="53"/>
      <c r="L165" s="53"/>
      <c r="M165" s="53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53"/>
      <c r="F166" s="53"/>
      <c r="G166" s="53"/>
      <c r="H166" s="53"/>
      <c r="I166" s="53"/>
      <c r="J166" s="53"/>
      <c r="K166" s="53"/>
      <c r="L166" s="53"/>
      <c r="M166" s="53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55">
        <v>5.4632155805897732E-2</v>
      </c>
      <c r="F167" s="55">
        <v>6.9225169277652349E-2</v>
      </c>
      <c r="G167" s="55">
        <v>5.5072970988733948E-2</v>
      </c>
      <c r="H167" s="55">
        <v>4.6604222305577481E-2</v>
      </c>
      <c r="I167" s="55">
        <v>4.0289223212275231E-2</v>
      </c>
      <c r="J167" s="55">
        <v>2.4583755873341454E-2</v>
      </c>
      <c r="K167" s="55">
        <v>1.9104989606490121E-2</v>
      </c>
      <c r="L167" s="55">
        <v>1.5182594783541725E-2</v>
      </c>
      <c r="M167" s="55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55">
        <v>0</v>
      </c>
      <c r="F168" s="55">
        <v>0</v>
      </c>
      <c r="G168" s="55">
        <v>0</v>
      </c>
      <c r="H168" s="55">
        <v>0</v>
      </c>
      <c r="I168" s="55">
        <v>0</v>
      </c>
      <c r="J168" s="55">
        <v>0</v>
      </c>
      <c r="K168" s="55">
        <v>0</v>
      </c>
      <c r="L168" s="55">
        <v>0</v>
      </c>
      <c r="M168" s="55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53"/>
      <c r="F169" s="53"/>
      <c r="G169" s="53"/>
      <c r="H169" s="53"/>
      <c r="I169" s="53"/>
      <c r="J169" s="53"/>
      <c r="K169" s="53"/>
      <c r="L169" s="53"/>
      <c r="M169" s="53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53"/>
      <c r="F170" s="53"/>
      <c r="G170" s="53"/>
      <c r="H170" s="53"/>
      <c r="I170" s="53"/>
      <c r="J170" s="53"/>
      <c r="K170" s="53"/>
      <c r="L170" s="53"/>
      <c r="M170" s="53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59">
        <v>0.5</v>
      </c>
      <c r="F171" s="59">
        <v>0.5</v>
      </c>
      <c r="G171" s="59">
        <v>0.5</v>
      </c>
      <c r="H171" s="59">
        <v>0.5</v>
      </c>
      <c r="I171" s="59">
        <v>0.5</v>
      </c>
      <c r="J171" s="59">
        <v>0.5</v>
      </c>
      <c r="K171" s="59">
        <v>0.5</v>
      </c>
      <c r="L171" s="59">
        <v>0.5</v>
      </c>
      <c r="M171" s="59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56">
        <v>0.66625430833964439</v>
      </c>
      <c r="F172" s="56">
        <v>0.66367464936796561</v>
      </c>
      <c r="G172" s="56">
        <v>0.65679555877682227</v>
      </c>
      <c r="H172" s="56">
        <v>0.64733680921400016</v>
      </c>
      <c r="I172" s="56">
        <v>0.63443851435560639</v>
      </c>
      <c r="J172" s="56">
        <v>0.4680070358050421</v>
      </c>
      <c r="K172" s="56">
        <v>0.46713859851464173</v>
      </c>
      <c r="L172" s="56">
        <v>0.46531488020480088</v>
      </c>
      <c r="M172" s="56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56">
        <v>0.25092243745356524</v>
      </c>
      <c r="F173" s="56">
        <v>0.25657675134016689</v>
      </c>
      <c r="G173" s="56">
        <v>0.27165492170443795</v>
      </c>
      <c r="H173" s="56">
        <v>0.29238740595531065</v>
      </c>
      <c r="I173" s="56">
        <v>0.32065897538831889</v>
      </c>
      <c r="J173" s="56">
        <v>0.41290384467151914</v>
      </c>
      <c r="K173" s="56">
        <v>0.41363974384019625</v>
      </c>
      <c r="L173" s="56">
        <v>0.41518513209441815</v>
      </c>
      <c r="M173" s="56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55">
        <v>0.16</v>
      </c>
      <c r="F174" s="55">
        <v>0.16</v>
      </c>
      <c r="G174" s="55">
        <v>0.16</v>
      </c>
      <c r="H174" s="55">
        <v>0.16</v>
      </c>
      <c r="I174" s="55">
        <v>0.06</v>
      </c>
      <c r="J174" s="55">
        <v>0.05</v>
      </c>
      <c r="K174" s="55">
        <v>4.3999999999999997E-2</v>
      </c>
      <c r="L174" s="55">
        <v>4.3999999999999997E-2</v>
      </c>
      <c r="M174" s="55">
        <v>4.3999999999999997E-2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55">
        <v>0.08</v>
      </c>
      <c r="F175" s="55">
        <v>0.08</v>
      </c>
      <c r="G175" s="55">
        <v>0.08</v>
      </c>
      <c r="H175" s="55">
        <v>0.08</v>
      </c>
      <c r="I175" s="55">
        <v>0.03</v>
      </c>
      <c r="J175" s="55">
        <v>0</v>
      </c>
      <c r="K175" s="55">
        <v>0</v>
      </c>
      <c r="L175" s="55">
        <v>0</v>
      </c>
      <c r="M175" s="55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53">
        <v>5.4999999999999997E-3</v>
      </c>
      <c r="F176" s="53">
        <v>5.4999999999999997E-3</v>
      </c>
      <c r="G176" s="53">
        <v>5.4999999999999997E-3</v>
      </c>
      <c r="H176" s="53">
        <v>5.4999999999999997E-3</v>
      </c>
      <c r="I176" s="53">
        <v>5.4999999999999997E-3</v>
      </c>
      <c r="J176" s="53">
        <v>5.4999999999999997E-3</v>
      </c>
      <c r="K176" s="53">
        <v>5.4999999999999997E-3</v>
      </c>
      <c r="L176" s="53">
        <v>5.4999999999999997E-3</v>
      </c>
      <c r="M176" s="53">
        <v>5.4999999999999997E-3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60">
        <v>1</v>
      </c>
      <c r="F177" s="60">
        <v>1</v>
      </c>
      <c r="G177" s="60">
        <v>1</v>
      </c>
      <c r="H177" s="60">
        <v>1</v>
      </c>
      <c r="I177" s="60">
        <v>1</v>
      </c>
      <c r="J177" s="60">
        <v>1</v>
      </c>
      <c r="K177" s="60">
        <v>1</v>
      </c>
      <c r="L177" s="60">
        <v>1</v>
      </c>
      <c r="M177" s="60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53">
        <v>0.8</v>
      </c>
      <c r="F178" s="53">
        <v>0.8</v>
      </c>
      <c r="G178" s="53">
        <v>0.8</v>
      </c>
      <c r="H178" s="53">
        <v>0.8</v>
      </c>
      <c r="I178" s="53">
        <v>0.8</v>
      </c>
      <c r="J178" s="53">
        <v>0.8</v>
      </c>
      <c r="K178" s="53">
        <v>0.8</v>
      </c>
      <c r="L178" s="53">
        <v>0.8</v>
      </c>
      <c r="M178" s="53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53">
        <v>20</v>
      </c>
      <c r="F179" s="53">
        <v>20</v>
      </c>
      <c r="G179" s="53">
        <v>20</v>
      </c>
      <c r="H179" s="53">
        <v>20</v>
      </c>
      <c r="I179" s="53">
        <v>20</v>
      </c>
      <c r="J179" s="53">
        <v>20</v>
      </c>
      <c r="K179" s="53">
        <v>20</v>
      </c>
      <c r="L179" s="53">
        <v>20</v>
      </c>
      <c r="M179" s="53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55">
        <v>212.90273464055423</v>
      </c>
      <c r="F180" s="55">
        <v>180.29847756137553</v>
      </c>
      <c r="G180" s="55">
        <v>140.44328080448224</v>
      </c>
      <c r="H180" s="55">
        <v>113.16977842477434</v>
      </c>
      <c r="I180" s="55">
        <v>107.31263157894738</v>
      </c>
      <c r="J180" s="55">
        <v>107.00631578947369</v>
      </c>
      <c r="K180" s="55">
        <v>105.98526315789475</v>
      </c>
      <c r="L180" s="55">
        <v>103.84105263157896</v>
      </c>
      <c r="M180" s="55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56">
        <v>0.2</v>
      </c>
      <c r="F181" s="56">
        <v>0.2</v>
      </c>
      <c r="G181" s="56">
        <v>0.2</v>
      </c>
      <c r="H181" s="56">
        <v>0.2</v>
      </c>
      <c r="I181" s="56">
        <v>0.2</v>
      </c>
      <c r="J181" s="56">
        <v>0.2</v>
      </c>
      <c r="K181" s="56">
        <v>0.2</v>
      </c>
      <c r="L181" s="56">
        <v>0.2</v>
      </c>
      <c r="M181" s="56">
        <v>0.2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53"/>
      <c r="F182" s="53"/>
      <c r="G182" s="53"/>
      <c r="H182" s="53"/>
      <c r="I182" s="53"/>
      <c r="J182" s="53"/>
      <c r="K182" s="53"/>
      <c r="L182" s="53"/>
      <c r="M182" s="53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55">
        <v>6.3870820392166268</v>
      </c>
      <c r="F183" s="55">
        <v>5.4089543268412656</v>
      </c>
      <c r="G183" s="55">
        <v>4.2132984241344671</v>
      </c>
      <c r="H183" s="55">
        <v>3.3950933527432299</v>
      </c>
      <c r="I183" s="55">
        <v>2.0378947368421052</v>
      </c>
      <c r="J183" s="55">
        <v>2.0189473684210526</v>
      </c>
      <c r="K183" s="55">
        <v>1.9557894736842103</v>
      </c>
      <c r="L183" s="55">
        <v>1.8231578947368419</v>
      </c>
      <c r="M183" s="55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1.6357894736842103E-3</v>
      </c>
      <c r="L184" s="55">
        <v>1.5031578947368419E-3</v>
      </c>
      <c r="M184" s="55">
        <v>1.2378947368421051E-3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55">
        <v>0</v>
      </c>
      <c r="F185" s="55">
        <v>0</v>
      </c>
      <c r="G185" s="55">
        <v>0</v>
      </c>
      <c r="H185" s="55">
        <v>0</v>
      </c>
      <c r="I185" s="55">
        <v>0</v>
      </c>
      <c r="J185" s="55">
        <v>0</v>
      </c>
      <c r="K185" s="55">
        <v>0</v>
      </c>
      <c r="L185" s="55">
        <v>0</v>
      </c>
      <c r="M185" s="55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56">
        <v>0.96599999999999986</v>
      </c>
      <c r="F186" s="56">
        <v>0.96599999999999986</v>
      </c>
      <c r="G186" s="56">
        <v>0.96599999999999986</v>
      </c>
      <c r="H186" s="56">
        <v>0.96599999999999986</v>
      </c>
      <c r="I186" s="56">
        <v>0.96599999999999986</v>
      </c>
      <c r="J186" s="56">
        <v>0.96599999999999986</v>
      </c>
      <c r="K186" s="56">
        <v>0.99</v>
      </c>
      <c r="L186" s="56">
        <v>0.99</v>
      </c>
      <c r="M186" s="56">
        <v>0.99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55">
        <v>1524.6</v>
      </c>
      <c r="F187" s="55">
        <v>1749.6</v>
      </c>
      <c r="G187" s="55">
        <v>2349.6</v>
      </c>
      <c r="H187" s="55">
        <v>3174.6</v>
      </c>
      <c r="I187" s="55">
        <v>4299.6000000000004</v>
      </c>
      <c r="J187" s="55">
        <v>14213</v>
      </c>
      <c r="K187" s="55">
        <v>21713</v>
      </c>
      <c r="L187" s="55">
        <v>37463</v>
      </c>
      <c r="M187" s="55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53">
        <v>40</v>
      </c>
      <c r="F188" s="53">
        <v>40</v>
      </c>
      <c r="G188" s="53">
        <v>40</v>
      </c>
      <c r="H188" s="53">
        <v>40</v>
      </c>
      <c r="I188" s="53">
        <v>40</v>
      </c>
      <c r="J188" s="53">
        <v>40</v>
      </c>
      <c r="K188" s="53">
        <v>40</v>
      </c>
      <c r="L188" s="53">
        <v>40</v>
      </c>
      <c r="M188" s="53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60">
        <v>0.3125</v>
      </c>
      <c r="F189" s="60">
        <v>0.3125</v>
      </c>
      <c r="G189" s="60">
        <v>0.3125</v>
      </c>
      <c r="H189" s="60">
        <v>0.3125</v>
      </c>
      <c r="I189" s="60">
        <v>0.3125</v>
      </c>
      <c r="J189" s="60">
        <v>0.3125</v>
      </c>
      <c r="K189" s="60">
        <v>0.3125</v>
      </c>
      <c r="L189" s="60">
        <v>0.3125</v>
      </c>
      <c r="M189" s="60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53">
        <v>0.64</v>
      </c>
      <c r="F190" s="53">
        <v>0.64</v>
      </c>
      <c r="G190" s="53">
        <v>0.64</v>
      </c>
      <c r="H190" s="53">
        <v>0.64</v>
      </c>
      <c r="I190" s="53">
        <v>0.64</v>
      </c>
      <c r="J190" s="53">
        <v>0.64</v>
      </c>
      <c r="K190" s="53">
        <v>0.64</v>
      </c>
      <c r="L190" s="53">
        <v>0.64</v>
      </c>
      <c r="M190" s="53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53">
        <v>20</v>
      </c>
      <c r="F191" s="53">
        <v>20</v>
      </c>
      <c r="G191" s="53">
        <v>20</v>
      </c>
      <c r="H191" s="53">
        <v>20</v>
      </c>
      <c r="I191" s="53">
        <v>20</v>
      </c>
      <c r="J191" s="53">
        <v>20</v>
      </c>
      <c r="K191" s="53">
        <v>20</v>
      </c>
      <c r="L191" s="53">
        <v>20</v>
      </c>
      <c r="M191" s="53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61">
        <v>946.15063293358571</v>
      </c>
      <c r="F192" s="55">
        <v>932.03126095799144</v>
      </c>
      <c r="G192" s="55">
        <v>894.37960235640639</v>
      </c>
      <c r="H192" s="55">
        <v>842.60857177922708</v>
      </c>
      <c r="I192" s="55">
        <v>772.01171190125524</v>
      </c>
      <c r="J192" s="55">
        <v>630.81799214531168</v>
      </c>
      <c r="K192" s="55">
        <v>538.57142857142856</v>
      </c>
      <c r="L192" s="55">
        <v>538.57142857142856</v>
      </c>
      <c r="M192" s="55">
        <v>538.57142857142856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56">
        <v>0</v>
      </c>
      <c r="F193" s="56">
        <v>0.35</v>
      </c>
      <c r="G193" s="56">
        <v>0.35</v>
      </c>
      <c r="H193" s="56">
        <v>0.35</v>
      </c>
      <c r="I193" s="56">
        <v>0.35</v>
      </c>
      <c r="J193" s="56">
        <v>0.35</v>
      </c>
      <c r="K193" s="56">
        <v>0.35</v>
      </c>
      <c r="L193" s="56">
        <v>0.35</v>
      </c>
      <c r="M193" s="56">
        <v>0.35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55">
        <v>56.686008836524309</v>
      </c>
      <c r="F194" s="55">
        <v>74.027687776141391</v>
      </c>
      <c r="G194" s="55">
        <v>120.27216494845361</v>
      </c>
      <c r="H194" s="55">
        <v>183.85832106038291</v>
      </c>
      <c r="I194" s="55">
        <v>270.56671575846832</v>
      </c>
      <c r="J194" s="55">
        <v>443.98350515463915</v>
      </c>
      <c r="K194" s="55">
        <v>617.40029455081003</v>
      </c>
      <c r="L194" s="55">
        <v>617.40029455081003</v>
      </c>
      <c r="M194" s="55">
        <v>617.40029455081003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53"/>
      <c r="F195" s="53"/>
      <c r="G195" s="53"/>
      <c r="H195" s="53"/>
      <c r="I195" s="53"/>
      <c r="J195" s="53"/>
      <c r="K195" s="53"/>
      <c r="L195" s="53"/>
      <c r="M195" s="53"/>
    </row>
    <row r="196" spans="1:14" x14ac:dyDescent="0.25">
      <c r="A196" s="208"/>
      <c r="B196" s="225"/>
      <c r="C196" s="25" t="s">
        <v>135</v>
      </c>
      <c r="D196" s="1" t="s">
        <v>10</v>
      </c>
      <c r="E196" s="53"/>
      <c r="F196" s="53"/>
      <c r="G196" s="53"/>
      <c r="H196" s="53"/>
      <c r="I196" s="53"/>
      <c r="J196" s="53"/>
      <c r="K196" s="53"/>
      <c r="L196" s="53"/>
      <c r="M196" s="53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53"/>
      <c r="F197" s="53"/>
      <c r="G197" s="53"/>
      <c r="H197" s="53"/>
      <c r="I197" s="53"/>
      <c r="J197" s="53"/>
      <c r="K197" s="53"/>
      <c r="L197" s="53"/>
      <c r="M197" s="53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53">
        <v>1</v>
      </c>
      <c r="F198" s="53">
        <v>1</v>
      </c>
      <c r="G198" s="53">
        <v>1</v>
      </c>
      <c r="H198" s="53">
        <v>1</v>
      </c>
      <c r="I198" s="53">
        <v>1</v>
      </c>
      <c r="J198" s="53">
        <v>1</v>
      </c>
      <c r="K198" s="53">
        <v>1</v>
      </c>
      <c r="L198" s="53">
        <v>1</v>
      </c>
      <c r="M198" s="53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53">
        <v>0.65</v>
      </c>
      <c r="F199" s="53">
        <v>0.65</v>
      </c>
      <c r="G199" s="53">
        <v>0.65</v>
      </c>
      <c r="H199" s="53">
        <v>0.65</v>
      </c>
      <c r="I199" s="53">
        <v>0.65</v>
      </c>
      <c r="J199" s="53">
        <v>0.65</v>
      </c>
      <c r="K199" s="53">
        <v>0.65</v>
      </c>
      <c r="L199" s="53">
        <v>0.65</v>
      </c>
      <c r="M199" s="53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53">
        <v>20</v>
      </c>
      <c r="F200" s="53">
        <v>20</v>
      </c>
      <c r="G200" s="53">
        <v>20</v>
      </c>
      <c r="H200" s="53">
        <v>20</v>
      </c>
      <c r="I200" s="53">
        <v>20</v>
      </c>
      <c r="J200" s="53">
        <v>20</v>
      </c>
      <c r="K200" s="53">
        <v>20</v>
      </c>
      <c r="L200" s="53">
        <v>20</v>
      </c>
      <c r="M200" s="53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55">
        <v>212.90273464055423</v>
      </c>
      <c r="F201" s="55">
        <v>180.29847756137553</v>
      </c>
      <c r="G201" s="55">
        <v>140.44328080448224</v>
      </c>
      <c r="H201" s="55">
        <v>113.16977842477434</v>
      </c>
      <c r="I201" s="55">
        <v>107.31263157894738</v>
      </c>
      <c r="J201" s="55">
        <v>107.00631578947369</v>
      </c>
      <c r="K201" s="55">
        <v>105.98526315789475</v>
      </c>
      <c r="L201" s="55">
        <v>103.84105263157896</v>
      </c>
      <c r="M201" s="55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56">
        <v>0.2</v>
      </c>
      <c r="F202" s="56">
        <v>0.2</v>
      </c>
      <c r="G202" s="56">
        <v>0.2</v>
      </c>
      <c r="H202" s="56">
        <v>0.2</v>
      </c>
      <c r="I202" s="56">
        <v>0.2</v>
      </c>
      <c r="J202" s="56">
        <v>0.2</v>
      </c>
      <c r="K202" s="56">
        <v>0.2</v>
      </c>
      <c r="L202" s="56">
        <v>0.2</v>
      </c>
      <c r="M202" s="56">
        <v>0.2</v>
      </c>
    </row>
    <row r="203" spans="1:14" x14ac:dyDescent="0.25">
      <c r="A203" s="208"/>
      <c r="B203" s="225"/>
      <c r="C203" s="25" t="s">
        <v>114</v>
      </c>
      <c r="D203" s="1" t="s">
        <v>8</v>
      </c>
      <c r="E203" s="53"/>
      <c r="F203" s="53"/>
      <c r="G203" s="53"/>
      <c r="H203" s="53"/>
      <c r="I203" s="53"/>
      <c r="J203" s="53"/>
      <c r="K203" s="53"/>
      <c r="L203" s="53"/>
      <c r="M203" s="53"/>
    </row>
    <row r="204" spans="1:14" x14ac:dyDescent="0.25">
      <c r="A204" s="208"/>
      <c r="B204" s="225"/>
      <c r="C204" s="25" t="s">
        <v>115</v>
      </c>
      <c r="D204" s="1" t="s">
        <v>9</v>
      </c>
      <c r="E204" s="55">
        <v>6.3870820392166268</v>
      </c>
      <c r="F204" s="55">
        <v>5.4089543268412656</v>
      </c>
      <c r="G204" s="55">
        <v>4.2132984241344671</v>
      </c>
      <c r="H204" s="55">
        <v>3.3950933527432299</v>
      </c>
      <c r="I204" s="55">
        <v>2.0378947368421052</v>
      </c>
      <c r="J204" s="55">
        <v>2.0189473684210526</v>
      </c>
      <c r="K204" s="55">
        <v>1.9557894736842103</v>
      </c>
      <c r="L204" s="55">
        <v>1.8231578947368419</v>
      </c>
      <c r="M204" s="55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55">
        <v>0</v>
      </c>
      <c r="F205" s="55">
        <v>0</v>
      </c>
      <c r="G205" s="55">
        <v>0</v>
      </c>
      <c r="H205" s="55">
        <v>0</v>
      </c>
      <c r="I205" s="55">
        <v>0</v>
      </c>
      <c r="J205" s="55">
        <v>0</v>
      </c>
      <c r="K205" s="55">
        <v>1.6357894736842103E-3</v>
      </c>
      <c r="L205" s="55">
        <v>1.5031578947368419E-3</v>
      </c>
      <c r="M205" s="55">
        <v>1.2378947368421051E-3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55">
        <v>0</v>
      </c>
      <c r="F206" s="55">
        <v>0</v>
      </c>
      <c r="G206" s="55">
        <v>0</v>
      </c>
      <c r="H206" s="55">
        <v>0</v>
      </c>
      <c r="I206" s="55">
        <v>0</v>
      </c>
      <c r="J206" s="55">
        <v>0</v>
      </c>
      <c r="K206" s="55">
        <v>0</v>
      </c>
      <c r="L206" s="55">
        <v>0</v>
      </c>
      <c r="M206" s="55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56">
        <v>0.96599999999999986</v>
      </c>
      <c r="F207" s="56">
        <v>0.96599999999999986</v>
      </c>
      <c r="G207" s="56">
        <v>0.96599999999999986</v>
      </c>
      <c r="H207" s="56">
        <v>0.96599999999999986</v>
      </c>
      <c r="I207" s="56">
        <v>0.96599999999999986</v>
      </c>
      <c r="J207" s="56">
        <v>0.96599999999999986</v>
      </c>
      <c r="K207" s="56">
        <v>0.99</v>
      </c>
      <c r="L207" s="56">
        <v>0.99</v>
      </c>
      <c r="M207" s="56">
        <v>0.99</v>
      </c>
    </row>
    <row r="208" spans="1:14" x14ac:dyDescent="0.25">
      <c r="A208" s="208"/>
      <c r="B208" s="225"/>
      <c r="C208" s="25" t="s">
        <v>26</v>
      </c>
      <c r="D208" s="1" t="s">
        <v>14</v>
      </c>
      <c r="E208" s="55">
        <v>1524.6</v>
      </c>
      <c r="F208" s="55">
        <v>1749.6</v>
      </c>
      <c r="G208" s="55">
        <v>2349.6</v>
      </c>
      <c r="H208" s="55">
        <v>3174.6</v>
      </c>
      <c r="I208" s="55">
        <v>4299.6000000000004</v>
      </c>
      <c r="J208" s="55">
        <v>14213</v>
      </c>
      <c r="K208" s="55">
        <v>21713</v>
      </c>
      <c r="L208" s="55">
        <v>37463</v>
      </c>
      <c r="M208" s="55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53">
        <v>40</v>
      </c>
      <c r="F209" s="53">
        <v>40</v>
      </c>
      <c r="G209" s="53">
        <v>40</v>
      </c>
      <c r="H209" s="53">
        <v>40</v>
      </c>
      <c r="I209" s="53">
        <v>40</v>
      </c>
      <c r="J209" s="53">
        <v>40</v>
      </c>
      <c r="K209" s="53">
        <v>40</v>
      </c>
      <c r="L209" s="53">
        <v>40</v>
      </c>
      <c r="M209" s="53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60">
        <v>0.546875</v>
      </c>
      <c r="F210" s="60">
        <v>0.546875</v>
      </c>
      <c r="G210" s="60">
        <v>0.54687499999999989</v>
      </c>
      <c r="H210" s="60">
        <v>0.546875</v>
      </c>
      <c r="I210" s="60">
        <v>0.546875</v>
      </c>
      <c r="J210" s="60">
        <v>0.546875</v>
      </c>
      <c r="K210" s="60">
        <v>0.546875</v>
      </c>
      <c r="L210" s="60">
        <v>0.546875</v>
      </c>
      <c r="M210" s="60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53">
        <v>0.64</v>
      </c>
      <c r="F211" s="53">
        <v>0.64</v>
      </c>
      <c r="G211" s="53">
        <v>0.64</v>
      </c>
      <c r="H211" s="53">
        <v>0.64</v>
      </c>
      <c r="I211" s="53">
        <v>0.64</v>
      </c>
      <c r="J211" s="53">
        <v>0.64</v>
      </c>
      <c r="K211" s="53">
        <v>0.64</v>
      </c>
      <c r="L211" s="53">
        <v>0.64</v>
      </c>
      <c r="M211" s="53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53">
        <v>20</v>
      </c>
      <c r="F212" s="53">
        <v>20</v>
      </c>
      <c r="G212" s="53">
        <v>20</v>
      </c>
      <c r="H212" s="53">
        <v>20</v>
      </c>
      <c r="I212" s="53">
        <v>20</v>
      </c>
      <c r="J212" s="53">
        <v>20</v>
      </c>
      <c r="K212" s="53">
        <v>20</v>
      </c>
      <c r="L212" s="53">
        <v>20</v>
      </c>
      <c r="M212" s="53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61">
        <v>935.56110395189</v>
      </c>
      <c r="F213" s="55">
        <v>910.85220299459979</v>
      </c>
      <c r="G213" s="55">
        <v>844.9618004418262</v>
      </c>
      <c r="H213" s="55">
        <v>754.36249693176228</v>
      </c>
      <c r="I213" s="55">
        <v>630.81799214531168</v>
      </c>
      <c r="J213" s="55">
        <v>538.57142857142856</v>
      </c>
      <c r="K213" s="55">
        <v>538.57142857142856</v>
      </c>
      <c r="L213" s="55">
        <v>538.57142857142856</v>
      </c>
      <c r="M213" s="55">
        <v>538.57142857142856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56">
        <v>0.35</v>
      </c>
      <c r="F214" s="56">
        <v>0.35</v>
      </c>
      <c r="G214" s="56">
        <v>0.35</v>
      </c>
      <c r="H214" s="56">
        <v>0.35</v>
      </c>
      <c r="I214" s="56">
        <v>0.35</v>
      </c>
      <c r="J214" s="56">
        <v>0.35</v>
      </c>
      <c r="K214" s="56">
        <v>0.35</v>
      </c>
      <c r="L214" s="56">
        <v>0.35</v>
      </c>
      <c r="M214" s="56">
        <v>0.35</v>
      </c>
    </row>
    <row r="215" spans="1:13" x14ac:dyDescent="0.25">
      <c r="A215" s="208"/>
      <c r="B215" s="225"/>
      <c r="C215" s="25" t="s">
        <v>133</v>
      </c>
      <c r="D215" s="1" t="s">
        <v>8</v>
      </c>
      <c r="E215" s="55">
        <v>56.686008836524309</v>
      </c>
      <c r="F215" s="55">
        <v>74.027687776141391</v>
      </c>
      <c r="G215" s="55">
        <v>120.27216494845361</v>
      </c>
      <c r="H215" s="55">
        <v>183.85832106038291</v>
      </c>
      <c r="I215" s="55">
        <v>270.56671575846832</v>
      </c>
      <c r="J215" s="55">
        <v>443.98350515463915</v>
      </c>
      <c r="K215" s="55">
        <v>617.40029455081003</v>
      </c>
      <c r="L215" s="55">
        <v>617.40029455081003</v>
      </c>
      <c r="M215" s="55">
        <v>617.40029455081003</v>
      </c>
    </row>
    <row r="216" spans="1:13" x14ac:dyDescent="0.25">
      <c r="A216" s="208"/>
      <c r="B216" s="225"/>
      <c r="C216" s="25" t="s">
        <v>134</v>
      </c>
      <c r="D216" s="1" t="s">
        <v>9</v>
      </c>
      <c r="E216" s="53"/>
      <c r="F216" s="53"/>
      <c r="G216" s="53"/>
      <c r="H216" s="53"/>
      <c r="I216" s="53"/>
      <c r="J216" s="53"/>
      <c r="K216" s="53"/>
      <c r="L216" s="53"/>
      <c r="M216" s="53"/>
    </row>
    <row r="217" spans="1:13" x14ac:dyDescent="0.25">
      <c r="A217" s="208"/>
      <c r="B217" s="225"/>
      <c r="C217" s="25" t="s">
        <v>135</v>
      </c>
      <c r="D217" s="1" t="s">
        <v>10</v>
      </c>
      <c r="E217" s="53"/>
      <c r="F217" s="53"/>
      <c r="G217" s="53"/>
      <c r="H217" s="53"/>
      <c r="I217" s="53"/>
      <c r="J217" s="53"/>
      <c r="K217" s="53"/>
      <c r="L217" s="53"/>
      <c r="M217" s="53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53"/>
      <c r="F218" s="53"/>
      <c r="G218" s="53"/>
      <c r="H218" s="53"/>
      <c r="I218" s="53"/>
      <c r="J218" s="53"/>
      <c r="K218" s="53"/>
      <c r="L218" s="53"/>
      <c r="M218" s="53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60">
        <v>1</v>
      </c>
      <c r="F219" s="60">
        <v>1</v>
      </c>
      <c r="G219" s="60">
        <v>1</v>
      </c>
      <c r="H219" s="60">
        <v>1</v>
      </c>
      <c r="I219" s="60">
        <v>1</v>
      </c>
      <c r="J219" s="60">
        <v>1</v>
      </c>
      <c r="K219" s="60">
        <v>1</v>
      </c>
      <c r="L219" s="60">
        <v>1</v>
      </c>
      <c r="M219" s="60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53">
        <v>0.8</v>
      </c>
      <c r="F220" s="53">
        <v>0.8</v>
      </c>
      <c r="G220" s="53">
        <v>0.8</v>
      </c>
      <c r="H220" s="53">
        <v>0.8</v>
      </c>
      <c r="I220" s="53">
        <v>0.8</v>
      </c>
      <c r="J220" s="53">
        <v>0.8</v>
      </c>
      <c r="K220" s="53">
        <v>0.8</v>
      </c>
      <c r="L220" s="53">
        <v>0.8</v>
      </c>
      <c r="M220" s="53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53">
        <v>20</v>
      </c>
      <c r="F221" s="53">
        <v>20</v>
      </c>
      <c r="G221" s="53">
        <v>20</v>
      </c>
      <c r="H221" s="53">
        <v>20</v>
      </c>
      <c r="I221" s="53">
        <v>20</v>
      </c>
      <c r="J221" s="53">
        <v>20</v>
      </c>
      <c r="K221" s="53">
        <v>20</v>
      </c>
      <c r="L221" s="53">
        <v>20</v>
      </c>
      <c r="M221" s="53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55">
        <v>865.6981523557846</v>
      </c>
      <c r="F222" s="55">
        <v>618.18184751144668</v>
      </c>
      <c r="G222" s="55">
        <v>482.31953407260886</v>
      </c>
      <c r="H222" s="55">
        <v>482.31953407260886</v>
      </c>
      <c r="I222" s="55">
        <v>482.31953407260886</v>
      </c>
      <c r="J222" s="55">
        <v>482.31953407260886</v>
      </c>
      <c r="K222" s="55">
        <v>1136.3124641115969</v>
      </c>
      <c r="L222" s="55">
        <v>988.42533284709032</v>
      </c>
      <c r="M222" s="55">
        <v>868.76381718516643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56">
        <v>0.35</v>
      </c>
      <c r="F223" s="56">
        <v>0.35</v>
      </c>
      <c r="G223" s="56">
        <v>0.35</v>
      </c>
      <c r="H223" s="56">
        <v>0.35</v>
      </c>
      <c r="I223" s="56">
        <v>0.35</v>
      </c>
      <c r="J223" s="56">
        <v>0.35</v>
      </c>
      <c r="K223" s="56">
        <v>0.35</v>
      </c>
      <c r="L223" s="56">
        <v>0.35</v>
      </c>
      <c r="M223" s="56">
        <v>0.35</v>
      </c>
    </row>
    <row r="224" spans="1:13" x14ac:dyDescent="0.25">
      <c r="A224" s="227"/>
      <c r="B224" s="230"/>
      <c r="C224" s="25" t="s">
        <v>117</v>
      </c>
      <c r="D224" s="1" t="s">
        <v>8</v>
      </c>
      <c r="E224" s="53"/>
      <c r="F224" s="53"/>
      <c r="G224" s="53"/>
      <c r="H224" s="53"/>
      <c r="I224" s="53"/>
      <c r="J224" s="53"/>
      <c r="K224" s="53"/>
      <c r="L224" s="53"/>
      <c r="M224" s="53"/>
    </row>
    <row r="225" spans="1:13" x14ac:dyDescent="0.25">
      <c r="A225" s="227"/>
      <c r="B225" s="230"/>
      <c r="C225" s="25" t="s">
        <v>118</v>
      </c>
      <c r="D225" s="1" t="s">
        <v>9</v>
      </c>
      <c r="E225" s="53"/>
      <c r="F225" s="53"/>
      <c r="G225" s="53"/>
      <c r="H225" s="53"/>
      <c r="I225" s="53"/>
      <c r="J225" s="53"/>
      <c r="K225" s="53"/>
      <c r="L225" s="53"/>
      <c r="M225" s="53"/>
    </row>
    <row r="226" spans="1:13" x14ac:dyDescent="0.25">
      <c r="A226" s="227"/>
      <c r="B226" s="230"/>
      <c r="C226" s="25" t="s">
        <v>119</v>
      </c>
      <c r="D226" s="1" t="s">
        <v>10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2.1199999999999999E-3</v>
      </c>
      <c r="L226" s="55">
        <v>2.1199999999999999E-3</v>
      </c>
      <c r="M226" s="55">
        <v>2.1199999999999999E-3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55">
        <v>0</v>
      </c>
      <c r="F228" s="55">
        <v>0</v>
      </c>
      <c r="G228" s="55">
        <v>0</v>
      </c>
      <c r="H228" s="55">
        <v>0</v>
      </c>
      <c r="I228" s="55">
        <v>0</v>
      </c>
      <c r="J228" s="55">
        <v>0</v>
      </c>
      <c r="K228" s="55">
        <v>0</v>
      </c>
      <c r="L228" s="55">
        <v>0</v>
      </c>
      <c r="M228" s="55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53">
        <v>3.2399999999999998</v>
      </c>
      <c r="F229" s="53">
        <v>3.2399999999999998</v>
      </c>
      <c r="G229" s="53">
        <v>3.2399999999999998</v>
      </c>
      <c r="H229" s="53">
        <v>3.2399999999999998</v>
      </c>
      <c r="I229" s="53">
        <v>3.2399999999999998</v>
      </c>
      <c r="J229" s="53">
        <v>3.2399999999999998</v>
      </c>
      <c r="K229" s="53">
        <v>3.2399999999999998</v>
      </c>
      <c r="L229" s="53">
        <v>3.2399999999999998</v>
      </c>
      <c r="M229" s="53">
        <v>3.2399999999999998</v>
      </c>
    </row>
    <row r="230" spans="1:13" x14ac:dyDescent="0.25">
      <c r="A230" s="227"/>
      <c r="B230" s="230"/>
      <c r="C230" s="25" t="s">
        <v>33</v>
      </c>
      <c r="D230" s="2" t="s">
        <v>14</v>
      </c>
      <c r="E230" s="53"/>
      <c r="F230" s="53"/>
      <c r="G230" s="53"/>
      <c r="H230" s="53"/>
      <c r="I230" s="53"/>
      <c r="J230" s="53"/>
      <c r="K230" s="53"/>
      <c r="L230" s="53"/>
      <c r="M230" s="53"/>
    </row>
    <row r="231" spans="1:13" x14ac:dyDescent="0.25">
      <c r="A231" s="227"/>
      <c r="B231" s="230"/>
      <c r="C231" s="25" t="s">
        <v>34</v>
      </c>
      <c r="D231" s="2" t="s">
        <v>4</v>
      </c>
      <c r="E231" s="53"/>
      <c r="F231" s="53"/>
      <c r="G231" s="53"/>
      <c r="H231" s="53"/>
      <c r="I231" s="53"/>
      <c r="J231" s="53"/>
      <c r="K231" s="53"/>
      <c r="L231" s="53"/>
      <c r="M231" s="53"/>
    </row>
    <row r="232" spans="1:13" x14ac:dyDescent="0.25">
      <c r="A232" s="227"/>
      <c r="B232" s="230"/>
      <c r="C232" s="25" t="s">
        <v>129</v>
      </c>
      <c r="D232" s="1" t="s">
        <v>19</v>
      </c>
      <c r="E232" s="60">
        <v>0.3125</v>
      </c>
      <c r="F232" s="60">
        <v>0.3125</v>
      </c>
      <c r="G232" s="60">
        <v>0.3125</v>
      </c>
      <c r="H232" s="60">
        <v>0.3125</v>
      </c>
      <c r="I232" s="60">
        <v>0.3125</v>
      </c>
      <c r="J232" s="60">
        <v>0.3125</v>
      </c>
      <c r="K232" s="60">
        <v>0.3125</v>
      </c>
      <c r="L232" s="60">
        <v>0.3125</v>
      </c>
      <c r="M232" s="60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53">
        <v>0.64</v>
      </c>
      <c r="F233" s="53">
        <v>0.64</v>
      </c>
      <c r="G233" s="53">
        <v>0.64</v>
      </c>
      <c r="H233" s="53">
        <v>0.64</v>
      </c>
      <c r="I233" s="53">
        <v>0.64</v>
      </c>
      <c r="J233" s="53">
        <v>0.64</v>
      </c>
      <c r="K233" s="53">
        <v>0.64</v>
      </c>
      <c r="L233" s="53">
        <v>0.64</v>
      </c>
      <c r="M233" s="53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53">
        <v>20</v>
      </c>
      <c r="F234" s="53">
        <v>20</v>
      </c>
      <c r="G234" s="53">
        <v>20</v>
      </c>
      <c r="H234" s="53">
        <v>20</v>
      </c>
      <c r="I234" s="53">
        <v>20</v>
      </c>
      <c r="J234" s="53">
        <v>20</v>
      </c>
      <c r="K234" s="53">
        <v>20</v>
      </c>
      <c r="L234" s="53">
        <v>20</v>
      </c>
      <c r="M234" s="53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61">
        <v>946.15063293358571</v>
      </c>
      <c r="F235" s="61">
        <v>932.03126095799144</v>
      </c>
      <c r="G235" s="61">
        <v>894.37960235640639</v>
      </c>
      <c r="H235" s="61">
        <v>842.60857177922708</v>
      </c>
      <c r="I235" s="61">
        <v>772.01171190125524</v>
      </c>
      <c r="J235" s="61">
        <v>630.81799214531168</v>
      </c>
      <c r="K235" s="61">
        <v>538.57142857142856</v>
      </c>
      <c r="L235" s="61">
        <v>538.57142857142856</v>
      </c>
      <c r="M235" s="61">
        <v>538.57142857142856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56">
        <v>0.35</v>
      </c>
      <c r="F236" s="56">
        <v>0.35</v>
      </c>
      <c r="G236" s="56">
        <v>0.35</v>
      </c>
      <c r="H236" s="56">
        <v>0.35</v>
      </c>
      <c r="I236" s="56">
        <v>0.35</v>
      </c>
      <c r="J236" s="56">
        <v>0.35</v>
      </c>
      <c r="K236" s="56">
        <v>0.35</v>
      </c>
      <c r="L236" s="56">
        <v>0.35</v>
      </c>
      <c r="M236" s="56">
        <v>0.35</v>
      </c>
    </row>
    <row r="237" spans="1:13" x14ac:dyDescent="0.25">
      <c r="A237" s="227"/>
      <c r="B237" s="230"/>
      <c r="C237" s="25" t="s">
        <v>133</v>
      </c>
      <c r="D237" s="1" t="s">
        <v>8</v>
      </c>
      <c r="E237" s="55">
        <v>56.686008836524309</v>
      </c>
      <c r="F237" s="55">
        <v>74.027687776141391</v>
      </c>
      <c r="G237" s="55">
        <v>120.27216494845361</v>
      </c>
      <c r="H237" s="55">
        <v>183.85832106038291</v>
      </c>
      <c r="I237" s="55">
        <v>270.56671575846832</v>
      </c>
      <c r="J237" s="55">
        <v>443.98350515463915</v>
      </c>
      <c r="K237" s="55">
        <v>617.40029455081003</v>
      </c>
      <c r="L237" s="55">
        <v>617.40029455081003</v>
      </c>
      <c r="M237" s="55">
        <v>617.40029455081003</v>
      </c>
    </row>
    <row r="238" spans="1:13" x14ac:dyDescent="0.25">
      <c r="A238" s="227"/>
      <c r="B238" s="230"/>
      <c r="C238" s="25" t="s">
        <v>134</v>
      </c>
      <c r="D238" s="1" t="s">
        <v>9</v>
      </c>
      <c r="E238" s="53"/>
      <c r="F238" s="53"/>
      <c r="G238" s="53"/>
      <c r="H238" s="53"/>
      <c r="I238" s="53"/>
      <c r="J238" s="53"/>
      <c r="K238" s="53"/>
      <c r="L238" s="53"/>
      <c r="M238" s="53"/>
    </row>
    <row r="239" spans="1:13" x14ac:dyDescent="0.25">
      <c r="A239" s="227"/>
      <c r="B239" s="230"/>
      <c r="C239" s="25" t="s">
        <v>135</v>
      </c>
      <c r="D239" s="1" t="s">
        <v>10</v>
      </c>
      <c r="E239" s="53"/>
      <c r="F239" s="53"/>
      <c r="G239" s="53"/>
      <c r="H239" s="53"/>
      <c r="I239" s="53"/>
      <c r="J239" s="53"/>
      <c r="K239" s="53"/>
      <c r="L239" s="53"/>
      <c r="M239" s="53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53"/>
      <c r="F240" s="53"/>
      <c r="G240" s="53"/>
      <c r="H240" s="53"/>
      <c r="I240" s="53"/>
      <c r="J240" s="53"/>
      <c r="K240" s="53"/>
      <c r="L240" s="53"/>
      <c r="M240" s="53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60">
        <v>1</v>
      </c>
      <c r="F241" s="60">
        <v>1</v>
      </c>
      <c r="G241" s="60">
        <v>1</v>
      </c>
      <c r="H241" s="60">
        <v>1</v>
      </c>
      <c r="I241" s="60">
        <v>1</v>
      </c>
      <c r="J241" s="60">
        <v>1</v>
      </c>
      <c r="K241" s="60">
        <v>1</v>
      </c>
      <c r="L241" s="60">
        <v>1</v>
      </c>
      <c r="M241" s="60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53">
        <v>0.65</v>
      </c>
      <c r="F242" s="53">
        <v>0.65</v>
      </c>
      <c r="G242" s="53">
        <v>0.65</v>
      </c>
      <c r="H242" s="53">
        <v>0.65</v>
      </c>
      <c r="I242" s="53">
        <v>0.65</v>
      </c>
      <c r="J242" s="53">
        <v>0.65</v>
      </c>
      <c r="K242" s="53">
        <v>0.65</v>
      </c>
      <c r="L242" s="53">
        <v>0.65</v>
      </c>
      <c r="M242" s="53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53">
        <v>20</v>
      </c>
      <c r="F243" s="53">
        <v>20</v>
      </c>
      <c r="G243" s="53">
        <v>20</v>
      </c>
      <c r="H243" s="53">
        <v>20</v>
      </c>
      <c r="I243" s="53">
        <v>20</v>
      </c>
      <c r="J243" s="53">
        <v>20</v>
      </c>
      <c r="K243" s="53">
        <v>20</v>
      </c>
      <c r="L243" s="53">
        <v>20</v>
      </c>
      <c r="M243" s="53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55">
        <v>865.6981523557846</v>
      </c>
      <c r="F244" s="55">
        <v>618.18184751144668</v>
      </c>
      <c r="G244" s="55">
        <v>482.31953407260886</v>
      </c>
      <c r="H244" s="55">
        <v>482.31953407260886</v>
      </c>
      <c r="I244" s="55">
        <v>482.31953407260886</v>
      </c>
      <c r="J244" s="55">
        <v>482.31953407260886</v>
      </c>
      <c r="K244" s="55">
        <v>1136.3124641115969</v>
      </c>
      <c r="L244" s="55">
        <v>988.42533284709032</v>
      </c>
      <c r="M244" s="55">
        <v>868.76381718516643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56">
        <v>0.35</v>
      </c>
      <c r="F245" s="56">
        <v>0.35</v>
      </c>
      <c r="G245" s="56">
        <v>0.35</v>
      </c>
      <c r="H245" s="56">
        <v>0.35</v>
      </c>
      <c r="I245" s="56">
        <v>0.35</v>
      </c>
      <c r="J245" s="56">
        <v>0.35</v>
      </c>
      <c r="K245" s="56">
        <v>0.35</v>
      </c>
      <c r="L245" s="56">
        <v>0.35</v>
      </c>
      <c r="M245" s="56">
        <v>0.35</v>
      </c>
    </row>
    <row r="246" spans="1:13" x14ac:dyDescent="0.25">
      <c r="A246" s="227"/>
      <c r="B246" s="230"/>
      <c r="C246" s="25" t="s">
        <v>117</v>
      </c>
      <c r="D246" s="1" t="s">
        <v>8</v>
      </c>
      <c r="E246" s="53"/>
      <c r="F246" s="53"/>
      <c r="G246" s="53"/>
      <c r="H246" s="53"/>
      <c r="I246" s="53"/>
      <c r="J246" s="53"/>
      <c r="K246" s="53"/>
      <c r="L246" s="53"/>
      <c r="M246" s="53"/>
    </row>
    <row r="247" spans="1:13" x14ac:dyDescent="0.25">
      <c r="A247" s="227"/>
      <c r="B247" s="230"/>
      <c r="C247" s="25" t="s">
        <v>118</v>
      </c>
      <c r="D247" s="1" t="s">
        <v>9</v>
      </c>
      <c r="E247" s="53"/>
      <c r="F247" s="53"/>
      <c r="G247" s="53"/>
      <c r="H247" s="53"/>
      <c r="I247" s="53"/>
      <c r="J247" s="53"/>
      <c r="K247" s="53"/>
      <c r="L247" s="53"/>
      <c r="M247" s="53"/>
    </row>
    <row r="248" spans="1:13" x14ac:dyDescent="0.25">
      <c r="A248" s="227"/>
      <c r="B248" s="230"/>
      <c r="C248" s="25" t="s">
        <v>119</v>
      </c>
      <c r="D248" s="1" t="s">
        <v>10</v>
      </c>
      <c r="E248" s="55">
        <v>0</v>
      </c>
      <c r="F248" s="55">
        <v>0</v>
      </c>
      <c r="G248" s="55">
        <v>0</v>
      </c>
      <c r="H248" s="55">
        <v>0</v>
      </c>
      <c r="I248" s="55">
        <v>0</v>
      </c>
      <c r="J248" s="55">
        <v>0</v>
      </c>
      <c r="K248" s="55">
        <v>2.1199999999999999E-3</v>
      </c>
      <c r="L248" s="55">
        <v>2.1199999999999999E-3</v>
      </c>
      <c r="M248" s="55">
        <v>2.1199999999999999E-3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55">
        <v>0</v>
      </c>
      <c r="F249" s="55">
        <v>0</v>
      </c>
      <c r="G249" s="55">
        <v>0</v>
      </c>
      <c r="H249" s="55">
        <v>0</v>
      </c>
      <c r="I249" s="55">
        <v>0</v>
      </c>
      <c r="J249" s="55">
        <v>0</v>
      </c>
      <c r="K249" s="55">
        <v>0</v>
      </c>
      <c r="L249" s="55">
        <v>0</v>
      </c>
      <c r="M249" s="55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53">
        <v>3.2399999999999998</v>
      </c>
      <c r="F251" s="53">
        <v>3.2399999999999998</v>
      </c>
      <c r="G251" s="53">
        <v>3.2399999999999998</v>
      </c>
      <c r="H251" s="53">
        <v>3.2399999999999998</v>
      </c>
      <c r="I251" s="53">
        <v>3.2399999999999998</v>
      </c>
      <c r="J251" s="53">
        <v>3.2399999999999998</v>
      </c>
      <c r="K251" s="53">
        <v>3.2399999999999998</v>
      </c>
      <c r="L251" s="53">
        <v>3.2399999999999998</v>
      </c>
      <c r="M251" s="53">
        <v>3.2399999999999998</v>
      </c>
    </row>
    <row r="252" spans="1:13" x14ac:dyDescent="0.25">
      <c r="A252" s="227"/>
      <c r="B252" s="230"/>
      <c r="C252" s="25" t="s">
        <v>33</v>
      </c>
      <c r="D252" s="2" t="s">
        <v>14</v>
      </c>
      <c r="E252" s="53"/>
      <c r="F252" s="53"/>
      <c r="G252" s="53"/>
      <c r="H252" s="53"/>
      <c r="I252" s="53"/>
      <c r="J252" s="53"/>
      <c r="K252" s="53"/>
      <c r="L252" s="53"/>
      <c r="M252" s="53"/>
    </row>
    <row r="253" spans="1:13" x14ac:dyDescent="0.25">
      <c r="A253" s="227"/>
      <c r="B253" s="230"/>
      <c r="C253" s="25" t="s">
        <v>34</v>
      </c>
      <c r="D253" s="2" t="s">
        <v>4</v>
      </c>
      <c r="E253" s="53"/>
      <c r="F253" s="53"/>
      <c r="G253" s="53"/>
      <c r="H253" s="53"/>
      <c r="I253" s="53"/>
      <c r="J253" s="53"/>
      <c r="K253" s="53"/>
      <c r="L253" s="53"/>
      <c r="M253" s="53"/>
    </row>
    <row r="254" spans="1:13" x14ac:dyDescent="0.25">
      <c r="A254" s="227"/>
      <c r="B254" s="230"/>
      <c r="C254" s="25" t="s">
        <v>129</v>
      </c>
      <c r="D254" s="1" t="s">
        <v>19</v>
      </c>
      <c r="E254" s="60">
        <v>0.546875</v>
      </c>
      <c r="F254" s="60">
        <v>0.546875</v>
      </c>
      <c r="G254" s="60">
        <v>0.54687499999999989</v>
      </c>
      <c r="H254" s="60">
        <v>0.546875</v>
      </c>
      <c r="I254" s="60">
        <v>0.546875</v>
      </c>
      <c r="J254" s="60">
        <v>0.546875</v>
      </c>
      <c r="K254" s="60">
        <v>0.546875</v>
      </c>
      <c r="L254" s="60">
        <v>0.546875</v>
      </c>
      <c r="M254" s="60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53">
        <v>0.64</v>
      </c>
      <c r="F255" s="53">
        <v>0.64</v>
      </c>
      <c r="G255" s="53">
        <v>0.64</v>
      </c>
      <c r="H255" s="53">
        <v>0.64</v>
      </c>
      <c r="I255" s="53">
        <v>0.64</v>
      </c>
      <c r="J255" s="53">
        <v>0.64</v>
      </c>
      <c r="K255" s="53">
        <v>0.64</v>
      </c>
      <c r="L255" s="53">
        <v>0.64</v>
      </c>
      <c r="M255" s="53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53">
        <v>20</v>
      </c>
      <c r="F256" s="53">
        <v>20</v>
      </c>
      <c r="G256" s="53">
        <v>20</v>
      </c>
      <c r="H256" s="53">
        <v>20</v>
      </c>
      <c r="I256" s="53">
        <v>20</v>
      </c>
      <c r="J256" s="53">
        <v>20</v>
      </c>
      <c r="K256" s="53">
        <v>20</v>
      </c>
      <c r="L256" s="53">
        <v>20</v>
      </c>
      <c r="M256" s="53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61">
        <v>935.56110395189</v>
      </c>
      <c r="F257" s="61">
        <v>910.85220299459979</v>
      </c>
      <c r="G257" s="61">
        <v>844.9618004418262</v>
      </c>
      <c r="H257" s="61">
        <v>754.36249693176228</v>
      </c>
      <c r="I257" s="61">
        <v>630.81799214531168</v>
      </c>
      <c r="J257" s="61">
        <v>538.57142857142856</v>
      </c>
      <c r="K257" s="61">
        <v>538.57142857142856</v>
      </c>
      <c r="L257" s="61">
        <v>538.57142857142856</v>
      </c>
      <c r="M257" s="61">
        <v>538.57142857142856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56">
        <v>0.35</v>
      </c>
      <c r="F258" s="56">
        <v>0.35</v>
      </c>
      <c r="G258" s="56">
        <v>0.35</v>
      </c>
      <c r="H258" s="56">
        <v>0.35</v>
      </c>
      <c r="I258" s="56">
        <v>0.35</v>
      </c>
      <c r="J258" s="56">
        <v>0.35</v>
      </c>
      <c r="K258" s="56">
        <v>0.35</v>
      </c>
      <c r="L258" s="56">
        <v>0.35</v>
      </c>
      <c r="M258" s="56">
        <v>0.35</v>
      </c>
    </row>
    <row r="259" spans="1:13" x14ac:dyDescent="0.25">
      <c r="A259" s="227"/>
      <c r="B259" s="230"/>
      <c r="C259" s="25" t="s">
        <v>133</v>
      </c>
      <c r="D259" s="1" t="s">
        <v>8</v>
      </c>
      <c r="E259" s="55">
        <v>56.686008836524309</v>
      </c>
      <c r="F259" s="55">
        <v>74.027687776141391</v>
      </c>
      <c r="G259" s="55">
        <v>120.27216494845361</v>
      </c>
      <c r="H259" s="55">
        <v>183.85832106038291</v>
      </c>
      <c r="I259" s="55">
        <v>270.56671575846832</v>
      </c>
      <c r="J259" s="55">
        <v>443.98350515463915</v>
      </c>
      <c r="K259" s="55">
        <v>617.40029455081003</v>
      </c>
      <c r="L259" s="55">
        <v>617.40029455081003</v>
      </c>
      <c r="M259" s="55">
        <v>617.40029455081003</v>
      </c>
    </row>
    <row r="260" spans="1:13" x14ac:dyDescent="0.25">
      <c r="A260" s="227"/>
      <c r="B260" s="230"/>
      <c r="C260" s="25" t="s">
        <v>134</v>
      </c>
      <c r="D260" s="1" t="s">
        <v>9</v>
      </c>
      <c r="E260" s="53"/>
      <c r="F260" s="53"/>
      <c r="G260" s="53"/>
      <c r="H260" s="53"/>
      <c r="I260" s="53"/>
      <c r="J260" s="53"/>
      <c r="K260" s="53"/>
      <c r="L260" s="53"/>
      <c r="M260" s="53"/>
    </row>
    <row r="261" spans="1:13" x14ac:dyDescent="0.25">
      <c r="A261" s="227"/>
      <c r="B261" s="230"/>
      <c r="C261" s="25" t="s">
        <v>135</v>
      </c>
      <c r="D261" s="1" t="s">
        <v>10</v>
      </c>
      <c r="E261" s="53"/>
      <c r="F261" s="53"/>
      <c r="G261" s="53"/>
      <c r="H261" s="53"/>
      <c r="I261" s="53"/>
      <c r="J261" s="53"/>
      <c r="K261" s="53"/>
      <c r="L261" s="53"/>
      <c r="M261" s="53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53"/>
      <c r="F262" s="53"/>
      <c r="G262" s="53"/>
      <c r="H262" s="53"/>
      <c r="I262" s="53"/>
      <c r="J262" s="53"/>
      <c r="K262" s="53"/>
      <c r="L262" s="53"/>
      <c r="M262" s="53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53">
        <v>40</v>
      </c>
      <c r="F263" s="53">
        <v>40</v>
      </c>
      <c r="G263" s="53">
        <v>40</v>
      </c>
      <c r="H263" s="53">
        <v>40</v>
      </c>
      <c r="I263" s="53">
        <v>40</v>
      </c>
      <c r="J263" s="53">
        <v>40</v>
      </c>
      <c r="K263" s="53">
        <v>40</v>
      </c>
      <c r="L263" s="53">
        <v>40</v>
      </c>
      <c r="M263" s="53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55">
        <v>300</v>
      </c>
      <c r="F264" s="55">
        <v>183.33333333333334</v>
      </c>
      <c r="G264" s="55">
        <v>100</v>
      </c>
      <c r="H264" s="55">
        <v>76</v>
      </c>
      <c r="I264" s="55">
        <v>60</v>
      </c>
      <c r="J264" s="55">
        <v>42.857142857142854</v>
      </c>
      <c r="K264" s="55">
        <v>27.058823529411764</v>
      </c>
      <c r="L264" s="55">
        <v>18.421052631578949</v>
      </c>
      <c r="M264" s="55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56">
        <v>0.35</v>
      </c>
      <c r="F265" s="56">
        <v>0.35</v>
      </c>
      <c r="G265" s="56">
        <v>0.35</v>
      </c>
      <c r="H265" s="56">
        <v>0.35</v>
      </c>
      <c r="I265" s="56">
        <v>0.35</v>
      </c>
      <c r="J265" s="56">
        <v>0.35</v>
      </c>
      <c r="K265" s="56">
        <v>0.35</v>
      </c>
      <c r="L265" s="56">
        <v>0.35</v>
      </c>
      <c r="M265" s="56">
        <v>0.35</v>
      </c>
    </row>
    <row r="266" spans="1:13" x14ac:dyDescent="0.25">
      <c r="A266" s="208"/>
      <c r="B266" s="225"/>
      <c r="C266" s="25" t="s">
        <v>106</v>
      </c>
      <c r="D266" s="1" t="s">
        <v>8</v>
      </c>
      <c r="E266" s="55">
        <v>0</v>
      </c>
      <c r="F266" s="55">
        <v>0</v>
      </c>
      <c r="G266" s="55">
        <v>0</v>
      </c>
      <c r="H266" s="55">
        <v>0</v>
      </c>
      <c r="I266" s="55">
        <v>0</v>
      </c>
      <c r="J266" s="55">
        <v>0</v>
      </c>
      <c r="K266" s="55">
        <v>0</v>
      </c>
      <c r="L266" s="55">
        <v>0</v>
      </c>
      <c r="M266" s="55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53"/>
      <c r="F267" s="53"/>
      <c r="G267" s="53"/>
      <c r="H267" s="53"/>
      <c r="I267" s="53"/>
      <c r="J267" s="53"/>
      <c r="K267" s="53"/>
      <c r="L267" s="53"/>
      <c r="M267" s="53"/>
    </row>
    <row r="268" spans="1:13" x14ac:dyDescent="0.25">
      <c r="A268" s="208"/>
      <c r="B268" s="225"/>
      <c r="C268" s="25" t="s">
        <v>108</v>
      </c>
      <c r="D268" s="1" t="s">
        <v>10</v>
      </c>
      <c r="E268" s="53"/>
      <c r="F268" s="53"/>
      <c r="G268" s="53"/>
      <c r="H268" s="53"/>
      <c r="I268" s="53"/>
      <c r="J268" s="53"/>
      <c r="K268" s="53"/>
      <c r="L268" s="53"/>
      <c r="M268" s="53"/>
    </row>
    <row r="269" spans="1:13" x14ac:dyDescent="0.25">
      <c r="A269" s="208"/>
      <c r="B269" s="225"/>
      <c r="C269" s="26" t="s">
        <v>11</v>
      </c>
      <c r="D269" s="27" t="s">
        <v>10</v>
      </c>
      <c r="E269" s="53"/>
      <c r="F269" s="53"/>
      <c r="G269" s="53"/>
      <c r="H269" s="53"/>
      <c r="I269" s="53"/>
      <c r="J269" s="53"/>
      <c r="K269" s="53"/>
      <c r="L269" s="53"/>
      <c r="M269" s="53"/>
    </row>
    <row r="270" spans="1:13" x14ac:dyDescent="0.25">
      <c r="A270" s="208"/>
      <c r="B270" s="225"/>
      <c r="C270" s="25" t="s">
        <v>12</v>
      </c>
      <c r="D270" s="1" t="s">
        <v>7</v>
      </c>
      <c r="E270" s="56">
        <v>1</v>
      </c>
      <c r="F270" s="56">
        <v>1</v>
      </c>
      <c r="G270" s="56">
        <v>1</v>
      </c>
      <c r="H270" s="56">
        <v>1</v>
      </c>
      <c r="I270" s="56">
        <v>1</v>
      </c>
      <c r="J270" s="56">
        <v>1</v>
      </c>
      <c r="K270" s="56">
        <v>1</v>
      </c>
      <c r="L270" s="56">
        <v>1</v>
      </c>
      <c r="M270" s="56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55">
        <v>20161.05</v>
      </c>
      <c r="F271" s="55">
        <v>20736.3</v>
      </c>
      <c r="G271" s="55">
        <v>22270.3</v>
      </c>
      <c r="H271" s="55">
        <v>24379.55</v>
      </c>
      <c r="I271" s="55">
        <v>27255.8</v>
      </c>
      <c r="J271" s="55">
        <v>33008.300000000003</v>
      </c>
      <c r="K271" s="55">
        <v>52183.3</v>
      </c>
      <c r="L271" s="55">
        <v>98768.8</v>
      </c>
      <c r="M271" s="55">
        <v>190105.68460000001</v>
      </c>
    </row>
    <row r="272" spans="1:13" x14ac:dyDescent="0.25">
      <c r="A272" s="208"/>
      <c r="B272" s="225"/>
      <c r="C272" s="25" t="s">
        <v>15</v>
      </c>
      <c r="D272" s="1" t="s">
        <v>4</v>
      </c>
      <c r="E272" s="53">
        <v>40</v>
      </c>
      <c r="F272" s="53">
        <v>40</v>
      </c>
      <c r="G272" s="53">
        <v>40</v>
      </c>
      <c r="H272" s="53">
        <v>40</v>
      </c>
      <c r="I272" s="53">
        <v>40</v>
      </c>
      <c r="J272" s="53">
        <v>40</v>
      </c>
      <c r="K272" s="53">
        <v>40</v>
      </c>
      <c r="L272" s="53">
        <v>40</v>
      </c>
      <c r="M272" s="53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53">
        <v>40</v>
      </c>
      <c r="F273" s="53">
        <v>40</v>
      </c>
      <c r="G273" s="53">
        <v>40</v>
      </c>
      <c r="H273" s="53">
        <v>40</v>
      </c>
      <c r="I273" s="53">
        <v>40</v>
      </c>
      <c r="J273" s="53">
        <v>40</v>
      </c>
      <c r="K273" s="53">
        <v>40</v>
      </c>
      <c r="L273" s="53">
        <v>40</v>
      </c>
      <c r="M273" s="53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53"/>
      <c r="F274" s="53"/>
      <c r="G274" s="53"/>
      <c r="H274" s="53"/>
      <c r="I274" s="53"/>
      <c r="J274" s="53"/>
      <c r="K274" s="53"/>
      <c r="L274" s="53"/>
      <c r="M274" s="53"/>
    </row>
    <row r="275" spans="1:13" x14ac:dyDescent="0.25">
      <c r="A275" s="208"/>
      <c r="B275" s="225"/>
      <c r="C275" s="25" t="s">
        <v>176</v>
      </c>
      <c r="D275" s="1" t="s">
        <v>19</v>
      </c>
      <c r="E275" s="56">
        <v>0.35</v>
      </c>
      <c r="F275" s="56">
        <v>0.35</v>
      </c>
      <c r="G275" s="56">
        <v>0.35</v>
      </c>
      <c r="H275" s="56">
        <v>0.35</v>
      </c>
      <c r="I275" s="56">
        <v>0.35</v>
      </c>
      <c r="J275" s="56">
        <v>0.35</v>
      </c>
      <c r="K275" s="56">
        <v>0.35</v>
      </c>
      <c r="L275" s="56">
        <v>0.35</v>
      </c>
      <c r="M275" s="56">
        <v>0.35</v>
      </c>
    </row>
    <row r="276" spans="1:13" x14ac:dyDescent="0.25">
      <c r="A276" s="208"/>
      <c r="B276" s="225"/>
      <c r="C276" s="25" t="s">
        <v>106</v>
      </c>
      <c r="D276" s="1" t="s">
        <v>8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53"/>
      <c r="F277" s="53"/>
      <c r="G277" s="53"/>
      <c r="H277" s="53"/>
      <c r="I277" s="53"/>
      <c r="J277" s="53"/>
      <c r="K277" s="53"/>
      <c r="L277" s="53"/>
      <c r="M277" s="53"/>
    </row>
    <row r="278" spans="1:13" x14ac:dyDescent="0.25">
      <c r="A278" s="208"/>
      <c r="B278" s="225"/>
      <c r="C278" s="25" t="s">
        <v>108</v>
      </c>
      <c r="D278" s="1" t="s">
        <v>10</v>
      </c>
      <c r="E278" s="53"/>
      <c r="F278" s="53"/>
      <c r="G278" s="53"/>
      <c r="H278" s="53"/>
      <c r="I278" s="53"/>
      <c r="J278" s="53"/>
      <c r="K278" s="53"/>
      <c r="L278" s="53"/>
      <c r="M278" s="53"/>
    </row>
    <row r="279" spans="1:13" x14ac:dyDescent="0.25">
      <c r="A279" s="208"/>
      <c r="B279" s="225"/>
      <c r="C279" s="26" t="s">
        <v>11</v>
      </c>
      <c r="D279" s="27" t="s">
        <v>10</v>
      </c>
      <c r="E279" s="53"/>
      <c r="F279" s="53"/>
      <c r="G279" s="53"/>
      <c r="H279" s="53"/>
      <c r="I279" s="53"/>
      <c r="J279" s="53"/>
      <c r="K279" s="53"/>
      <c r="L279" s="53"/>
      <c r="M279" s="53"/>
    </row>
    <row r="280" spans="1:13" x14ac:dyDescent="0.25">
      <c r="A280" s="208"/>
      <c r="B280" s="225"/>
      <c r="C280" s="25" t="s">
        <v>12</v>
      </c>
      <c r="D280" s="1" t="s">
        <v>7</v>
      </c>
      <c r="E280" s="56">
        <v>1</v>
      </c>
      <c r="F280" s="56">
        <v>1</v>
      </c>
      <c r="G280" s="56">
        <v>1</v>
      </c>
      <c r="H280" s="56">
        <v>1</v>
      </c>
      <c r="I280" s="56">
        <v>1</v>
      </c>
      <c r="J280" s="56">
        <v>1</v>
      </c>
      <c r="K280" s="56">
        <v>1</v>
      </c>
      <c r="L280" s="56">
        <v>1</v>
      </c>
      <c r="M280" s="56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55">
        <v>59966.789999999994</v>
      </c>
      <c r="F281" s="55">
        <v>60249.539999999994</v>
      </c>
      <c r="G281" s="55">
        <v>61003.539999999994</v>
      </c>
      <c r="H281" s="55">
        <v>62040.289999999994</v>
      </c>
      <c r="I281" s="55">
        <v>63454.039999999994</v>
      </c>
      <c r="J281" s="55">
        <v>66281.539999999994</v>
      </c>
      <c r="K281" s="55">
        <v>75706.539999999994</v>
      </c>
      <c r="L281" s="55">
        <v>95499.04</v>
      </c>
      <c r="M281" s="55">
        <v>135084.03999999998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55">
        <v>40</v>
      </c>
      <c r="F282" s="55">
        <v>40</v>
      </c>
      <c r="G282" s="55">
        <v>40</v>
      </c>
      <c r="H282" s="55">
        <v>40</v>
      </c>
      <c r="I282" s="55">
        <v>40</v>
      </c>
      <c r="J282" s="55">
        <v>40</v>
      </c>
      <c r="K282" s="55">
        <v>40</v>
      </c>
      <c r="L282" s="55">
        <v>40</v>
      </c>
      <c r="M282" s="55">
        <v>40</v>
      </c>
    </row>
  </sheetData>
  <sheetProtection algorithmName="SHA-512" hashValue="pEnlPNlzHm8/HFZ1/iRRpBsLOPTXHsa+dbLI2NxOAh0zaRyf9G7m6pA7rvA3fXZ3+fpSVANHCGfeDsfHxKqmlA==" saltValue="Km1ms/NhGJ+4gzaaK4ShFg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2">
    <tabColor theme="9" tint="-0.249977111117893"/>
  </sheetPr>
  <dimension ref="A1:O282"/>
  <sheetViews>
    <sheetView zoomScale="85" zoomScaleNormal="85" workbookViewId="0">
      <pane ySplit="1" topLeftCell="A2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51">
        <v>15</v>
      </c>
      <c r="F1" s="52">
        <v>30</v>
      </c>
      <c r="G1" s="52">
        <v>70</v>
      </c>
      <c r="H1" s="52">
        <v>125</v>
      </c>
      <c r="I1" s="52">
        <v>200</v>
      </c>
      <c r="J1" s="52">
        <v>350</v>
      </c>
      <c r="K1" s="52">
        <v>850</v>
      </c>
      <c r="L1" s="52">
        <v>1900</v>
      </c>
      <c r="M1" s="52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53">
        <v>20</v>
      </c>
      <c r="F2" s="53">
        <v>20</v>
      </c>
      <c r="G2" s="53">
        <v>20</v>
      </c>
      <c r="H2" s="53">
        <v>20</v>
      </c>
      <c r="I2" s="53">
        <v>20</v>
      </c>
      <c r="J2" s="53">
        <v>20</v>
      </c>
      <c r="K2" s="53">
        <v>20</v>
      </c>
      <c r="L2" s="53">
        <v>20</v>
      </c>
      <c r="M2" s="53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55">
        <v>207.70052243006694</v>
      </c>
      <c r="F3" s="55">
        <v>175.92180364293515</v>
      </c>
      <c r="G3" s="55">
        <v>137.07573863776301</v>
      </c>
      <c r="H3" s="55">
        <v>110.49280008590137</v>
      </c>
      <c r="I3" s="55">
        <v>107.31263157894738</v>
      </c>
      <c r="J3" s="55">
        <v>107.00631578947369</v>
      </c>
      <c r="K3" s="55">
        <v>105.98526315789475</v>
      </c>
      <c r="L3" s="55">
        <v>103.84105263157896</v>
      </c>
      <c r="M3" s="55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53"/>
      <c r="F5" s="53"/>
      <c r="G5" s="53"/>
      <c r="H5" s="53"/>
      <c r="I5" s="53"/>
      <c r="J5" s="53"/>
      <c r="K5" s="53"/>
      <c r="L5" s="53"/>
      <c r="M5" s="53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55">
        <v>6.2310156729020081</v>
      </c>
      <c r="F6" s="55">
        <v>5.2776541092880542</v>
      </c>
      <c r="G6" s="55">
        <v>4.1122721591328899</v>
      </c>
      <c r="H6" s="55">
        <v>3.3147840025770408</v>
      </c>
      <c r="I6" s="55">
        <v>2.0378947368421052</v>
      </c>
      <c r="J6" s="55">
        <v>2.0189473684210526</v>
      </c>
      <c r="K6" s="55">
        <v>1.9557894736842103</v>
      </c>
      <c r="L6" s="55">
        <v>1.8231578947368419</v>
      </c>
      <c r="M6" s="55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55">
        <v>0</v>
      </c>
      <c r="F7" s="55">
        <v>0</v>
      </c>
      <c r="G7" s="55">
        <v>0</v>
      </c>
      <c r="H7" s="55">
        <v>0</v>
      </c>
      <c r="I7" s="55">
        <v>0</v>
      </c>
      <c r="J7" s="55">
        <v>0</v>
      </c>
      <c r="K7" s="55">
        <v>1.6473473684210525E-3</v>
      </c>
      <c r="L7" s="55">
        <v>1.5133894736842103E-3</v>
      </c>
      <c r="M7" s="55">
        <v>1.2454736842105263E-3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55">
        <v>0</v>
      </c>
      <c r="F8" s="53"/>
      <c r="G8" s="53"/>
      <c r="H8" s="53"/>
      <c r="I8" s="53"/>
      <c r="J8" s="53"/>
      <c r="K8" s="53"/>
      <c r="L8" s="53"/>
      <c r="M8" s="53"/>
      <c r="N8" s="54"/>
    </row>
    <row r="9" spans="1:14" x14ac:dyDescent="0.25">
      <c r="A9" s="208"/>
      <c r="B9" s="224"/>
      <c r="C9" s="25" t="s">
        <v>12</v>
      </c>
      <c r="D9" s="1" t="s">
        <v>7</v>
      </c>
      <c r="E9" s="56">
        <v>0.9787499999999999</v>
      </c>
      <c r="F9" s="56">
        <v>0.9787499999999999</v>
      </c>
      <c r="G9" s="56">
        <v>0.9787499999999999</v>
      </c>
      <c r="H9" s="56">
        <v>0.9787499999999999</v>
      </c>
      <c r="I9" s="56">
        <v>0.9787499999999999</v>
      </c>
      <c r="J9" s="56">
        <v>0.9787499999999999</v>
      </c>
      <c r="K9" s="56">
        <v>0.99150000000000005</v>
      </c>
      <c r="L9" s="56">
        <v>0.99150000000000005</v>
      </c>
      <c r="M9" s="56">
        <v>0.99150000000000005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55">
        <v>1524.6</v>
      </c>
      <c r="F10" s="55">
        <v>1749.6</v>
      </c>
      <c r="G10" s="55">
        <v>2349.6</v>
      </c>
      <c r="H10" s="55">
        <v>3174.6</v>
      </c>
      <c r="I10" s="55">
        <v>4299.6000000000004</v>
      </c>
      <c r="J10" s="55">
        <v>14213</v>
      </c>
      <c r="K10" s="55">
        <v>21713</v>
      </c>
      <c r="L10" s="55">
        <v>37463</v>
      </c>
      <c r="M10" s="55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53">
        <v>40</v>
      </c>
      <c r="F11" s="53">
        <v>40</v>
      </c>
      <c r="G11" s="53">
        <v>40</v>
      </c>
      <c r="H11" s="53">
        <v>40</v>
      </c>
      <c r="I11" s="53">
        <v>40</v>
      </c>
      <c r="J11" s="53">
        <v>40</v>
      </c>
      <c r="K11" s="53">
        <v>40</v>
      </c>
      <c r="L11" s="53">
        <v>40</v>
      </c>
      <c r="M11" s="53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53">
        <v>20</v>
      </c>
      <c r="F12" s="53">
        <v>20</v>
      </c>
      <c r="G12" s="53">
        <v>20</v>
      </c>
      <c r="H12" s="53">
        <v>20</v>
      </c>
      <c r="I12" s="53">
        <v>20</v>
      </c>
      <c r="J12" s="53">
        <v>20</v>
      </c>
      <c r="K12" s="53">
        <v>20</v>
      </c>
      <c r="L12" s="53">
        <v>20</v>
      </c>
      <c r="M12" s="53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55">
        <v>533.42832380521168</v>
      </c>
      <c r="F13" s="55">
        <v>336.80876334426267</v>
      </c>
      <c r="G13" s="55">
        <v>191.99085951104519</v>
      </c>
      <c r="H13" s="55">
        <v>130.68849756004869</v>
      </c>
      <c r="I13" s="55">
        <v>114.1</v>
      </c>
      <c r="J13" s="55">
        <v>114.1</v>
      </c>
      <c r="K13" s="55">
        <v>180.48166857059701</v>
      </c>
      <c r="L13" s="55">
        <v>263.63042786023721</v>
      </c>
      <c r="M13" s="55">
        <v>429.92794643951765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56">
        <v>0</v>
      </c>
      <c r="F14" s="56">
        <v>0</v>
      </c>
      <c r="G14" s="56">
        <v>0</v>
      </c>
      <c r="H14" s="56">
        <v>0</v>
      </c>
      <c r="I14" s="56">
        <v>0</v>
      </c>
      <c r="J14" s="56">
        <v>0</v>
      </c>
      <c r="K14" s="56">
        <v>0</v>
      </c>
      <c r="L14" s="56">
        <v>0</v>
      </c>
      <c r="M14" s="56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53"/>
      <c r="F15" s="53"/>
      <c r="G15" s="53"/>
      <c r="H15" s="53"/>
      <c r="I15" s="53"/>
      <c r="J15" s="53"/>
      <c r="K15" s="53"/>
      <c r="L15" s="53"/>
      <c r="M15" s="53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55">
        <v>32.00569942831266</v>
      </c>
      <c r="F16" s="55">
        <v>20.208525800655735</v>
      </c>
      <c r="G16" s="55">
        <v>11.519451570662699</v>
      </c>
      <c r="H16" s="55">
        <v>7.8413098536029162</v>
      </c>
      <c r="I16" s="55">
        <v>7.3972147894767417</v>
      </c>
      <c r="J16" s="55">
        <v>7.3972147894767417</v>
      </c>
      <c r="K16" s="55">
        <v>7.0259562857838622</v>
      </c>
      <c r="L16" s="55">
        <v>6.4262310105876717</v>
      </c>
      <c r="M16" s="55">
        <v>5.2267804601952914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55">
        <v>0</v>
      </c>
      <c r="F17" s="55">
        <v>0</v>
      </c>
      <c r="G17" s="55">
        <v>0</v>
      </c>
      <c r="H17" s="55">
        <v>0</v>
      </c>
      <c r="I17" s="55">
        <v>0</v>
      </c>
      <c r="J17" s="55">
        <v>0</v>
      </c>
      <c r="K17" s="55">
        <v>2.2616043154498459E-3</v>
      </c>
      <c r="L17" s="55">
        <v>2.2616043154498459E-3</v>
      </c>
      <c r="M17" s="55">
        <v>2.2616043154498459E-3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55">
        <v>0</v>
      </c>
      <c r="F18" s="55">
        <v>0</v>
      </c>
      <c r="G18" s="55">
        <v>0</v>
      </c>
      <c r="H18" s="55">
        <v>0</v>
      </c>
      <c r="I18" s="55">
        <v>0</v>
      </c>
      <c r="J18" s="55">
        <v>0</v>
      </c>
      <c r="K18" s="55">
        <v>0</v>
      </c>
      <c r="L18" s="55">
        <v>0</v>
      </c>
      <c r="M18" s="55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56">
        <v>0.81200000000000028</v>
      </c>
      <c r="F19" s="56">
        <v>0.81200000000000028</v>
      </c>
      <c r="G19" s="56">
        <v>0.81200000000000028</v>
      </c>
      <c r="H19" s="56">
        <v>0.81200000000000028</v>
      </c>
      <c r="I19" s="56">
        <v>0.81200000000000028</v>
      </c>
      <c r="J19" s="56">
        <v>0.81200000000000028</v>
      </c>
      <c r="K19" s="56">
        <v>0.81200000000000028</v>
      </c>
      <c r="L19" s="56">
        <v>0.95641666666666658</v>
      </c>
      <c r="M19" s="56">
        <v>0.95641666666666658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53"/>
      <c r="F20" s="53"/>
      <c r="G20" s="53"/>
      <c r="H20" s="53"/>
      <c r="I20" s="53"/>
      <c r="J20" s="53"/>
      <c r="K20" s="53"/>
      <c r="L20" s="53"/>
      <c r="M20" s="53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53"/>
      <c r="F21" s="53"/>
      <c r="G21" s="53"/>
      <c r="H21" s="53"/>
      <c r="I21" s="53"/>
      <c r="J21" s="53"/>
      <c r="K21" s="53"/>
      <c r="L21" s="53"/>
      <c r="M21" s="53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53">
        <v>20</v>
      </c>
      <c r="F22" s="53">
        <v>20</v>
      </c>
      <c r="G22" s="53">
        <v>20</v>
      </c>
      <c r="H22" s="53">
        <v>20</v>
      </c>
      <c r="I22" s="53">
        <v>20</v>
      </c>
      <c r="J22" s="53">
        <v>20</v>
      </c>
      <c r="K22" s="53">
        <v>20</v>
      </c>
      <c r="L22" s="53">
        <v>20</v>
      </c>
      <c r="M22" s="53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55">
        <v>822.90511868819738</v>
      </c>
      <c r="F23" s="55">
        <v>587.62399482196031</v>
      </c>
      <c r="G23" s="55">
        <v>458.47760255879234</v>
      </c>
      <c r="H23" s="55">
        <v>458.47760255879234</v>
      </c>
      <c r="I23" s="55">
        <v>458.47760255879234</v>
      </c>
      <c r="J23" s="55">
        <v>458.47760255879234</v>
      </c>
      <c r="K23" s="55">
        <v>1133.7480098003448</v>
      </c>
      <c r="L23" s="55">
        <v>986.22674801231153</v>
      </c>
      <c r="M23" s="55">
        <v>866.85752357634294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56">
        <v>0</v>
      </c>
      <c r="F24" s="56">
        <v>0</v>
      </c>
      <c r="G24" s="56">
        <v>0</v>
      </c>
      <c r="H24" s="56">
        <v>0</v>
      </c>
      <c r="I24" s="56">
        <v>0</v>
      </c>
      <c r="J24" s="56">
        <v>0</v>
      </c>
      <c r="K24" s="56">
        <v>0</v>
      </c>
      <c r="L24" s="56">
        <v>0</v>
      </c>
      <c r="M24" s="56">
        <v>0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53"/>
      <c r="F25" s="53"/>
      <c r="G25" s="53"/>
      <c r="H25" s="53"/>
      <c r="I25" s="53"/>
      <c r="J25" s="53"/>
      <c r="K25" s="53"/>
      <c r="L25" s="53"/>
      <c r="M25" s="53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55">
        <v>12.343576780322961</v>
      </c>
      <c r="F26" s="55">
        <v>8.8143599223294036</v>
      </c>
      <c r="G26" s="55">
        <v>6.8771640383818848</v>
      </c>
      <c r="H26" s="55">
        <v>6.8771640383818848</v>
      </c>
      <c r="I26" s="55">
        <v>6.8771640383818848</v>
      </c>
      <c r="J26" s="55">
        <v>6.8771640383818848</v>
      </c>
      <c r="K26" s="55">
        <v>1.673</v>
      </c>
      <c r="L26" s="55">
        <v>1.673</v>
      </c>
      <c r="M26" s="55">
        <v>1.673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2.085E-3</v>
      </c>
      <c r="L27" s="55">
        <v>2.085E-3</v>
      </c>
      <c r="M27" s="55">
        <v>2.085E-3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55">
        <v>0</v>
      </c>
      <c r="F28" s="55">
        <v>0</v>
      </c>
      <c r="G28" s="55">
        <v>0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5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55">
        <v>0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53">
        <v>3.83</v>
      </c>
      <c r="F30" s="53">
        <v>3.83</v>
      </c>
      <c r="G30" s="53">
        <v>3.83</v>
      </c>
      <c r="H30" s="53">
        <v>3.83</v>
      </c>
      <c r="I30" s="53">
        <v>3.83</v>
      </c>
      <c r="J30" s="53">
        <v>3.83</v>
      </c>
      <c r="K30" s="53">
        <v>3.83</v>
      </c>
      <c r="L30" s="53">
        <v>3.83</v>
      </c>
      <c r="M30" s="53">
        <v>3.83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53"/>
      <c r="F31" s="53"/>
      <c r="G31" s="53"/>
      <c r="H31" s="53"/>
      <c r="I31" s="53"/>
      <c r="J31" s="53"/>
      <c r="K31" s="53"/>
      <c r="L31" s="53"/>
      <c r="M31" s="53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53"/>
      <c r="F32" s="53"/>
      <c r="G32" s="53"/>
      <c r="H32" s="53"/>
      <c r="I32" s="53"/>
      <c r="J32" s="53"/>
      <c r="K32" s="53"/>
      <c r="L32" s="53"/>
      <c r="M32" s="53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53">
        <v>20</v>
      </c>
      <c r="F33" s="53">
        <v>20</v>
      </c>
      <c r="G33" s="53">
        <v>20</v>
      </c>
      <c r="H33" s="53">
        <v>20</v>
      </c>
      <c r="I33" s="53">
        <v>20</v>
      </c>
      <c r="J33" s="53">
        <v>20</v>
      </c>
      <c r="K33" s="53">
        <v>20</v>
      </c>
      <c r="L33" s="53">
        <v>20</v>
      </c>
      <c r="M33" s="53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55">
        <v>822.90511868819738</v>
      </c>
      <c r="F34" s="55">
        <v>587.62399482196031</v>
      </c>
      <c r="G34" s="55">
        <v>458.47760255879234</v>
      </c>
      <c r="H34" s="55">
        <v>458.47760255879234</v>
      </c>
      <c r="I34" s="55">
        <v>458.47760255879234</v>
      </c>
      <c r="J34" s="55">
        <v>458.47760255879234</v>
      </c>
      <c r="K34" s="55">
        <v>1133.7480098003448</v>
      </c>
      <c r="L34" s="55">
        <v>986.22674801231153</v>
      </c>
      <c r="M34" s="55">
        <v>866.85752357634294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56">
        <v>0</v>
      </c>
      <c r="F35" s="56">
        <v>0</v>
      </c>
      <c r="G35" s="56">
        <v>0</v>
      </c>
      <c r="H35" s="56">
        <v>0</v>
      </c>
      <c r="I35" s="56">
        <v>0</v>
      </c>
      <c r="J35" s="56">
        <v>0</v>
      </c>
      <c r="K35" s="56">
        <v>0</v>
      </c>
      <c r="L35" s="56">
        <v>0</v>
      </c>
      <c r="M35" s="56">
        <v>0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53"/>
      <c r="F36" s="53"/>
      <c r="G36" s="53"/>
      <c r="H36" s="53"/>
      <c r="I36" s="53"/>
      <c r="J36" s="53"/>
      <c r="K36" s="53"/>
      <c r="L36" s="53"/>
      <c r="M36" s="53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55">
        <v>12.343576780322961</v>
      </c>
      <c r="F37" s="55">
        <v>8.8143599223294036</v>
      </c>
      <c r="G37" s="55">
        <v>6.8771640383818848</v>
      </c>
      <c r="H37" s="55">
        <v>6.8771640383818848</v>
      </c>
      <c r="I37" s="55">
        <v>6.8771640383818848</v>
      </c>
      <c r="J37" s="55">
        <v>6.8771640383818848</v>
      </c>
      <c r="K37" s="55">
        <v>1.673</v>
      </c>
      <c r="L37" s="55">
        <v>1.673</v>
      </c>
      <c r="M37" s="55">
        <v>1.673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2.085E-3</v>
      </c>
      <c r="L38" s="55">
        <v>2.085E-3</v>
      </c>
      <c r="M38" s="55">
        <v>2.085E-3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53">
        <v>3.58</v>
      </c>
      <c r="F41" s="53">
        <v>3.58</v>
      </c>
      <c r="G41" s="53">
        <v>3.58</v>
      </c>
      <c r="H41" s="53">
        <v>3.58</v>
      </c>
      <c r="I41" s="53">
        <v>3.58</v>
      </c>
      <c r="J41" s="53">
        <v>3.58</v>
      </c>
      <c r="K41" s="53">
        <v>3.58</v>
      </c>
      <c r="L41" s="53">
        <v>3.58</v>
      </c>
      <c r="M41" s="53">
        <v>3.58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53"/>
      <c r="F42" s="53"/>
      <c r="G42" s="53"/>
      <c r="H42" s="53"/>
      <c r="I42" s="53"/>
      <c r="J42" s="53"/>
      <c r="K42" s="53"/>
      <c r="L42" s="53"/>
      <c r="M42" s="53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53"/>
      <c r="F43" s="53"/>
      <c r="G43" s="53"/>
      <c r="H43" s="53"/>
      <c r="I43" s="53"/>
      <c r="J43" s="53"/>
      <c r="K43" s="53"/>
      <c r="L43" s="53"/>
      <c r="M43" s="53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53">
        <v>20</v>
      </c>
      <c r="F44" s="53">
        <v>20</v>
      </c>
      <c r="G44" s="53">
        <v>20</v>
      </c>
      <c r="H44" s="53">
        <v>20</v>
      </c>
      <c r="I44" s="53">
        <v>20</v>
      </c>
      <c r="J44" s="53">
        <v>20</v>
      </c>
      <c r="K44" s="53">
        <v>20</v>
      </c>
      <c r="L44" s="53">
        <v>20</v>
      </c>
      <c r="M44" s="53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55">
        <v>822.90511868819738</v>
      </c>
      <c r="F45" s="55">
        <v>587.62399482196031</v>
      </c>
      <c r="G45" s="55">
        <v>458.47760255879234</v>
      </c>
      <c r="H45" s="55">
        <v>458.47760255879234</v>
      </c>
      <c r="I45" s="55">
        <v>458.47760255879234</v>
      </c>
      <c r="J45" s="55">
        <v>458.47760255879234</v>
      </c>
      <c r="K45" s="55">
        <v>1133.7480098003448</v>
      </c>
      <c r="L45" s="55">
        <v>986.22674801231153</v>
      </c>
      <c r="M45" s="55">
        <v>866.85752357634294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56">
        <v>0</v>
      </c>
      <c r="F46" s="56">
        <v>0</v>
      </c>
      <c r="G46" s="56">
        <v>0</v>
      </c>
      <c r="H46" s="56">
        <v>0</v>
      </c>
      <c r="I46" s="56">
        <v>0</v>
      </c>
      <c r="J46" s="56">
        <v>0</v>
      </c>
      <c r="K46" s="56">
        <v>0</v>
      </c>
      <c r="L46" s="56">
        <v>0</v>
      </c>
      <c r="M46" s="56">
        <v>0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53"/>
      <c r="F47" s="53"/>
      <c r="G47" s="53"/>
      <c r="H47" s="53"/>
      <c r="I47" s="53"/>
      <c r="J47" s="53"/>
      <c r="K47" s="53"/>
      <c r="L47" s="53"/>
      <c r="M47" s="53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55">
        <v>12.343576780322961</v>
      </c>
      <c r="F48" s="55">
        <v>8.8143599223294036</v>
      </c>
      <c r="G48" s="55">
        <v>6.8771640383818848</v>
      </c>
      <c r="H48" s="55">
        <v>6.8771640383818848</v>
      </c>
      <c r="I48" s="55">
        <v>6.8771640383818848</v>
      </c>
      <c r="J48" s="55">
        <v>6.8771640383818848</v>
      </c>
      <c r="K48" s="55">
        <v>1.673</v>
      </c>
      <c r="L48" s="55">
        <v>1.673</v>
      </c>
      <c r="M48" s="55">
        <v>1.673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55">
        <v>0</v>
      </c>
      <c r="F49" s="55">
        <v>0</v>
      </c>
      <c r="G49" s="55">
        <v>0</v>
      </c>
      <c r="H49" s="55">
        <v>0</v>
      </c>
      <c r="I49" s="55">
        <v>0</v>
      </c>
      <c r="J49" s="55">
        <v>0</v>
      </c>
      <c r="K49" s="55">
        <v>2.085E-3</v>
      </c>
      <c r="L49" s="55">
        <v>2.085E-3</v>
      </c>
      <c r="M49" s="55">
        <v>2.085E-3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55">
        <v>0</v>
      </c>
      <c r="F51" s="55">
        <v>0</v>
      </c>
      <c r="G51" s="55">
        <v>0</v>
      </c>
      <c r="H51" s="55">
        <v>0</v>
      </c>
      <c r="I51" s="55">
        <v>0</v>
      </c>
      <c r="J51" s="55">
        <v>0</v>
      </c>
      <c r="K51" s="55">
        <v>0</v>
      </c>
      <c r="L51" s="55">
        <v>0</v>
      </c>
      <c r="M51" s="55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53">
        <v>3.33</v>
      </c>
      <c r="F52" s="53">
        <v>3.33</v>
      </c>
      <c r="G52" s="53">
        <v>3.33</v>
      </c>
      <c r="H52" s="53">
        <v>3.33</v>
      </c>
      <c r="I52" s="53">
        <v>3.33</v>
      </c>
      <c r="J52" s="53">
        <v>3.33</v>
      </c>
      <c r="K52" s="53">
        <v>3.33</v>
      </c>
      <c r="L52" s="53">
        <v>3.33</v>
      </c>
      <c r="M52" s="53">
        <v>3.33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53"/>
      <c r="F53" s="53"/>
      <c r="G53" s="53"/>
      <c r="H53" s="53"/>
      <c r="I53" s="53"/>
      <c r="J53" s="53"/>
      <c r="K53" s="53"/>
      <c r="L53" s="53"/>
      <c r="M53" s="53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53"/>
      <c r="F54" s="53"/>
      <c r="G54" s="53"/>
      <c r="H54" s="53"/>
      <c r="I54" s="53"/>
      <c r="J54" s="53"/>
      <c r="K54" s="53"/>
      <c r="L54" s="53"/>
      <c r="M54" s="53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53">
        <v>20</v>
      </c>
      <c r="F55" s="53">
        <v>20</v>
      </c>
      <c r="G55" s="53">
        <v>20</v>
      </c>
      <c r="H55" s="53">
        <v>20</v>
      </c>
      <c r="I55" s="53">
        <v>20</v>
      </c>
      <c r="J55" s="53">
        <v>20</v>
      </c>
      <c r="K55" s="53">
        <v>20</v>
      </c>
      <c r="L55" s="53">
        <v>20</v>
      </c>
      <c r="M55" s="53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55">
        <v>834.20131814045635</v>
      </c>
      <c r="F56" s="55">
        <v>582.75336672185188</v>
      </c>
      <c r="G56" s="55">
        <v>447.37922190941873</v>
      </c>
      <c r="H56" s="55">
        <v>447.37922190941873</v>
      </c>
      <c r="I56" s="55">
        <v>447.37922190941873</v>
      </c>
      <c r="J56" s="55">
        <v>447.37922190941873</v>
      </c>
      <c r="K56" s="55">
        <v>613.58399999999995</v>
      </c>
      <c r="L56" s="55">
        <v>613.58399999999995</v>
      </c>
      <c r="M56" s="55">
        <v>613.58399999999995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56">
        <v>0</v>
      </c>
      <c r="F57" s="56">
        <v>0</v>
      </c>
      <c r="G57" s="56">
        <v>0</v>
      </c>
      <c r="H57" s="56">
        <v>0</v>
      </c>
      <c r="I57" s="56">
        <v>0</v>
      </c>
      <c r="J57" s="56">
        <v>0</v>
      </c>
      <c r="K57" s="56">
        <v>0</v>
      </c>
      <c r="L57" s="56">
        <v>0</v>
      </c>
      <c r="M57" s="56">
        <v>0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53"/>
      <c r="F58" s="53"/>
      <c r="G58" s="53"/>
      <c r="H58" s="53"/>
      <c r="I58" s="53"/>
      <c r="J58" s="53"/>
      <c r="K58" s="53"/>
      <c r="L58" s="53"/>
      <c r="M58" s="53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55">
        <v>12.513019772106844</v>
      </c>
      <c r="F59" s="55">
        <v>8.7413005008277782</v>
      </c>
      <c r="G59" s="55">
        <v>6.7106883286412806</v>
      </c>
      <c r="H59" s="55">
        <v>6.7106883286412806</v>
      </c>
      <c r="I59" s="55">
        <v>6.7106883286412806</v>
      </c>
      <c r="J59" s="55">
        <v>6.7106883286412806</v>
      </c>
      <c r="K59" s="55">
        <v>1.673</v>
      </c>
      <c r="L59" s="55">
        <v>1.673</v>
      </c>
      <c r="M59" s="55">
        <v>1.673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55">
        <v>0</v>
      </c>
      <c r="F60" s="55">
        <v>0</v>
      </c>
      <c r="G60" s="55">
        <v>0</v>
      </c>
      <c r="H60" s="55">
        <v>0</v>
      </c>
      <c r="I60" s="55">
        <v>0</v>
      </c>
      <c r="J60" s="55">
        <v>0</v>
      </c>
      <c r="K60" s="55">
        <v>2.085E-3</v>
      </c>
      <c r="L60" s="55">
        <v>2.085E-3</v>
      </c>
      <c r="M60" s="55">
        <v>2.085E-3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55">
        <v>0</v>
      </c>
      <c r="F61" s="55">
        <v>0</v>
      </c>
      <c r="G61" s="55">
        <v>0</v>
      </c>
      <c r="H61" s="55">
        <v>0</v>
      </c>
      <c r="I61" s="55">
        <v>0</v>
      </c>
      <c r="J61" s="55">
        <v>0</v>
      </c>
      <c r="K61" s="55">
        <v>0</v>
      </c>
      <c r="L61" s="55">
        <v>0</v>
      </c>
      <c r="M61" s="55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55">
        <v>0</v>
      </c>
      <c r="F62" s="55">
        <v>0</v>
      </c>
      <c r="G62" s="55">
        <v>0</v>
      </c>
      <c r="H62" s="55">
        <v>0</v>
      </c>
      <c r="I62" s="55">
        <v>0</v>
      </c>
      <c r="J62" s="55">
        <v>0</v>
      </c>
      <c r="K62" s="55">
        <v>0</v>
      </c>
      <c r="L62" s="55">
        <v>0</v>
      </c>
      <c r="M62" s="55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53">
        <v>4.62</v>
      </c>
      <c r="F63" s="53">
        <v>4.62</v>
      </c>
      <c r="G63" s="53">
        <v>4.62</v>
      </c>
      <c r="H63" s="53">
        <v>4.62</v>
      </c>
      <c r="I63" s="53">
        <v>4.62</v>
      </c>
      <c r="J63" s="53">
        <v>4.62</v>
      </c>
      <c r="K63" s="53">
        <v>4.62</v>
      </c>
      <c r="L63" s="53">
        <v>4.62</v>
      </c>
      <c r="M63" s="53">
        <v>4.62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53"/>
      <c r="F64" s="53"/>
      <c r="G64" s="53"/>
      <c r="H64" s="53"/>
      <c r="I64" s="53"/>
      <c r="J64" s="53"/>
      <c r="K64" s="53"/>
      <c r="L64" s="53"/>
      <c r="M64" s="53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53"/>
      <c r="F65" s="53"/>
      <c r="G65" s="53"/>
      <c r="H65" s="53"/>
      <c r="I65" s="53"/>
      <c r="J65" s="53"/>
      <c r="K65" s="53"/>
      <c r="L65" s="53"/>
      <c r="M65" s="53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55">
        <v>2677.2372697755504</v>
      </c>
      <c r="F66" s="55">
        <v>1831.9318169832663</v>
      </c>
      <c r="G66" s="55">
        <v>1152.0901647065316</v>
      </c>
      <c r="H66" s="55">
        <v>400.2171452567311</v>
      </c>
      <c r="I66" s="55">
        <v>272.89255701854074</v>
      </c>
      <c r="J66" s="55">
        <v>172.97355964296725</v>
      </c>
      <c r="K66" s="55">
        <v>83.949921947780794</v>
      </c>
      <c r="L66" s="55">
        <v>73.53859356117799</v>
      </c>
      <c r="M66" s="55">
        <v>73.53859356117799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53"/>
      <c r="F67" s="53"/>
      <c r="G67" s="53"/>
      <c r="H67" s="53"/>
      <c r="I67" s="53"/>
      <c r="J67" s="53"/>
      <c r="K67" s="53"/>
      <c r="L67" s="53"/>
      <c r="M67" s="53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53">
        <v>20</v>
      </c>
      <c r="F68" s="53">
        <v>20</v>
      </c>
      <c r="G68" s="53">
        <v>20</v>
      </c>
      <c r="H68" s="53">
        <v>20</v>
      </c>
      <c r="I68" s="53">
        <v>20</v>
      </c>
      <c r="J68" s="53">
        <v>20</v>
      </c>
      <c r="K68" s="53">
        <v>20</v>
      </c>
      <c r="L68" s="53">
        <v>20</v>
      </c>
      <c r="M68" s="53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55">
        <v>834.20131814045635</v>
      </c>
      <c r="F69" s="55">
        <v>582.75336672185188</v>
      </c>
      <c r="G69" s="55">
        <v>447.37922190941873</v>
      </c>
      <c r="H69" s="55">
        <v>447.37922190941873</v>
      </c>
      <c r="I69" s="55">
        <v>447.37922190941873</v>
      </c>
      <c r="J69" s="55">
        <v>447.37922190941873</v>
      </c>
      <c r="K69" s="55">
        <v>613.58399999999995</v>
      </c>
      <c r="L69" s="55">
        <v>613.58399999999995</v>
      </c>
      <c r="M69" s="55">
        <v>613.58399999999995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56">
        <v>0</v>
      </c>
      <c r="F70" s="56">
        <v>0</v>
      </c>
      <c r="G70" s="56">
        <v>0</v>
      </c>
      <c r="H70" s="56">
        <v>0</v>
      </c>
      <c r="I70" s="56">
        <v>0</v>
      </c>
      <c r="J70" s="56">
        <v>0</v>
      </c>
      <c r="K70" s="56">
        <v>0</v>
      </c>
      <c r="L70" s="56">
        <v>0</v>
      </c>
      <c r="M70" s="56">
        <v>0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53"/>
      <c r="F71" s="53"/>
      <c r="G71" s="53"/>
      <c r="H71" s="53"/>
      <c r="I71" s="53"/>
      <c r="J71" s="53"/>
      <c r="K71" s="53"/>
      <c r="L71" s="53"/>
      <c r="M71" s="53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55">
        <v>12.513019772106844</v>
      </c>
      <c r="F72" s="55">
        <v>8.7413005008277782</v>
      </c>
      <c r="G72" s="55">
        <v>6.7106883286412806</v>
      </c>
      <c r="H72" s="55">
        <v>6.7106883286412806</v>
      </c>
      <c r="I72" s="55">
        <v>6.7106883286412806</v>
      </c>
      <c r="J72" s="55">
        <v>6.7106883286412806</v>
      </c>
      <c r="K72" s="55">
        <v>1.673</v>
      </c>
      <c r="L72" s="55">
        <v>1.673</v>
      </c>
      <c r="M72" s="55">
        <v>1.673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2.085E-3</v>
      </c>
      <c r="L73" s="55">
        <v>2.085E-3</v>
      </c>
      <c r="M73" s="55">
        <v>2.085E-3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55">
        <v>0</v>
      </c>
      <c r="F75" s="55">
        <v>0</v>
      </c>
      <c r="G75" s="55">
        <v>0</v>
      </c>
      <c r="H75" s="55">
        <v>0</v>
      </c>
      <c r="I75" s="55">
        <v>0</v>
      </c>
      <c r="J75" s="55">
        <v>0</v>
      </c>
      <c r="K75" s="55">
        <v>0</v>
      </c>
      <c r="L75" s="55">
        <v>0</v>
      </c>
      <c r="M75" s="55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53">
        <v>4.3125</v>
      </c>
      <c r="F76" s="53">
        <v>4.3125</v>
      </c>
      <c r="G76" s="53">
        <v>4.3125</v>
      </c>
      <c r="H76" s="53">
        <v>4.3125</v>
      </c>
      <c r="I76" s="53">
        <v>4.3125</v>
      </c>
      <c r="J76" s="53">
        <v>4.3125</v>
      </c>
      <c r="K76" s="53">
        <v>4.3125</v>
      </c>
      <c r="L76" s="53">
        <v>4.3125</v>
      </c>
      <c r="M76" s="53">
        <v>4.3125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53"/>
      <c r="F77" s="53"/>
      <c r="G77" s="53"/>
      <c r="H77" s="53"/>
      <c r="I77" s="53"/>
      <c r="J77" s="53"/>
      <c r="K77" s="53"/>
      <c r="L77" s="53"/>
      <c r="M77" s="53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53"/>
      <c r="F78" s="53"/>
      <c r="G78" s="53"/>
      <c r="H78" s="53"/>
      <c r="I78" s="53"/>
      <c r="J78" s="53"/>
      <c r="K78" s="53"/>
      <c r="L78" s="53"/>
      <c r="M78" s="53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55">
        <v>2677.2372697755504</v>
      </c>
      <c r="F79" s="55">
        <v>1831.9318169832663</v>
      </c>
      <c r="G79" s="55">
        <v>1152.0901647065316</v>
      </c>
      <c r="H79" s="55">
        <v>400.2171452567311</v>
      </c>
      <c r="I79" s="55">
        <v>272.89255701854074</v>
      </c>
      <c r="J79" s="55">
        <v>172.97355964296725</v>
      </c>
      <c r="K79" s="55">
        <v>83.949921947780794</v>
      </c>
      <c r="L79" s="55">
        <v>73.53859356117799</v>
      </c>
      <c r="M79" s="55">
        <v>73.53859356117799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53"/>
      <c r="F80" s="53"/>
      <c r="G80" s="53"/>
      <c r="H80" s="53"/>
      <c r="I80" s="53"/>
      <c r="J80" s="53"/>
      <c r="K80" s="53"/>
      <c r="L80" s="53"/>
      <c r="M80" s="53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53">
        <v>20</v>
      </c>
      <c r="F81" s="53">
        <v>20</v>
      </c>
      <c r="G81" s="53">
        <v>20</v>
      </c>
      <c r="H81" s="53">
        <v>20</v>
      </c>
      <c r="I81" s="53">
        <v>20</v>
      </c>
      <c r="J81" s="53">
        <v>20</v>
      </c>
      <c r="K81" s="53">
        <v>20</v>
      </c>
      <c r="L81" s="53">
        <v>20</v>
      </c>
      <c r="M81" s="53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55">
        <v>834.20131814045635</v>
      </c>
      <c r="F82" s="55">
        <v>582.75336672185188</v>
      </c>
      <c r="G82" s="55">
        <v>447.37922190941873</v>
      </c>
      <c r="H82" s="55">
        <v>447.37922190941873</v>
      </c>
      <c r="I82" s="55">
        <v>447.37922190941873</v>
      </c>
      <c r="J82" s="55">
        <v>447.37922190941873</v>
      </c>
      <c r="K82" s="55">
        <v>613.58399999999995</v>
      </c>
      <c r="L82" s="55">
        <v>613.58399999999995</v>
      </c>
      <c r="M82" s="55">
        <v>613.58399999999995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56">
        <v>0</v>
      </c>
      <c r="F83" s="56">
        <v>0</v>
      </c>
      <c r="G83" s="56">
        <v>0</v>
      </c>
      <c r="H83" s="56">
        <v>0</v>
      </c>
      <c r="I83" s="56">
        <v>0</v>
      </c>
      <c r="J83" s="56">
        <v>0</v>
      </c>
      <c r="K83" s="56">
        <v>0</v>
      </c>
      <c r="L83" s="56">
        <v>0</v>
      </c>
      <c r="M83" s="56">
        <v>0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53"/>
      <c r="F84" s="53"/>
      <c r="G84" s="53"/>
      <c r="H84" s="53"/>
      <c r="I84" s="53"/>
      <c r="J84" s="53"/>
      <c r="K84" s="53"/>
      <c r="L84" s="53"/>
      <c r="M84" s="53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55">
        <v>12.513019772106844</v>
      </c>
      <c r="F85" s="55">
        <v>8.7413005008277782</v>
      </c>
      <c r="G85" s="55">
        <v>6.7106883286412806</v>
      </c>
      <c r="H85" s="55">
        <v>6.7106883286412806</v>
      </c>
      <c r="I85" s="55">
        <v>6.7106883286412806</v>
      </c>
      <c r="J85" s="55">
        <v>6.7106883286412806</v>
      </c>
      <c r="K85" s="55">
        <v>1.673</v>
      </c>
      <c r="L85" s="55">
        <v>1.673</v>
      </c>
      <c r="M85" s="55">
        <v>1.673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55">
        <v>0</v>
      </c>
      <c r="F86" s="55">
        <v>0</v>
      </c>
      <c r="G86" s="55">
        <v>0</v>
      </c>
      <c r="H86" s="55">
        <v>0</v>
      </c>
      <c r="I86" s="55">
        <v>0</v>
      </c>
      <c r="J86" s="55">
        <v>0</v>
      </c>
      <c r="K86" s="55">
        <v>2.085E-3</v>
      </c>
      <c r="L86" s="55">
        <v>2.085E-3</v>
      </c>
      <c r="M86" s="55">
        <v>2.085E-3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55">
        <v>0</v>
      </c>
      <c r="F87" s="55">
        <v>0</v>
      </c>
      <c r="G87" s="55">
        <v>0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53">
        <v>4.0049999999999999</v>
      </c>
      <c r="F89" s="53">
        <v>4.0049999999999999</v>
      </c>
      <c r="G89" s="53">
        <v>4.0049999999999999</v>
      </c>
      <c r="H89" s="53">
        <v>4.0049999999999999</v>
      </c>
      <c r="I89" s="53">
        <v>4.0049999999999999</v>
      </c>
      <c r="J89" s="53">
        <v>4.0049999999999999</v>
      </c>
      <c r="K89" s="53">
        <v>4.0049999999999999</v>
      </c>
      <c r="L89" s="53">
        <v>4.0049999999999999</v>
      </c>
      <c r="M89" s="53">
        <v>4.0049999999999999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53"/>
      <c r="F90" s="53"/>
      <c r="G90" s="53"/>
      <c r="H90" s="53"/>
      <c r="I90" s="53"/>
      <c r="J90" s="53"/>
      <c r="K90" s="53"/>
      <c r="L90" s="53"/>
      <c r="M90" s="53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53"/>
      <c r="F91" s="53"/>
      <c r="G91" s="53"/>
      <c r="H91" s="53"/>
      <c r="I91" s="53"/>
      <c r="J91" s="53"/>
      <c r="K91" s="53"/>
      <c r="L91" s="53"/>
      <c r="M91" s="53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55">
        <v>2677.2372697755504</v>
      </c>
      <c r="F92" s="55">
        <v>1831.9318169832663</v>
      </c>
      <c r="G92" s="55">
        <v>1152.0901647065316</v>
      </c>
      <c r="H92" s="55">
        <v>400.2171452567311</v>
      </c>
      <c r="I92" s="55">
        <v>272.89255701854074</v>
      </c>
      <c r="J92" s="55">
        <v>172.97355964296725</v>
      </c>
      <c r="K92" s="55">
        <v>83.949921947780794</v>
      </c>
      <c r="L92" s="55">
        <v>73.53859356117799</v>
      </c>
      <c r="M92" s="55">
        <v>73.53859356117799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53"/>
      <c r="F93" s="53"/>
      <c r="G93" s="53"/>
      <c r="H93" s="53"/>
      <c r="I93" s="53"/>
      <c r="J93" s="53"/>
      <c r="K93" s="53"/>
      <c r="L93" s="53"/>
      <c r="M93" s="53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53">
        <v>1</v>
      </c>
      <c r="F94" s="53">
        <v>1</v>
      </c>
      <c r="G94" s="53">
        <v>1</v>
      </c>
      <c r="H94" s="53">
        <v>1</v>
      </c>
      <c r="I94" s="53">
        <v>1</v>
      </c>
      <c r="J94" s="53">
        <v>1</v>
      </c>
      <c r="K94" s="53">
        <v>1</v>
      </c>
      <c r="L94" s="53">
        <v>1</v>
      </c>
      <c r="M94" s="53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53">
        <v>0.35</v>
      </c>
      <c r="F95" s="53">
        <v>0.35</v>
      </c>
      <c r="G95" s="53">
        <v>0.35</v>
      </c>
      <c r="H95" s="53">
        <v>0.35</v>
      </c>
      <c r="I95" s="53">
        <v>0.35</v>
      </c>
      <c r="J95" s="53">
        <v>0.35</v>
      </c>
      <c r="K95" s="53">
        <v>0.35</v>
      </c>
      <c r="L95" s="53">
        <v>0.35</v>
      </c>
      <c r="M95" s="53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53">
        <v>20</v>
      </c>
      <c r="F96" s="53">
        <v>20</v>
      </c>
      <c r="G96" s="53">
        <v>20</v>
      </c>
      <c r="H96" s="53">
        <v>20</v>
      </c>
      <c r="I96" s="53">
        <v>20</v>
      </c>
      <c r="J96" s="53">
        <v>20</v>
      </c>
      <c r="K96" s="53">
        <v>20</v>
      </c>
      <c r="L96" s="53">
        <v>20</v>
      </c>
      <c r="M96" s="53">
        <v>20</v>
      </c>
      <c r="N96" s="54"/>
    </row>
    <row r="97" spans="1:15" x14ac:dyDescent="0.25">
      <c r="A97" s="208"/>
      <c r="B97" s="225"/>
      <c r="C97" s="25" t="s">
        <v>23</v>
      </c>
      <c r="D97" s="1" t="s">
        <v>6</v>
      </c>
      <c r="E97" s="55">
        <v>207.70052243006694</v>
      </c>
      <c r="F97" s="55">
        <v>175.92180364293515</v>
      </c>
      <c r="G97" s="55">
        <v>137.07573863776301</v>
      </c>
      <c r="H97" s="55">
        <v>110.49280008590137</v>
      </c>
      <c r="I97" s="55">
        <v>107.31263157894738</v>
      </c>
      <c r="J97" s="55">
        <v>107.00631578947369</v>
      </c>
      <c r="K97" s="55">
        <v>105.98526315789475</v>
      </c>
      <c r="L97" s="55">
        <v>103.84105263157896</v>
      </c>
      <c r="M97" s="55">
        <v>99.55263157894737</v>
      </c>
      <c r="N97" s="54"/>
    </row>
    <row r="98" spans="1:15" x14ac:dyDescent="0.25">
      <c r="A98" s="208"/>
      <c r="B98" s="225"/>
      <c r="C98" s="25" t="s">
        <v>177</v>
      </c>
      <c r="D98" s="1" t="s">
        <v>19</v>
      </c>
      <c r="E98" s="56">
        <v>0</v>
      </c>
      <c r="F98" s="56">
        <v>0</v>
      </c>
      <c r="G98" s="56">
        <v>0</v>
      </c>
      <c r="H98" s="56">
        <v>0</v>
      </c>
      <c r="I98" s="56">
        <v>0</v>
      </c>
      <c r="J98" s="56">
        <v>0</v>
      </c>
      <c r="K98" s="56">
        <v>0</v>
      </c>
      <c r="L98" s="56">
        <v>0</v>
      </c>
      <c r="M98" s="56">
        <v>0</v>
      </c>
      <c r="N98" s="54"/>
    </row>
    <row r="99" spans="1:15" x14ac:dyDescent="0.25">
      <c r="A99" s="208"/>
      <c r="B99" s="225"/>
      <c r="C99" s="25" t="s">
        <v>114</v>
      </c>
      <c r="D99" s="1" t="s">
        <v>8</v>
      </c>
      <c r="E99" s="53"/>
      <c r="F99" s="53"/>
      <c r="G99" s="53"/>
      <c r="H99" s="53"/>
      <c r="I99" s="53"/>
      <c r="J99" s="53"/>
      <c r="K99" s="53"/>
      <c r="L99" s="53"/>
      <c r="M99" s="53"/>
      <c r="N99" s="54"/>
    </row>
    <row r="100" spans="1:15" x14ac:dyDescent="0.25">
      <c r="A100" s="208"/>
      <c r="B100" s="225"/>
      <c r="C100" s="25" t="s">
        <v>115</v>
      </c>
      <c r="D100" s="1" t="s">
        <v>9</v>
      </c>
      <c r="E100" s="55">
        <v>6.2310156729020081</v>
      </c>
      <c r="F100" s="55">
        <v>5.2776541092880542</v>
      </c>
      <c r="G100" s="55">
        <v>4.1122721591328899</v>
      </c>
      <c r="H100" s="55">
        <v>3.3147840025770408</v>
      </c>
      <c r="I100" s="55">
        <v>2.0378947368421052</v>
      </c>
      <c r="J100" s="55">
        <v>2.0189473684210526</v>
      </c>
      <c r="K100" s="55">
        <v>1.9557894736842103</v>
      </c>
      <c r="L100" s="55">
        <v>1.8231578947368419</v>
      </c>
      <c r="M100" s="55">
        <v>1.557894736842105</v>
      </c>
      <c r="N100" s="54"/>
    </row>
    <row r="101" spans="1:15" x14ac:dyDescent="0.25">
      <c r="A101" s="208"/>
      <c r="B101" s="225"/>
      <c r="C101" s="25" t="s">
        <v>35</v>
      </c>
      <c r="D101" s="1" t="s">
        <v>10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1.6473473684210525E-3</v>
      </c>
      <c r="L101" s="55">
        <v>1.5133894736842103E-3</v>
      </c>
      <c r="M101" s="55">
        <v>1.2454736842105263E-3</v>
      </c>
      <c r="N101" s="54"/>
    </row>
    <row r="102" spans="1:15" x14ac:dyDescent="0.25">
      <c r="A102" s="208"/>
      <c r="B102" s="225"/>
      <c r="C102" s="26" t="s">
        <v>24</v>
      </c>
      <c r="D102" s="27" t="s">
        <v>10</v>
      </c>
      <c r="E102" s="56">
        <v>0</v>
      </c>
      <c r="F102" s="56">
        <v>0</v>
      </c>
      <c r="G102" s="56">
        <v>0</v>
      </c>
      <c r="H102" s="56">
        <v>0</v>
      </c>
      <c r="I102" s="56">
        <v>0</v>
      </c>
      <c r="J102" s="56">
        <v>0</v>
      </c>
      <c r="K102" s="56">
        <v>0</v>
      </c>
      <c r="L102" s="56">
        <v>0</v>
      </c>
      <c r="M102" s="56">
        <v>0</v>
      </c>
      <c r="N102" s="54"/>
    </row>
    <row r="103" spans="1:15" x14ac:dyDescent="0.25">
      <c r="A103" s="208"/>
      <c r="B103" s="225"/>
      <c r="C103" s="25" t="s">
        <v>25</v>
      </c>
      <c r="D103" s="1" t="s">
        <v>7</v>
      </c>
      <c r="E103" s="56">
        <v>0.9787499999999999</v>
      </c>
      <c r="F103" s="56">
        <v>0.9787499999999999</v>
      </c>
      <c r="G103" s="56">
        <v>0.9787499999999999</v>
      </c>
      <c r="H103" s="56">
        <v>0.9787499999999999</v>
      </c>
      <c r="I103" s="56">
        <v>0.9787499999999999</v>
      </c>
      <c r="J103" s="56">
        <v>0.9787499999999999</v>
      </c>
      <c r="K103" s="56">
        <v>0.99150000000000005</v>
      </c>
      <c r="L103" s="56">
        <v>0.99150000000000005</v>
      </c>
      <c r="M103" s="56">
        <v>0.99150000000000005</v>
      </c>
      <c r="N103" s="54"/>
    </row>
    <row r="104" spans="1:15" x14ac:dyDescent="0.25">
      <c r="A104" s="208"/>
      <c r="B104" s="225"/>
      <c r="C104" s="25" t="s">
        <v>26</v>
      </c>
      <c r="D104" s="1" t="s">
        <v>14</v>
      </c>
      <c r="E104" s="55">
        <v>1524.6</v>
      </c>
      <c r="F104" s="55">
        <v>1749.6</v>
      </c>
      <c r="G104" s="55">
        <v>2349.6</v>
      </c>
      <c r="H104" s="55">
        <v>3174.6</v>
      </c>
      <c r="I104" s="55">
        <v>4299.6000000000004</v>
      </c>
      <c r="J104" s="55">
        <v>14213</v>
      </c>
      <c r="K104" s="55">
        <v>21713</v>
      </c>
      <c r="L104" s="55">
        <v>37463</v>
      </c>
      <c r="M104" s="55">
        <v>68963</v>
      </c>
      <c r="N104" s="54"/>
    </row>
    <row r="105" spans="1:15" x14ac:dyDescent="0.25">
      <c r="A105" s="208"/>
      <c r="B105" s="225"/>
      <c r="C105" s="25" t="s">
        <v>27</v>
      </c>
      <c r="D105" s="1" t="s">
        <v>4</v>
      </c>
      <c r="E105" s="53">
        <v>40</v>
      </c>
      <c r="F105" s="53">
        <v>40</v>
      </c>
      <c r="G105" s="53">
        <v>40</v>
      </c>
      <c r="H105" s="53">
        <v>40</v>
      </c>
      <c r="I105" s="53">
        <v>40</v>
      </c>
      <c r="J105" s="53">
        <v>40</v>
      </c>
      <c r="K105" s="53">
        <v>40</v>
      </c>
      <c r="L105" s="53">
        <v>40</v>
      </c>
      <c r="M105" s="53">
        <v>40</v>
      </c>
      <c r="N105" s="54"/>
    </row>
    <row r="106" spans="1:15" x14ac:dyDescent="0.25">
      <c r="A106" s="208"/>
      <c r="B106" s="225"/>
      <c r="C106" s="25" t="s">
        <v>116</v>
      </c>
      <c r="D106" s="1" t="s">
        <v>19</v>
      </c>
      <c r="E106" s="53">
        <v>0.5</v>
      </c>
      <c r="F106" s="53">
        <v>0.5</v>
      </c>
      <c r="G106" s="53">
        <v>0.5</v>
      </c>
      <c r="H106" s="53">
        <v>0.5</v>
      </c>
      <c r="I106" s="53">
        <v>0.5</v>
      </c>
      <c r="J106" s="53">
        <v>0.5</v>
      </c>
      <c r="K106" s="53">
        <v>0.5</v>
      </c>
      <c r="L106" s="53">
        <v>0.5</v>
      </c>
      <c r="M106" s="53">
        <v>0.5</v>
      </c>
      <c r="N106" s="54"/>
      <c r="O106" s="75"/>
    </row>
    <row r="107" spans="1:15" x14ac:dyDescent="0.25">
      <c r="A107" s="208"/>
      <c r="B107" s="225"/>
      <c r="C107" s="25" t="s">
        <v>28</v>
      </c>
      <c r="D107" s="1" t="s">
        <v>19</v>
      </c>
      <c r="E107" s="53">
        <v>1.3</v>
      </c>
      <c r="F107" s="53">
        <v>1.3</v>
      </c>
      <c r="G107" s="53">
        <v>1.3</v>
      </c>
      <c r="H107" s="53">
        <v>1.3</v>
      </c>
      <c r="I107" s="53">
        <v>1.3</v>
      </c>
      <c r="J107" s="53">
        <v>1.3</v>
      </c>
      <c r="K107" s="53">
        <v>1.3</v>
      </c>
      <c r="L107" s="53">
        <v>1.3</v>
      </c>
      <c r="M107" s="53">
        <v>1.3</v>
      </c>
      <c r="N107" s="54"/>
    </row>
    <row r="108" spans="1:15" x14ac:dyDescent="0.25">
      <c r="A108" s="208"/>
      <c r="B108" s="225"/>
      <c r="C108" s="25" t="s">
        <v>29</v>
      </c>
      <c r="D108" s="1" t="s">
        <v>4</v>
      </c>
      <c r="E108" s="53">
        <v>20</v>
      </c>
      <c r="F108" s="53">
        <v>20</v>
      </c>
      <c r="G108" s="53">
        <v>20</v>
      </c>
      <c r="H108" s="53">
        <v>20</v>
      </c>
      <c r="I108" s="53">
        <v>20</v>
      </c>
      <c r="J108" s="53">
        <v>20</v>
      </c>
      <c r="K108" s="53">
        <v>20</v>
      </c>
      <c r="L108" s="53">
        <v>20</v>
      </c>
      <c r="M108" s="53">
        <v>20</v>
      </c>
      <c r="N108" s="54"/>
    </row>
    <row r="109" spans="1:15" x14ac:dyDescent="0.25">
      <c r="A109" s="208"/>
      <c r="B109" s="225"/>
      <c r="C109" s="25" t="s">
        <v>30</v>
      </c>
      <c r="D109" s="1" t="s">
        <v>6</v>
      </c>
      <c r="E109" s="55">
        <v>1152.3913936979507</v>
      </c>
      <c r="F109" s="55">
        <v>822.90511868819738</v>
      </c>
      <c r="G109" s="55">
        <v>545.22351181490808</v>
      </c>
      <c r="H109" s="55">
        <v>458.47760255879234</v>
      </c>
      <c r="I109" s="55">
        <v>458.47760255879234</v>
      </c>
      <c r="J109" s="55">
        <v>458.47760255879234</v>
      </c>
      <c r="K109" s="55">
        <v>1278.4539485788428</v>
      </c>
      <c r="L109" s="55">
        <v>1112.1038090399368</v>
      </c>
      <c r="M109" s="55">
        <v>977.49889242726499</v>
      </c>
      <c r="N109" s="54"/>
    </row>
    <row r="110" spans="1:15" x14ac:dyDescent="0.25">
      <c r="A110" s="208"/>
      <c r="B110" s="225"/>
      <c r="C110" s="25" t="s">
        <v>178</v>
      </c>
      <c r="D110" s="1" t="s">
        <v>19</v>
      </c>
      <c r="E110" s="56">
        <v>0</v>
      </c>
      <c r="F110" s="56">
        <v>0</v>
      </c>
      <c r="G110" s="56">
        <v>0</v>
      </c>
      <c r="H110" s="56">
        <v>0</v>
      </c>
      <c r="I110" s="56">
        <v>0</v>
      </c>
      <c r="J110" s="56">
        <v>0</v>
      </c>
      <c r="K110" s="56">
        <v>0</v>
      </c>
      <c r="L110" s="56">
        <v>0</v>
      </c>
      <c r="M110" s="56">
        <v>0</v>
      </c>
      <c r="N110" s="54"/>
    </row>
    <row r="111" spans="1:15" x14ac:dyDescent="0.25">
      <c r="A111" s="208"/>
      <c r="B111" s="225"/>
      <c r="C111" s="25" t="s">
        <v>117</v>
      </c>
      <c r="D111" s="1" t="s">
        <v>8</v>
      </c>
      <c r="E111" s="53"/>
      <c r="F111" s="53"/>
      <c r="G111" s="53"/>
      <c r="H111" s="53"/>
      <c r="I111" s="53"/>
      <c r="J111" s="53"/>
      <c r="K111" s="53"/>
      <c r="L111" s="53"/>
      <c r="M111" s="53"/>
      <c r="N111" s="54"/>
    </row>
    <row r="112" spans="1:15" x14ac:dyDescent="0.25">
      <c r="A112" s="208"/>
      <c r="B112" s="225"/>
      <c r="C112" s="25" t="s">
        <v>118</v>
      </c>
      <c r="D112" s="1" t="s">
        <v>9</v>
      </c>
      <c r="E112" s="53"/>
      <c r="F112" s="53"/>
      <c r="G112" s="53"/>
      <c r="H112" s="53"/>
      <c r="I112" s="53"/>
      <c r="J112" s="53"/>
      <c r="K112" s="53"/>
      <c r="L112" s="53"/>
      <c r="M112" s="53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55">
        <v>0</v>
      </c>
      <c r="F113" s="55">
        <v>0</v>
      </c>
      <c r="G113" s="55">
        <v>0</v>
      </c>
      <c r="H113" s="55">
        <v>0</v>
      </c>
      <c r="I113" s="55">
        <v>0</v>
      </c>
      <c r="J113" s="55">
        <v>0</v>
      </c>
      <c r="K113" s="55">
        <v>0</v>
      </c>
      <c r="L113" s="55">
        <v>2.085E-3</v>
      </c>
      <c r="M113" s="55">
        <v>2.085E-3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53">
        <v>3.33</v>
      </c>
      <c r="F116" s="53">
        <v>3.33</v>
      </c>
      <c r="G116" s="53">
        <v>3.33</v>
      </c>
      <c r="H116" s="53">
        <v>3.33</v>
      </c>
      <c r="I116" s="53">
        <v>3.33</v>
      </c>
      <c r="J116" s="53">
        <v>3.33</v>
      </c>
      <c r="K116" s="53">
        <v>3.33</v>
      </c>
      <c r="L116" s="53">
        <v>3.33</v>
      </c>
      <c r="M116" s="53">
        <v>3.33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53"/>
      <c r="F117" s="53"/>
      <c r="G117" s="53"/>
      <c r="H117" s="53"/>
      <c r="I117" s="53"/>
      <c r="J117" s="53"/>
      <c r="K117" s="53"/>
      <c r="L117" s="53"/>
      <c r="M117" s="53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53"/>
      <c r="F118" s="53"/>
      <c r="G118" s="53"/>
      <c r="H118" s="53"/>
      <c r="I118" s="53"/>
      <c r="J118" s="53"/>
      <c r="K118" s="53"/>
      <c r="L118" s="53"/>
      <c r="M118" s="53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53">
        <v>1</v>
      </c>
      <c r="F119" s="53">
        <v>1</v>
      </c>
      <c r="G119" s="53">
        <v>1</v>
      </c>
      <c r="H119" s="53">
        <v>1</v>
      </c>
      <c r="I119" s="53">
        <v>1</v>
      </c>
      <c r="J119" s="53">
        <v>1</v>
      </c>
      <c r="K119" s="53">
        <v>1</v>
      </c>
      <c r="L119" s="53">
        <v>1</v>
      </c>
      <c r="M119" s="53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53">
        <v>0.35</v>
      </c>
      <c r="F120" s="53">
        <v>0.35</v>
      </c>
      <c r="G120" s="53">
        <v>0.35</v>
      </c>
      <c r="H120" s="53">
        <v>0.35</v>
      </c>
      <c r="I120" s="53">
        <v>0.35</v>
      </c>
      <c r="J120" s="53">
        <v>0.35</v>
      </c>
      <c r="K120" s="53">
        <v>0.35</v>
      </c>
      <c r="L120" s="53">
        <v>0.35</v>
      </c>
      <c r="M120" s="53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53">
        <v>20</v>
      </c>
      <c r="F121" s="53">
        <v>20</v>
      </c>
      <c r="G121" s="53">
        <v>20</v>
      </c>
      <c r="H121" s="53">
        <v>20</v>
      </c>
      <c r="I121" s="53">
        <v>20</v>
      </c>
      <c r="J121" s="53">
        <v>20</v>
      </c>
      <c r="K121" s="53">
        <v>20</v>
      </c>
      <c r="L121" s="53">
        <v>20</v>
      </c>
      <c r="M121" s="53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55">
        <v>207.70052243006694</v>
      </c>
      <c r="F122" s="55">
        <v>175.92180364293515</v>
      </c>
      <c r="G122" s="55">
        <v>137.07573863776301</v>
      </c>
      <c r="H122" s="55">
        <v>110.49280008590137</v>
      </c>
      <c r="I122" s="55">
        <v>107.31263157894738</v>
      </c>
      <c r="J122" s="55">
        <v>107.00631578947369</v>
      </c>
      <c r="K122" s="55">
        <v>105.98526315789475</v>
      </c>
      <c r="L122" s="55">
        <v>103.84105263157896</v>
      </c>
      <c r="M122" s="55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56">
        <v>0</v>
      </c>
      <c r="F123" s="56">
        <v>0</v>
      </c>
      <c r="G123" s="56">
        <v>0</v>
      </c>
      <c r="H123" s="56">
        <v>0</v>
      </c>
      <c r="I123" s="56">
        <v>0</v>
      </c>
      <c r="J123" s="56">
        <v>0</v>
      </c>
      <c r="K123" s="56">
        <v>0</v>
      </c>
      <c r="L123" s="56">
        <v>0</v>
      </c>
      <c r="M123" s="56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53"/>
      <c r="F124" s="53"/>
      <c r="G124" s="53"/>
      <c r="H124" s="53"/>
      <c r="I124" s="53"/>
      <c r="J124" s="53"/>
      <c r="K124" s="53"/>
      <c r="L124" s="53"/>
      <c r="M124" s="53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55">
        <v>6.2310156729020081</v>
      </c>
      <c r="F125" s="55">
        <v>5.2776541092880542</v>
      </c>
      <c r="G125" s="55">
        <v>4.1122721591328899</v>
      </c>
      <c r="H125" s="55">
        <v>3.3147840025770408</v>
      </c>
      <c r="I125" s="55">
        <v>2.0378947368421052</v>
      </c>
      <c r="J125" s="55">
        <v>2.0189473684210526</v>
      </c>
      <c r="K125" s="55">
        <v>1.9557894736842103</v>
      </c>
      <c r="L125" s="55">
        <v>1.8231578947368419</v>
      </c>
      <c r="M125" s="55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55">
        <v>0</v>
      </c>
      <c r="F126" s="55">
        <v>0</v>
      </c>
      <c r="G126" s="55">
        <v>0</v>
      </c>
      <c r="H126" s="55">
        <v>0</v>
      </c>
      <c r="I126" s="55">
        <v>0</v>
      </c>
      <c r="J126" s="55">
        <v>0</v>
      </c>
      <c r="K126" s="55">
        <v>1.6473473684210525E-3</v>
      </c>
      <c r="L126" s="55">
        <v>1.5133894736842103E-3</v>
      </c>
      <c r="M126" s="55">
        <v>1.2454736842105263E-3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56">
        <v>0.9787499999999999</v>
      </c>
      <c r="F128" s="56">
        <v>0.9787499999999999</v>
      </c>
      <c r="G128" s="56">
        <v>0.9787499999999999</v>
      </c>
      <c r="H128" s="56">
        <v>0.9787499999999999</v>
      </c>
      <c r="I128" s="56">
        <v>0.9787499999999999</v>
      </c>
      <c r="J128" s="56">
        <v>0.9787499999999999</v>
      </c>
      <c r="K128" s="56">
        <v>0.99150000000000005</v>
      </c>
      <c r="L128" s="56">
        <v>0.99150000000000005</v>
      </c>
      <c r="M128" s="56">
        <v>0.99150000000000005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55">
        <v>1524.6</v>
      </c>
      <c r="F129" s="55">
        <v>1749.6</v>
      </c>
      <c r="G129" s="55">
        <v>2349.6</v>
      </c>
      <c r="H129" s="55">
        <v>3174.6</v>
      </c>
      <c r="I129" s="55">
        <v>4299.6000000000004</v>
      </c>
      <c r="J129" s="55">
        <v>14213</v>
      </c>
      <c r="K129" s="55">
        <v>21713</v>
      </c>
      <c r="L129" s="55">
        <v>37463</v>
      </c>
      <c r="M129" s="55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53">
        <v>40</v>
      </c>
      <c r="F130" s="53">
        <v>40</v>
      </c>
      <c r="G130" s="53">
        <v>40</v>
      </c>
      <c r="H130" s="53">
        <v>40</v>
      </c>
      <c r="I130" s="53">
        <v>40</v>
      </c>
      <c r="J130" s="53">
        <v>40</v>
      </c>
      <c r="K130" s="53">
        <v>40</v>
      </c>
      <c r="L130" s="53">
        <v>40</v>
      </c>
      <c r="M130" s="53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53">
        <v>0.35</v>
      </c>
      <c r="F131" s="53">
        <v>0.35</v>
      </c>
      <c r="G131" s="53">
        <v>0.35</v>
      </c>
      <c r="H131" s="53">
        <v>0.35</v>
      </c>
      <c r="I131" s="53">
        <v>0.35</v>
      </c>
      <c r="J131" s="53">
        <v>0.35</v>
      </c>
      <c r="K131" s="53">
        <v>0.35</v>
      </c>
      <c r="L131" s="53">
        <v>0.35</v>
      </c>
      <c r="M131" s="53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53">
        <v>1.8571428571428572</v>
      </c>
      <c r="F132" s="53">
        <v>1.8571428571428572</v>
      </c>
      <c r="G132" s="53">
        <v>1.8571428571428572</v>
      </c>
      <c r="H132" s="53">
        <v>1.8571428571428572</v>
      </c>
      <c r="I132" s="53">
        <v>1.8571428571428572</v>
      </c>
      <c r="J132" s="53">
        <v>1.8571428571428572</v>
      </c>
      <c r="K132" s="53">
        <v>1.8571428571428572</v>
      </c>
      <c r="L132" s="53">
        <v>1.8571428571428572</v>
      </c>
      <c r="M132" s="53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53">
        <v>20</v>
      </c>
      <c r="F133" s="53">
        <v>20</v>
      </c>
      <c r="G133" s="53">
        <v>20</v>
      </c>
      <c r="H133" s="53">
        <v>20</v>
      </c>
      <c r="I133" s="53">
        <v>20</v>
      </c>
      <c r="J133" s="53">
        <v>20</v>
      </c>
      <c r="K133" s="53">
        <v>20</v>
      </c>
      <c r="L133" s="53">
        <v>20</v>
      </c>
      <c r="M133" s="53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55">
        <v>6446.1263682075942</v>
      </c>
      <c r="F134" s="55">
        <v>4363.6353162151654</v>
      </c>
      <c r="G134" s="55">
        <v>2708.404978638011</v>
      </c>
      <c r="H134" s="55">
        <v>2101.328882850632</v>
      </c>
      <c r="I134" s="55">
        <v>1742.9566020172474</v>
      </c>
      <c r="J134" s="55">
        <v>1429.4675711498674</v>
      </c>
      <c r="K134" s="55">
        <v>1119.0921583216257</v>
      </c>
      <c r="L134" s="55">
        <v>896.38245628520338</v>
      </c>
      <c r="M134" s="55">
        <v>729.96389830866713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56">
        <v>0</v>
      </c>
      <c r="F135" s="56">
        <v>0</v>
      </c>
      <c r="G135" s="56">
        <v>0</v>
      </c>
      <c r="H135" s="56">
        <v>0</v>
      </c>
      <c r="I135" s="56">
        <v>0</v>
      </c>
      <c r="J135" s="56">
        <v>0</v>
      </c>
      <c r="K135" s="56">
        <v>0</v>
      </c>
      <c r="L135" s="56">
        <v>0</v>
      </c>
      <c r="M135" s="56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53"/>
      <c r="F137" s="53"/>
      <c r="G137" s="53"/>
      <c r="H137" s="53"/>
      <c r="I137" s="53"/>
      <c r="J137" s="53"/>
      <c r="K137" s="53"/>
      <c r="L137" s="53"/>
      <c r="M137" s="53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55">
        <v>5.4632155805897732E-2</v>
      </c>
      <c r="F138" s="55">
        <v>6.9225169277652349E-2</v>
      </c>
      <c r="G138" s="55">
        <v>5.5072970988733948E-2</v>
      </c>
      <c r="H138" s="55">
        <v>4.6604222305577481E-2</v>
      </c>
      <c r="I138" s="55">
        <v>4.0289223212275231E-2</v>
      </c>
      <c r="J138" s="55">
        <v>2.4583755873341454E-2</v>
      </c>
      <c r="K138" s="55">
        <v>1.9104989606490121E-2</v>
      </c>
      <c r="L138" s="55">
        <v>1.5182594783541725E-2</v>
      </c>
      <c r="M138" s="55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59">
        <v>0.25</v>
      </c>
      <c r="F142" s="59">
        <v>0.25</v>
      </c>
      <c r="G142" s="59">
        <v>0.25</v>
      </c>
      <c r="H142" s="59">
        <v>0.25</v>
      </c>
      <c r="I142" s="59">
        <v>0.25</v>
      </c>
      <c r="J142" s="59">
        <v>0.25</v>
      </c>
      <c r="K142" s="59">
        <v>0.25</v>
      </c>
      <c r="L142" s="59">
        <v>0.25</v>
      </c>
      <c r="M142" s="59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56">
        <v>0.66625430833964439</v>
      </c>
      <c r="F143" s="56">
        <v>0.66367464936796561</v>
      </c>
      <c r="G143" s="56">
        <v>0.65679555877682227</v>
      </c>
      <c r="H143" s="56">
        <v>0.64733680921400016</v>
      </c>
      <c r="I143" s="56">
        <v>0.63443851435560639</v>
      </c>
      <c r="J143" s="56">
        <v>0.4680070358050421</v>
      </c>
      <c r="K143" s="56">
        <v>0.46713859851464173</v>
      </c>
      <c r="L143" s="56">
        <v>0.46531488020480088</v>
      </c>
      <c r="M143" s="56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56">
        <v>0.25092243745356524</v>
      </c>
      <c r="F144" s="56">
        <v>0.25657675134016689</v>
      </c>
      <c r="G144" s="56">
        <v>0.27165492170443795</v>
      </c>
      <c r="H144" s="56">
        <v>0.29238740595531065</v>
      </c>
      <c r="I144" s="56">
        <v>0.32065897538831889</v>
      </c>
      <c r="J144" s="56">
        <v>0.41290384467151914</v>
      </c>
      <c r="K144" s="56">
        <v>0.41363974384019625</v>
      </c>
      <c r="L144" s="56">
        <v>0.41518513209441815</v>
      </c>
      <c r="M144" s="56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55">
        <v>0</v>
      </c>
      <c r="F145" s="55">
        <v>0</v>
      </c>
      <c r="G145" s="55">
        <v>0</v>
      </c>
      <c r="H145" s="55">
        <v>0</v>
      </c>
      <c r="I145" s="55">
        <v>0</v>
      </c>
      <c r="J145" s="55">
        <v>0</v>
      </c>
      <c r="K145" s="55">
        <v>0</v>
      </c>
      <c r="L145" s="55">
        <v>0</v>
      </c>
      <c r="M145" s="55">
        <v>0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55">
        <v>0</v>
      </c>
      <c r="F146" s="55">
        <v>0</v>
      </c>
      <c r="G146" s="55">
        <v>0</v>
      </c>
      <c r="H146" s="55">
        <v>0</v>
      </c>
      <c r="I146" s="55">
        <v>0</v>
      </c>
      <c r="J146" s="55">
        <v>0</v>
      </c>
      <c r="K146" s="55">
        <v>0</v>
      </c>
      <c r="L146" s="55">
        <v>0</v>
      </c>
      <c r="M146" s="55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53">
        <v>0</v>
      </c>
      <c r="F147" s="53">
        <v>0</v>
      </c>
      <c r="G147" s="53">
        <v>0</v>
      </c>
      <c r="H147" s="53">
        <v>0</v>
      </c>
      <c r="I147" s="53">
        <v>0</v>
      </c>
      <c r="J147" s="53">
        <v>0</v>
      </c>
      <c r="K147" s="53">
        <v>0</v>
      </c>
      <c r="L147" s="53">
        <v>0</v>
      </c>
      <c r="M147" s="53">
        <v>0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53">
        <v>1</v>
      </c>
      <c r="F148" s="53">
        <v>1</v>
      </c>
      <c r="G148" s="53">
        <v>1</v>
      </c>
      <c r="H148" s="53">
        <v>1</v>
      </c>
      <c r="I148" s="53">
        <v>1</v>
      </c>
      <c r="J148" s="53">
        <v>1</v>
      </c>
      <c r="K148" s="53">
        <v>1</v>
      </c>
      <c r="L148" s="53">
        <v>1</v>
      </c>
      <c r="M148" s="53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53">
        <v>0.35</v>
      </c>
      <c r="F149" s="53">
        <v>0.35</v>
      </c>
      <c r="G149" s="53">
        <v>0.35</v>
      </c>
      <c r="H149" s="53">
        <v>0.35</v>
      </c>
      <c r="I149" s="53">
        <v>0.35</v>
      </c>
      <c r="J149" s="53">
        <v>0.35</v>
      </c>
      <c r="K149" s="53">
        <v>0.35</v>
      </c>
      <c r="L149" s="53">
        <v>0.35</v>
      </c>
      <c r="M149" s="53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53">
        <v>20</v>
      </c>
      <c r="F150" s="53">
        <v>20</v>
      </c>
      <c r="G150" s="53">
        <v>20</v>
      </c>
      <c r="H150" s="53">
        <v>20</v>
      </c>
      <c r="I150" s="53">
        <v>20</v>
      </c>
      <c r="J150" s="53">
        <v>20</v>
      </c>
      <c r="K150" s="53">
        <v>20</v>
      </c>
      <c r="L150" s="53">
        <v>20</v>
      </c>
      <c r="M150" s="53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55">
        <v>207.70052243006694</v>
      </c>
      <c r="F151" s="55">
        <v>175.92180364293515</v>
      </c>
      <c r="G151" s="55">
        <v>137.07573863776301</v>
      </c>
      <c r="H151" s="55">
        <v>110.49280008590137</v>
      </c>
      <c r="I151" s="55">
        <v>107.31263157894738</v>
      </c>
      <c r="J151" s="55">
        <v>107.00631578947369</v>
      </c>
      <c r="K151" s="55">
        <v>105.98526315789475</v>
      </c>
      <c r="L151" s="55">
        <v>103.84105263157896</v>
      </c>
      <c r="M151" s="55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56">
        <v>0</v>
      </c>
      <c r="F152" s="56">
        <v>0</v>
      </c>
      <c r="G152" s="56">
        <v>0</v>
      </c>
      <c r="H152" s="56">
        <v>0</v>
      </c>
      <c r="I152" s="56">
        <v>0</v>
      </c>
      <c r="J152" s="56">
        <v>0</v>
      </c>
      <c r="K152" s="56">
        <v>0</v>
      </c>
      <c r="L152" s="56">
        <v>0</v>
      </c>
      <c r="M152" s="56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53"/>
      <c r="F153" s="53"/>
      <c r="G153" s="53"/>
      <c r="H153" s="53"/>
      <c r="I153" s="53"/>
      <c r="J153" s="53"/>
      <c r="K153" s="53"/>
      <c r="L153" s="53"/>
      <c r="M153" s="53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55">
        <v>6.2310156729020081</v>
      </c>
      <c r="F154" s="55">
        <v>5.2776541092880542</v>
      </c>
      <c r="G154" s="55">
        <v>4.1122721591328899</v>
      </c>
      <c r="H154" s="55">
        <v>3.3147840025770408</v>
      </c>
      <c r="I154" s="55">
        <v>2.0378947368421052</v>
      </c>
      <c r="J154" s="55">
        <v>2.0189473684210526</v>
      </c>
      <c r="K154" s="55">
        <v>1.9557894736842103</v>
      </c>
      <c r="L154" s="55">
        <v>1.8231578947368419</v>
      </c>
      <c r="M154" s="55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55">
        <v>0</v>
      </c>
      <c r="F155" s="55">
        <v>0</v>
      </c>
      <c r="G155" s="55">
        <v>0</v>
      </c>
      <c r="H155" s="55">
        <v>0</v>
      </c>
      <c r="I155" s="55">
        <v>0</v>
      </c>
      <c r="J155" s="55">
        <v>0</v>
      </c>
      <c r="K155" s="55">
        <v>1.6473473684210525E-3</v>
      </c>
      <c r="L155" s="55">
        <v>1.5133894736842103E-3</v>
      </c>
      <c r="M155" s="55">
        <v>1.2454736842105263E-3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56">
        <v>0.9787499999999999</v>
      </c>
      <c r="F157" s="56">
        <v>0.9787499999999999</v>
      </c>
      <c r="G157" s="56">
        <v>0.9787499999999999</v>
      </c>
      <c r="H157" s="56">
        <v>0.9787499999999999</v>
      </c>
      <c r="I157" s="56">
        <v>0.9787499999999999</v>
      </c>
      <c r="J157" s="56">
        <v>0.9787499999999999</v>
      </c>
      <c r="K157" s="56">
        <v>0.99150000000000005</v>
      </c>
      <c r="L157" s="56">
        <v>0.99150000000000005</v>
      </c>
      <c r="M157" s="56">
        <v>0.99150000000000005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55">
        <v>1524.6</v>
      </c>
      <c r="F158" s="55">
        <v>1749.6</v>
      </c>
      <c r="G158" s="55">
        <v>2349.6</v>
      </c>
      <c r="H158" s="55">
        <v>3174.6</v>
      </c>
      <c r="I158" s="55">
        <v>4299.6000000000004</v>
      </c>
      <c r="J158" s="55">
        <v>14213</v>
      </c>
      <c r="K158" s="55">
        <v>21713</v>
      </c>
      <c r="L158" s="55">
        <v>37463</v>
      </c>
      <c r="M158" s="55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53">
        <v>40</v>
      </c>
      <c r="F159" s="53">
        <v>40</v>
      </c>
      <c r="G159" s="53">
        <v>40</v>
      </c>
      <c r="H159" s="53">
        <v>40</v>
      </c>
      <c r="I159" s="53">
        <v>40</v>
      </c>
      <c r="J159" s="53">
        <v>40</v>
      </c>
      <c r="K159" s="53">
        <v>40</v>
      </c>
      <c r="L159" s="53">
        <v>40</v>
      </c>
      <c r="M159" s="53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53">
        <v>0.35</v>
      </c>
      <c r="F160" s="53">
        <v>0.35</v>
      </c>
      <c r="G160" s="53">
        <v>0.35</v>
      </c>
      <c r="H160" s="53">
        <v>0.35</v>
      </c>
      <c r="I160" s="53">
        <v>0.35</v>
      </c>
      <c r="J160" s="53">
        <v>0.35</v>
      </c>
      <c r="K160" s="53">
        <v>0.35</v>
      </c>
      <c r="L160" s="53">
        <v>0.35</v>
      </c>
      <c r="M160" s="53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53">
        <v>1.8571428571428572</v>
      </c>
      <c r="F161" s="53">
        <v>1.8571428571428572</v>
      </c>
      <c r="G161" s="53">
        <v>1.8571428571428572</v>
      </c>
      <c r="H161" s="53">
        <v>1.8571428571428572</v>
      </c>
      <c r="I161" s="53">
        <v>1.8571428571428572</v>
      </c>
      <c r="J161" s="53">
        <v>1.8571428571428572</v>
      </c>
      <c r="K161" s="53">
        <v>1.8571428571428572</v>
      </c>
      <c r="L161" s="53">
        <v>1.8571428571428572</v>
      </c>
      <c r="M161" s="53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53">
        <v>20</v>
      </c>
      <c r="F162" s="53">
        <v>20</v>
      </c>
      <c r="G162" s="53">
        <v>20</v>
      </c>
      <c r="H162" s="53">
        <v>20</v>
      </c>
      <c r="I162" s="53">
        <v>20</v>
      </c>
      <c r="J162" s="53">
        <v>20</v>
      </c>
      <c r="K162" s="53">
        <v>20</v>
      </c>
      <c r="L162" s="53">
        <v>20</v>
      </c>
      <c r="M162" s="53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55">
        <v>6446.1263682075942</v>
      </c>
      <c r="F163" s="55">
        <v>4363.6353162151654</v>
      </c>
      <c r="G163" s="55">
        <v>2708.404978638011</v>
      </c>
      <c r="H163" s="55">
        <v>2101.328882850632</v>
      </c>
      <c r="I163" s="55">
        <v>1742.9566020172474</v>
      </c>
      <c r="J163" s="55">
        <v>1429.4675711498674</v>
      </c>
      <c r="K163" s="55">
        <v>1119.0921583216257</v>
      </c>
      <c r="L163" s="55">
        <v>896.38245628520338</v>
      </c>
      <c r="M163" s="55">
        <v>729.96389830866713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56">
        <v>0</v>
      </c>
      <c r="F164" s="56">
        <v>0</v>
      </c>
      <c r="G164" s="56">
        <v>0</v>
      </c>
      <c r="H164" s="56">
        <v>0</v>
      </c>
      <c r="I164" s="56">
        <v>0</v>
      </c>
      <c r="J164" s="56">
        <v>0</v>
      </c>
      <c r="K164" s="56">
        <v>0</v>
      </c>
      <c r="L164" s="56">
        <v>0</v>
      </c>
      <c r="M164" s="56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53"/>
      <c r="F165" s="53"/>
      <c r="G165" s="53"/>
      <c r="H165" s="53"/>
      <c r="I165" s="53"/>
      <c r="J165" s="53"/>
      <c r="K165" s="53"/>
      <c r="L165" s="53"/>
      <c r="M165" s="53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53"/>
      <c r="F166" s="53"/>
      <c r="G166" s="53"/>
      <c r="H166" s="53"/>
      <c r="I166" s="53"/>
      <c r="J166" s="53"/>
      <c r="K166" s="53"/>
      <c r="L166" s="53"/>
      <c r="M166" s="53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55">
        <v>5.4632155805897732E-2</v>
      </c>
      <c r="F167" s="55">
        <v>6.9225169277652349E-2</v>
      </c>
      <c r="G167" s="55">
        <v>5.5072970988733948E-2</v>
      </c>
      <c r="H167" s="55">
        <v>4.6604222305577481E-2</v>
      </c>
      <c r="I167" s="55">
        <v>4.0289223212275231E-2</v>
      </c>
      <c r="J167" s="55">
        <v>2.4583755873341454E-2</v>
      </c>
      <c r="K167" s="55">
        <v>1.9104989606490121E-2</v>
      </c>
      <c r="L167" s="55">
        <v>1.5182594783541725E-2</v>
      </c>
      <c r="M167" s="55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55">
        <v>0</v>
      </c>
      <c r="F168" s="55">
        <v>0</v>
      </c>
      <c r="G168" s="55">
        <v>0</v>
      </c>
      <c r="H168" s="55">
        <v>0</v>
      </c>
      <c r="I168" s="55">
        <v>0</v>
      </c>
      <c r="J168" s="55">
        <v>0</v>
      </c>
      <c r="K168" s="55">
        <v>0</v>
      </c>
      <c r="L168" s="55">
        <v>0</v>
      </c>
      <c r="M168" s="55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53"/>
      <c r="F169" s="53"/>
      <c r="G169" s="53"/>
      <c r="H169" s="53"/>
      <c r="I169" s="53"/>
      <c r="J169" s="53"/>
      <c r="K169" s="53"/>
      <c r="L169" s="53"/>
      <c r="M169" s="53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53"/>
      <c r="F170" s="53"/>
      <c r="G170" s="53"/>
      <c r="H170" s="53"/>
      <c r="I170" s="53"/>
      <c r="J170" s="53"/>
      <c r="K170" s="53"/>
      <c r="L170" s="53"/>
      <c r="M170" s="53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59">
        <v>0.5</v>
      </c>
      <c r="F171" s="59">
        <v>0.5</v>
      </c>
      <c r="G171" s="59">
        <v>0.5</v>
      </c>
      <c r="H171" s="59">
        <v>0.5</v>
      </c>
      <c r="I171" s="59">
        <v>0.5</v>
      </c>
      <c r="J171" s="59">
        <v>0.5</v>
      </c>
      <c r="K171" s="59">
        <v>0.5</v>
      </c>
      <c r="L171" s="59">
        <v>0.5</v>
      </c>
      <c r="M171" s="59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56">
        <v>0.66625430833964439</v>
      </c>
      <c r="F172" s="56">
        <v>0.66367464936796561</v>
      </c>
      <c r="G172" s="56">
        <v>0.65679555877682227</v>
      </c>
      <c r="H172" s="56">
        <v>0.64733680921400016</v>
      </c>
      <c r="I172" s="56">
        <v>0.63443851435560639</v>
      </c>
      <c r="J172" s="56">
        <v>0.4680070358050421</v>
      </c>
      <c r="K172" s="56">
        <v>0.46713859851464173</v>
      </c>
      <c r="L172" s="56">
        <v>0.46531488020480088</v>
      </c>
      <c r="M172" s="56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56">
        <v>0.25092243745356524</v>
      </c>
      <c r="F173" s="56">
        <v>0.25657675134016689</v>
      </c>
      <c r="G173" s="56">
        <v>0.27165492170443795</v>
      </c>
      <c r="H173" s="56">
        <v>0.29238740595531065</v>
      </c>
      <c r="I173" s="56">
        <v>0.32065897538831889</v>
      </c>
      <c r="J173" s="56">
        <v>0.41290384467151914</v>
      </c>
      <c r="K173" s="56">
        <v>0.41363974384019625</v>
      </c>
      <c r="L173" s="56">
        <v>0.41518513209441815</v>
      </c>
      <c r="M173" s="56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53">
        <v>0</v>
      </c>
      <c r="F176" s="53">
        <v>0</v>
      </c>
      <c r="G176" s="53">
        <v>0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60">
        <v>1</v>
      </c>
      <c r="F177" s="60">
        <v>1</v>
      </c>
      <c r="G177" s="60">
        <v>1</v>
      </c>
      <c r="H177" s="60">
        <v>1</v>
      </c>
      <c r="I177" s="60">
        <v>1</v>
      </c>
      <c r="J177" s="60">
        <v>1</v>
      </c>
      <c r="K177" s="60">
        <v>1</v>
      </c>
      <c r="L177" s="60">
        <v>1</v>
      </c>
      <c r="M177" s="60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53">
        <v>0.8</v>
      </c>
      <c r="F178" s="53">
        <v>0.8</v>
      </c>
      <c r="G178" s="53">
        <v>0.8</v>
      </c>
      <c r="H178" s="53">
        <v>0.8</v>
      </c>
      <c r="I178" s="53">
        <v>0.8</v>
      </c>
      <c r="J178" s="53">
        <v>0.8</v>
      </c>
      <c r="K178" s="53">
        <v>0.8</v>
      </c>
      <c r="L178" s="53">
        <v>0.8</v>
      </c>
      <c r="M178" s="53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53">
        <v>20</v>
      </c>
      <c r="F179" s="53">
        <v>20</v>
      </c>
      <c r="G179" s="53">
        <v>20</v>
      </c>
      <c r="H179" s="53">
        <v>20</v>
      </c>
      <c r="I179" s="53">
        <v>20</v>
      </c>
      <c r="J179" s="53">
        <v>20</v>
      </c>
      <c r="K179" s="53">
        <v>20</v>
      </c>
      <c r="L179" s="53">
        <v>20</v>
      </c>
      <c r="M179" s="53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55">
        <v>207.70052243006694</v>
      </c>
      <c r="F180" s="55">
        <v>175.92180364293515</v>
      </c>
      <c r="G180" s="55">
        <v>137.07573863776301</v>
      </c>
      <c r="H180" s="55">
        <v>110.49280008590137</v>
      </c>
      <c r="I180" s="55">
        <v>107.31263157894738</v>
      </c>
      <c r="J180" s="55">
        <v>107.00631578947369</v>
      </c>
      <c r="K180" s="55">
        <v>105.98526315789475</v>
      </c>
      <c r="L180" s="55">
        <v>103.84105263157896</v>
      </c>
      <c r="M180" s="55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56">
        <v>0</v>
      </c>
      <c r="F181" s="56">
        <v>0</v>
      </c>
      <c r="G181" s="56">
        <v>0</v>
      </c>
      <c r="H181" s="56">
        <v>0</v>
      </c>
      <c r="I181" s="56">
        <v>0</v>
      </c>
      <c r="J181" s="56">
        <v>0</v>
      </c>
      <c r="K181" s="56">
        <v>0</v>
      </c>
      <c r="L181" s="56">
        <v>0</v>
      </c>
      <c r="M181" s="56">
        <v>0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53"/>
      <c r="F182" s="53"/>
      <c r="G182" s="53"/>
      <c r="H182" s="53"/>
      <c r="I182" s="53"/>
      <c r="J182" s="53"/>
      <c r="K182" s="53"/>
      <c r="L182" s="53"/>
      <c r="M182" s="53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55">
        <v>6.2310156729020081</v>
      </c>
      <c r="F183" s="55">
        <v>5.2776541092880542</v>
      </c>
      <c r="G183" s="55">
        <v>4.1122721591328899</v>
      </c>
      <c r="H183" s="55">
        <v>3.3147840025770408</v>
      </c>
      <c r="I183" s="55">
        <v>2.0378947368421052</v>
      </c>
      <c r="J183" s="55">
        <v>2.0189473684210526</v>
      </c>
      <c r="K183" s="55">
        <v>1.9557894736842103</v>
      </c>
      <c r="L183" s="55">
        <v>1.8231578947368419</v>
      </c>
      <c r="M183" s="55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1.6473473684210525E-3</v>
      </c>
      <c r="L184" s="55">
        <v>1.5133894736842103E-3</v>
      </c>
      <c r="M184" s="55">
        <v>1.2454736842105263E-3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55">
        <v>0</v>
      </c>
      <c r="F185" s="55">
        <v>0</v>
      </c>
      <c r="G185" s="55">
        <v>0</v>
      </c>
      <c r="H185" s="55">
        <v>0</v>
      </c>
      <c r="I185" s="55">
        <v>0</v>
      </c>
      <c r="J185" s="55">
        <v>0</v>
      </c>
      <c r="K185" s="55">
        <v>0</v>
      </c>
      <c r="L185" s="55">
        <v>0</v>
      </c>
      <c r="M185" s="55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56">
        <v>0.9787499999999999</v>
      </c>
      <c r="F186" s="56">
        <v>0.9787499999999999</v>
      </c>
      <c r="G186" s="56">
        <v>0.9787499999999999</v>
      </c>
      <c r="H186" s="56">
        <v>0.9787499999999999</v>
      </c>
      <c r="I186" s="56">
        <v>0.9787499999999999</v>
      </c>
      <c r="J186" s="56">
        <v>0.9787499999999999</v>
      </c>
      <c r="K186" s="56">
        <v>0.99150000000000005</v>
      </c>
      <c r="L186" s="56">
        <v>0.99150000000000005</v>
      </c>
      <c r="M186" s="56">
        <v>0.99150000000000005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55">
        <v>1524.6</v>
      </c>
      <c r="F187" s="55">
        <v>1749.6</v>
      </c>
      <c r="G187" s="55">
        <v>2349.6</v>
      </c>
      <c r="H187" s="55">
        <v>3174.6</v>
      </c>
      <c r="I187" s="55">
        <v>4299.6000000000004</v>
      </c>
      <c r="J187" s="55">
        <v>14213</v>
      </c>
      <c r="K187" s="55">
        <v>21713</v>
      </c>
      <c r="L187" s="55">
        <v>37463</v>
      </c>
      <c r="M187" s="55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53">
        <v>40</v>
      </c>
      <c r="F188" s="53">
        <v>40</v>
      </c>
      <c r="G188" s="53">
        <v>40</v>
      </c>
      <c r="H188" s="53">
        <v>40</v>
      </c>
      <c r="I188" s="53">
        <v>40</v>
      </c>
      <c r="J188" s="53">
        <v>40</v>
      </c>
      <c r="K188" s="53">
        <v>40</v>
      </c>
      <c r="L188" s="53">
        <v>40</v>
      </c>
      <c r="M188" s="53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60">
        <v>0.3125</v>
      </c>
      <c r="F189" s="60">
        <v>0.3125</v>
      </c>
      <c r="G189" s="60">
        <v>0.3125</v>
      </c>
      <c r="H189" s="60">
        <v>0.3125</v>
      </c>
      <c r="I189" s="60">
        <v>0.3125</v>
      </c>
      <c r="J189" s="60">
        <v>0.3125</v>
      </c>
      <c r="K189" s="60">
        <v>0.3125</v>
      </c>
      <c r="L189" s="60">
        <v>0.3125</v>
      </c>
      <c r="M189" s="60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53">
        <v>0.64</v>
      </c>
      <c r="F190" s="53">
        <v>0.64</v>
      </c>
      <c r="G190" s="53">
        <v>0.64</v>
      </c>
      <c r="H190" s="53">
        <v>0.64</v>
      </c>
      <c r="I190" s="53">
        <v>0.64</v>
      </c>
      <c r="J190" s="53">
        <v>0.64</v>
      </c>
      <c r="K190" s="53">
        <v>0.64</v>
      </c>
      <c r="L190" s="53">
        <v>0.64</v>
      </c>
      <c r="M190" s="53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53">
        <v>20</v>
      </c>
      <c r="F191" s="53">
        <v>20</v>
      </c>
      <c r="G191" s="53">
        <v>20</v>
      </c>
      <c r="H191" s="53">
        <v>20</v>
      </c>
      <c r="I191" s="53">
        <v>20</v>
      </c>
      <c r="J191" s="53">
        <v>20</v>
      </c>
      <c r="K191" s="53">
        <v>20</v>
      </c>
      <c r="L191" s="53">
        <v>20</v>
      </c>
      <c r="M191" s="53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61">
        <v>923.0754808366645</v>
      </c>
      <c r="F192" s="55">
        <v>909.14924346027067</v>
      </c>
      <c r="G192" s="55">
        <v>872.01261045655372</v>
      </c>
      <c r="H192" s="55">
        <v>820.94974007644282</v>
      </c>
      <c r="I192" s="55">
        <v>751.31855319447357</v>
      </c>
      <c r="J192" s="55">
        <v>612.05617943053505</v>
      </c>
      <c r="K192" s="55">
        <v>521.07142857142856</v>
      </c>
      <c r="L192" s="55">
        <v>521.07142857142856</v>
      </c>
      <c r="M192" s="55">
        <v>521.07142857142856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56">
        <v>0</v>
      </c>
      <c r="F193" s="56">
        <v>0</v>
      </c>
      <c r="G193" s="56">
        <v>0</v>
      </c>
      <c r="H193" s="56">
        <v>0</v>
      </c>
      <c r="I193" s="56">
        <v>0</v>
      </c>
      <c r="J193" s="56">
        <v>0</v>
      </c>
      <c r="K193" s="56">
        <v>0</v>
      </c>
      <c r="L193" s="56">
        <v>0</v>
      </c>
      <c r="M193" s="56">
        <v>0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55">
        <v>54.38718703976437</v>
      </c>
      <c r="F194" s="55">
        <v>71.452724594992645</v>
      </c>
      <c r="G194" s="55">
        <v>116.96082474226804</v>
      </c>
      <c r="H194" s="55">
        <v>179.53446244477172</v>
      </c>
      <c r="I194" s="55">
        <v>264.86215022091312</v>
      </c>
      <c r="J194" s="55">
        <v>435.51752577319587</v>
      </c>
      <c r="K194" s="55">
        <v>606.17290132547862</v>
      </c>
      <c r="L194" s="55">
        <v>606.17290132547862</v>
      </c>
      <c r="M194" s="55">
        <v>606.17290132547862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53"/>
      <c r="F195" s="53"/>
      <c r="G195" s="53"/>
      <c r="H195" s="53"/>
      <c r="I195" s="53"/>
      <c r="J195" s="53"/>
      <c r="K195" s="53"/>
      <c r="L195" s="53"/>
      <c r="M195" s="53"/>
    </row>
    <row r="196" spans="1:14" x14ac:dyDescent="0.25">
      <c r="A196" s="208"/>
      <c r="B196" s="225"/>
      <c r="C196" s="25" t="s">
        <v>135</v>
      </c>
      <c r="D196" s="1" t="s">
        <v>10</v>
      </c>
      <c r="E196" s="53"/>
      <c r="F196" s="53"/>
      <c r="G196" s="53"/>
      <c r="H196" s="53"/>
      <c r="I196" s="53"/>
      <c r="J196" s="53"/>
      <c r="K196" s="53"/>
      <c r="L196" s="53"/>
      <c r="M196" s="53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53"/>
      <c r="F197" s="53"/>
      <c r="G197" s="53"/>
      <c r="H197" s="53"/>
      <c r="I197" s="53"/>
      <c r="J197" s="53"/>
      <c r="K197" s="53"/>
      <c r="L197" s="53"/>
      <c r="M197" s="53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53">
        <v>1</v>
      </c>
      <c r="F198" s="53">
        <v>1</v>
      </c>
      <c r="G198" s="53">
        <v>1</v>
      </c>
      <c r="H198" s="53">
        <v>1</v>
      </c>
      <c r="I198" s="53">
        <v>1</v>
      </c>
      <c r="J198" s="53">
        <v>1</v>
      </c>
      <c r="K198" s="53">
        <v>1</v>
      </c>
      <c r="L198" s="53">
        <v>1</v>
      </c>
      <c r="M198" s="53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53">
        <v>0.65</v>
      </c>
      <c r="F199" s="53">
        <v>0.65</v>
      </c>
      <c r="G199" s="53">
        <v>0.65</v>
      </c>
      <c r="H199" s="53">
        <v>0.65</v>
      </c>
      <c r="I199" s="53">
        <v>0.65</v>
      </c>
      <c r="J199" s="53">
        <v>0.65</v>
      </c>
      <c r="K199" s="53">
        <v>0.65</v>
      </c>
      <c r="L199" s="53">
        <v>0.65</v>
      </c>
      <c r="M199" s="53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53">
        <v>20</v>
      </c>
      <c r="F200" s="53">
        <v>20</v>
      </c>
      <c r="G200" s="53">
        <v>20</v>
      </c>
      <c r="H200" s="53">
        <v>20</v>
      </c>
      <c r="I200" s="53">
        <v>20</v>
      </c>
      <c r="J200" s="53">
        <v>20</v>
      </c>
      <c r="K200" s="53">
        <v>20</v>
      </c>
      <c r="L200" s="53">
        <v>20</v>
      </c>
      <c r="M200" s="53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55">
        <v>207.70052243006694</v>
      </c>
      <c r="F201" s="55">
        <v>175.92180364293515</v>
      </c>
      <c r="G201" s="55">
        <v>137.07573863776301</v>
      </c>
      <c r="H201" s="55">
        <v>110.49280008590137</v>
      </c>
      <c r="I201" s="55">
        <v>107.31263157894738</v>
      </c>
      <c r="J201" s="55">
        <v>107.00631578947369</v>
      </c>
      <c r="K201" s="55">
        <v>105.98526315789475</v>
      </c>
      <c r="L201" s="55">
        <v>103.84105263157896</v>
      </c>
      <c r="M201" s="55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56">
        <v>0</v>
      </c>
      <c r="F202" s="56">
        <v>0</v>
      </c>
      <c r="G202" s="56">
        <v>0</v>
      </c>
      <c r="H202" s="56">
        <v>0</v>
      </c>
      <c r="I202" s="56">
        <v>0</v>
      </c>
      <c r="J202" s="56">
        <v>0</v>
      </c>
      <c r="K202" s="56">
        <v>0</v>
      </c>
      <c r="L202" s="56">
        <v>0</v>
      </c>
      <c r="M202" s="56">
        <v>0</v>
      </c>
    </row>
    <row r="203" spans="1:14" x14ac:dyDescent="0.25">
      <c r="A203" s="208"/>
      <c r="B203" s="225"/>
      <c r="C203" s="25" t="s">
        <v>114</v>
      </c>
      <c r="D203" s="1" t="s">
        <v>8</v>
      </c>
      <c r="E203" s="53"/>
      <c r="F203" s="53"/>
      <c r="G203" s="53"/>
      <c r="H203" s="53"/>
      <c r="I203" s="53"/>
      <c r="J203" s="53"/>
      <c r="K203" s="53"/>
      <c r="L203" s="53"/>
      <c r="M203" s="53"/>
    </row>
    <row r="204" spans="1:14" x14ac:dyDescent="0.25">
      <c r="A204" s="208"/>
      <c r="B204" s="225"/>
      <c r="C204" s="25" t="s">
        <v>115</v>
      </c>
      <c r="D204" s="1" t="s">
        <v>9</v>
      </c>
      <c r="E204" s="55">
        <v>6.2310156729020081</v>
      </c>
      <c r="F204" s="55">
        <v>5.2776541092880542</v>
      </c>
      <c r="G204" s="55">
        <v>4.1122721591328899</v>
      </c>
      <c r="H204" s="55">
        <v>3.3147840025770408</v>
      </c>
      <c r="I204" s="55">
        <v>2.0378947368421052</v>
      </c>
      <c r="J204" s="55">
        <v>2.0189473684210526</v>
      </c>
      <c r="K204" s="55">
        <v>1.9557894736842103</v>
      </c>
      <c r="L204" s="55">
        <v>1.8231578947368419</v>
      </c>
      <c r="M204" s="55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55">
        <v>0</v>
      </c>
      <c r="F205" s="55">
        <v>0</v>
      </c>
      <c r="G205" s="55">
        <v>0</v>
      </c>
      <c r="H205" s="55">
        <v>0</v>
      </c>
      <c r="I205" s="55">
        <v>0</v>
      </c>
      <c r="J205" s="55">
        <v>0</v>
      </c>
      <c r="K205" s="55">
        <v>1.6473473684210525E-3</v>
      </c>
      <c r="L205" s="55">
        <v>1.5133894736842103E-3</v>
      </c>
      <c r="M205" s="55">
        <v>1.2454736842105263E-3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55">
        <v>0</v>
      </c>
      <c r="F206" s="55">
        <v>0</v>
      </c>
      <c r="G206" s="55">
        <v>0</v>
      </c>
      <c r="H206" s="55">
        <v>0</v>
      </c>
      <c r="I206" s="55">
        <v>0</v>
      </c>
      <c r="J206" s="55">
        <v>0</v>
      </c>
      <c r="K206" s="55">
        <v>0</v>
      </c>
      <c r="L206" s="55">
        <v>0</v>
      </c>
      <c r="M206" s="55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56">
        <v>0.9787499999999999</v>
      </c>
      <c r="F207" s="56">
        <v>0.9787499999999999</v>
      </c>
      <c r="G207" s="56">
        <v>0.9787499999999999</v>
      </c>
      <c r="H207" s="56">
        <v>0.9787499999999999</v>
      </c>
      <c r="I207" s="56">
        <v>0.9787499999999999</v>
      </c>
      <c r="J207" s="56">
        <v>0.9787499999999999</v>
      </c>
      <c r="K207" s="56">
        <v>0.99150000000000005</v>
      </c>
      <c r="L207" s="56">
        <v>0.99150000000000005</v>
      </c>
      <c r="M207" s="56">
        <v>0.99150000000000005</v>
      </c>
    </row>
    <row r="208" spans="1:14" x14ac:dyDescent="0.25">
      <c r="A208" s="208"/>
      <c r="B208" s="225"/>
      <c r="C208" s="25" t="s">
        <v>26</v>
      </c>
      <c r="D208" s="1" t="s">
        <v>14</v>
      </c>
      <c r="E208" s="55">
        <v>1524.6</v>
      </c>
      <c r="F208" s="55">
        <v>1749.6</v>
      </c>
      <c r="G208" s="55">
        <v>2349.6</v>
      </c>
      <c r="H208" s="55">
        <v>3174.6</v>
      </c>
      <c r="I208" s="55">
        <v>4299.6000000000004</v>
      </c>
      <c r="J208" s="55">
        <v>14213</v>
      </c>
      <c r="K208" s="55">
        <v>21713</v>
      </c>
      <c r="L208" s="55">
        <v>37463</v>
      </c>
      <c r="M208" s="55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53">
        <v>40</v>
      </c>
      <c r="F209" s="53">
        <v>40</v>
      </c>
      <c r="G209" s="53">
        <v>40</v>
      </c>
      <c r="H209" s="53">
        <v>40</v>
      </c>
      <c r="I209" s="53">
        <v>40</v>
      </c>
      <c r="J209" s="53">
        <v>40</v>
      </c>
      <c r="K209" s="53">
        <v>40</v>
      </c>
      <c r="L209" s="53">
        <v>40</v>
      </c>
      <c r="M209" s="53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60">
        <v>0.546875</v>
      </c>
      <c r="F210" s="60">
        <v>0.546875</v>
      </c>
      <c r="G210" s="60">
        <v>0.54687499999999989</v>
      </c>
      <c r="H210" s="60">
        <v>0.546875</v>
      </c>
      <c r="I210" s="60">
        <v>0.546875</v>
      </c>
      <c r="J210" s="60">
        <v>0.546875</v>
      </c>
      <c r="K210" s="60">
        <v>0.546875</v>
      </c>
      <c r="L210" s="60">
        <v>0.546875</v>
      </c>
      <c r="M210" s="60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53">
        <v>0.64</v>
      </c>
      <c r="F211" s="53">
        <v>0.64</v>
      </c>
      <c r="G211" s="53">
        <v>0.64</v>
      </c>
      <c r="H211" s="53">
        <v>0.64</v>
      </c>
      <c r="I211" s="53">
        <v>0.64</v>
      </c>
      <c r="J211" s="53">
        <v>0.64</v>
      </c>
      <c r="K211" s="53">
        <v>0.64</v>
      </c>
      <c r="L211" s="53">
        <v>0.64</v>
      </c>
      <c r="M211" s="53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53">
        <v>20</v>
      </c>
      <c r="F212" s="53">
        <v>20</v>
      </c>
      <c r="G212" s="53">
        <v>20</v>
      </c>
      <c r="H212" s="53">
        <v>20</v>
      </c>
      <c r="I212" s="53">
        <v>20</v>
      </c>
      <c r="J212" s="53">
        <v>20</v>
      </c>
      <c r="K212" s="53">
        <v>20</v>
      </c>
      <c r="L212" s="53">
        <v>20</v>
      </c>
      <c r="M212" s="53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61">
        <v>912.63080280436907</v>
      </c>
      <c r="F213" s="55">
        <v>888.25988739567981</v>
      </c>
      <c r="G213" s="55">
        <v>823.2707796391752</v>
      </c>
      <c r="H213" s="55">
        <v>733.91075647398134</v>
      </c>
      <c r="I213" s="55">
        <v>612.05617943053505</v>
      </c>
      <c r="J213" s="55">
        <v>521.07142857142856</v>
      </c>
      <c r="K213" s="55">
        <v>521.07142857142856</v>
      </c>
      <c r="L213" s="55">
        <v>521.07142857142856</v>
      </c>
      <c r="M213" s="55">
        <v>521.07142857142856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56">
        <v>0</v>
      </c>
      <c r="F214" s="56">
        <v>0</v>
      </c>
      <c r="G214" s="56">
        <v>0</v>
      </c>
      <c r="H214" s="56">
        <v>0</v>
      </c>
      <c r="I214" s="56">
        <v>0</v>
      </c>
      <c r="J214" s="56">
        <v>0</v>
      </c>
      <c r="K214" s="56">
        <v>0</v>
      </c>
      <c r="L214" s="56">
        <v>0</v>
      </c>
      <c r="M214" s="56">
        <v>0</v>
      </c>
    </row>
    <row r="215" spans="1:13" x14ac:dyDescent="0.25">
      <c r="A215" s="208"/>
      <c r="B215" s="225"/>
      <c r="C215" s="25" t="s">
        <v>133</v>
      </c>
      <c r="D215" s="1" t="s">
        <v>8</v>
      </c>
      <c r="E215" s="55">
        <v>54.38718703976437</v>
      </c>
      <c r="F215" s="55">
        <v>71.452724594992645</v>
      </c>
      <c r="G215" s="55">
        <v>116.96082474226804</v>
      </c>
      <c r="H215" s="55">
        <v>179.53446244477172</v>
      </c>
      <c r="I215" s="55">
        <v>264.86215022091312</v>
      </c>
      <c r="J215" s="55">
        <v>435.51752577319587</v>
      </c>
      <c r="K215" s="55">
        <v>606.17290132547862</v>
      </c>
      <c r="L215" s="55">
        <v>606.17290132547862</v>
      </c>
      <c r="M215" s="55">
        <v>606.17290132547862</v>
      </c>
    </row>
    <row r="216" spans="1:13" x14ac:dyDescent="0.25">
      <c r="A216" s="208"/>
      <c r="B216" s="225"/>
      <c r="C216" s="25" t="s">
        <v>134</v>
      </c>
      <c r="D216" s="1" t="s">
        <v>9</v>
      </c>
      <c r="E216" s="53"/>
      <c r="F216" s="53"/>
      <c r="G216" s="53"/>
      <c r="H216" s="53"/>
      <c r="I216" s="53"/>
      <c r="J216" s="53"/>
      <c r="K216" s="53"/>
      <c r="L216" s="53"/>
      <c r="M216" s="53"/>
    </row>
    <row r="217" spans="1:13" x14ac:dyDescent="0.25">
      <c r="A217" s="208"/>
      <c r="B217" s="225"/>
      <c r="C217" s="25" t="s">
        <v>135</v>
      </c>
      <c r="D217" s="1" t="s">
        <v>10</v>
      </c>
      <c r="E217" s="53"/>
      <c r="F217" s="53"/>
      <c r="G217" s="53"/>
      <c r="H217" s="53"/>
      <c r="I217" s="53"/>
      <c r="J217" s="53"/>
      <c r="K217" s="53"/>
      <c r="L217" s="53"/>
      <c r="M217" s="53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53"/>
      <c r="F218" s="53"/>
      <c r="G218" s="53"/>
      <c r="H218" s="53"/>
      <c r="I218" s="53"/>
      <c r="J218" s="53"/>
      <c r="K218" s="53"/>
      <c r="L218" s="53"/>
      <c r="M218" s="53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60">
        <v>1</v>
      </c>
      <c r="F219" s="60">
        <v>1</v>
      </c>
      <c r="G219" s="60">
        <v>1</v>
      </c>
      <c r="H219" s="60">
        <v>1</v>
      </c>
      <c r="I219" s="60">
        <v>1</v>
      </c>
      <c r="J219" s="60">
        <v>1</v>
      </c>
      <c r="K219" s="60">
        <v>1</v>
      </c>
      <c r="L219" s="60">
        <v>1</v>
      </c>
      <c r="M219" s="60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53">
        <v>0.8</v>
      </c>
      <c r="F220" s="53">
        <v>0.8</v>
      </c>
      <c r="G220" s="53">
        <v>0.8</v>
      </c>
      <c r="H220" s="53">
        <v>0.8</v>
      </c>
      <c r="I220" s="53">
        <v>0.8</v>
      </c>
      <c r="J220" s="53">
        <v>0.8</v>
      </c>
      <c r="K220" s="53">
        <v>0.8</v>
      </c>
      <c r="L220" s="53">
        <v>0.8</v>
      </c>
      <c r="M220" s="53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53">
        <v>20</v>
      </c>
      <c r="F221" s="53">
        <v>20</v>
      </c>
      <c r="G221" s="53">
        <v>20</v>
      </c>
      <c r="H221" s="53">
        <v>20</v>
      </c>
      <c r="I221" s="53">
        <v>20</v>
      </c>
      <c r="J221" s="53">
        <v>20</v>
      </c>
      <c r="K221" s="53">
        <v>20</v>
      </c>
      <c r="L221" s="53">
        <v>20</v>
      </c>
      <c r="M221" s="53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55">
        <v>822.90511868819738</v>
      </c>
      <c r="F222" s="55">
        <v>587.62399482196031</v>
      </c>
      <c r="G222" s="55">
        <v>458.47760255879234</v>
      </c>
      <c r="H222" s="55">
        <v>458.47760255879234</v>
      </c>
      <c r="I222" s="55">
        <v>458.47760255879234</v>
      </c>
      <c r="J222" s="55">
        <v>458.47760255879234</v>
      </c>
      <c r="K222" s="55">
        <v>1133.7480098003448</v>
      </c>
      <c r="L222" s="55">
        <v>986.22674801231153</v>
      </c>
      <c r="M222" s="55">
        <v>866.85752357634294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56">
        <v>0</v>
      </c>
      <c r="F223" s="56">
        <v>0</v>
      </c>
      <c r="G223" s="56">
        <v>0</v>
      </c>
      <c r="H223" s="56">
        <v>0</v>
      </c>
      <c r="I223" s="56">
        <v>0</v>
      </c>
      <c r="J223" s="56">
        <v>0</v>
      </c>
      <c r="K223" s="56">
        <v>0</v>
      </c>
      <c r="L223" s="56">
        <v>0</v>
      </c>
      <c r="M223" s="56">
        <v>0</v>
      </c>
    </row>
    <row r="224" spans="1:13" x14ac:dyDescent="0.25">
      <c r="A224" s="227"/>
      <c r="B224" s="230"/>
      <c r="C224" s="25" t="s">
        <v>117</v>
      </c>
      <c r="D224" s="1" t="s">
        <v>8</v>
      </c>
      <c r="E224" s="53"/>
      <c r="F224" s="53"/>
      <c r="G224" s="53"/>
      <c r="H224" s="53"/>
      <c r="I224" s="53"/>
      <c r="J224" s="53"/>
      <c r="K224" s="53"/>
      <c r="L224" s="53"/>
      <c r="M224" s="53"/>
    </row>
    <row r="225" spans="1:13" x14ac:dyDescent="0.25">
      <c r="A225" s="227"/>
      <c r="B225" s="230"/>
      <c r="C225" s="25" t="s">
        <v>118</v>
      </c>
      <c r="D225" s="1" t="s">
        <v>9</v>
      </c>
      <c r="E225" s="53"/>
      <c r="F225" s="53"/>
      <c r="G225" s="53"/>
      <c r="H225" s="53"/>
      <c r="I225" s="53"/>
      <c r="J225" s="53"/>
      <c r="K225" s="53"/>
      <c r="L225" s="53"/>
      <c r="M225" s="53"/>
    </row>
    <row r="226" spans="1:13" x14ac:dyDescent="0.25">
      <c r="A226" s="227"/>
      <c r="B226" s="230"/>
      <c r="C226" s="25" t="s">
        <v>119</v>
      </c>
      <c r="D226" s="1" t="s">
        <v>10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2.085E-3</v>
      </c>
      <c r="L226" s="55">
        <v>2.085E-3</v>
      </c>
      <c r="M226" s="55">
        <v>2.085E-3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55">
        <v>0</v>
      </c>
      <c r="F228" s="55">
        <v>0</v>
      </c>
      <c r="G228" s="55">
        <v>0</v>
      </c>
      <c r="H228" s="55">
        <v>0</v>
      </c>
      <c r="I228" s="55">
        <v>0</v>
      </c>
      <c r="J228" s="55">
        <v>0</v>
      </c>
      <c r="K228" s="55">
        <v>0</v>
      </c>
      <c r="L228" s="55">
        <v>0</v>
      </c>
      <c r="M228" s="55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53">
        <v>3.33</v>
      </c>
      <c r="F229" s="53">
        <v>3.33</v>
      </c>
      <c r="G229" s="53">
        <v>3.33</v>
      </c>
      <c r="H229" s="53">
        <v>3.33</v>
      </c>
      <c r="I229" s="53">
        <v>3.33</v>
      </c>
      <c r="J229" s="53">
        <v>3.33</v>
      </c>
      <c r="K229" s="53">
        <v>3.33</v>
      </c>
      <c r="L229" s="53">
        <v>3.33</v>
      </c>
      <c r="M229" s="53">
        <v>3.33</v>
      </c>
    </row>
    <row r="230" spans="1:13" x14ac:dyDescent="0.25">
      <c r="A230" s="227"/>
      <c r="B230" s="230"/>
      <c r="C230" s="25" t="s">
        <v>33</v>
      </c>
      <c r="D230" s="2" t="s">
        <v>14</v>
      </c>
      <c r="E230" s="53"/>
      <c r="F230" s="53"/>
      <c r="G230" s="53"/>
      <c r="H230" s="53"/>
      <c r="I230" s="53"/>
      <c r="J230" s="53"/>
      <c r="K230" s="53"/>
      <c r="L230" s="53"/>
      <c r="M230" s="53"/>
    </row>
    <row r="231" spans="1:13" x14ac:dyDescent="0.25">
      <c r="A231" s="227"/>
      <c r="B231" s="230"/>
      <c r="C231" s="25" t="s">
        <v>34</v>
      </c>
      <c r="D231" s="2" t="s">
        <v>4</v>
      </c>
      <c r="E231" s="53"/>
      <c r="F231" s="53"/>
      <c r="G231" s="53"/>
      <c r="H231" s="53"/>
      <c r="I231" s="53"/>
      <c r="J231" s="53"/>
      <c r="K231" s="53"/>
      <c r="L231" s="53"/>
      <c r="M231" s="53"/>
    </row>
    <row r="232" spans="1:13" x14ac:dyDescent="0.25">
      <c r="A232" s="227"/>
      <c r="B232" s="230"/>
      <c r="C232" s="25" t="s">
        <v>129</v>
      </c>
      <c r="D232" s="1" t="s">
        <v>19</v>
      </c>
      <c r="E232" s="60">
        <v>0.3125</v>
      </c>
      <c r="F232" s="60">
        <v>0.3125</v>
      </c>
      <c r="G232" s="60">
        <v>0.3125</v>
      </c>
      <c r="H232" s="60">
        <v>0.3125</v>
      </c>
      <c r="I232" s="60">
        <v>0.3125</v>
      </c>
      <c r="J232" s="60">
        <v>0.3125</v>
      </c>
      <c r="K232" s="60">
        <v>0.3125</v>
      </c>
      <c r="L232" s="60">
        <v>0.3125</v>
      </c>
      <c r="M232" s="60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53">
        <v>0.64</v>
      </c>
      <c r="F233" s="53">
        <v>0.64</v>
      </c>
      <c r="G233" s="53">
        <v>0.64</v>
      </c>
      <c r="H233" s="53">
        <v>0.64</v>
      </c>
      <c r="I233" s="53">
        <v>0.64</v>
      </c>
      <c r="J233" s="53">
        <v>0.64</v>
      </c>
      <c r="K233" s="53">
        <v>0.64</v>
      </c>
      <c r="L233" s="53">
        <v>0.64</v>
      </c>
      <c r="M233" s="53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53">
        <v>20</v>
      </c>
      <c r="F234" s="53">
        <v>20</v>
      </c>
      <c r="G234" s="53">
        <v>20</v>
      </c>
      <c r="H234" s="53">
        <v>20</v>
      </c>
      <c r="I234" s="53">
        <v>20</v>
      </c>
      <c r="J234" s="53">
        <v>20</v>
      </c>
      <c r="K234" s="53">
        <v>20</v>
      </c>
      <c r="L234" s="53">
        <v>20</v>
      </c>
      <c r="M234" s="53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61">
        <v>923.0754808366645</v>
      </c>
      <c r="F235" s="61">
        <v>909.14924346027067</v>
      </c>
      <c r="G235" s="61">
        <v>872.01261045655372</v>
      </c>
      <c r="H235" s="61">
        <v>820.94974007644282</v>
      </c>
      <c r="I235" s="61">
        <v>751.31855319447357</v>
      </c>
      <c r="J235" s="61">
        <v>612.05617943053505</v>
      </c>
      <c r="K235" s="61">
        <v>521.07142857142856</v>
      </c>
      <c r="L235" s="61">
        <v>521.07142857142856</v>
      </c>
      <c r="M235" s="61">
        <v>521.07142857142856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56">
        <v>0</v>
      </c>
      <c r="F236" s="56">
        <v>0</v>
      </c>
      <c r="G236" s="56">
        <v>0</v>
      </c>
      <c r="H236" s="56">
        <v>0</v>
      </c>
      <c r="I236" s="56">
        <v>0</v>
      </c>
      <c r="J236" s="56">
        <v>0</v>
      </c>
      <c r="K236" s="56">
        <v>0</v>
      </c>
      <c r="L236" s="56">
        <v>0</v>
      </c>
      <c r="M236" s="56">
        <v>0</v>
      </c>
    </row>
    <row r="237" spans="1:13" x14ac:dyDescent="0.25">
      <c r="A237" s="227"/>
      <c r="B237" s="230"/>
      <c r="C237" s="25" t="s">
        <v>133</v>
      </c>
      <c r="D237" s="1" t="s">
        <v>8</v>
      </c>
      <c r="E237" s="55">
        <v>54.38718703976437</v>
      </c>
      <c r="F237" s="55">
        <v>71.452724594992645</v>
      </c>
      <c r="G237" s="55">
        <v>116.96082474226804</v>
      </c>
      <c r="H237" s="55">
        <v>179.53446244477172</v>
      </c>
      <c r="I237" s="55">
        <v>264.86215022091312</v>
      </c>
      <c r="J237" s="55">
        <v>435.51752577319587</v>
      </c>
      <c r="K237" s="55">
        <v>606.17290132547862</v>
      </c>
      <c r="L237" s="55">
        <v>606.17290132547862</v>
      </c>
      <c r="M237" s="55">
        <v>606.17290132547862</v>
      </c>
    </row>
    <row r="238" spans="1:13" x14ac:dyDescent="0.25">
      <c r="A238" s="227"/>
      <c r="B238" s="230"/>
      <c r="C238" s="25" t="s">
        <v>134</v>
      </c>
      <c r="D238" s="1" t="s">
        <v>9</v>
      </c>
      <c r="E238" s="53"/>
      <c r="F238" s="53"/>
      <c r="G238" s="53"/>
      <c r="H238" s="53"/>
      <c r="I238" s="53"/>
      <c r="J238" s="53"/>
      <c r="K238" s="53"/>
      <c r="L238" s="53"/>
      <c r="M238" s="53"/>
    </row>
    <row r="239" spans="1:13" x14ac:dyDescent="0.25">
      <c r="A239" s="227"/>
      <c r="B239" s="230"/>
      <c r="C239" s="25" t="s">
        <v>135</v>
      </c>
      <c r="D239" s="1" t="s">
        <v>10</v>
      </c>
      <c r="E239" s="53"/>
      <c r="F239" s="53"/>
      <c r="G239" s="53"/>
      <c r="H239" s="53"/>
      <c r="I239" s="53"/>
      <c r="J239" s="53"/>
      <c r="K239" s="53"/>
      <c r="L239" s="53"/>
      <c r="M239" s="53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53"/>
      <c r="F240" s="53"/>
      <c r="G240" s="53"/>
      <c r="H240" s="53"/>
      <c r="I240" s="53"/>
      <c r="J240" s="53"/>
      <c r="K240" s="53"/>
      <c r="L240" s="53"/>
      <c r="M240" s="53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60">
        <v>1</v>
      </c>
      <c r="F241" s="60">
        <v>1</v>
      </c>
      <c r="G241" s="60">
        <v>1</v>
      </c>
      <c r="H241" s="60">
        <v>1</v>
      </c>
      <c r="I241" s="60">
        <v>1</v>
      </c>
      <c r="J241" s="60">
        <v>1</v>
      </c>
      <c r="K241" s="60">
        <v>1</v>
      </c>
      <c r="L241" s="60">
        <v>1</v>
      </c>
      <c r="M241" s="60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53">
        <v>0.65</v>
      </c>
      <c r="F242" s="53">
        <v>0.65</v>
      </c>
      <c r="G242" s="53">
        <v>0.65</v>
      </c>
      <c r="H242" s="53">
        <v>0.65</v>
      </c>
      <c r="I242" s="53">
        <v>0.65</v>
      </c>
      <c r="J242" s="53">
        <v>0.65</v>
      </c>
      <c r="K242" s="53">
        <v>0.65</v>
      </c>
      <c r="L242" s="53">
        <v>0.65</v>
      </c>
      <c r="M242" s="53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53">
        <v>20</v>
      </c>
      <c r="F243" s="53">
        <v>20</v>
      </c>
      <c r="G243" s="53">
        <v>20</v>
      </c>
      <c r="H243" s="53">
        <v>20</v>
      </c>
      <c r="I243" s="53">
        <v>20</v>
      </c>
      <c r="J243" s="53">
        <v>20</v>
      </c>
      <c r="K243" s="53">
        <v>20</v>
      </c>
      <c r="L243" s="53">
        <v>20</v>
      </c>
      <c r="M243" s="53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55">
        <v>822.90511868819738</v>
      </c>
      <c r="F244" s="55">
        <v>587.62399482196031</v>
      </c>
      <c r="G244" s="55">
        <v>458.47760255879234</v>
      </c>
      <c r="H244" s="55">
        <v>458.47760255879234</v>
      </c>
      <c r="I244" s="55">
        <v>458.47760255879234</v>
      </c>
      <c r="J244" s="55">
        <v>458.47760255879234</v>
      </c>
      <c r="K244" s="55">
        <v>1133.7480098003448</v>
      </c>
      <c r="L244" s="55">
        <v>986.22674801231153</v>
      </c>
      <c r="M244" s="55">
        <v>866.85752357634294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56">
        <v>0</v>
      </c>
      <c r="F245" s="56">
        <v>0</v>
      </c>
      <c r="G245" s="56">
        <v>0</v>
      </c>
      <c r="H245" s="56">
        <v>0</v>
      </c>
      <c r="I245" s="56">
        <v>0</v>
      </c>
      <c r="J245" s="56">
        <v>0</v>
      </c>
      <c r="K245" s="56">
        <v>0</v>
      </c>
      <c r="L245" s="56">
        <v>0</v>
      </c>
      <c r="M245" s="56">
        <v>0</v>
      </c>
    </row>
    <row r="246" spans="1:13" x14ac:dyDescent="0.25">
      <c r="A246" s="227"/>
      <c r="B246" s="230"/>
      <c r="C246" s="25" t="s">
        <v>117</v>
      </c>
      <c r="D246" s="1" t="s">
        <v>8</v>
      </c>
      <c r="E246" s="53"/>
      <c r="F246" s="53"/>
      <c r="G246" s="53"/>
      <c r="H246" s="53"/>
      <c r="I246" s="53"/>
      <c r="J246" s="53"/>
      <c r="K246" s="53"/>
      <c r="L246" s="53"/>
      <c r="M246" s="53"/>
    </row>
    <row r="247" spans="1:13" x14ac:dyDescent="0.25">
      <c r="A247" s="227"/>
      <c r="B247" s="230"/>
      <c r="C247" s="25" t="s">
        <v>118</v>
      </c>
      <c r="D247" s="1" t="s">
        <v>9</v>
      </c>
      <c r="E247" s="53"/>
      <c r="F247" s="53"/>
      <c r="G247" s="53"/>
      <c r="H247" s="53"/>
      <c r="I247" s="53"/>
      <c r="J247" s="53"/>
      <c r="K247" s="53"/>
      <c r="L247" s="53"/>
      <c r="M247" s="53"/>
    </row>
    <row r="248" spans="1:13" x14ac:dyDescent="0.25">
      <c r="A248" s="227"/>
      <c r="B248" s="230"/>
      <c r="C248" s="25" t="s">
        <v>119</v>
      </c>
      <c r="D248" s="1" t="s">
        <v>10</v>
      </c>
      <c r="E248" s="55">
        <v>0</v>
      </c>
      <c r="F248" s="55">
        <v>0</v>
      </c>
      <c r="G248" s="55">
        <v>0</v>
      </c>
      <c r="H248" s="55">
        <v>0</v>
      </c>
      <c r="I248" s="55">
        <v>0</v>
      </c>
      <c r="J248" s="55">
        <v>0</v>
      </c>
      <c r="K248" s="55">
        <v>2.085E-3</v>
      </c>
      <c r="L248" s="55">
        <v>2.085E-3</v>
      </c>
      <c r="M248" s="55">
        <v>2.085E-3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55">
        <v>0</v>
      </c>
      <c r="F249" s="55">
        <v>0</v>
      </c>
      <c r="G249" s="55">
        <v>0</v>
      </c>
      <c r="H249" s="55">
        <v>0</v>
      </c>
      <c r="I249" s="55">
        <v>0</v>
      </c>
      <c r="J249" s="55">
        <v>0</v>
      </c>
      <c r="K249" s="55">
        <v>0</v>
      </c>
      <c r="L249" s="55">
        <v>0</v>
      </c>
      <c r="M249" s="55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53">
        <v>3.33</v>
      </c>
      <c r="F251" s="53">
        <v>3.33</v>
      </c>
      <c r="G251" s="53">
        <v>3.33</v>
      </c>
      <c r="H251" s="53">
        <v>3.33</v>
      </c>
      <c r="I251" s="53">
        <v>3.33</v>
      </c>
      <c r="J251" s="53">
        <v>3.33</v>
      </c>
      <c r="K251" s="53">
        <v>3.33</v>
      </c>
      <c r="L251" s="53">
        <v>3.33</v>
      </c>
      <c r="M251" s="53">
        <v>3.33</v>
      </c>
    </row>
    <row r="252" spans="1:13" x14ac:dyDescent="0.25">
      <c r="A252" s="227"/>
      <c r="B252" s="230"/>
      <c r="C252" s="25" t="s">
        <v>33</v>
      </c>
      <c r="D252" s="2" t="s">
        <v>14</v>
      </c>
      <c r="E252" s="53"/>
      <c r="F252" s="53"/>
      <c r="G252" s="53"/>
      <c r="H252" s="53"/>
      <c r="I252" s="53"/>
      <c r="J252" s="53"/>
      <c r="K252" s="53"/>
      <c r="L252" s="53"/>
      <c r="M252" s="53"/>
    </row>
    <row r="253" spans="1:13" x14ac:dyDescent="0.25">
      <c r="A253" s="227"/>
      <c r="B253" s="230"/>
      <c r="C253" s="25" t="s">
        <v>34</v>
      </c>
      <c r="D253" s="2" t="s">
        <v>4</v>
      </c>
      <c r="E253" s="53"/>
      <c r="F253" s="53"/>
      <c r="G253" s="53"/>
      <c r="H253" s="53"/>
      <c r="I253" s="53"/>
      <c r="J253" s="53"/>
      <c r="K253" s="53"/>
      <c r="L253" s="53"/>
      <c r="M253" s="53"/>
    </row>
    <row r="254" spans="1:13" x14ac:dyDescent="0.25">
      <c r="A254" s="227"/>
      <c r="B254" s="230"/>
      <c r="C254" s="25" t="s">
        <v>129</v>
      </c>
      <c r="D254" s="1" t="s">
        <v>19</v>
      </c>
      <c r="E254" s="60">
        <v>0.546875</v>
      </c>
      <c r="F254" s="60">
        <v>0.546875</v>
      </c>
      <c r="G254" s="60">
        <v>0.54687499999999989</v>
      </c>
      <c r="H254" s="60">
        <v>0.546875</v>
      </c>
      <c r="I254" s="60">
        <v>0.546875</v>
      </c>
      <c r="J254" s="60">
        <v>0.546875</v>
      </c>
      <c r="K254" s="60">
        <v>0.546875</v>
      </c>
      <c r="L254" s="60">
        <v>0.546875</v>
      </c>
      <c r="M254" s="60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53">
        <v>0.64</v>
      </c>
      <c r="F255" s="53">
        <v>0.64</v>
      </c>
      <c r="G255" s="53">
        <v>0.64</v>
      </c>
      <c r="H255" s="53">
        <v>0.64</v>
      </c>
      <c r="I255" s="53">
        <v>0.64</v>
      </c>
      <c r="J255" s="53">
        <v>0.64</v>
      </c>
      <c r="K255" s="53">
        <v>0.64</v>
      </c>
      <c r="L255" s="53">
        <v>0.64</v>
      </c>
      <c r="M255" s="53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53">
        <v>20</v>
      </c>
      <c r="F256" s="53">
        <v>20</v>
      </c>
      <c r="G256" s="53">
        <v>20</v>
      </c>
      <c r="H256" s="53">
        <v>20</v>
      </c>
      <c r="I256" s="53">
        <v>20</v>
      </c>
      <c r="J256" s="53">
        <v>20</v>
      </c>
      <c r="K256" s="53">
        <v>20</v>
      </c>
      <c r="L256" s="53">
        <v>20</v>
      </c>
      <c r="M256" s="53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61">
        <v>912.63080280436907</v>
      </c>
      <c r="F257" s="61">
        <v>888.25988739567981</v>
      </c>
      <c r="G257" s="61">
        <v>823.2707796391752</v>
      </c>
      <c r="H257" s="61">
        <v>733.91075647398134</v>
      </c>
      <c r="I257" s="61">
        <v>612.05617943053505</v>
      </c>
      <c r="J257" s="61">
        <v>521.07142857142856</v>
      </c>
      <c r="K257" s="61">
        <v>521.07142857142856</v>
      </c>
      <c r="L257" s="61">
        <v>521.07142857142856</v>
      </c>
      <c r="M257" s="61">
        <v>521.07142857142856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56">
        <v>0</v>
      </c>
      <c r="F258" s="56">
        <v>0</v>
      </c>
      <c r="G258" s="56">
        <v>0</v>
      </c>
      <c r="H258" s="56">
        <v>0</v>
      </c>
      <c r="I258" s="56">
        <v>0</v>
      </c>
      <c r="J258" s="56">
        <v>0</v>
      </c>
      <c r="K258" s="56">
        <v>0</v>
      </c>
      <c r="L258" s="56">
        <v>0</v>
      </c>
      <c r="M258" s="56">
        <v>0</v>
      </c>
    </row>
    <row r="259" spans="1:13" x14ac:dyDescent="0.25">
      <c r="A259" s="227"/>
      <c r="B259" s="230"/>
      <c r="C259" s="25" t="s">
        <v>133</v>
      </c>
      <c r="D259" s="1" t="s">
        <v>8</v>
      </c>
      <c r="E259" s="55">
        <v>54.38718703976437</v>
      </c>
      <c r="F259" s="55">
        <v>71.452724594992645</v>
      </c>
      <c r="G259" s="55">
        <v>116.96082474226804</v>
      </c>
      <c r="H259" s="55">
        <v>179.53446244477172</v>
      </c>
      <c r="I259" s="55">
        <v>264.86215022091312</v>
      </c>
      <c r="J259" s="55">
        <v>435.51752577319587</v>
      </c>
      <c r="K259" s="55">
        <v>606.17290132547862</v>
      </c>
      <c r="L259" s="55">
        <v>606.17290132547862</v>
      </c>
      <c r="M259" s="55">
        <v>606.17290132547862</v>
      </c>
    </row>
    <row r="260" spans="1:13" x14ac:dyDescent="0.25">
      <c r="A260" s="227"/>
      <c r="B260" s="230"/>
      <c r="C260" s="25" t="s">
        <v>134</v>
      </c>
      <c r="D260" s="1" t="s">
        <v>9</v>
      </c>
      <c r="E260" s="53"/>
      <c r="F260" s="53"/>
      <c r="G260" s="53"/>
      <c r="H260" s="53"/>
      <c r="I260" s="53"/>
      <c r="J260" s="53"/>
      <c r="K260" s="53"/>
      <c r="L260" s="53"/>
      <c r="M260" s="53"/>
    </row>
    <row r="261" spans="1:13" x14ac:dyDescent="0.25">
      <c r="A261" s="227"/>
      <c r="B261" s="230"/>
      <c r="C261" s="25" t="s">
        <v>135</v>
      </c>
      <c r="D261" s="1" t="s">
        <v>10</v>
      </c>
      <c r="E261" s="53"/>
      <c r="F261" s="53"/>
      <c r="G261" s="53"/>
      <c r="H261" s="53"/>
      <c r="I261" s="53"/>
      <c r="J261" s="53"/>
      <c r="K261" s="53"/>
      <c r="L261" s="53"/>
      <c r="M261" s="53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53"/>
      <c r="F262" s="53"/>
      <c r="G262" s="53"/>
      <c r="H262" s="53"/>
      <c r="I262" s="53"/>
      <c r="J262" s="53"/>
      <c r="K262" s="53"/>
      <c r="L262" s="53"/>
      <c r="M262" s="53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53">
        <v>40</v>
      </c>
      <c r="F263" s="53">
        <v>40</v>
      </c>
      <c r="G263" s="53">
        <v>40</v>
      </c>
      <c r="H263" s="53">
        <v>40</v>
      </c>
      <c r="I263" s="53">
        <v>40</v>
      </c>
      <c r="J263" s="53">
        <v>40</v>
      </c>
      <c r="K263" s="53">
        <v>40</v>
      </c>
      <c r="L263" s="53">
        <v>40</v>
      </c>
      <c r="M263" s="53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55">
        <v>300</v>
      </c>
      <c r="F264" s="55">
        <v>183.33333333333334</v>
      </c>
      <c r="G264" s="55">
        <v>100</v>
      </c>
      <c r="H264" s="55">
        <v>76</v>
      </c>
      <c r="I264" s="55">
        <v>60</v>
      </c>
      <c r="J264" s="55">
        <v>42.857142857142854</v>
      </c>
      <c r="K264" s="55">
        <v>27.058823529411764</v>
      </c>
      <c r="L264" s="55">
        <v>18.421052631578949</v>
      </c>
      <c r="M264" s="55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56">
        <v>0</v>
      </c>
      <c r="F265" s="56">
        <v>0</v>
      </c>
      <c r="G265" s="56">
        <v>0</v>
      </c>
      <c r="H265" s="56">
        <v>0</v>
      </c>
      <c r="I265" s="56">
        <v>0</v>
      </c>
      <c r="J265" s="56">
        <v>0</v>
      </c>
      <c r="K265" s="56">
        <v>0</v>
      </c>
      <c r="L265" s="56">
        <v>0</v>
      </c>
      <c r="M265" s="56">
        <v>0</v>
      </c>
    </row>
    <row r="266" spans="1:13" x14ac:dyDescent="0.25">
      <c r="A266" s="208"/>
      <c r="B266" s="225"/>
      <c r="C266" s="25" t="s">
        <v>106</v>
      </c>
      <c r="D266" s="1" t="s">
        <v>8</v>
      </c>
      <c r="E266" s="55">
        <v>0</v>
      </c>
      <c r="F266" s="55">
        <v>0</v>
      </c>
      <c r="G266" s="55">
        <v>0</v>
      </c>
      <c r="H266" s="55">
        <v>0</v>
      </c>
      <c r="I266" s="55">
        <v>0</v>
      </c>
      <c r="J266" s="55">
        <v>0</v>
      </c>
      <c r="K266" s="55">
        <v>0</v>
      </c>
      <c r="L266" s="55">
        <v>0</v>
      </c>
      <c r="M266" s="55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53"/>
      <c r="F267" s="53"/>
      <c r="G267" s="53"/>
      <c r="H267" s="53"/>
      <c r="I267" s="53"/>
      <c r="J267" s="53"/>
      <c r="K267" s="53"/>
      <c r="L267" s="53"/>
      <c r="M267" s="53"/>
    </row>
    <row r="268" spans="1:13" x14ac:dyDescent="0.25">
      <c r="A268" s="208"/>
      <c r="B268" s="225"/>
      <c r="C268" s="25" t="s">
        <v>108</v>
      </c>
      <c r="D268" s="1" t="s">
        <v>10</v>
      </c>
      <c r="E268" s="53"/>
      <c r="F268" s="53"/>
      <c r="G268" s="53"/>
      <c r="H268" s="53"/>
      <c r="I268" s="53"/>
      <c r="J268" s="53"/>
      <c r="K268" s="53"/>
      <c r="L268" s="53"/>
      <c r="M268" s="53"/>
    </row>
    <row r="269" spans="1:13" x14ac:dyDescent="0.25">
      <c r="A269" s="208"/>
      <c r="B269" s="225"/>
      <c r="C269" s="26" t="s">
        <v>11</v>
      </c>
      <c r="D269" s="27" t="s">
        <v>10</v>
      </c>
      <c r="E269" s="53"/>
      <c r="F269" s="53"/>
      <c r="G269" s="53"/>
      <c r="H269" s="53"/>
      <c r="I269" s="53"/>
      <c r="J269" s="53"/>
      <c r="K269" s="53"/>
      <c r="L269" s="53"/>
      <c r="M269" s="53"/>
    </row>
    <row r="270" spans="1:13" x14ac:dyDescent="0.25">
      <c r="A270" s="208"/>
      <c r="B270" s="225"/>
      <c r="C270" s="25" t="s">
        <v>12</v>
      </c>
      <c r="D270" s="1" t="s">
        <v>7</v>
      </c>
      <c r="E270" s="56">
        <v>1</v>
      </c>
      <c r="F270" s="56">
        <v>1</v>
      </c>
      <c r="G270" s="56">
        <v>1</v>
      </c>
      <c r="H270" s="56">
        <v>1</v>
      </c>
      <c r="I270" s="56">
        <v>1</v>
      </c>
      <c r="J270" s="56">
        <v>1</v>
      </c>
      <c r="K270" s="56">
        <v>1</v>
      </c>
      <c r="L270" s="56">
        <v>1</v>
      </c>
      <c r="M270" s="56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55">
        <v>31017</v>
      </c>
      <c r="F271" s="55">
        <v>31902</v>
      </c>
      <c r="G271" s="55">
        <v>34262</v>
      </c>
      <c r="H271" s="55">
        <v>37507</v>
      </c>
      <c r="I271" s="55">
        <v>41932</v>
      </c>
      <c r="J271" s="55">
        <v>50782</v>
      </c>
      <c r="K271" s="55">
        <v>80282</v>
      </c>
      <c r="L271" s="55">
        <v>151952</v>
      </c>
      <c r="M271" s="55">
        <v>292470.28399999999</v>
      </c>
    </row>
    <row r="272" spans="1:13" x14ac:dyDescent="0.25">
      <c r="A272" s="208"/>
      <c r="B272" s="225"/>
      <c r="C272" s="25" t="s">
        <v>15</v>
      </c>
      <c r="D272" s="1" t="s">
        <v>4</v>
      </c>
      <c r="E272" s="53">
        <v>40</v>
      </c>
      <c r="F272" s="53">
        <v>40</v>
      </c>
      <c r="G272" s="53">
        <v>40</v>
      </c>
      <c r="H272" s="53">
        <v>40</v>
      </c>
      <c r="I272" s="53">
        <v>40</v>
      </c>
      <c r="J272" s="53">
        <v>40</v>
      </c>
      <c r="K272" s="53">
        <v>40</v>
      </c>
      <c r="L272" s="53">
        <v>40</v>
      </c>
      <c r="M272" s="53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53">
        <v>40</v>
      </c>
      <c r="F273" s="53">
        <v>40</v>
      </c>
      <c r="G273" s="53">
        <v>40</v>
      </c>
      <c r="H273" s="53">
        <v>40</v>
      </c>
      <c r="I273" s="53">
        <v>40</v>
      </c>
      <c r="J273" s="53">
        <v>40</v>
      </c>
      <c r="K273" s="53">
        <v>40</v>
      </c>
      <c r="L273" s="53">
        <v>40</v>
      </c>
      <c r="M273" s="53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53"/>
      <c r="F274" s="53"/>
      <c r="G274" s="53"/>
      <c r="H274" s="53"/>
      <c r="I274" s="53"/>
      <c r="J274" s="53"/>
      <c r="K274" s="53"/>
      <c r="L274" s="53"/>
      <c r="M274" s="53"/>
    </row>
    <row r="275" spans="1:13" x14ac:dyDescent="0.25">
      <c r="A275" s="208"/>
      <c r="B275" s="225"/>
      <c r="C275" s="25" t="s">
        <v>176</v>
      </c>
      <c r="D275" s="1" t="s">
        <v>19</v>
      </c>
      <c r="E275" s="56">
        <v>0</v>
      </c>
      <c r="F275" s="56">
        <v>0</v>
      </c>
      <c r="G275" s="56">
        <v>0</v>
      </c>
      <c r="H275" s="56">
        <v>0</v>
      </c>
      <c r="I275" s="56">
        <v>0</v>
      </c>
      <c r="J275" s="56">
        <v>0</v>
      </c>
      <c r="K275" s="56">
        <v>0</v>
      </c>
      <c r="L275" s="56">
        <v>0</v>
      </c>
      <c r="M275" s="56">
        <v>0</v>
      </c>
    </row>
    <row r="276" spans="1:13" x14ac:dyDescent="0.25">
      <c r="A276" s="208"/>
      <c r="B276" s="225"/>
      <c r="C276" s="25" t="s">
        <v>106</v>
      </c>
      <c r="D276" s="1" t="s">
        <v>8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53"/>
      <c r="F277" s="53"/>
      <c r="G277" s="53"/>
      <c r="H277" s="53"/>
      <c r="I277" s="53"/>
      <c r="J277" s="53"/>
      <c r="K277" s="53"/>
      <c r="L277" s="53"/>
      <c r="M277" s="53"/>
    </row>
    <row r="278" spans="1:13" x14ac:dyDescent="0.25">
      <c r="A278" s="208"/>
      <c r="B278" s="225"/>
      <c r="C278" s="25" t="s">
        <v>108</v>
      </c>
      <c r="D278" s="1" t="s">
        <v>10</v>
      </c>
      <c r="E278" s="53"/>
      <c r="F278" s="53"/>
      <c r="G278" s="53"/>
      <c r="H278" s="53"/>
      <c r="I278" s="53"/>
      <c r="J278" s="53"/>
      <c r="K278" s="53"/>
      <c r="L278" s="53"/>
      <c r="M278" s="53"/>
    </row>
    <row r="279" spans="1:13" x14ac:dyDescent="0.25">
      <c r="A279" s="208"/>
      <c r="B279" s="225"/>
      <c r="C279" s="26" t="s">
        <v>11</v>
      </c>
      <c r="D279" s="27" t="s">
        <v>10</v>
      </c>
      <c r="E279" s="53"/>
      <c r="F279" s="53"/>
      <c r="G279" s="53"/>
      <c r="H279" s="53"/>
      <c r="I279" s="53"/>
      <c r="J279" s="53"/>
      <c r="K279" s="53"/>
      <c r="L279" s="53"/>
      <c r="M279" s="53"/>
    </row>
    <row r="280" spans="1:13" x14ac:dyDescent="0.25">
      <c r="A280" s="208"/>
      <c r="B280" s="225"/>
      <c r="C280" s="25" t="s">
        <v>12</v>
      </c>
      <c r="D280" s="1" t="s">
        <v>7</v>
      </c>
      <c r="E280" s="56">
        <v>1</v>
      </c>
      <c r="F280" s="56">
        <v>1</v>
      </c>
      <c r="G280" s="56">
        <v>1</v>
      </c>
      <c r="H280" s="56">
        <v>1</v>
      </c>
      <c r="I280" s="56">
        <v>1</v>
      </c>
      <c r="J280" s="56">
        <v>1</v>
      </c>
      <c r="K280" s="56">
        <v>1</v>
      </c>
      <c r="L280" s="56">
        <v>1</v>
      </c>
      <c r="M280" s="56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55">
        <v>92256.599999999991</v>
      </c>
      <c r="F281" s="55">
        <v>92691.599999999991</v>
      </c>
      <c r="G281" s="55">
        <v>93851.599999999991</v>
      </c>
      <c r="H281" s="55">
        <v>95446.599999999991</v>
      </c>
      <c r="I281" s="55">
        <v>97621.599999999991</v>
      </c>
      <c r="J281" s="55">
        <v>101971.59999999999</v>
      </c>
      <c r="K281" s="55">
        <v>116471.59999999999</v>
      </c>
      <c r="L281" s="55">
        <v>146921.59999999998</v>
      </c>
      <c r="M281" s="55">
        <v>207821.59999999998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55">
        <v>40</v>
      </c>
      <c r="F282" s="55">
        <v>40</v>
      </c>
      <c r="G282" s="55">
        <v>40</v>
      </c>
      <c r="H282" s="55">
        <v>40</v>
      </c>
      <c r="I282" s="55">
        <v>40</v>
      </c>
      <c r="J282" s="55">
        <v>40</v>
      </c>
      <c r="K282" s="55">
        <v>40</v>
      </c>
      <c r="L282" s="55">
        <v>40</v>
      </c>
      <c r="M282" s="55">
        <v>40</v>
      </c>
    </row>
  </sheetData>
  <sheetProtection algorithmName="SHA-512" hashValue="Fgk0iYj4/I9IINqmiB8xyiDM3xUu8DIXu4SUS7fM8bv6DvqwieNcKzYUXPu9UMqHuND7hs3b3emLsWIr/1KmWQ==" saltValue="jrJ9TOJNKo8OCwnorjieZQ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9" tint="-0.249977111117893"/>
  </sheetPr>
  <dimension ref="A1:O282"/>
  <sheetViews>
    <sheetView zoomScale="85" zoomScaleNormal="85" workbookViewId="0">
      <pane ySplit="1" topLeftCell="A2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51">
        <v>15</v>
      </c>
      <c r="F1" s="52">
        <v>30</v>
      </c>
      <c r="G1" s="52">
        <v>70</v>
      </c>
      <c r="H1" s="52">
        <v>125</v>
      </c>
      <c r="I1" s="52">
        <v>200</v>
      </c>
      <c r="J1" s="52">
        <v>350</v>
      </c>
      <c r="K1" s="52">
        <v>850</v>
      </c>
      <c r="L1" s="52">
        <v>1900</v>
      </c>
      <c r="M1" s="52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53">
        <v>20</v>
      </c>
      <c r="F2" s="53">
        <v>20</v>
      </c>
      <c r="G2" s="53">
        <v>20</v>
      </c>
      <c r="H2" s="53">
        <v>20</v>
      </c>
      <c r="I2" s="53">
        <v>20</v>
      </c>
      <c r="J2" s="53">
        <v>20</v>
      </c>
      <c r="K2" s="53">
        <v>20</v>
      </c>
      <c r="L2" s="53">
        <v>20</v>
      </c>
      <c r="M2" s="53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55">
        <v>202.65582041234001</v>
      </c>
      <c r="F3" s="55">
        <v>171.6776866187549</v>
      </c>
      <c r="G3" s="55">
        <v>133.81025064233</v>
      </c>
      <c r="H3" s="55">
        <v>107.89700245248551</v>
      </c>
      <c r="I3" s="55">
        <v>107.31263157894738</v>
      </c>
      <c r="J3" s="55">
        <v>107.00631578947369</v>
      </c>
      <c r="K3" s="55">
        <v>105.98526315789475</v>
      </c>
      <c r="L3" s="55">
        <v>103.84105263157896</v>
      </c>
      <c r="M3" s="55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53"/>
      <c r="F5" s="53"/>
      <c r="G5" s="53"/>
      <c r="H5" s="53"/>
      <c r="I5" s="53"/>
      <c r="J5" s="53"/>
      <c r="K5" s="53"/>
      <c r="L5" s="53"/>
      <c r="M5" s="53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55">
        <v>6.0796746123701997</v>
      </c>
      <c r="F6" s="55">
        <v>5.1503305985626469</v>
      </c>
      <c r="G6" s="55">
        <v>4.0143075192698996</v>
      </c>
      <c r="H6" s="55">
        <v>3.2369100735745651</v>
      </c>
      <c r="I6" s="55">
        <v>2.0378947368421052</v>
      </c>
      <c r="J6" s="55">
        <v>2.0189473684210526</v>
      </c>
      <c r="K6" s="55">
        <v>1.9557894736842103</v>
      </c>
      <c r="L6" s="55">
        <v>1.8231578947368419</v>
      </c>
      <c r="M6" s="55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55">
        <v>0</v>
      </c>
      <c r="F7" s="55">
        <v>0</v>
      </c>
      <c r="G7" s="55">
        <v>0</v>
      </c>
      <c r="H7" s="55">
        <v>0</v>
      </c>
      <c r="I7" s="55">
        <v>0</v>
      </c>
      <c r="J7" s="55">
        <v>0</v>
      </c>
      <c r="K7" s="55">
        <v>1.6666105263157894E-3</v>
      </c>
      <c r="L7" s="55">
        <v>1.5304421052631579E-3</v>
      </c>
      <c r="M7" s="55">
        <v>1.2581052631578946E-3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55">
        <v>0</v>
      </c>
      <c r="F8" s="53"/>
      <c r="G8" s="53"/>
      <c r="H8" s="53"/>
      <c r="I8" s="53"/>
      <c r="J8" s="53"/>
      <c r="K8" s="53"/>
      <c r="L8" s="53"/>
      <c r="M8" s="53"/>
      <c r="N8" s="54"/>
    </row>
    <row r="9" spans="1:14" x14ac:dyDescent="0.25">
      <c r="A9" s="208"/>
      <c r="B9" s="224"/>
      <c r="C9" s="25" t="s">
        <v>12</v>
      </c>
      <c r="D9" s="1" t="s">
        <v>7</v>
      </c>
      <c r="E9" s="56">
        <v>0.98499999999999988</v>
      </c>
      <c r="F9" s="56">
        <v>0.98499999999999988</v>
      </c>
      <c r="G9" s="56">
        <v>0.98499999999999988</v>
      </c>
      <c r="H9" s="56">
        <v>0.98499999999999988</v>
      </c>
      <c r="I9" s="56">
        <v>0.98499999999999988</v>
      </c>
      <c r="J9" s="56">
        <v>0.98499999999999988</v>
      </c>
      <c r="K9" s="56">
        <v>0.99399999999999999</v>
      </c>
      <c r="L9" s="56">
        <v>0.99399999999999999</v>
      </c>
      <c r="M9" s="56">
        <v>0.99399999999999999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55">
        <v>1524.6</v>
      </c>
      <c r="F10" s="55">
        <v>1749.6</v>
      </c>
      <c r="G10" s="55">
        <v>2349.6</v>
      </c>
      <c r="H10" s="55">
        <v>3174.6</v>
      </c>
      <c r="I10" s="55">
        <v>4299.6000000000004</v>
      </c>
      <c r="J10" s="55">
        <v>14213</v>
      </c>
      <c r="K10" s="55">
        <v>21713</v>
      </c>
      <c r="L10" s="55">
        <v>37463</v>
      </c>
      <c r="M10" s="55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53">
        <v>40</v>
      </c>
      <c r="F11" s="53">
        <v>40</v>
      </c>
      <c r="G11" s="53">
        <v>40</v>
      </c>
      <c r="H11" s="53">
        <v>40</v>
      </c>
      <c r="I11" s="53">
        <v>40</v>
      </c>
      <c r="J11" s="53">
        <v>40</v>
      </c>
      <c r="K11" s="53">
        <v>40</v>
      </c>
      <c r="L11" s="53">
        <v>40</v>
      </c>
      <c r="M11" s="53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53">
        <v>20</v>
      </c>
      <c r="F12" s="53">
        <v>20</v>
      </c>
      <c r="G12" s="53">
        <v>20</v>
      </c>
      <c r="H12" s="53">
        <v>20</v>
      </c>
      <c r="I12" s="53">
        <v>20</v>
      </c>
      <c r="J12" s="53">
        <v>20</v>
      </c>
      <c r="K12" s="53">
        <v>20</v>
      </c>
      <c r="L12" s="53">
        <v>20</v>
      </c>
      <c r="M12" s="53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55">
        <v>520.52279811670326</v>
      </c>
      <c r="F13" s="55">
        <v>328.66016314162061</v>
      </c>
      <c r="G13" s="55">
        <v>187.34591874055215</v>
      </c>
      <c r="H13" s="55">
        <v>127.52667864795502</v>
      </c>
      <c r="I13" s="55">
        <v>112.6</v>
      </c>
      <c r="J13" s="55">
        <v>112.6</v>
      </c>
      <c r="K13" s="55">
        <v>177.62593672991372</v>
      </c>
      <c r="L13" s="55">
        <v>260.98318443898637</v>
      </c>
      <c r="M13" s="55">
        <v>427.69767985713173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56">
        <v>0</v>
      </c>
      <c r="F14" s="56">
        <v>0</v>
      </c>
      <c r="G14" s="56">
        <v>0</v>
      </c>
      <c r="H14" s="56">
        <v>0</v>
      </c>
      <c r="I14" s="56">
        <v>0</v>
      </c>
      <c r="J14" s="56">
        <v>0</v>
      </c>
      <c r="K14" s="56">
        <v>0</v>
      </c>
      <c r="L14" s="56">
        <v>0</v>
      </c>
      <c r="M14" s="56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53"/>
      <c r="F15" s="53"/>
      <c r="G15" s="53"/>
      <c r="H15" s="53"/>
      <c r="I15" s="53"/>
      <c r="J15" s="53"/>
      <c r="K15" s="53"/>
      <c r="L15" s="53"/>
      <c r="M15" s="53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55">
        <v>31.231367887002168</v>
      </c>
      <c r="F16" s="55">
        <v>19.71960978849722</v>
      </c>
      <c r="G16" s="55">
        <v>11.240755124433118</v>
      </c>
      <c r="H16" s="55">
        <v>7.6516007188772948</v>
      </c>
      <c r="I16" s="55">
        <v>7.218948063824203</v>
      </c>
      <c r="J16" s="55">
        <v>7.218948063824203</v>
      </c>
      <c r="K16" s="55">
        <v>6.8637074659241435</v>
      </c>
      <c r="L16" s="55">
        <v>6.2898572693163546</v>
      </c>
      <c r="M16" s="55">
        <v>5.1421568761007768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55">
        <v>0</v>
      </c>
      <c r="F17" s="55">
        <v>0</v>
      </c>
      <c r="G17" s="55">
        <v>0</v>
      </c>
      <c r="H17" s="55">
        <v>0</v>
      </c>
      <c r="I17" s="55">
        <v>0</v>
      </c>
      <c r="J17" s="55">
        <v>0</v>
      </c>
      <c r="K17" s="55">
        <v>2.3331952085431959E-3</v>
      </c>
      <c r="L17" s="55">
        <v>2.3331952085431959E-3</v>
      </c>
      <c r="M17" s="55">
        <v>2.3331952085431959E-3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55">
        <v>0</v>
      </c>
      <c r="F18" s="55">
        <v>0</v>
      </c>
      <c r="G18" s="55">
        <v>0</v>
      </c>
      <c r="H18" s="55">
        <v>0</v>
      </c>
      <c r="I18" s="55">
        <v>0</v>
      </c>
      <c r="J18" s="55">
        <v>0</v>
      </c>
      <c r="K18" s="55">
        <v>0</v>
      </c>
      <c r="L18" s="55">
        <v>0</v>
      </c>
      <c r="M18" s="55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56">
        <v>0.83200000000000029</v>
      </c>
      <c r="F19" s="56">
        <v>0.83200000000000029</v>
      </c>
      <c r="G19" s="56">
        <v>0.83200000000000029</v>
      </c>
      <c r="H19" s="56">
        <v>0.83200000000000029</v>
      </c>
      <c r="I19" s="56">
        <v>0.83200000000000029</v>
      </c>
      <c r="J19" s="56">
        <v>0.83200000000000029</v>
      </c>
      <c r="K19" s="56">
        <v>0.83200000000000029</v>
      </c>
      <c r="L19" s="56">
        <v>0.95599999999999996</v>
      </c>
      <c r="M19" s="56">
        <v>0.95599999999999996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53"/>
      <c r="F20" s="53"/>
      <c r="G20" s="53"/>
      <c r="H20" s="53"/>
      <c r="I20" s="53"/>
      <c r="J20" s="53"/>
      <c r="K20" s="53"/>
      <c r="L20" s="53"/>
      <c r="M20" s="53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53"/>
      <c r="F21" s="53"/>
      <c r="G21" s="53"/>
      <c r="H21" s="53"/>
      <c r="I21" s="53"/>
      <c r="J21" s="53"/>
      <c r="K21" s="53"/>
      <c r="L21" s="53"/>
      <c r="M21" s="53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53">
        <v>20</v>
      </c>
      <c r="F22" s="53">
        <v>20</v>
      </c>
      <c r="G22" s="53">
        <v>20</v>
      </c>
      <c r="H22" s="53">
        <v>20</v>
      </c>
      <c r="I22" s="53">
        <v>20</v>
      </c>
      <c r="J22" s="53">
        <v>20</v>
      </c>
      <c r="K22" s="53">
        <v>20</v>
      </c>
      <c r="L22" s="53">
        <v>20</v>
      </c>
      <c r="M22" s="53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55">
        <v>800.77079092910083</v>
      </c>
      <c r="F23" s="55">
        <v>571.81820894808823</v>
      </c>
      <c r="G23" s="55">
        <v>446.14556901716315</v>
      </c>
      <c r="H23" s="55">
        <v>446.14556901716315</v>
      </c>
      <c r="I23" s="55">
        <v>446.14556901716315</v>
      </c>
      <c r="J23" s="55">
        <v>446.14556901716315</v>
      </c>
      <c r="K23" s="55">
        <v>1129.4706178785063</v>
      </c>
      <c r="L23" s="55">
        <v>982.55924743473179</v>
      </c>
      <c r="M23" s="55">
        <v>863.67730421521264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56">
        <v>0</v>
      </c>
      <c r="F24" s="56">
        <v>0</v>
      </c>
      <c r="G24" s="56">
        <v>0</v>
      </c>
      <c r="H24" s="56">
        <v>0</v>
      </c>
      <c r="I24" s="56">
        <v>0</v>
      </c>
      <c r="J24" s="56">
        <v>0</v>
      </c>
      <c r="K24" s="56">
        <v>0</v>
      </c>
      <c r="L24" s="56">
        <v>0</v>
      </c>
      <c r="M24" s="56">
        <v>0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53"/>
      <c r="F25" s="53"/>
      <c r="G25" s="53"/>
      <c r="H25" s="53"/>
      <c r="I25" s="53"/>
      <c r="J25" s="53"/>
      <c r="K25" s="53"/>
      <c r="L25" s="53"/>
      <c r="M25" s="53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55">
        <v>12.011561863936512</v>
      </c>
      <c r="F26" s="55">
        <v>8.5772731342213238</v>
      </c>
      <c r="G26" s="55">
        <v>6.6921835352574464</v>
      </c>
      <c r="H26" s="55">
        <v>6.6921835352574464</v>
      </c>
      <c r="I26" s="55">
        <v>6.6921835352574464</v>
      </c>
      <c r="J26" s="55">
        <v>6.6921835352574464</v>
      </c>
      <c r="K26" s="55">
        <v>1.6279999999999999</v>
      </c>
      <c r="L26" s="55">
        <v>1.6279999999999999</v>
      </c>
      <c r="M26" s="55">
        <v>1.6279999999999999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2.0599999999999998E-3</v>
      </c>
      <c r="L27" s="55">
        <v>2.0599999999999998E-3</v>
      </c>
      <c r="M27" s="55">
        <v>2.0599999999999998E-3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55">
        <v>0</v>
      </c>
      <c r="F28" s="55">
        <v>0</v>
      </c>
      <c r="G28" s="55">
        <v>0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5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55">
        <v>0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53">
        <v>3.88</v>
      </c>
      <c r="F30" s="53">
        <v>3.88</v>
      </c>
      <c r="G30" s="53">
        <v>3.88</v>
      </c>
      <c r="H30" s="53">
        <v>3.88</v>
      </c>
      <c r="I30" s="53">
        <v>3.88</v>
      </c>
      <c r="J30" s="53">
        <v>3.88</v>
      </c>
      <c r="K30" s="53">
        <v>3.88</v>
      </c>
      <c r="L30" s="53">
        <v>3.88</v>
      </c>
      <c r="M30" s="53">
        <v>3.88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53"/>
      <c r="F31" s="53"/>
      <c r="G31" s="53"/>
      <c r="H31" s="53"/>
      <c r="I31" s="53"/>
      <c r="J31" s="53"/>
      <c r="K31" s="53"/>
      <c r="L31" s="53"/>
      <c r="M31" s="53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53"/>
      <c r="F32" s="53"/>
      <c r="G32" s="53"/>
      <c r="H32" s="53"/>
      <c r="I32" s="53"/>
      <c r="J32" s="53"/>
      <c r="K32" s="53"/>
      <c r="L32" s="53"/>
      <c r="M32" s="53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53">
        <v>20</v>
      </c>
      <c r="F33" s="53">
        <v>20</v>
      </c>
      <c r="G33" s="53">
        <v>20</v>
      </c>
      <c r="H33" s="53">
        <v>20</v>
      </c>
      <c r="I33" s="53">
        <v>20</v>
      </c>
      <c r="J33" s="53">
        <v>20</v>
      </c>
      <c r="K33" s="53">
        <v>20</v>
      </c>
      <c r="L33" s="53">
        <v>20</v>
      </c>
      <c r="M33" s="53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55">
        <v>800.77079092910083</v>
      </c>
      <c r="F34" s="55">
        <v>571.81820894808823</v>
      </c>
      <c r="G34" s="55">
        <v>446.14556901716315</v>
      </c>
      <c r="H34" s="55">
        <v>446.14556901716315</v>
      </c>
      <c r="I34" s="55">
        <v>446.14556901716315</v>
      </c>
      <c r="J34" s="55">
        <v>446.14556901716315</v>
      </c>
      <c r="K34" s="55">
        <v>1129.4706178785063</v>
      </c>
      <c r="L34" s="55">
        <v>982.55924743473179</v>
      </c>
      <c r="M34" s="55">
        <v>863.67730421521264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56">
        <v>0</v>
      </c>
      <c r="F35" s="56">
        <v>0</v>
      </c>
      <c r="G35" s="56">
        <v>0</v>
      </c>
      <c r="H35" s="56">
        <v>0</v>
      </c>
      <c r="I35" s="56">
        <v>0</v>
      </c>
      <c r="J35" s="56">
        <v>0</v>
      </c>
      <c r="K35" s="56">
        <v>0</v>
      </c>
      <c r="L35" s="56">
        <v>0</v>
      </c>
      <c r="M35" s="56">
        <v>0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53"/>
      <c r="F36" s="53"/>
      <c r="G36" s="53"/>
      <c r="H36" s="53"/>
      <c r="I36" s="53"/>
      <c r="J36" s="53"/>
      <c r="K36" s="53"/>
      <c r="L36" s="53"/>
      <c r="M36" s="53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55">
        <v>12.011561863936512</v>
      </c>
      <c r="F37" s="55">
        <v>8.5772731342213238</v>
      </c>
      <c r="G37" s="55">
        <v>6.6921835352574464</v>
      </c>
      <c r="H37" s="55">
        <v>6.6921835352574464</v>
      </c>
      <c r="I37" s="55">
        <v>6.6921835352574464</v>
      </c>
      <c r="J37" s="55">
        <v>6.6921835352574464</v>
      </c>
      <c r="K37" s="55">
        <v>1.6279999999999999</v>
      </c>
      <c r="L37" s="55">
        <v>1.6279999999999999</v>
      </c>
      <c r="M37" s="55">
        <v>1.6279999999999999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2.0599999999999998E-3</v>
      </c>
      <c r="L38" s="55">
        <v>2.0599999999999998E-3</v>
      </c>
      <c r="M38" s="55">
        <v>2.0599999999999998E-3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53">
        <v>3.63</v>
      </c>
      <c r="F41" s="53">
        <v>3.63</v>
      </c>
      <c r="G41" s="53">
        <v>3.63</v>
      </c>
      <c r="H41" s="53">
        <v>3.63</v>
      </c>
      <c r="I41" s="53">
        <v>3.63</v>
      </c>
      <c r="J41" s="53">
        <v>3.63</v>
      </c>
      <c r="K41" s="53">
        <v>3.63</v>
      </c>
      <c r="L41" s="53">
        <v>3.63</v>
      </c>
      <c r="M41" s="53">
        <v>3.63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53"/>
      <c r="F42" s="53"/>
      <c r="G42" s="53"/>
      <c r="H42" s="53"/>
      <c r="I42" s="53"/>
      <c r="J42" s="53"/>
      <c r="K42" s="53"/>
      <c r="L42" s="53"/>
      <c r="M42" s="53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53"/>
      <c r="F43" s="53"/>
      <c r="G43" s="53"/>
      <c r="H43" s="53"/>
      <c r="I43" s="53"/>
      <c r="J43" s="53"/>
      <c r="K43" s="53"/>
      <c r="L43" s="53"/>
      <c r="M43" s="53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53">
        <v>20</v>
      </c>
      <c r="F44" s="53">
        <v>20</v>
      </c>
      <c r="G44" s="53">
        <v>20</v>
      </c>
      <c r="H44" s="53">
        <v>20</v>
      </c>
      <c r="I44" s="53">
        <v>20</v>
      </c>
      <c r="J44" s="53">
        <v>20</v>
      </c>
      <c r="K44" s="53">
        <v>20</v>
      </c>
      <c r="L44" s="53">
        <v>20</v>
      </c>
      <c r="M44" s="53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55">
        <v>800.77079092910083</v>
      </c>
      <c r="F45" s="55">
        <v>571.81820894808823</v>
      </c>
      <c r="G45" s="55">
        <v>446.14556901716315</v>
      </c>
      <c r="H45" s="55">
        <v>446.14556901716315</v>
      </c>
      <c r="I45" s="55">
        <v>446.14556901716315</v>
      </c>
      <c r="J45" s="55">
        <v>446.14556901716315</v>
      </c>
      <c r="K45" s="55">
        <v>1129.4706178785063</v>
      </c>
      <c r="L45" s="55">
        <v>982.55924743473179</v>
      </c>
      <c r="M45" s="55">
        <v>863.67730421521264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56">
        <v>0</v>
      </c>
      <c r="F46" s="56">
        <v>0</v>
      </c>
      <c r="G46" s="56">
        <v>0</v>
      </c>
      <c r="H46" s="56">
        <v>0</v>
      </c>
      <c r="I46" s="56">
        <v>0</v>
      </c>
      <c r="J46" s="56">
        <v>0</v>
      </c>
      <c r="K46" s="56">
        <v>0</v>
      </c>
      <c r="L46" s="56">
        <v>0</v>
      </c>
      <c r="M46" s="56">
        <v>0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53"/>
      <c r="F47" s="53"/>
      <c r="G47" s="53"/>
      <c r="H47" s="53"/>
      <c r="I47" s="53"/>
      <c r="J47" s="53"/>
      <c r="K47" s="53"/>
      <c r="L47" s="53"/>
      <c r="M47" s="53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55">
        <v>12.011561863936512</v>
      </c>
      <c r="F48" s="55">
        <v>8.5772731342213238</v>
      </c>
      <c r="G48" s="55">
        <v>6.6921835352574464</v>
      </c>
      <c r="H48" s="55">
        <v>6.6921835352574464</v>
      </c>
      <c r="I48" s="55">
        <v>6.6921835352574464</v>
      </c>
      <c r="J48" s="55">
        <v>6.6921835352574464</v>
      </c>
      <c r="K48" s="55">
        <v>1.6279999999999999</v>
      </c>
      <c r="L48" s="55">
        <v>1.6279999999999999</v>
      </c>
      <c r="M48" s="55">
        <v>1.6279999999999999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55">
        <v>0</v>
      </c>
      <c r="F49" s="55">
        <v>0</v>
      </c>
      <c r="G49" s="55">
        <v>0</v>
      </c>
      <c r="H49" s="55">
        <v>0</v>
      </c>
      <c r="I49" s="55">
        <v>0</v>
      </c>
      <c r="J49" s="55">
        <v>0</v>
      </c>
      <c r="K49" s="55">
        <v>2.0599999999999998E-3</v>
      </c>
      <c r="L49" s="55">
        <v>2.0599999999999998E-3</v>
      </c>
      <c r="M49" s="55">
        <v>2.0599999999999998E-3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55">
        <v>0</v>
      </c>
      <c r="F51" s="55">
        <v>0</v>
      </c>
      <c r="G51" s="55">
        <v>0</v>
      </c>
      <c r="H51" s="55">
        <v>0</v>
      </c>
      <c r="I51" s="55">
        <v>0</v>
      </c>
      <c r="J51" s="55">
        <v>0</v>
      </c>
      <c r="K51" s="55">
        <v>0</v>
      </c>
      <c r="L51" s="55">
        <v>0</v>
      </c>
      <c r="M51" s="55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53">
        <v>3.38</v>
      </c>
      <c r="F52" s="53">
        <v>3.38</v>
      </c>
      <c r="G52" s="53">
        <v>3.38</v>
      </c>
      <c r="H52" s="53">
        <v>3.38</v>
      </c>
      <c r="I52" s="53">
        <v>3.38</v>
      </c>
      <c r="J52" s="53">
        <v>3.38</v>
      </c>
      <c r="K52" s="53">
        <v>3.38</v>
      </c>
      <c r="L52" s="53">
        <v>3.38</v>
      </c>
      <c r="M52" s="53">
        <v>3.38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53"/>
      <c r="F53" s="53"/>
      <c r="G53" s="53"/>
      <c r="H53" s="53"/>
      <c r="I53" s="53"/>
      <c r="J53" s="53"/>
      <c r="K53" s="53"/>
      <c r="L53" s="53"/>
      <c r="M53" s="53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53"/>
      <c r="F54" s="53"/>
      <c r="G54" s="53"/>
      <c r="H54" s="53"/>
      <c r="I54" s="53"/>
      <c r="J54" s="53"/>
      <c r="K54" s="53"/>
      <c r="L54" s="53"/>
      <c r="M54" s="53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53">
        <v>20</v>
      </c>
      <c r="F55" s="53">
        <v>20</v>
      </c>
      <c r="G55" s="53">
        <v>20</v>
      </c>
      <c r="H55" s="53">
        <v>20</v>
      </c>
      <c r="I55" s="53">
        <v>20</v>
      </c>
      <c r="J55" s="53">
        <v>20</v>
      </c>
      <c r="K55" s="53">
        <v>20</v>
      </c>
      <c r="L55" s="53">
        <v>20</v>
      </c>
      <c r="M55" s="53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55">
        <v>786.25871364962575</v>
      </c>
      <c r="F56" s="55">
        <v>549.26179392174538</v>
      </c>
      <c r="G56" s="55">
        <v>421.66777237439481</v>
      </c>
      <c r="H56" s="55">
        <v>421.66777237439481</v>
      </c>
      <c r="I56" s="55">
        <v>421.66777237439481</v>
      </c>
      <c r="J56" s="55">
        <v>421.66777237439481</v>
      </c>
      <c r="K56" s="55">
        <v>597.82399999999996</v>
      </c>
      <c r="L56" s="55">
        <v>597.82399999999996</v>
      </c>
      <c r="M56" s="55">
        <v>597.82399999999996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56">
        <v>0</v>
      </c>
      <c r="F57" s="56">
        <v>0</v>
      </c>
      <c r="G57" s="56">
        <v>0</v>
      </c>
      <c r="H57" s="56">
        <v>0</v>
      </c>
      <c r="I57" s="56">
        <v>0</v>
      </c>
      <c r="J57" s="56">
        <v>0</v>
      </c>
      <c r="K57" s="56">
        <v>0</v>
      </c>
      <c r="L57" s="56">
        <v>0</v>
      </c>
      <c r="M57" s="56">
        <v>0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53"/>
      <c r="F58" s="53"/>
      <c r="G58" s="53"/>
      <c r="H58" s="53"/>
      <c r="I58" s="53"/>
      <c r="J58" s="53"/>
      <c r="K58" s="53"/>
      <c r="L58" s="53"/>
      <c r="M58" s="53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55">
        <v>11.793880704744385</v>
      </c>
      <c r="F59" s="55">
        <v>8.2389269088261798</v>
      </c>
      <c r="G59" s="55">
        <v>6.3250165856159217</v>
      </c>
      <c r="H59" s="55">
        <v>6.3250165856159217</v>
      </c>
      <c r="I59" s="55">
        <v>6.3250165856159217</v>
      </c>
      <c r="J59" s="55">
        <v>6.3250165856159217</v>
      </c>
      <c r="K59" s="55">
        <v>1.6279999999999999</v>
      </c>
      <c r="L59" s="55">
        <v>1.6279999999999999</v>
      </c>
      <c r="M59" s="55">
        <v>1.6279999999999999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55">
        <v>0</v>
      </c>
      <c r="F60" s="55">
        <v>0</v>
      </c>
      <c r="G60" s="55">
        <v>0</v>
      </c>
      <c r="H60" s="55">
        <v>0</v>
      </c>
      <c r="I60" s="55">
        <v>0</v>
      </c>
      <c r="J60" s="55">
        <v>0</v>
      </c>
      <c r="K60" s="55">
        <v>2.0599999999999998E-3</v>
      </c>
      <c r="L60" s="55">
        <v>2.0599999999999998E-3</v>
      </c>
      <c r="M60" s="55">
        <v>2.0599999999999998E-3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55">
        <v>0</v>
      </c>
      <c r="F61" s="55">
        <v>0</v>
      </c>
      <c r="G61" s="55">
        <v>0</v>
      </c>
      <c r="H61" s="55">
        <v>0</v>
      </c>
      <c r="I61" s="55">
        <v>0</v>
      </c>
      <c r="J61" s="55">
        <v>0</v>
      </c>
      <c r="K61" s="55">
        <v>0</v>
      </c>
      <c r="L61" s="55">
        <v>0</v>
      </c>
      <c r="M61" s="55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55">
        <v>0</v>
      </c>
      <c r="F62" s="55">
        <v>0</v>
      </c>
      <c r="G62" s="55">
        <v>0</v>
      </c>
      <c r="H62" s="55">
        <v>0</v>
      </c>
      <c r="I62" s="55">
        <v>0</v>
      </c>
      <c r="J62" s="55">
        <v>0</v>
      </c>
      <c r="K62" s="55">
        <v>0</v>
      </c>
      <c r="L62" s="55">
        <v>0</v>
      </c>
      <c r="M62" s="55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53">
        <v>4.82</v>
      </c>
      <c r="F63" s="53">
        <v>4.82</v>
      </c>
      <c r="G63" s="53">
        <v>4.82</v>
      </c>
      <c r="H63" s="53">
        <v>4.82</v>
      </c>
      <c r="I63" s="53">
        <v>4.82</v>
      </c>
      <c r="J63" s="53">
        <v>4.82</v>
      </c>
      <c r="K63" s="53">
        <v>4.82</v>
      </c>
      <c r="L63" s="53">
        <v>4.82</v>
      </c>
      <c r="M63" s="53">
        <v>4.82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53"/>
      <c r="F64" s="53"/>
      <c r="G64" s="53"/>
      <c r="H64" s="53"/>
      <c r="I64" s="53"/>
      <c r="J64" s="53"/>
      <c r="K64" s="53"/>
      <c r="L64" s="53"/>
      <c r="M64" s="53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53"/>
      <c r="F65" s="53"/>
      <c r="G65" s="53"/>
      <c r="H65" s="53"/>
      <c r="I65" s="53"/>
      <c r="J65" s="53"/>
      <c r="K65" s="53"/>
      <c r="L65" s="53"/>
      <c r="M65" s="53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55">
        <v>2819.9005597918967</v>
      </c>
      <c r="F66" s="55">
        <v>1929.550889841297</v>
      </c>
      <c r="G66" s="55">
        <v>1213.482173232652</v>
      </c>
      <c r="H66" s="55">
        <v>421.5437177304745</v>
      </c>
      <c r="I66" s="55">
        <v>287.43432006836628</v>
      </c>
      <c r="J66" s="55">
        <v>182.19088878412825</v>
      </c>
      <c r="K66" s="55">
        <v>88.423403695885241</v>
      </c>
      <c r="L66" s="55">
        <v>77.457281612869494</v>
      </c>
      <c r="M66" s="55">
        <v>77.457281612869494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53"/>
      <c r="F67" s="53"/>
      <c r="G67" s="53"/>
      <c r="H67" s="53"/>
      <c r="I67" s="53"/>
      <c r="J67" s="53"/>
      <c r="K67" s="53"/>
      <c r="L67" s="53"/>
      <c r="M67" s="53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53">
        <v>20</v>
      </c>
      <c r="F68" s="53">
        <v>20</v>
      </c>
      <c r="G68" s="53">
        <v>20</v>
      </c>
      <c r="H68" s="53">
        <v>20</v>
      </c>
      <c r="I68" s="53">
        <v>20</v>
      </c>
      <c r="J68" s="53">
        <v>20</v>
      </c>
      <c r="K68" s="53">
        <v>20</v>
      </c>
      <c r="L68" s="53">
        <v>20</v>
      </c>
      <c r="M68" s="53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55">
        <v>786.25871364962575</v>
      </c>
      <c r="F69" s="55">
        <v>549.26179392174538</v>
      </c>
      <c r="G69" s="55">
        <v>421.66777237439481</v>
      </c>
      <c r="H69" s="55">
        <v>421.66777237439481</v>
      </c>
      <c r="I69" s="55">
        <v>421.66777237439481</v>
      </c>
      <c r="J69" s="55">
        <v>421.66777237439481</v>
      </c>
      <c r="K69" s="55">
        <v>597.82399999999996</v>
      </c>
      <c r="L69" s="55">
        <v>597.82399999999996</v>
      </c>
      <c r="M69" s="55">
        <v>597.82399999999996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56">
        <v>0</v>
      </c>
      <c r="F70" s="56">
        <v>0</v>
      </c>
      <c r="G70" s="56">
        <v>0</v>
      </c>
      <c r="H70" s="56">
        <v>0</v>
      </c>
      <c r="I70" s="56">
        <v>0</v>
      </c>
      <c r="J70" s="56">
        <v>0</v>
      </c>
      <c r="K70" s="56">
        <v>0</v>
      </c>
      <c r="L70" s="56">
        <v>0</v>
      </c>
      <c r="M70" s="56">
        <v>0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53"/>
      <c r="F71" s="53"/>
      <c r="G71" s="53"/>
      <c r="H71" s="53"/>
      <c r="I71" s="53"/>
      <c r="J71" s="53"/>
      <c r="K71" s="53"/>
      <c r="L71" s="53"/>
      <c r="M71" s="53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55">
        <v>11.793880704744385</v>
      </c>
      <c r="F72" s="55">
        <v>8.2389269088261798</v>
      </c>
      <c r="G72" s="55">
        <v>6.3250165856159217</v>
      </c>
      <c r="H72" s="55">
        <v>6.3250165856159217</v>
      </c>
      <c r="I72" s="55">
        <v>6.3250165856159217</v>
      </c>
      <c r="J72" s="55">
        <v>6.3250165856159217</v>
      </c>
      <c r="K72" s="55">
        <v>1.6279999999999999</v>
      </c>
      <c r="L72" s="55">
        <v>1.6279999999999999</v>
      </c>
      <c r="M72" s="55">
        <v>1.6279999999999999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2.0599999999999998E-3</v>
      </c>
      <c r="L73" s="55">
        <v>2.0599999999999998E-3</v>
      </c>
      <c r="M73" s="55">
        <v>2.0599999999999998E-3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55">
        <v>0</v>
      </c>
      <c r="F75" s="55">
        <v>0</v>
      </c>
      <c r="G75" s="55">
        <v>0</v>
      </c>
      <c r="H75" s="55">
        <v>0</v>
      </c>
      <c r="I75" s="55">
        <v>0</v>
      </c>
      <c r="J75" s="55">
        <v>0</v>
      </c>
      <c r="K75" s="55">
        <v>0</v>
      </c>
      <c r="L75" s="55">
        <v>0</v>
      </c>
      <c r="M75" s="55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53">
        <v>4.5</v>
      </c>
      <c r="F76" s="53">
        <v>4.5</v>
      </c>
      <c r="G76" s="53">
        <v>4.5</v>
      </c>
      <c r="H76" s="53">
        <v>4.5</v>
      </c>
      <c r="I76" s="53">
        <v>4.5</v>
      </c>
      <c r="J76" s="53">
        <v>4.5</v>
      </c>
      <c r="K76" s="53">
        <v>4.5</v>
      </c>
      <c r="L76" s="53">
        <v>4.5</v>
      </c>
      <c r="M76" s="53">
        <v>4.5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53"/>
      <c r="F77" s="53"/>
      <c r="G77" s="53"/>
      <c r="H77" s="53"/>
      <c r="I77" s="53"/>
      <c r="J77" s="53"/>
      <c r="K77" s="53"/>
      <c r="L77" s="53"/>
      <c r="M77" s="53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53"/>
      <c r="F78" s="53"/>
      <c r="G78" s="53"/>
      <c r="H78" s="53"/>
      <c r="I78" s="53"/>
      <c r="J78" s="53"/>
      <c r="K78" s="53"/>
      <c r="L78" s="53"/>
      <c r="M78" s="53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55">
        <v>2819.9005597918967</v>
      </c>
      <c r="F79" s="55">
        <v>1929.550889841297</v>
      </c>
      <c r="G79" s="55">
        <v>1213.482173232652</v>
      </c>
      <c r="H79" s="55">
        <v>421.5437177304745</v>
      </c>
      <c r="I79" s="55">
        <v>287.43432006836628</v>
      </c>
      <c r="J79" s="55">
        <v>182.19088878412825</v>
      </c>
      <c r="K79" s="55">
        <v>88.423403695885241</v>
      </c>
      <c r="L79" s="55">
        <v>77.457281612869494</v>
      </c>
      <c r="M79" s="55">
        <v>77.457281612869494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53"/>
      <c r="F80" s="53"/>
      <c r="G80" s="53"/>
      <c r="H80" s="53"/>
      <c r="I80" s="53"/>
      <c r="J80" s="53"/>
      <c r="K80" s="53"/>
      <c r="L80" s="53"/>
      <c r="M80" s="53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53">
        <v>20</v>
      </c>
      <c r="F81" s="53">
        <v>20</v>
      </c>
      <c r="G81" s="53">
        <v>20</v>
      </c>
      <c r="H81" s="53">
        <v>20</v>
      </c>
      <c r="I81" s="53">
        <v>20</v>
      </c>
      <c r="J81" s="53">
        <v>20</v>
      </c>
      <c r="K81" s="53">
        <v>20</v>
      </c>
      <c r="L81" s="53">
        <v>20</v>
      </c>
      <c r="M81" s="53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55">
        <v>786.25871364962575</v>
      </c>
      <c r="F82" s="55">
        <v>549.26179392174538</v>
      </c>
      <c r="G82" s="55">
        <v>421.66777237439481</v>
      </c>
      <c r="H82" s="55">
        <v>421.66777237439481</v>
      </c>
      <c r="I82" s="55">
        <v>421.66777237439481</v>
      </c>
      <c r="J82" s="55">
        <v>421.66777237439481</v>
      </c>
      <c r="K82" s="55">
        <v>597.82399999999996</v>
      </c>
      <c r="L82" s="55">
        <v>597.82399999999996</v>
      </c>
      <c r="M82" s="55">
        <v>597.82399999999996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56">
        <v>0</v>
      </c>
      <c r="F83" s="56">
        <v>0</v>
      </c>
      <c r="G83" s="56">
        <v>0</v>
      </c>
      <c r="H83" s="56">
        <v>0</v>
      </c>
      <c r="I83" s="56">
        <v>0</v>
      </c>
      <c r="J83" s="56">
        <v>0</v>
      </c>
      <c r="K83" s="56">
        <v>0</v>
      </c>
      <c r="L83" s="56">
        <v>0</v>
      </c>
      <c r="M83" s="56">
        <v>0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53"/>
      <c r="F84" s="53"/>
      <c r="G84" s="53"/>
      <c r="H84" s="53"/>
      <c r="I84" s="53"/>
      <c r="J84" s="53"/>
      <c r="K84" s="53"/>
      <c r="L84" s="53"/>
      <c r="M84" s="53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55">
        <v>11.793880704744385</v>
      </c>
      <c r="F85" s="55">
        <v>8.2389269088261798</v>
      </c>
      <c r="G85" s="55">
        <v>6.3250165856159217</v>
      </c>
      <c r="H85" s="55">
        <v>6.3250165856159217</v>
      </c>
      <c r="I85" s="55">
        <v>6.3250165856159217</v>
      </c>
      <c r="J85" s="55">
        <v>6.3250165856159217</v>
      </c>
      <c r="K85" s="55">
        <v>1.6279999999999999</v>
      </c>
      <c r="L85" s="55">
        <v>1.6279999999999999</v>
      </c>
      <c r="M85" s="55">
        <v>1.6279999999999999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55">
        <v>0</v>
      </c>
      <c r="F86" s="55">
        <v>0</v>
      </c>
      <c r="G86" s="55">
        <v>0</v>
      </c>
      <c r="H86" s="55">
        <v>0</v>
      </c>
      <c r="I86" s="55">
        <v>0</v>
      </c>
      <c r="J86" s="55">
        <v>0</v>
      </c>
      <c r="K86" s="55">
        <v>2.0599999999999998E-3</v>
      </c>
      <c r="L86" s="55">
        <v>2.0599999999999998E-3</v>
      </c>
      <c r="M86" s="55">
        <v>2.0599999999999998E-3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55">
        <v>0</v>
      </c>
      <c r="F87" s="55">
        <v>0</v>
      </c>
      <c r="G87" s="55">
        <v>0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53">
        <v>4.18</v>
      </c>
      <c r="F89" s="53">
        <v>4.18</v>
      </c>
      <c r="G89" s="53">
        <v>4.18</v>
      </c>
      <c r="H89" s="53">
        <v>4.18</v>
      </c>
      <c r="I89" s="53">
        <v>4.18</v>
      </c>
      <c r="J89" s="53">
        <v>4.18</v>
      </c>
      <c r="K89" s="53">
        <v>4.18</v>
      </c>
      <c r="L89" s="53">
        <v>4.18</v>
      </c>
      <c r="M89" s="53">
        <v>4.18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53"/>
      <c r="F90" s="53"/>
      <c r="G90" s="53"/>
      <c r="H90" s="53"/>
      <c r="I90" s="53"/>
      <c r="J90" s="53"/>
      <c r="K90" s="53"/>
      <c r="L90" s="53"/>
      <c r="M90" s="53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53"/>
      <c r="F91" s="53"/>
      <c r="G91" s="53"/>
      <c r="H91" s="53"/>
      <c r="I91" s="53"/>
      <c r="J91" s="53"/>
      <c r="K91" s="53"/>
      <c r="L91" s="53"/>
      <c r="M91" s="53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55">
        <v>2819.9005597918967</v>
      </c>
      <c r="F92" s="55">
        <v>1929.550889841297</v>
      </c>
      <c r="G92" s="55">
        <v>1213.482173232652</v>
      </c>
      <c r="H92" s="55">
        <v>421.5437177304745</v>
      </c>
      <c r="I92" s="55">
        <v>287.43432006836628</v>
      </c>
      <c r="J92" s="55">
        <v>182.19088878412825</v>
      </c>
      <c r="K92" s="55">
        <v>88.423403695885241</v>
      </c>
      <c r="L92" s="55">
        <v>77.457281612869494</v>
      </c>
      <c r="M92" s="55">
        <v>77.457281612869494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53"/>
      <c r="F93" s="53"/>
      <c r="G93" s="53"/>
      <c r="H93" s="53"/>
      <c r="I93" s="53"/>
      <c r="J93" s="53"/>
      <c r="K93" s="53"/>
      <c r="L93" s="53"/>
      <c r="M93" s="53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53">
        <v>1</v>
      </c>
      <c r="F94" s="53">
        <v>1</v>
      </c>
      <c r="G94" s="53">
        <v>1</v>
      </c>
      <c r="H94" s="53">
        <v>1</v>
      </c>
      <c r="I94" s="53">
        <v>1</v>
      </c>
      <c r="J94" s="53">
        <v>1</v>
      </c>
      <c r="K94" s="53">
        <v>1</v>
      </c>
      <c r="L94" s="53">
        <v>1</v>
      </c>
      <c r="M94" s="53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53">
        <v>0.35</v>
      </c>
      <c r="F95" s="53">
        <v>0.35</v>
      </c>
      <c r="G95" s="53">
        <v>0.35</v>
      </c>
      <c r="H95" s="53">
        <v>0.35</v>
      </c>
      <c r="I95" s="53">
        <v>0.35</v>
      </c>
      <c r="J95" s="53">
        <v>0.35</v>
      </c>
      <c r="K95" s="53">
        <v>0.35</v>
      </c>
      <c r="L95" s="53">
        <v>0.35</v>
      </c>
      <c r="M95" s="53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53">
        <v>20</v>
      </c>
      <c r="F96" s="53">
        <v>20</v>
      </c>
      <c r="G96" s="53">
        <v>20</v>
      </c>
      <c r="H96" s="53">
        <v>20</v>
      </c>
      <c r="I96" s="53">
        <v>20</v>
      </c>
      <c r="J96" s="53">
        <v>20</v>
      </c>
      <c r="K96" s="53">
        <v>20</v>
      </c>
      <c r="L96" s="53">
        <v>20</v>
      </c>
      <c r="M96" s="53">
        <v>20</v>
      </c>
      <c r="N96" s="54"/>
    </row>
    <row r="97" spans="1:15" x14ac:dyDescent="0.25">
      <c r="A97" s="208"/>
      <c r="B97" s="225"/>
      <c r="C97" s="25" t="s">
        <v>23</v>
      </c>
      <c r="D97" s="1" t="s">
        <v>6</v>
      </c>
      <c r="E97" s="55">
        <v>202.65582041234001</v>
      </c>
      <c r="F97" s="55">
        <v>171.6776866187549</v>
      </c>
      <c r="G97" s="55">
        <v>133.81025064233</v>
      </c>
      <c r="H97" s="55">
        <v>107.89700245248551</v>
      </c>
      <c r="I97" s="55">
        <v>107.31263157894738</v>
      </c>
      <c r="J97" s="55">
        <v>107.00631578947369</v>
      </c>
      <c r="K97" s="55">
        <v>105.98526315789475</v>
      </c>
      <c r="L97" s="55">
        <v>103.84105263157896</v>
      </c>
      <c r="M97" s="55">
        <v>99.55263157894737</v>
      </c>
      <c r="N97" s="54"/>
    </row>
    <row r="98" spans="1:15" x14ac:dyDescent="0.25">
      <c r="A98" s="208"/>
      <c r="B98" s="225"/>
      <c r="C98" s="25" t="s">
        <v>177</v>
      </c>
      <c r="D98" s="1" t="s">
        <v>19</v>
      </c>
      <c r="E98" s="56">
        <v>0</v>
      </c>
      <c r="F98" s="56">
        <v>0</v>
      </c>
      <c r="G98" s="56">
        <v>0</v>
      </c>
      <c r="H98" s="56">
        <v>0</v>
      </c>
      <c r="I98" s="56">
        <v>0</v>
      </c>
      <c r="J98" s="56">
        <v>0</v>
      </c>
      <c r="K98" s="56">
        <v>0</v>
      </c>
      <c r="L98" s="56">
        <v>0</v>
      </c>
      <c r="M98" s="56">
        <v>0</v>
      </c>
      <c r="N98" s="54"/>
    </row>
    <row r="99" spans="1:15" x14ac:dyDescent="0.25">
      <c r="A99" s="208"/>
      <c r="B99" s="225"/>
      <c r="C99" s="25" t="s">
        <v>114</v>
      </c>
      <c r="D99" s="1" t="s">
        <v>8</v>
      </c>
      <c r="E99" s="53"/>
      <c r="F99" s="53"/>
      <c r="G99" s="53"/>
      <c r="H99" s="53"/>
      <c r="I99" s="53"/>
      <c r="J99" s="53"/>
      <c r="K99" s="53"/>
      <c r="L99" s="53"/>
      <c r="M99" s="53"/>
      <c r="N99" s="54"/>
    </row>
    <row r="100" spans="1:15" x14ac:dyDescent="0.25">
      <c r="A100" s="208"/>
      <c r="B100" s="225"/>
      <c r="C100" s="25" t="s">
        <v>115</v>
      </c>
      <c r="D100" s="1" t="s">
        <v>9</v>
      </c>
      <c r="E100" s="55">
        <v>6.0796746123701997</v>
      </c>
      <c r="F100" s="55">
        <v>5.1503305985626469</v>
      </c>
      <c r="G100" s="55">
        <v>4.0143075192698996</v>
      </c>
      <c r="H100" s="55">
        <v>3.2369100735745651</v>
      </c>
      <c r="I100" s="55">
        <v>2.0378947368421052</v>
      </c>
      <c r="J100" s="55">
        <v>2.0189473684210526</v>
      </c>
      <c r="K100" s="55">
        <v>1.9557894736842103</v>
      </c>
      <c r="L100" s="55">
        <v>1.8231578947368419</v>
      </c>
      <c r="M100" s="55">
        <v>1.557894736842105</v>
      </c>
      <c r="N100" s="54"/>
    </row>
    <row r="101" spans="1:15" x14ac:dyDescent="0.25">
      <c r="A101" s="208"/>
      <c r="B101" s="225"/>
      <c r="C101" s="25" t="s">
        <v>35</v>
      </c>
      <c r="D101" s="1" t="s">
        <v>10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1.6666105263157894E-3</v>
      </c>
      <c r="L101" s="55">
        <v>1.5304421052631579E-3</v>
      </c>
      <c r="M101" s="55">
        <v>1.2581052631578946E-3</v>
      </c>
      <c r="N101" s="54"/>
    </row>
    <row r="102" spans="1:15" x14ac:dyDescent="0.25">
      <c r="A102" s="208"/>
      <c r="B102" s="225"/>
      <c r="C102" s="26" t="s">
        <v>24</v>
      </c>
      <c r="D102" s="27" t="s">
        <v>10</v>
      </c>
      <c r="E102" s="56">
        <v>0</v>
      </c>
      <c r="F102" s="56">
        <v>0</v>
      </c>
      <c r="G102" s="56">
        <v>0</v>
      </c>
      <c r="H102" s="56">
        <v>0</v>
      </c>
      <c r="I102" s="56">
        <v>0</v>
      </c>
      <c r="J102" s="56">
        <v>0</v>
      </c>
      <c r="K102" s="56">
        <v>0</v>
      </c>
      <c r="L102" s="56">
        <v>0</v>
      </c>
      <c r="M102" s="56">
        <v>0</v>
      </c>
      <c r="N102" s="54"/>
    </row>
    <row r="103" spans="1:15" x14ac:dyDescent="0.25">
      <c r="A103" s="208"/>
      <c r="B103" s="225"/>
      <c r="C103" s="25" t="s">
        <v>25</v>
      </c>
      <c r="D103" s="1" t="s">
        <v>7</v>
      </c>
      <c r="E103" s="56">
        <v>0.98499999999999988</v>
      </c>
      <c r="F103" s="56">
        <v>0.98499999999999988</v>
      </c>
      <c r="G103" s="56">
        <v>0.98499999999999988</v>
      </c>
      <c r="H103" s="56">
        <v>0.98499999999999988</v>
      </c>
      <c r="I103" s="56">
        <v>0.98499999999999988</v>
      </c>
      <c r="J103" s="56">
        <v>0.98499999999999988</v>
      </c>
      <c r="K103" s="56">
        <v>0.99399999999999999</v>
      </c>
      <c r="L103" s="56">
        <v>0.99399999999999999</v>
      </c>
      <c r="M103" s="56">
        <v>0.99399999999999999</v>
      </c>
      <c r="N103" s="54"/>
    </row>
    <row r="104" spans="1:15" x14ac:dyDescent="0.25">
      <c r="A104" s="208"/>
      <c r="B104" s="225"/>
      <c r="C104" s="25" t="s">
        <v>26</v>
      </c>
      <c r="D104" s="1" t="s">
        <v>14</v>
      </c>
      <c r="E104" s="55">
        <v>1524.6</v>
      </c>
      <c r="F104" s="55">
        <v>1749.6</v>
      </c>
      <c r="G104" s="55">
        <v>2349.6</v>
      </c>
      <c r="H104" s="55">
        <v>3174.6</v>
      </c>
      <c r="I104" s="55">
        <v>4299.6000000000004</v>
      </c>
      <c r="J104" s="55">
        <v>14213</v>
      </c>
      <c r="K104" s="55">
        <v>21713</v>
      </c>
      <c r="L104" s="55">
        <v>37463</v>
      </c>
      <c r="M104" s="55">
        <v>68963</v>
      </c>
      <c r="N104" s="54"/>
    </row>
    <row r="105" spans="1:15" x14ac:dyDescent="0.25">
      <c r="A105" s="208"/>
      <c r="B105" s="225"/>
      <c r="C105" s="25" t="s">
        <v>27</v>
      </c>
      <c r="D105" s="1" t="s">
        <v>4</v>
      </c>
      <c r="E105" s="53">
        <v>40</v>
      </c>
      <c r="F105" s="53">
        <v>40</v>
      </c>
      <c r="G105" s="53">
        <v>40</v>
      </c>
      <c r="H105" s="53">
        <v>40</v>
      </c>
      <c r="I105" s="53">
        <v>40</v>
      </c>
      <c r="J105" s="53">
        <v>40</v>
      </c>
      <c r="K105" s="53">
        <v>40</v>
      </c>
      <c r="L105" s="53">
        <v>40</v>
      </c>
      <c r="M105" s="53">
        <v>40</v>
      </c>
      <c r="N105" s="54"/>
    </row>
    <row r="106" spans="1:15" x14ac:dyDescent="0.25">
      <c r="A106" s="208"/>
      <c r="B106" s="225"/>
      <c r="C106" s="25" t="s">
        <v>116</v>
      </c>
      <c r="D106" s="1" t="s">
        <v>19</v>
      </c>
      <c r="E106" s="53">
        <v>0.5</v>
      </c>
      <c r="F106" s="53">
        <v>0.5</v>
      </c>
      <c r="G106" s="53">
        <v>0.5</v>
      </c>
      <c r="H106" s="53">
        <v>0.5</v>
      </c>
      <c r="I106" s="53">
        <v>0.5</v>
      </c>
      <c r="J106" s="53">
        <v>0.5</v>
      </c>
      <c r="K106" s="53">
        <v>0.5</v>
      </c>
      <c r="L106" s="53">
        <v>0.5</v>
      </c>
      <c r="M106" s="53">
        <v>0.5</v>
      </c>
      <c r="N106" s="54"/>
      <c r="O106" s="75"/>
    </row>
    <row r="107" spans="1:15" x14ac:dyDescent="0.25">
      <c r="A107" s="208"/>
      <c r="B107" s="225"/>
      <c r="C107" s="25" t="s">
        <v>28</v>
      </c>
      <c r="D107" s="1" t="s">
        <v>19</v>
      </c>
      <c r="E107" s="53">
        <v>1.3</v>
      </c>
      <c r="F107" s="53">
        <v>1.3</v>
      </c>
      <c r="G107" s="53">
        <v>1.3</v>
      </c>
      <c r="H107" s="53">
        <v>1.3</v>
      </c>
      <c r="I107" s="53">
        <v>1.3</v>
      </c>
      <c r="J107" s="53">
        <v>1.3</v>
      </c>
      <c r="K107" s="53">
        <v>1.3</v>
      </c>
      <c r="L107" s="53">
        <v>1.3</v>
      </c>
      <c r="M107" s="53">
        <v>1.3</v>
      </c>
      <c r="N107" s="54"/>
    </row>
    <row r="108" spans="1:15" x14ac:dyDescent="0.25">
      <c r="A108" s="208"/>
      <c r="B108" s="225"/>
      <c r="C108" s="25" t="s">
        <v>29</v>
      </c>
      <c r="D108" s="1" t="s">
        <v>4</v>
      </c>
      <c r="E108" s="53">
        <v>20</v>
      </c>
      <c r="F108" s="53">
        <v>20</v>
      </c>
      <c r="G108" s="53">
        <v>20</v>
      </c>
      <c r="H108" s="53">
        <v>20</v>
      </c>
      <c r="I108" s="53">
        <v>20</v>
      </c>
      <c r="J108" s="53">
        <v>20</v>
      </c>
      <c r="K108" s="53">
        <v>20</v>
      </c>
      <c r="L108" s="53">
        <v>20</v>
      </c>
      <c r="M108" s="53">
        <v>20</v>
      </c>
      <c r="N108" s="54"/>
    </row>
    <row r="109" spans="1:15" x14ac:dyDescent="0.25">
      <c r="A109" s="208"/>
      <c r="B109" s="225"/>
      <c r="C109" s="25" t="s">
        <v>30</v>
      </c>
      <c r="D109" s="1" t="s">
        <v>6</v>
      </c>
      <c r="E109" s="55">
        <v>1121.3946138315985</v>
      </c>
      <c r="F109" s="55">
        <v>800.77079092910083</v>
      </c>
      <c r="G109" s="55">
        <v>530.55820516118979</v>
      </c>
      <c r="H109" s="55">
        <v>446.14556901716315</v>
      </c>
      <c r="I109" s="55">
        <v>446.14556901716315</v>
      </c>
      <c r="J109" s="55">
        <v>446.14556901716315</v>
      </c>
      <c r="K109" s="55">
        <v>1273.5710477601447</v>
      </c>
      <c r="L109" s="55">
        <v>1107.916390593947</v>
      </c>
      <c r="M109" s="55">
        <v>973.86721871709995</v>
      </c>
      <c r="N109" s="54"/>
    </row>
    <row r="110" spans="1:15" x14ac:dyDescent="0.25">
      <c r="A110" s="208"/>
      <c r="B110" s="225"/>
      <c r="C110" s="25" t="s">
        <v>178</v>
      </c>
      <c r="D110" s="1" t="s">
        <v>19</v>
      </c>
      <c r="E110" s="56">
        <v>0</v>
      </c>
      <c r="F110" s="56">
        <v>0</v>
      </c>
      <c r="G110" s="56">
        <v>0</v>
      </c>
      <c r="H110" s="56">
        <v>0</v>
      </c>
      <c r="I110" s="56">
        <v>0</v>
      </c>
      <c r="J110" s="56">
        <v>0</v>
      </c>
      <c r="K110" s="56">
        <v>0</v>
      </c>
      <c r="L110" s="56">
        <v>0</v>
      </c>
      <c r="M110" s="56">
        <v>0</v>
      </c>
      <c r="N110" s="54"/>
    </row>
    <row r="111" spans="1:15" x14ac:dyDescent="0.25">
      <c r="A111" s="208"/>
      <c r="B111" s="225"/>
      <c r="C111" s="25" t="s">
        <v>117</v>
      </c>
      <c r="D111" s="1" t="s">
        <v>8</v>
      </c>
      <c r="E111" s="53"/>
      <c r="F111" s="53"/>
      <c r="G111" s="53"/>
      <c r="H111" s="53"/>
      <c r="I111" s="53"/>
      <c r="J111" s="53"/>
      <c r="K111" s="53"/>
      <c r="L111" s="53"/>
      <c r="M111" s="53"/>
      <c r="N111" s="54"/>
    </row>
    <row r="112" spans="1:15" x14ac:dyDescent="0.25">
      <c r="A112" s="208"/>
      <c r="B112" s="225"/>
      <c r="C112" s="25" t="s">
        <v>118</v>
      </c>
      <c r="D112" s="1" t="s">
        <v>9</v>
      </c>
      <c r="E112" s="53"/>
      <c r="F112" s="53"/>
      <c r="G112" s="53"/>
      <c r="H112" s="53"/>
      <c r="I112" s="53"/>
      <c r="J112" s="53"/>
      <c r="K112" s="53"/>
      <c r="L112" s="53"/>
      <c r="M112" s="53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55">
        <v>0</v>
      </c>
      <c r="F113" s="55">
        <v>0</v>
      </c>
      <c r="G113" s="55">
        <v>0</v>
      </c>
      <c r="H113" s="55">
        <v>0</v>
      </c>
      <c r="I113" s="55">
        <v>0</v>
      </c>
      <c r="J113" s="55">
        <v>0</v>
      </c>
      <c r="K113" s="55">
        <v>0</v>
      </c>
      <c r="L113" s="55">
        <v>2.0599999999999998E-3</v>
      </c>
      <c r="M113" s="55">
        <v>2.0599999999999998E-3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53">
        <v>3.38</v>
      </c>
      <c r="F116" s="53">
        <v>3.38</v>
      </c>
      <c r="G116" s="53">
        <v>3.38</v>
      </c>
      <c r="H116" s="53">
        <v>3.38</v>
      </c>
      <c r="I116" s="53">
        <v>3.38</v>
      </c>
      <c r="J116" s="53">
        <v>3.38</v>
      </c>
      <c r="K116" s="53">
        <v>3.38</v>
      </c>
      <c r="L116" s="53">
        <v>3.38</v>
      </c>
      <c r="M116" s="53">
        <v>3.38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53"/>
      <c r="F117" s="53"/>
      <c r="G117" s="53"/>
      <c r="H117" s="53"/>
      <c r="I117" s="53"/>
      <c r="J117" s="53"/>
      <c r="K117" s="53"/>
      <c r="L117" s="53"/>
      <c r="M117" s="53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53"/>
      <c r="F118" s="53"/>
      <c r="G118" s="53"/>
      <c r="H118" s="53"/>
      <c r="I118" s="53"/>
      <c r="J118" s="53"/>
      <c r="K118" s="53"/>
      <c r="L118" s="53"/>
      <c r="M118" s="53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53">
        <v>1</v>
      </c>
      <c r="F119" s="53">
        <v>1</v>
      </c>
      <c r="G119" s="53">
        <v>1</v>
      </c>
      <c r="H119" s="53">
        <v>1</v>
      </c>
      <c r="I119" s="53">
        <v>1</v>
      </c>
      <c r="J119" s="53">
        <v>1</v>
      </c>
      <c r="K119" s="53">
        <v>1</v>
      </c>
      <c r="L119" s="53">
        <v>1</v>
      </c>
      <c r="M119" s="53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53">
        <v>0.35</v>
      </c>
      <c r="F120" s="53">
        <v>0.35</v>
      </c>
      <c r="G120" s="53">
        <v>0.35</v>
      </c>
      <c r="H120" s="53">
        <v>0.35</v>
      </c>
      <c r="I120" s="53">
        <v>0.35</v>
      </c>
      <c r="J120" s="53">
        <v>0.35</v>
      </c>
      <c r="K120" s="53">
        <v>0.35</v>
      </c>
      <c r="L120" s="53">
        <v>0.35</v>
      </c>
      <c r="M120" s="53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53">
        <v>20</v>
      </c>
      <c r="F121" s="53">
        <v>20</v>
      </c>
      <c r="G121" s="53">
        <v>20</v>
      </c>
      <c r="H121" s="53">
        <v>20</v>
      </c>
      <c r="I121" s="53">
        <v>20</v>
      </c>
      <c r="J121" s="53">
        <v>20</v>
      </c>
      <c r="K121" s="53">
        <v>20</v>
      </c>
      <c r="L121" s="53">
        <v>20</v>
      </c>
      <c r="M121" s="53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55">
        <v>202.65582041234001</v>
      </c>
      <c r="F122" s="55">
        <v>171.6776866187549</v>
      </c>
      <c r="G122" s="55">
        <v>133.81025064233</v>
      </c>
      <c r="H122" s="55">
        <v>107.89700245248551</v>
      </c>
      <c r="I122" s="55">
        <v>107.31263157894738</v>
      </c>
      <c r="J122" s="55">
        <v>107.00631578947369</v>
      </c>
      <c r="K122" s="55">
        <v>105.98526315789475</v>
      </c>
      <c r="L122" s="55">
        <v>103.84105263157896</v>
      </c>
      <c r="M122" s="55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56">
        <v>0</v>
      </c>
      <c r="F123" s="56">
        <v>0</v>
      </c>
      <c r="G123" s="56">
        <v>0</v>
      </c>
      <c r="H123" s="56">
        <v>0</v>
      </c>
      <c r="I123" s="56">
        <v>0</v>
      </c>
      <c r="J123" s="56">
        <v>0</v>
      </c>
      <c r="K123" s="56">
        <v>0</v>
      </c>
      <c r="L123" s="56">
        <v>0</v>
      </c>
      <c r="M123" s="56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53"/>
      <c r="F124" s="53"/>
      <c r="G124" s="53"/>
      <c r="H124" s="53"/>
      <c r="I124" s="53"/>
      <c r="J124" s="53"/>
      <c r="K124" s="53"/>
      <c r="L124" s="53"/>
      <c r="M124" s="53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55">
        <v>6.0796746123701997</v>
      </c>
      <c r="F125" s="55">
        <v>5.1503305985626469</v>
      </c>
      <c r="G125" s="55">
        <v>4.0143075192698996</v>
      </c>
      <c r="H125" s="55">
        <v>3.2369100735745651</v>
      </c>
      <c r="I125" s="55">
        <v>2.0378947368421052</v>
      </c>
      <c r="J125" s="55">
        <v>2.0189473684210526</v>
      </c>
      <c r="K125" s="55">
        <v>1.9557894736842103</v>
      </c>
      <c r="L125" s="55">
        <v>1.8231578947368419</v>
      </c>
      <c r="M125" s="55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55">
        <v>0</v>
      </c>
      <c r="F126" s="55">
        <v>0</v>
      </c>
      <c r="G126" s="55">
        <v>0</v>
      </c>
      <c r="H126" s="55">
        <v>0</v>
      </c>
      <c r="I126" s="55">
        <v>0</v>
      </c>
      <c r="J126" s="55">
        <v>0</v>
      </c>
      <c r="K126" s="55">
        <v>1.6666105263157894E-3</v>
      </c>
      <c r="L126" s="55">
        <v>1.5304421052631579E-3</v>
      </c>
      <c r="M126" s="55">
        <v>1.2581052631578946E-3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56">
        <v>0.98499999999999988</v>
      </c>
      <c r="F128" s="56">
        <v>0.98499999999999988</v>
      </c>
      <c r="G128" s="56">
        <v>0.98499999999999988</v>
      </c>
      <c r="H128" s="56">
        <v>0.98499999999999988</v>
      </c>
      <c r="I128" s="56">
        <v>0.98499999999999988</v>
      </c>
      <c r="J128" s="56">
        <v>0.98499999999999988</v>
      </c>
      <c r="K128" s="56">
        <v>0.99399999999999999</v>
      </c>
      <c r="L128" s="56">
        <v>0.99399999999999999</v>
      </c>
      <c r="M128" s="56">
        <v>0.99399999999999999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55">
        <v>1524.6</v>
      </c>
      <c r="F129" s="55">
        <v>1749.6</v>
      </c>
      <c r="G129" s="55">
        <v>2349.6</v>
      </c>
      <c r="H129" s="55">
        <v>3174.6</v>
      </c>
      <c r="I129" s="55">
        <v>4299.6000000000004</v>
      </c>
      <c r="J129" s="55">
        <v>14213</v>
      </c>
      <c r="K129" s="55">
        <v>21713</v>
      </c>
      <c r="L129" s="55">
        <v>37463</v>
      </c>
      <c r="M129" s="55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53">
        <v>40</v>
      </c>
      <c r="F130" s="53">
        <v>40</v>
      </c>
      <c r="G130" s="53">
        <v>40</v>
      </c>
      <c r="H130" s="53">
        <v>40</v>
      </c>
      <c r="I130" s="53">
        <v>40</v>
      </c>
      <c r="J130" s="53">
        <v>40</v>
      </c>
      <c r="K130" s="53">
        <v>40</v>
      </c>
      <c r="L130" s="53">
        <v>40</v>
      </c>
      <c r="M130" s="53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53">
        <v>0.35</v>
      </c>
      <c r="F131" s="53">
        <v>0.35</v>
      </c>
      <c r="G131" s="53">
        <v>0.35</v>
      </c>
      <c r="H131" s="53">
        <v>0.35</v>
      </c>
      <c r="I131" s="53">
        <v>0.35</v>
      </c>
      <c r="J131" s="53">
        <v>0.35</v>
      </c>
      <c r="K131" s="53">
        <v>0.35</v>
      </c>
      <c r="L131" s="53">
        <v>0.35</v>
      </c>
      <c r="M131" s="53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53">
        <v>1.8571428571428572</v>
      </c>
      <c r="F132" s="53">
        <v>1.8571428571428572</v>
      </c>
      <c r="G132" s="53">
        <v>1.8571428571428572</v>
      </c>
      <c r="H132" s="53">
        <v>1.8571428571428572</v>
      </c>
      <c r="I132" s="53">
        <v>1.8571428571428572</v>
      </c>
      <c r="J132" s="53">
        <v>1.8571428571428572</v>
      </c>
      <c r="K132" s="53">
        <v>1.8571428571428572</v>
      </c>
      <c r="L132" s="53">
        <v>1.8571428571428572</v>
      </c>
      <c r="M132" s="53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53">
        <v>20</v>
      </c>
      <c r="F133" s="53">
        <v>20</v>
      </c>
      <c r="G133" s="53">
        <v>20</v>
      </c>
      <c r="H133" s="53">
        <v>20</v>
      </c>
      <c r="I133" s="53">
        <v>20</v>
      </c>
      <c r="J133" s="53">
        <v>20</v>
      </c>
      <c r="K133" s="53">
        <v>20</v>
      </c>
      <c r="L133" s="53">
        <v>20</v>
      </c>
      <c r="M133" s="53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55">
        <v>6304.5457437357918</v>
      </c>
      <c r="F134" s="55">
        <v>4255.2155768670527</v>
      </c>
      <c r="G134" s="55">
        <v>2631.5994039092525</v>
      </c>
      <c r="H134" s="55">
        <v>2072.3743483471271</v>
      </c>
      <c r="I134" s="55">
        <v>1733.2777911140615</v>
      </c>
      <c r="J134" s="55">
        <v>1392.7514739604958</v>
      </c>
      <c r="K134" s="55">
        <v>1092.1408151125991</v>
      </c>
      <c r="L134" s="55">
        <v>876.09845826756919</v>
      </c>
      <c r="M134" s="55">
        <v>714.42976829028339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56">
        <v>0</v>
      </c>
      <c r="F135" s="56">
        <v>0</v>
      </c>
      <c r="G135" s="56">
        <v>0</v>
      </c>
      <c r="H135" s="56">
        <v>0</v>
      </c>
      <c r="I135" s="56">
        <v>0</v>
      </c>
      <c r="J135" s="56">
        <v>0</v>
      </c>
      <c r="K135" s="56">
        <v>0</v>
      </c>
      <c r="L135" s="56">
        <v>0</v>
      </c>
      <c r="M135" s="56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53"/>
      <c r="F137" s="53"/>
      <c r="G137" s="53"/>
      <c r="H137" s="53"/>
      <c r="I137" s="53"/>
      <c r="J137" s="53"/>
      <c r="K137" s="53"/>
      <c r="L137" s="53"/>
      <c r="M137" s="53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55">
        <v>5.4632155805897732E-2</v>
      </c>
      <c r="F138" s="55">
        <v>6.9225169277652349E-2</v>
      </c>
      <c r="G138" s="55">
        <v>5.5072970988733948E-2</v>
      </c>
      <c r="H138" s="55">
        <v>4.6604222305577481E-2</v>
      </c>
      <c r="I138" s="55">
        <v>4.0289223212275231E-2</v>
      </c>
      <c r="J138" s="55">
        <v>2.4583755873341454E-2</v>
      </c>
      <c r="K138" s="55">
        <v>1.9104989606490121E-2</v>
      </c>
      <c r="L138" s="55">
        <v>1.5182594783541725E-2</v>
      </c>
      <c r="M138" s="55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59">
        <v>0.25</v>
      </c>
      <c r="F142" s="59">
        <v>0.25</v>
      </c>
      <c r="G142" s="59">
        <v>0.25</v>
      </c>
      <c r="H142" s="59">
        <v>0.25</v>
      </c>
      <c r="I142" s="59">
        <v>0.25</v>
      </c>
      <c r="J142" s="59">
        <v>0.25</v>
      </c>
      <c r="K142" s="59">
        <v>0.25</v>
      </c>
      <c r="L142" s="59">
        <v>0.25</v>
      </c>
      <c r="M142" s="59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56">
        <v>0.66625430833964439</v>
      </c>
      <c r="F143" s="56">
        <v>0.66367464936796561</v>
      </c>
      <c r="G143" s="56">
        <v>0.65679555877682227</v>
      </c>
      <c r="H143" s="56">
        <v>0.64733680921400016</v>
      </c>
      <c r="I143" s="56">
        <v>0.63443851435560639</v>
      </c>
      <c r="J143" s="56">
        <v>0.4680070358050421</v>
      </c>
      <c r="K143" s="56">
        <v>0.46713859851464173</v>
      </c>
      <c r="L143" s="56">
        <v>0.46531488020480088</v>
      </c>
      <c r="M143" s="56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56">
        <v>0.25092243745356524</v>
      </c>
      <c r="F144" s="56">
        <v>0.25657675134016689</v>
      </c>
      <c r="G144" s="56">
        <v>0.27165492170443795</v>
      </c>
      <c r="H144" s="56">
        <v>0.29238740595531065</v>
      </c>
      <c r="I144" s="56">
        <v>0.32065897538831889</v>
      </c>
      <c r="J144" s="56">
        <v>0.41290384467151914</v>
      </c>
      <c r="K144" s="56">
        <v>0.41363974384019625</v>
      </c>
      <c r="L144" s="56">
        <v>0.41518513209441815</v>
      </c>
      <c r="M144" s="56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55">
        <v>0</v>
      </c>
      <c r="F145" s="55">
        <v>0</v>
      </c>
      <c r="G145" s="55">
        <v>0</v>
      </c>
      <c r="H145" s="55">
        <v>0</v>
      </c>
      <c r="I145" s="55">
        <v>0</v>
      </c>
      <c r="J145" s="55">
        <v>0</v>
      </c>
      <c r="K145" s="55">
        <v>0</v>
      </c>
      <c r="L145" s="55">
        <v>0</v>
      </c>
      <c r="M145" s="55">
        <v>0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55">
        <v>0</v>
      </c>
      <c r="F146" s="55">
        <v>0</v>
      </c>
      <c r="G146" s="55">
        <v>0</v>
      </c>
      <c r="H146" s="55">
        <v>0</v>
      </c>
      <c r="I146" s="55">
        <v>0</v>
      </c>
      <c r="J146" s="55">
        <v>0</v>
      </c>
      <c r="K146" s="55">
        <v>0</v>
      </c>
      <c r="L146" s="55">
        <v>0</v>
      </c>
      <c r="M146" s="55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53">
        <v>0</v>
      </c>
      <c r="F147" s="53">
        <v>0</v>
      </c>
      <c r="G147" s="53">
        <v>0</v>
      </c>
      <c r="H147" s="53">
        <v>0</v>
      </c>
      <c r="I147" s="53">
        <v>0</v>
      </c>
      <c r="J147" s="53">
        <v>0</v>
      </c>
      <c r="K147" s="53">
        <v>0</v>
      </c>
      <c r="L147" s="53">
        <v>0</v>
      </c>
      <c r="M147" s="53">
        <v>0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53">
        <v>1</v>
      </c>
      <c r="F148" s="53">
        <v>1</v>
      </c>
      <c r="G148" s="53">
        <v>1</v>
      </c>
      <c r="H148" s="53">
        <v>1</v>
      </c>
      <c r="I148" s="53">
        <v>1</v>
      </c>
      <c r="J148" s="53">
        <v>1</v>
      </c>
      <c r="K148" s="53">
        <v>1</v>
      </c>
      <c r="L148" s="53">
        <v>1</v>
      </c>
      <c r="M148" s="53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53">
        <v>0.35</v>
      </c>
      <c r="F149" s="53">
        <v>0.35</v>
      </c>
      <c r="G149" s="53">
        <v>0.35</v>
      </c>
      <c r="H149" s="53">
        <v>0.35</v>
      </c>
      <c r="I149" s="53">
        <v>0.35</v>
      </c>
      <c r="J149" s="53">
        <v>0.35</v>
      </c>
      <c r="K149" s="53">
        <v>0.35</v>
      </c>
      <c r="L149" s="53">
        <v>0.35</v>
      </c>
      <c r="M149" s="53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53">
        <v>20</v>
      </c>
      <c r="F150" s="53">
        <v>20</v>
      </c>
      <c r="G150" s="53">
        <v>20</v>
      </c>
      <c r="H150" s="53">
        <v>20</v>
      </c>
      <c r="I150" s="53">
        <v>20</v>
      </c>
      <c r="J150" s="53">
        <v>20</v>
      </c>
      <c r="K150" s="53">
        <v>20</v>
      </c>
      <c r="L150" s="53">
        <v>20</v>
      </c>
      <c r="M150" s="53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55">
        <v>202.65582041234001</v>
      </c>
      <c r="F151" s="55">
        <v>171.6776866187549</v>
      </c>
      <c r="G151" s="55">
        <v>133.81025064233</v>
      </c>
      <c r="H151" s="55">
        <v>107.89700245248551</v>
      </c>
      <c r="I151" s="55">
        <v>107.31263157894738</v>
      </c>
      <c r="J151" s="55">
        <v>107.00631578947369</v>
      </c>
      <c r="K151" s="55">
        <v>105.98526315789475</v>
      </c>
      <c r="L151" s="55">
        <v>103.84105263157896</v>
      </c>
      <c r="M151" s="55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56">
        <v>0</v>
      </c>
      <c r="F152" s="56">
        <v>0</v>
      </c>
      <c r="G152" s="56">
        <v>0</v>
      </c>
      <c r="H152" s="56">
        <v>0</v>
      </c>
      <c r="I152" s="56">
        <v>0</v>
      </c>
      <c r="J152" s="56">
        <v>0</v>
      </c>
      <c r="K152" s="56">
        <v>0</v>
      </c>
      <c r="L152" s="56">
        <v>0</v>
      </c>
      <c r="M152" s="56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53"/>
      <c r="F153" s="53"/>
      <c r="G153" s="53"/>
      <c r="H153" s="53"/>
      <c r="I153" s="53"/>
      <c r="J153" s="53"/>
      <c r="K153" s="53"/>
      <c r="L153" s="53"/>
      <c r="M153" s="53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55">
        <v>6.0796746123701997</v>
      </c>
      <c r="F154" s="55">
        <v>5.1503305985626469</v>
      </c>
      <c r="G154" s="55">
        <v>4.0143075192698996</v>
      </c>
      <c r="H154" s="55">
        <v>3.2369100735745651</v>
      </c>
      <c r="I154" s="55">
        <v>2.0378947368421052</v>
      </c>
      <c r="J154" s="55">
        <v>2.0189473684210526</v>
      </c>
      <c r="K154" s="55">
        <v>1.9557894736842103</v>
      </c>
      <c r="L154" s="55">
        <v>1.8231578947368419</v>
      </c>
      <c r="M154" s="55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55">
        <v>0</v>
      </c>
      <c r="F155" s="55">
        <v>0</v>
      </c>
      <c r="G155" s="55">
        <v>0</v>
      </c>
      <c r="H155" s="55">
        <v>0</v>
      </c>
      <c r="I155" s="55">
        <v>0</v>
      </c>
      <c r="J155" s="55">
        <v>0</v>
      </c>
      <c r="K155" s="55">
        <v>1.6666105263157894E-3</v>
      </c>
      <c r="L155" s="55">
        <v>1.5304421052631579E-3</v>
      </c>
      <c r="M155" s="55">
        <v>1.2581052631578946E-3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56">
        <v>0.98499999999999988</v>
      </c>
      <c r="F157" s="56">
        <v>0.98499999999999988</v>
      </c>
      <c r="G157" s="56">
        <v>0.98499999999999988</v>
      </c>
      <c r="H157" s="56">
        <v>0.98499999999999988</v>
      </c>
      <c r="I157" s="56">
        <v>0.98499999999999988</v>
      </c>
      <c r="J157" s="56">
        <v>0.98499999999999988</v>
      </c>
      <c r="K157" s="56">
        <v>0.99399999999999999</v>
      </c>
      <c r="L157" s="56">
        <v>0.99399999999999999</v>
      </c>
      <c r="M157" s="56">
        <v>0.99399999999999999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55">
        <v>1524.6</v>
      </c>
      <c r="F158" s="55">
        <v>1749.6</v>
      </c>
      <c r="G158" s="55">
        <v>2349.6</v>
      </c>
      <c r="H158" s="55">
        <v>3174.6</v>
      </c>
      <c r="I158" s="55">
        <v>4299.6000000000004</v>
      </c>
      <c r="J158" s="55">
        <v>14213</v>
      </c>
      <c r="K158" s="55">
        <v>21713</v>
      </c>
      <c r="L158" s="55">
        <v>37463</v>
      </c>
      <c r="M158" s="55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53">
        <v>40</v>
      </c>
      <c r="F159" s="53">
        <v>40</v>
      </c>
      <c r="G159" s="53">
        <v>40</v>
      </c>
      <c r="H159" s="53">
        <v>40</v>
      </c>
      <c r="I159" s="53">
        <v>40</v>
      </c>
      <c r="J159" s="53">
        <v>40</v>
      </c>
      <c r="K159" s="53">
        <v>40</v>
      </c>
      <c r="L159" s="53">
        <v>40</v>
      </c>
      <c r="M159" s="53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53">
        <v>0.35</v>
      </c>
      <c r="F160" s="53">
        <v>0.35</v>
      </c>
      <c r="G160" s="53">
        <v>0.35</v>
      </c>
      <c r="H160" s="53">
        <v>0.35</v>
      </c>
      <c r="I160" s="53">
        <v>0.35</v>
      </c>
      <c r="J160" s="53">
        <v>0.35</v>
      </c>
      <c r="K160" s="53">
        <v>0.35</v>
      </c>
      <c r="L160" s="53">
        <v>0.35</v>
      </c>
      <c r="M160" s="53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53">
        <v>1.8571428571428572</v>
      </c>
      <c r="F161" s="53">
        <v>1.8571428571428572</v>
      </c>
      <c r="G161" s="53">
        <v>1.8571428571428572</v>
      </c>
      <c r="H161" s="53">
        <v>1.8571428571428572</v>
      </c>
      <c r="I161" s="53">
        <v>1.8571428571428572</v>
      </c>
      <c r="J161" s="53">
        <v>1.8571428571428572</v>
      </c>
      <c r="K161" s="53">
        <v>1.8571428571428572</v>
      </c>
      <c r="L161" s="53">
        <v>1.8571428571428572</v>
      </c>
      <c r="M161" s="53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53">
        <v>20</v>
      </c>
      <c r="F162" s="53">
        <v>20</v>
      </c>
      <c r="G162" s="53">
        <v>20</v>
      </c>
      <c r="H162" s="53">
        <v>20</v>
      </c>
      <c r="I162" s="53">
        <v>20</v>
      </c>
      <c r="J162" s="53">
        <v>20</v>
      </c>
      <c r="K162" s="53">
        <v>20</v>
      </c>
      <c r="L162" s="53">
        <v>20</v>
      </c>
      <c r="M162" s="53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55">
        <v>6304.5457437357918</v>
      </c>
      <c r="F163" s="55">
        <v>4255.2155768670527</v>
      </c>
      <c r="G163" s="55">
        <v>2631.5994039092525</v>
      </c>
      <c r="H163" s="55">
        <v>2072.3743483471271</v>
      </c>
      <c r="I163" s="55">
        <v>1733.2777911140615</v>
      </c>
      <c r="J163" s="55">
        <v>1392.7514739604958</v>
      </c>
      <c r="K163" s="55">
        <v>1092.1408151125991</v>
      </c>
      <c r="L163" s="55">
        <v>876.09845826756919</v>
      </c>
      <c r="M163" s="55">
        <v>714.42976829028339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56">
        <v>0</v>
      </c>
      <c r="F164" s="56">
        <v>0</v>
      </c>
      <c r="G164" s="56">
        <v>0</v>
      </c>
      <c r="H164" s="56">
        <v>0</v>
      </c>
      <c r="I164" s="56">
        <v>0</v>
      </c>
      <c r="J164" s="56">
        <v>0</v>
      </c>
      <c r="K164" s="56">
        <v>0</v>
      </c>
      <c r="L164" s="56">
        <v>0</v>
      </c>
      <c r="M164" s="56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53"/>
      <c r="F165" s="53"/>
      <c r="G165" s="53"/>
      <c r="H165" s="53"/>
      <c r="I165" s="53"/>
      <c r="J165" s="53"/>
      <c r="K165" s="53"/>
      <c r="L165" s="53"/>
      <c r="M165" s="53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53"/>
      <c r="F166" s="53"/>
      <c r="G166" s="53"/>
      <c r="H166" s="53"/>
      <c r="I166" s="53"/>
      <c r="J166" s="53"/>
      <c r="K166" s="53"/>
      <c r="L166" s="53"/>
      <c r="M166" s="53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55">
        <v>5.4632155805897732E-2</v>
      </c>
      <c r="F167" s="55">
        <v>6.9225169277652349E-2</v>
      </c>
      <c r="G167" s="55">
        <v>5.5072970988733948E-2</v>
      </c>
      <c r="H167" s="55">
        <v>4.6604222305577481E-2</v>
      </c>
      <c r="I167" s="55">
        <v>4.0289223212275231E-2</v>
      </c>
      <c r="J167" s="55">
        <v>2.4583755873341454E-2</v>
      </c>
      <c r="K167" s="55">
        <v>1.9104989606490121E-2</v>
      </c>
      <c r="L167" s="55">
        <v>1.5182594783541725E-2</v>
      </c>
      <c r="M167" s="55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55">
        <v>0</v>
      </c>
      <c r="F168" s="55">
        <v>0</v>
      </c>
      <c r="G168" s="55">
        <v>0</v>
      </c>
      <c r="H168" s="55">
        <v>0</v>
      </c>
      <c r="I168" s="55">
        <v>0</v>
      </c>
      <c r="J168" s="55">
        <v>0</v>
      </c>
      <c r="K168" s="55">
        <v>0</v>
      </c>
      <c r="L168" s="55">
        <v>0</v>
      </c>
      <c r="M168" s="55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53"/>
      <c r="F169" s="53"/>
      <c r="G169" s="53"/>
      <c r="H169" s="53"/>
      <c r="I169" s="53"/>
      <c r="J169" s="53"/>
      <c r="K169" s="53"/>
      <c r="L169" s="53"/>
      <c r="M169" s="53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53"/>
      <c r="F170" s="53"/>
      <c r="G170" s="53"/>
      <c r="H170" s="53"/>
      <c r="I170" s="53"/>
      <c r="J170" s="53"/>
      <c r="K170" s="53"/>
      <c r="L170" s="53"/>
      <c r="M170" s="53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59">
        <v>0.5</v>
      </c>
      <c r="F171" s="59">
        <v>0.5</v>
      </c>
      <c r="G171" s="59">
        <v>0.5</v>
      </c>
      <c r="H171" s="59">
        <v>0.5</v>
      </c>
      <c r="I171" s="59">
        <v>0.5</v>
      </c>
      <c r="J171" s="59">
        <v>0.5</v>
      </c>
      <c r="K171" s="59">
        <v>0.5</v>
      </c>
      <c r="L171" s="59">
        <v>0.5</v>
      </c>
      <c r="M171" s="59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56">
        <v>0.66625430833964439</v>
      </c>
      <c r="F172" s="56">
        <v>0.66367464936796561</v>
      </c>
      <c r="G172" s="56">
        <v>0.65679555877682227</v>
      </c>
      <c r="H172" s="56">
        <v>0.64733680921400016</v>
      </c>
      <c r="I172" s="56">
        <v>0.63443851435560639</v>
      </c>
      <c r="J172" s="56">
        <v>0.4680070358050421</v>
      </c>
      <c r="K172" s="56">
        <v>0.46713859851464173</v>
      </c>
      <c r="L172" s="56">
        <v>0.46531488020480088</v>
      </c>
      <c r="M172" s="56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56">
        <v>0.25092243745356524</v>
      </c>
      <c r="F173" s="56">
        <v>0.25657675134016689</v>
      </c>
      <c r="G173" s="56">
        <v>0.27165492170443795</v>
      </c>
      <c r="H173" s="56">
        <v>0.29238740595531065</v>
      </c>
      <c r="I173" s="56">
        <v>0.32065897538831889</v>
      </c>
      <c r="J173" s="56">
        <v>0.41290384467151914</v>
      </c>
      <c r="K173" s="56">
        <v>0.41363974384019625</v>
      </c>
      <c r="L173" s="56">
        <v>0.41518513209441815</v>
      </c>
      <c r="M173" s="56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53">
        <v>0</v>
      </c>
      <c r="F176" s="53">
        <v>0</v>
      </c>
      <c r="G176" s="53">
        <v>0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60">
        <v>1</v>
      </c>
      <c r="F177" s="60">
        <v>1</v>
      </c>
      <c r="G177" s="60">
        <v>1</v>
      </c>
      <c r="H177" s="60">
        <v>1</v>
      </c>
      <c r="I177" s="60">
        <v>1</v>
      </c>
      <c r="J177" s="60">
        <v>1</v>
      </c>
      <c r="K177" s="60">
        <v>1</v>
      </c>
      <c r="L177" s="60">
        <v>1</v>
      </c>
      <c r="M177" s="60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53">
        <v>0.8</v>
      </c>
      <c r="F178" s="53">
        <v>0.8</v>
      </c>
      <c r="G178" s="53">
        <v>0.8</v>
      </c>
      <c r="H178" s="53">
        <v>0.8</v>
      </c>
      <c r="I178" s="53">
        <v>0.8</v>
      </c>
      <c r="J178" s="53">
        <v>0.8</v>
      </c>
      <c r="K178" s="53">
        <v>0.8</v>
      </c>
      <c r="L178" s="53">
        <v>0.8</v>
      </c>
      <c r="M178" s="53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53">
        <v>20</v>
      </c>
      <c r="F179" s="53">
        <v>20</v>
      </c>
      <c r="G179" s="53">
        <v>20</v>
      </c>
      <c r="H179" s="53">
        <v>20</v>
      </c>
      <c r="I179" s="53">
        <v>20</v>
      </c>
      <c r="J179" s="53">
        <v>20</v>
      </c>
      <c r="K179" s="53">
        <v>20</v>
      </c>
      <c r="L179" s="53">
        <v>20</v>
      </c>
      <c r="M179" s="53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55">
        <v>202.65582041234001</v>
      </c>
      <c r="F180" s="55">
        <v>171.6776866187549</v>
      </c>
      <c r="G180" s="55">
        <v>133.81025064233</v>
      </c>
      <c r="H180" s="55">
        <v>107.89700245248551</v>
      </c>
      <c r="I180" s="55">
        <v>107.31263157894738</v>
      </c>
      <c r="J180" s="55">
        <v>107.00631578947369</v>
      </c>
      <c r="K180" s="55">
        <v>105.98526315789475</v>
      </c>
      <c r="L180" s="55">
        <v>103.84105263157896</v>
      </c>
      <c r="M180" s="55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56">
        <v>0</v>
      </c>
      <c r="F181" s="56">
        <v>0</v>
      </c>
      <c r="G181" s="56">
        <v>0</v>
      </c>
      <c r="H181" s="56">
        <v>0</v>
      </c>
      <c r="I181" s="56">
        <v>0</v>
      </c>
      <c r="J181" s="56">
        <v>0</v>
      </c>
      <c r="K181" s="56">
        <v>0</v>
      </c>
      <c r="L181" s="56">
        <v>0</v>
      </c>
      <c r="M181" s="56">
        <v>0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53"/>
      <c r="F182" s="53"/>
      <c r="G182" s="53"/>
      <c r="H182" s="53"/>
      <c r="I182" s="53"/>
      <c r="J182" s="53"/>
      <c r="K182" s="53"/>
      <c r="L182" s="53"/>
      <c r="M182" s="53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55">
        <v>6.0796746123701997</v>
      </c>
      <c r="F183" s="55">
        <v>5.1503305985626469</v>
      </c>
      <c r="G183" s="55">
        <v>4.0143075192698996</v>
      </c>
      <c r="H183" s="55">
        <v>3.2369100735745651</v>
      </c>
      <c r="I183" s="55">
        <v>2.0378947368421052</v>
      </c>
      <c r="J183" s="55">
        <v>2.0189473684210526</v>
      </c>
      <c r="K183" s="55">
        <v>1.9557894736842103</v>
      </c>
      <c r="L183" s="55">
        <v>1.8231578947368419</v>
      </c>
      <c r="M183" s="55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1.6666105263157894E-3</v>
      </c>
      <c r="L184" s="55">
        <v>1.5304421052631579E-3</v>
      </c>
      <c r="M184" s="55">
        <v>1.2581052631578946E-3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55">
        <v>0</v>
      </c>
      <c r="F185" s="55">
        <v>0</v>
      </c>
      <c r="G185" s="55">
        <v>0</v>
      </c>
      <c r="H185" s="55">
        <v>0</v>
      </c>
      <c r="I185" s="55">
        <v>0</v>
      </c>
      <c r="J185" s="55">
        <v>0</v>
      </c>
      <c r="K185" s="55">
        <v>0</v>
      </c>
      <c r="L185" s="55">
        <v>0</v>
      </c>
      <c r="M185" s="55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56">
        <v>0.98499999999999988</v>
      </c>
      <c r="F186" s="56">
        <v>0.98499999999999988</v>
      </c>
      <c r="G186" s="56">
        <v>0.98499999999999988</v>
      </c>
      <c r="H186" s="56">
        <v>0.98499999999999988</v>
      </c>
      <c r="I186" s="56">
        <v>0.98499999999999988</v>
      </c>
      <c r="J186" s="56">
        <v>0.98499999999999988</v>
      </c>
      <c r="K186" s="56">
        <v>0.99399999999999999</v>
      </c>
      <c r="L186" s="56">
        <v>0.99399999999999999</v>
      </c>
      <c r="M186" s="56">
        <v>0.99399999999999999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55">
        <v>1524.6</v>
      </c>
      <c r="F187" s="55">
        <v>1749.6</v>
      </c>
      <c r="G187" s="55">
        <v>2349.6</v>
      </c>
      <c r="H187" s="55">
        <v>3174.6</v>
      </c>
      <c r="I187" s="55">
        <v>4299.6000000000004</v>
      </c>
      <c r="J187" s="55">
        <v>14213</v>
      </c>
      <c r="K187" s="55">
        <v>21713</v>
      </c>
      <c r="L187" s="55">
        <v>37463</v>
      </c>
      <c r="M187" s="55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53">
        <v>40</v>
      </c>
      <c r="F188" s="53">
        <v>40</v>
      </c>
      <c r="G188" s="53">
        <v>40</v>
      </c>
      <c r="H188" s="53">
        <v>40</v>
      </c>
      <c r="I188" s="53">
        <v>40</v>
      </c>
      <c r="J188" s="53">
        <v>40</v>
      </c>
      <c r="K188" s="53">
        <v>40</v>
      </c>
      <c r="L188" s="53">
        <v>40</v>
      </c>
      <c r="M188" s="53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60">
        <v>0.3125</v>
      </c>
      <c r="F189" s="60">
        <v>0.3125</v>
      </c>
      <c r="G189" s="60">
        <v>0.3125</v>
      </c>
      <c r="H189" s="60">
        <v>0.3125</v>
      </c>
      <c r="I189" s="60">
        <v>0.3125</v>
      </c>
      <c r="J189" s="60">
        <v>0.3125</v>
      </c>
      <c r="K189" s="60">
        <v>0.3125</v>
      </c>
      <c r="L189" s="60">
        <v>0.3125</v>
      </c>
      <c r="M189" s="60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53">
        <v>0.64</v>
      </c>
      <c r="F190" s="53">
        <v>0.64</v>
      </c>
      <c r="G190" s="53">
        <v>0.64</v>
      </c>
      <c r="H190" s="53">
        <v>0.64</v>
      </c>
      <c r="I190" s="53">
        <v>0.64</v>
      </c>
      <c r="J190" s="53">
        <v>0.64</v>
      </c>
      <c r="K190" s="53">
        <v>0.64</v>
      </c>
      <c r="L190" s="53">
        <v>0.64</v>
      </c>
      <c r="M190" s="53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53">
        <v>20</v>
      </c>
      <c r="F191" s="53">
        <v>20</v>
      </c>
      <c r="G191" s="53">
        <v>20</v>
      </c>
      <c r="H191" s="53">
        <v>20</v>
      </c>
      <c r="I191" s="53">
        <v>20</v>
      </c>
      <c r="J191" s="53">
        <v>20</v>
      </c>
      <c r="K191" s="53">
        <v>20</v>
      </c>
      <c r="L191" s="53">
        <v>20</v>
      </c>
      <c r="M191" s="53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61">
        <v>900.49275895925371</v>
      </c>
      <c r="F192" s="55">
        <v>886.9158075601373</v>
      </c>
      <c r="G192" s="55">
        <v>850.71060382916039</v>
      </c>
      <c r="H192" s="55">
        <v>800.92844869906708</v>
      </c>
      <c r="I192" s="55">
        <v>733.04369170348536</v>
      </c>
      <c r="J192" s="55">
        <v>597.27417771232194</v>
      </c>
      <c r="K192" s="55">
        <v>508.57142857142856</v>
      </c>
      <c r="L192" s="55">
        <v>508.57142857142856</v>
      </c>
      <c r="M192" s="55">
        <v>508.57142857142856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56">
        <v>0</v>
      </c>
      <c r="F193" s="56">
        <v>0</v>
      </c>
      <c r="G193" s="56">
        <v>0</v>
      </c>
      <c r="H193" s="56">
        <v>0</v>
      </c>
      <c r="I193" s="56">
        <v>0</v>
      </c>
      <c r="J193" s="56">
        <v>0</v>
      </c>
      <c r="K193" s="56">
        <v>0</v>
      </c>
      <c r="L193" s="56">
        <v>0</v>
      </c>
      <c r="M193" s="56">
        <v>0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55">
        <v>52.688365243004426</v>
      </c>
      <c r="F194" s="55">
        <v>69.477761413843893</v>
      </c>
      <c r="G194" s="55">
        <v>114.24948453608249</v>
      </c>
      <c r="H194" s="55">
        <v>175.81060382916056</v>
      </c>
      <c r="I194" s="55">
        <v>259.75758468335789</v>
      </c>
      <c r="J194" s="55">
        <v>427.65154639175262</v>
      </c>
      <c r="K194" s="55">
        <v>595.54550810014734</v>
      </c>
      <c r="L194" s="55">
        <v>595.54550810014734</v>
      </c>
      <c r="M194" s="55">
        <v>595.54550810014734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53"/>
      <c r="F195" s="53"/>
      <c r="G195" s="53"/>
      <c r="H195" s="53"/>
      <c r="I195" s="53"/>
      <c r="J195" s="53"/>
      <c r="K195" s="53"/>
      <c r="L195" s="53"/>
      <c r="M195" s="53"/>
    </row>
    <row r="196" spans="1:14" x14ac:dyDescent="0.25">
      <c r="A196" s="208"/>
      <c r="B196" s="225"/>
      <c r="C196" s="25" t="s">
        <v>135</v>
      </c>
      <c r="D196" s="1" t="s">
        <v>10</v>
      </c>
      <c r="E196" s="53"/>
      <c r="F196" s="53"/>
      <c r="G196" s="53"/>
      <c r="H196" s="53"/>
      <c r="I196" s="53"/>
      <c r="J196" s="53"/>
      <c r="K196" s="53"/>
      <c r="L196" s="53"/>
      <c r="M196" s="53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53"/>
      <c r="F197" s="53"/>
      <c r="G197" s="53"/>
      <c r="H197" s="53"/>
      <c r="I197" s="53"/>
      <c r="J197" s="53"/>
      <c r="K197" s="53"/>
      <c r="L197" s="53"/>
      <c r="M197" s="53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53">
        <v>1</v>
      </c>
      <c r="F198" s="53">
        <v>1</v>
      </c>
      <c r="G198" s="53">
        <v>1</v>
      </c>
      <c r="H198" s="53">
        <v>1</v>
      </c>
      <c r="I198" s="53">
        <v>1</v>
      </c>
      <c r="J198" s="53">
        <v>1</v>
      </c>
      <c r="K198" s="53">
        <v>1</v>
      </c>
      <c r="L198" s="53">
        <v>1</v>
      </c>
      <c r="M198" s="53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53">
        <v>0.65</v>
      </c>
      <c r="F199" s="53">
        <v>0.65</v>
      </c>
      <c r="G199" s="53">
        <v>0.65</v>
      </c>
      <c r="H199" s="53">
        <v>0.65</v>
      </c>
      <c r="I199" s="53">
        <v>0.65</v>
      </c>
      <c r="J199" s="53">
        <v>0.65</v>
      </c>
      <c r="K199" s="53">
        <v>0.65</v>
      </c>
      <c r="L199" s="53">
        <v>0.65</v>
      </c>
      <c r="M199" s="53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53">
        <v>20</v>
      </c>
      <c r="F200" s="53">
        <v>20</v>
      </c>
      <c r="G200" s="53">
        <v>20</v>
      </c>
      <c r="H200" s="53">
        <v>20</v>
      </c>
      <c r="I200" s="53">
        <v>20</v>
      </c>
      <c r="J200" s="53">
        <v>20</v>
      </c>
      <c r="K200" s="53">
        <v>20</v>
      </c>
      <c r="L200" s="53">
        <v>20</v>
      </c>
      <c r="M200" s="53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55">
        <v>202.65582041234001</v>
      </c>
      <c r="F201" s="55">
        <v>171.6776866187549</v>
      </c>
      <c r="G201" s="55">
        <v>133.81025064233</v>
      </c>
      <c r="H201" s="55">
        <v>107.89700245248551</v>
      </c>
      <c r="I201" s="55">
        <v>107.31263157894738</v>
      </c>
      <c r="J201" s="55">
        <v>107.00631578947369</v>
      </c>
      <c r="K201" s="55">
        <v>105.98526315789475</v>
      </c>
      <c r="L201" s="55">
        <v>103.84105263157896</v>
      </c>
      <c r="M201" s="55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56">
        <v>0</v>
      </c>
      <c r="F202" s="56">
        <v>0</v>
      </c>
      <c r="G202" s="56">
        <v>0</v>
      </c>
      <c r="H202" s="56">
        <v>0</v>
      </c>
      <c r="I202" s="56">
        <v>0</v>
      </c>
      <c r="J202" s="56">
        <v>0</v>
      </c>
      <c r="K202" s="56">
        <v>0</v>
      </c>
      <c r="L202" s="56">
        <v>0</v>
      </c>
      <c r="M202" s="56">
        <v>0</v>
      </c>
    </row>
    <row r="203" spans="1:14" x14ac:dyDescent="0.25">
      <c r="A203" s="208"/>
      <c r="B203" s="225"/>
      <c r="C203" s="25" t="s">
        <v>114</v>
      </c>
      <c r="D203" s="1" t="s">
        <v>8</v>
      </c>
      <c r="E203" s="53"/>
      <c r="F203" s="53"/>
      <c r="G203" s="53"/>
      <c r="H203" s="53"/>
      <c r="I203" s="53"/>
      <c r="J203" s="53"/>
      <c r="K203" s="53"/>
      <c r="L203" s="53"/>
      <c r="M203" s="53"/>
    </row>
    <row r="204" spans="1:14" x14ac:dyDescent="0.25">
      <c r="A204" s="208"/>
      <c r="B204" s="225"/>
      <c r="C204" s="25" t="s">
        <v>115</v>
      </c>
      <c r="D204" s="1" t="s">
        <v>9</v>
      </c>
      <c r="E204" s="55">
        <v>6.0796746123701997</v>
      </c>
      <c r="F204" s="55">
        <v>5.1503305985626469</v>
      </c>
      <c r="G204" s="55">
        <v>4.0143075192698996</v>
      </c>
      <c r="H204" s="55">
        <v>3.2369100735745651</v>
      </c>
      <c r="I204" s="55">
        <v>2.0378947368421052</v>
      </c>
      <c r="J204" s="55">
        <v>2.0189473684210526</v>
      </c>
      <c r="K204" s="55">
        <v>1.9557894736842103</v>
      </c>
      <c r="L204" s="55">
        <v>1.8231578947368419</v>
      </c>
      <c r="M204" s="55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55">
        <v>0</v>
      </c>
      <c r="F205" s="55">
        <v>0</v>
      </c>
      <c r="G205" s="55">
        <v>0</v>
      </c>
      <c r="H205" s="55">
        <v>0</v>
      </c>
      <c r="I205" s="55">
        <v>0</v>
      </c>
      <c r="J205" s="55">
        <v>0</v>
      </c>
      <c r="K205" s="55">
        <v>1.6666105263157894E-3</v>
      </c>
      <c r="L205" s="55">
        <v>1.5304421052631579E-3</v>
      </c>
      <c r="M205" s="55">
        <v>1.2581052631578946E-3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55">
        <v>0</v>
      </c>
      <c r="F206" s="55">
        <v>0</v>
      </c>
      <c r="G206" s="55">
        <v>0</v>
      </c>
      <c r="H206" s="55">
        <v>0</v>
      </c>
      <c r="I206" s="55">
        <v>0</v>
      </c>
      <c r="J206" s="55">
        <v>0</v>
      </c>
      <c r="K206" s="55">
        <v>0</v>
      </c>
      <c r="L206" s="55">
        <v>0</v>
      </c>
      <c r="M206" s="55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56">
        <v>0.98499999999999988</v>
      </c>
      <c r="F207" s="56">
        <v>0.98499999999999988</v>
      </c>
      <c r="G207" s="56">
        <v>0.98499999999999988</v>
      </c>
      <c r="H207" s="56">
        <v>0.98499999999999988</v>
      </c>
      <c r="I207" s="56">
        <v>0.98499999999999988</v>
      </c>
      <c r="J207" s="56">
        <v>0.98499999999999988</v>
      </c>
      <c r="K207" s="56">
        <v>0.99399999999999999</v>
      </c>
      <c r="L207" s="56">
        <v>0.99399999999999999</v>
      </c>
      <c r="M207" s="56">
        <v>0.99399999999999999</v>
      </c>
    </row>
    <row r="208" spans="1:14" x14ac:dyDescent="0.25">
      <c r="A208" s="208"/>
      <c r="B208" s="225"/>
      <c r="C208" s="25" t="s">
        <v>26</v>
      </c>
      <c r="D208" s="1" t="s">
        <v>14</v>
      </c>
      <c r="E208" s="55">
        <v>1524.6</v>
      </c>
      <c r="F208" s="55">
        <v>1749.6</v>
      </c>
      <c r="G208" s="55">
        <v>2349.6</v>
      </c>
      <c r="H208" s="55">
        <v>3174.6</v>
      </c>
      <c r="I208" s="55">
        <v>4299.6000000000004</v>
      </c>
      <c r="J208" s="55">
        <v>14213</v>
      </c>
      <c r="K208" s="55">
        <v>21713</v>
      </c>
      <c r="L208" s="55">
        <v>37463</v>
      </c>
      <c r="M208" s="55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53">
        <v>40</v>
      </c>
      <c r="F209" s="53">
        <v>40</v>
      </c>
      <c r="G209" s="53">
        <v>40</v>
      </c>
      <c r="H209" s="53">
        <v>40</v>
      </c>
      <c r="I209" s="53">
        <v>40</v>
      </c>
      <c r="J209" s="53">
        <v>40</v>
      </c>
      <c r="K209" s="53">
        <v>40</v>
      </c>
      <c r="L209" s="53">
        <v>40</v>
      </c>
      <c r="M209" s="53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60">
        <v>0.546875</v>
      </c>
      <c r="F210" s="60">
        <v>0.546875</v>
      </c>
      <c r="G210" s="60">
        <v>0.54687499999999989</v>
      </c>
      <c r="H210" s="60">
        <v>0.546875</v>
      </c>
      <c r="I210" s="60">
        <v>0.546875</v>
      </c>
      <c r="J210" s="60">
        <v>0.546875</v>
      </c>
      <c r="K210" s="60">
        <v>0.546875</v>
      </c>
      <c r="L210" s="60">
        <v>0.546875</v>
      </c>
      <c r="M210" s="60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53">
        <v>0.64</v>
      </c>
      <c r="F211" s="53">
        <v>0.64</v>
      </c>
      <c r="G211" s="53">
        <v>0.64</v>
      </c>
      <c r="H211" s="53">
        <v>0.64</v>
      </c>
      <c r="I211" s="53">
        <v>0.64</v>
      </c>
      <c r="J211" s="53">
        <v>0.64</v>
      </c>
      <c r="K211" s="53">
        <v>0.64</v>
      </c>
      <c r="L211" s="53">
        <v>0.64</v>
      </c>
      <c r="M211" s="53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53">
        <v>20</v>
      </c>
      <c r="F212" s="53">
        <v>20</v>
      </c>
      <c r="G212" s="53">
        <v>20</v>
      </c>
      <c r="H212" s="53">
        <v>20</v>
      </c>
      <c r="I212" s="53">
        <v>20</v>
      </c>
      <c r="J212" s="53">
        <v>20</v>
      </c>
      <c r="K212" s="53">
        <v>20</v>
      </c>
      <c r="L212" s="53">
        <v>20</v>
      </c>
      <c r="M212" s="53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61">
        <v>890.31004540991637</v>
      </c>
      <c r="F213" s="55">
        <v>866.55038046146274</v>
      </c>
      <c r="G213" s="55">
        <v>803.19127393225313</v>
      </c>
      <c r="H213" s="55">
        <v>716.07250245458999</v>
      </c>
      <c r="I213" s="55">
        <v>597.27417771232194</v>
      </c>
      <c r="J213" s="55">
        <v>508.57142857142856</v>
      </c>
      <c r="K213" s="55">
        <v>508.57142857142856</v>
      </c>
      <c r="L213" s="55">
        <v>508.57142857142856</v>
      </c>
      <c r="M213" s="55">
        <v>508.57142857142856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56">
        <v>0</v>
      </c>
      <c r="F214" s="56">
        <v>0</v>
      </c>
      <c r="G214" s="56">
        <v>0</v>
      </c>
      <c r="H214" s="56">
        <v>0</v>
      </c>
      <c r="I214" s="56">
        <v>0</v>
      </c>
      <c r="J214" s="56">
        <v>0</v>
      </c>
      <c r="K214" s="56">
        <v>0</v>
      </c>
      <c r="L214" s="56">
        <v>0</v>
      </c>
      <c r="M214" s="56">
        <v>0</v>
      </c>
    </row>
    <row r="215" spans="1:13" x14ac:dyDescent="0.25">
      <c r="A215" s="208"/>
      <c r="B215" s="225"/>
      <c r="C215" s="25" t="s">
        <v>133</v>
      </c>
      <c r="D215" s="1" t="s">
        <v>8</v>
      </c>
      <c r="E215" s="55">
        <v>52.688365243004426</v>
      </c>
      <c r="F215" s="55">
        <v>69.477761413843893</v>
      </c>
      <c r="G215" s="55">
        <v>114.24948453608249</v>
      </c>
      <c r="H215" s="55">
        <v>175.81060382916056</v>
      </c>
      <c r="I215" s="55">
        <v>259.75758468335789</v>
      </c>
      <c r="J215" s="55">
        <v>427.65154639175262</v>
      </c>
      <c r="K215" s="55">
        <v>595.54550810014734</v>
      </c>
      <c r="L215" s="55">
        <v>595.54550810014734</v>
      </c>
      <c r="M215" s="55">
        <v>595.54550810014734</v>
      </c>
    </row>
    <row r="216" spans="1:13" x14ac:dyDescent="0.25">
      <c r="A216" s="208"/>
      <c r="B216" s="225"/>
      <c r="C216" s="25" t="s">
        <v>134</v>
      </c>
      <c r="D216" s="1" t="s">
        <v>9</v>
      </c>
      <c r="E216" s="53"/>
      <c r="F216" s="53"/>
      <c r="G216" s="53"/>
      <c r="H216" s="53"/>
      <c r="I216" s="53"/>
      <c r="J216" s="53"/>
      <c r="K216" s="53"/>
      <c r="L216" s="53"/>
      <c r="M216" s="53"/>
    </row>
    <row r="217" spans="1:13" x14ac:dyDescent="0.25">
      <c r="A217" s="208"/>
      <c r="B217" s="225"/>
      <c r="C217" s="25" t="s">
        <v>135</v>
      </c>
      <c r="D217" s="1" t="s">
        <v>10</v>
      </c>
      <c r="E217" s="53"/>
      <c r="F217" s="53"/>
      <c r="G217" s="53"/>
      <c r="H217" s="53"/>
      <c r="I217" s="53"/>
      <c r="J217" s="53"/>
      <c r="K217" s="53"/>
      <c r="L217" s="53"/>
      <c r="M217" s="53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53"/>
      <c r="F218" s="53"/>
      <c r="G218" s="53"/>
      <c r="H218" s="53"/>
      <c r="I218" s="53"/>
      <c r="J218" s="53"/>
      <c r="K218" s="53"/>
      <c r="L218" s="53"/>
      <c r="M218" s="53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60">
        <v>1</v>
      </c>
      <c r="F219" s="60">
        <v>1</v>
      </c>
      <c r="G219" s="60">
        <v>1</v>
      </c>
      <c r="H219" s="60">
        <v>1</v>
      </c>
      <c r="I219" s="60">
        <v>1</v>
      </c>
      <c r="J219" s="60">
        <v>1</v>
      </c>
      <c r="K219" s="60">
        <v>1</v>
      </c>
      <c r="L219" s="60">
        <v>1</v>
      </c>
      <c r="M219" s="60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53">
        <v>0.8</v>
      </c>
      <c r="F220" s="53">
        <v>0.8</v>
      </c>
      <c r="G220" s="53">
        <v>0.8</v>
      </c>
      <c r="H220" s="53">
        <v>0.8</v>
      </c>
      <c r="I220" s="53">
        <v>0.8</v>
      </c>
      <c r="J220" s="53">
        <v>0.8</v>
      </c>
      <c r="K220" s="53">
        <v>0.8</v>
      </c>
      <c r="L220" s="53">
        <v>0.8</v>
      </c>
      <c r="M220" s="53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53">
        <v>20</v>
      </c>
      <c r="F221" s="53">
        <v>20</v>
      </c>
      <c r="G221" s="53">
        <v>20</v>
      </c>
      <c r="H221" s="53">
        <v>20</v>
      </c>
      <c r="I221" s="53">
        <v>20</v>
      </c>
      <c r="J221" s="53">
        <v>20</v>
      </c>
      <c r="K221" s="53">
        <v>20</v>
      </c>
      <c r="L221" s="53">
        <v>20</v>
      </c>
      <c r="M221" s="53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55">
        <v>800.77079092910083</v>
      </c>
      <c r="F222" s="55">
        <v>571.81820894808823</v>
      </c>
      <c r="G222" s="55">
        <v>446.14556901716315</v>
      </c>
      <c r="H222" s="55">
        <v>446.14556901716315</v>
      </c>
      <c r="I222" s="55">
        <v>446.14556901716315</v>
      </c>
      <c r="J222" s="55">
        <v>446.14556901716315</v>
      </c>
      <c r="K222" s="55">
        <v>1129.4706178785063</v>
      </c>
      <c r="L222" s="55">
        <v>982.55924743473179</v>
      </c>
      <c r="M222" s="55">
        <v>863.67730421521264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56">
        <v>0</v>
      </c>
      <c r="F223" s="56">
        <v>0</v>
      </c>
      <c r="G223" s="56">
        <v>0</v>
      </c>
      <c r="H223" s="56">
        <v>0</v>
      </c>
      <c r="I223" s="56">
        <v>0</v>
      </c>
      <c r="J223" s="56">
        <v>0</v>
      </c>
      <c r="K223" s="56">
        <v>0</v>
      </c>
      <c r="L223" s="56">
        <v>0</v>
      </c>
      <c r="M223" s="56">
        <v>0</v>
      </c>
    </row>
    <row r="224" spans="1:13" x14ac:dyDescent="0.25">
      <c r="A224" s="227"/>
      <c r="B224" s="230"/>
      <c r="C224" s="25" t="s">
        <v>117</v>
      </c>
      <c r="D224" s="1" t="s">
        <v>8</v>
      </c>
      <c r="E224" s="53"/>
      <c r="F224" s="53"/>
      <c r="G224" s="53"/>
      <c r="H224" s="53"/>
      <c r="I224" s="53"/>
      <c r="J224" s="53"/>
      <c r="K224" s="53"/>
      <c r="L224" s="53"/>
      <c r="M224" s="53"/>
    </row>
    <row r="225" spans="1:13" x14ac:dyDescent="0.25">
      <c r="A225" s="227"/>
      <c r="B225" s="230"/>
      <c r="C225" s="25" t="s">
        <v>118</v>
      </c>
      <c r="D225" s="1" t="s">
        <v>9</v>
      </c>
      <c r="E225" s="53"/>
      <c r="F225" s="53"/>
      <c r="G225" s="53"/>
      <c r="H225" s="53"/>
      <c r="I225" s="53"/>
      <c r="J225" s="53"/>
      <c r="K225" s="53"/>
      <c r="L225" s="53"/>
      <c r="M225" s="53"/>
    </row>
    <row r="226" spans="1:13" x14ac:dyDescent="0.25">
      <c r="A226" s="227"/>
      <c r="B226" s="230"/>
      <c r="C226" s="25" t="s">
        <v>119</v>
      </c>
      <c r="D226" s="1" t="s">
        <v>10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2.0599999999999998E-3</v>
      </c>
      <c r="L226" s="55">
        <v>2.0599999999999998E-3</v>
      </c>
      <c r="M226" s="55">
        <v>2.0599999999999998E-3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55">
        <v>0</v>
      </c>
      <c r="F228" s="55">
        <v>0</v>
      </c>
      <c r="G228" s="55">
        <v>0</v>
      </c>
      <c r="H228" s="55">
        <v>0</v>
      </c>
      <c r="I228" s="55">
        <v>0</v>
      </c>
      <c r="J228" s="55">
        <v>0</v>
      </c>
      <c r="K228" s="55">
        <v>0</v>
      </c>
      <c r="L228" s="55">
        <v>0</v>
      </c>
      <c r="M228" s="55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53">
        <v>3.38</v>
      </c>
      <c r="F229" s="53">
        <v>3.38</v>
      </c>
      <c r="G229" s="53">
        <v>3.38</v>
      </c>
      <c r="H229" s="53">
        <v>3.38</v>
      </c>
      <c r="I229" s="53">
        <v>3.38</v>
      </c>
      <c r="J229" s="53">
        <v>3.38</v>
      </c>
      <c r="K229" s="53">
        <v>3.38</v>
      </c>
      <c r="L229" s="53">
        <v>3.38</v>
      </c>
      <c r="M229" s="53">
        <v>3.38</v>
      </c>
    </row>
    <row r="230" spans="1:13" x14ac:dyDescent="0.25">
      <c r="A230" s="227"/>
      <c r="B230" s="230"/>
      <c r="C230" s="25" t="s">
        <v>33</v>
      </c>
      <c r="D230" s="2" t="s">
        <v>14</v>
      </c>
      <c r="E230" s="53"/>
      <c r="F230" s="53"/>
      <c r="G230" s="53"/>
      <c r="H230" s="53"/>
      <c r="I230" s="53"/>
      <c r="J230" s="53"/>
      <c r="K230" s="53"/>
      <c r="L230" s="53"/>
      <c r="M230" s="53"/>
    </row>
    <row r="231" spans="1:13" x14ac:dyDescent="0.25">
      <c r="A231" s="227"/>
      <c r="B231" s="230"/>
      <c r="C231" s="25" t="s">
        <v>34</v>
      </c>
      <c r="D231" s="2" t="s">
        <v>4</v>
      </c>
      <c r="E231" s="53"/>
      <c r="F231" s="53"/>
      <c r="G231" s="53"/>
      <c r="H231" s="53"/>
      <c r="I231" s="53"/>
      <c r="J231" s="53"/>
      <c r="K231" s="53"/>
      <c r="L231" s="53"/>
      <c r="M231" s="53"/>
    </row>
    <row r="232" spans="1:13" x14ac:dyDescent="0.25">
      <c r="A232" s="227"/>
      <c r="B232" s="230"/>
      <c r="C232" s="25" t="s">
        <v>129</v>
      </c>
      <c r="D232" s="1" t="s">
        <v>19</v>
      </c>
      <c r="E232" s="60">
        <v>0.3125</v>
      </c>
      <c r="F232" s="60">
        <v>0.3125</v>
      </c>
      <c r="G232" s="60">
        <v>0.3125</v>
      </c>
      <c r="H232" s="60">
        <v>0.3125</v>
      </c>
      <c r="I232" s="60">
        <v>0.3125</v>
      </c>
      <c r="J232" s="60">
        <v>0.3125</v>
      </c>
      <c r="K232" s="60">
        <v>0.3125</v>
      </c>
      <c r="L232" s="60">
        <v>0.3125</v>
      </c>
      <c r="M232" s="60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53">
        <v>0.64</v>
      </c>
      <c r="F233" s="53">
        <v>0.64</v>
      </c>
      <c r="G233" s="53">
        <v>0.64</v>
      </c>
      <c r="H233" s="53">
        <v>0.64</v>
      </c>
      <c r="I233" s="53">
        <v>0.64</v>
      </c>
      <c r="J233" s="53">
        <v>0.64</v>
      </c>
      <c r="K233" s="53">
        <v>0.64</v>
      </c>
      <c r="L233" s="53">
        <v>0.64</v>
      </c>
      <c r="M233" s="53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53">
        <v>20</v>
      </c>
      <c r="F234" s="53">
        <v>20</v>
      </c>
      <c r="G234" s="53">
        <v>20</v>
      </c>
      <c r="H234" s="53">
        <v>20</v>
      </c>
      <c r="I234" s="53">
        <v>20</v>
      </c>
      <c r="J234" s="53">
        <v>20</v>
      </c>
      <c r="K234" s="53">
        <v>20</v>
      </c>
      <c r="L234" s="53">
        <v>20</v>
      </c>
      <c r="M234" s="53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61">
        <v>900.49275895925371</v>
      </c>
      <c r="F235" s="61">
        <v>886.9158075601373</v>
      </c>
      <c r="G235" s="61">
        <v>850.71060382916039</v>
      </c>
      <c r="H235" s="61">
        <v>800.92844869906708</v>
      </c>
      <c r="I235" s="61">
        <v>733.04369170348536</v>
      </c>
      <c r="J235" s="61">
        <v>597.27417771232194</v>
      </c>
      <c r="K235" s="61">
        <v>508.57142857142856</v>
      </c>
      <c r="L235" s="61">
        <v>508.57142857142856</v>
      </c>
      <c r="M235" s="61">
        <v>508.57142857142856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56">
        <v>0</v>
      </c>
      <c r="F236" s="56">
        <v>0</v>
      </c>
      <c r="G236" s="56">
        <v>0</v>
      </c>
      <c r="H236" s="56">
        <v>0</v>
      </c>
      <c r="I236" s="56">
        <v>0</v>
      </c>
      <c r="J236" s="56">
        <v>0</v>
      </c>
      <c r="K236" s="56">
        <v>0</v>
      </c>
      <c r="L236" s="56">
        <v>0</v>
      </c>
      <c r="M236" s="56">
        <v>0</v>
      </c>
    </row>
    <row r="237" spans="1:13" x14ac:dyDescent="0.25">
      <c r="A237" s="227"/>
      <c r="B237" s="230"/>
      <c r="C237" s="25" t="s">
        <v>133</v>
      </c>
      <c r="D237" s="1" t="s">
        <v>8</v>
      </c>
      <c r="E237" s="55">
        <v>52.688365243004426</v>
      </c>
      <c r="F237" s="55">
        <v>69.477761413843893</v>
      </c>
      <c r="G237" s="55">
        <v>114.24948453608249</v>
      </c>
      <c r="H237" s="55">
        <v>175.81060382916056</v>
      </c>
      <c r="I237" s="55">
        <v>259.75758468335789</v>
      </c>
      <c r="J237" s="55">
        <v>427.65154639175262</v>
      </c>
      <c r="K237" s="55">
        <v>595.54550810014734</v>
      </c>
      <c r="L237" s="55">
        <v>595.54550810014734</v>
      </c>
      <c r="M237" s="55">
        <v>595.54550810014734</v>
      </c>
    </row>
    <row r="238" spans="1:13" x14ac:dyDescent="0.25">
      <c r="A238" s="227"/>
      <c r="B238" s="230"/>
      <c r="C238" s="25" t="s">
        <v>134</v>
      </c>
      <c r="D238" s="1" t="s">
        <v>9</v>
      </c>
      <c r="E238" s="53"/>
      <c r="F238" s="53"/>
      <c r="G238" s="53"/>
      <c r="H238" s="53"/>
      <c r="I238" s="53"/>
      <c r="J238" s="53"/>
      <c r="K238" s="53"/>
      <c r="L238" s="53"/>
      <c r="M238" s="53"/>
    </row>
    <row r="239" spans="1:13" x14ac:dyDescent="0.25">
      <c r="A239" s="227"/>
      <c r="B239" s="230"/>
      <c r="C239" s="25" t="s">
        <v>135</v>
      </c>
      <c r="D239" s="1" t="s">
        <v>10</v>
      </c>
      <c r="E239" s="53"/>
      <c r="F239" s="53"/>
      <c r="G239" s="53"/>
      <c r="H239" s="53"/>
      <c r="I239" s="53"/>
      <c r="J239" s="53"/>
      <c r="K239" s="53"/>
      <c r="L239" s="53"/>
      <c r="M239" s="53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53"/>
      <c r="F240" s="53"/>
      <c r="G240" s="53"/>
      <c r="H240" s="53"/>
      <c r="I240" s="53"/>
      <c r="J240" s="53"/>
      <c r="K240" s="53"/>
      <c r="L240" s="53"/>
      <c r="M240" s="53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60">
        <v>1</v>
      </c>
      <c r="F241" s="60">
        <v>1</v>
      </c>
      <c r="G241" s="60">
        <v>1</v>
      </c>
      <c r="H241" s="60">
        <v>1</v>
      </c>
      <c r="I241" s="60">
        <v>1</v>
      </c>
      <c r="J241" s="60">
        <v>1</v>
      </c>
      <c r="K241" s="60">
        <v>1</v>
      </c>
      <c r="L241" s="60">
        <v>1</v>
      </c>
      <c r="M241" s="60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53">
        <v>0.65</v>
      </c>
      <c r="F242" s="53">
        <v>0.65</v>
      </c>
      <c r="G242" s="53">
        <v>0.65</v>
      </c>
      <c r="H242" s="53">
        <v>0.65</v>
      </c>
      <c r="I242" s="53">
        <v>0.65</v>
      </c>
      <c r="J242" s="53">
        <v>0.65</v>
      </c>
      <c r="K242" s="53">
        <v>0.65</v>
      </c>
      <c r="L242" s="53">
        <v>0.65</v>
      </c>
      <c r="M242" s="53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53">
        <v>20</v>
      </c>
      <c r="F243" s="53">
        <v>20</v>
      </c>
      <c r="G243" s="53">
        <v>20</v>
      </c>
      <c r="H243" s="53">
        <v>20</v>
      </c>
      <c r="I243" s="53">
        <v>20</v>
      </c>
      <c r="J243" s="53">
        <v>20</v>
      </c>
      <c r="K243" s="53">
        <v>20</v>
      </c>
      <c r="L243" s="53">
        <v>20</v>
      </c>
      <c r="M243" s="53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55">
        <v>800.77079092910083</v>
      </c>
      <c r="F244" s="55">
        <v>571.81820894808823</v>
      </c>
      <c r="G244" s="55">
        <v>446.14556901716315</v>
      </c>
      <c r="H244" s="55">
        <v>446.14556901716315</v>
      </c>
      <c r="I244" s="55">
        <v>446.14556901716315</v>
      </c>
      <c r="J244" s="55">
        <v>446.14556901716315</v>
      </c>
      <c r="K244" s="55">
        <v>1129.4706178785063</v>
      </c>
      <c r="L244" s="55">
        <v>982.55924743473179</v>
      </c>
      <c r="M244" s="55">
        <v>863.67730421521264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56">
        <v>0</v>
      </c>
      <c r="F245" s="56">
        <v>0</v>
      </c>
      <c r="G245" s="56">
        <v>0</v>
      </c>
      <c r="H245" s="56">
        <v>0</v>
      </c>
      <c r="I245" s="56">
        <v>0</v>
      </c>
      <c r="J245" s="56">
        <v>0</v>
      </c>
      <c r="K245" s="56">
        <v>0</v>
      </c>
      <c r="L245" s="56">
        <v>0</v>
      </c>
      <c r="M245" s="56">
        <v>0</v>
      </c>
    </row>
    <row r="246" spans="1:13" x14ac:dyDescent="0.25">
      <c r="A246" s="227"/>
      <c r="B246" s="230"/>
      <c r="C246" s="25" t="s">
        <v>117</v>
      </c>
      <c r="D246" s="1" t="s">
        <v>8</v>
      </c>
      <c r="E246" s="53"/>
      <c r="F246" s="53"/>
      <c r="G246" s="53"/>
      <c r="H246" s="53"/>
      <c r="I246" s="53"/>
      <c r="J246" s="53"/>
      <c r="K246" s="53"/>
      <c r="L246" s="53"/>
      <c r="M246" s="53"/>
    </row>
    <row r="247" spans="1:13" x14ac:dyDescent="0.25">
      <c r="A247" s="227"/>
      <c r="B247" s="230"/>
      <c r="C247" s="25" t="s">
        <v>118</v>
      </c>
      <c r="D247" s="1" t="s">
        <v>9</v>
      </c>
      <c r="E247" s="53"/>
      <c r="F247" s="53"/>
      <c r="G247" s="53"/>
      <c r="H247" s="53"/>
      <c r="I247" s="53"/>
      <c r="J247" s="53"/>
      <c r="K247" s="53"/>
      <c r="L247" s="53"/>
      <c r="M247" s="53"/>
    </row>
    <row r="248" spans="1:13" x14ac:dyDescent="0.25">
      <c r="A248" s="227"/>
      <c r="B248" s="230"/>
      <c r="C248" s="25" t="s">
        <v>119</v>
      </c>
      <c r="D248" s="1" t="s">
        <v>10</v>
      </c>
      <c r="E248" s="55">
        <v>0</v>
      </c>
      <c r="F248" s="55">
        <v>0</v>
      </c>
      <c r="G248" s="55">
        <v>0</v>
      </c>
      <c r="H248" s="55">
        <v>0</v>
      </c>
      <c r="I248" s="55">
        <v>0</v>
      </c>
      <c r="J248" s="55">
        <v>0</v>
      </c>
      <c r="K248" s="55">
        <v>2.0599999999999998E-3</v>
      </c>
      <c r="L248" s="55">
        <v>2.0599999999999998E-3</v>
      </c>
      <c r="M248" s="55">
        <v>2.0599999999999998E-3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55">
        <v>0</v>
      </c>
      <c r="F249" s="55">
        <v>0</v>
      </c>
      <c r="G249" s="55">
        <v>0</v>
      </c>
      <c r="H249" s="55">
        <v>0</v>
      </c>
      <c r="I249" s="55">
        <v>0</v>
      </c>
      <c r="J249" s="55">
        <v>0</v>
      </c>
      <c r="K249" s="55">
        <v>0</v>
      </c>
      <c r="L249" s="55">
        <v>0</v>
      </c>
      <c r="M249" s="55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53">
        <v>3.38</v>
      </c>
      <c r="F251" s="53">
        <v>3.38</v>
      </c>
      <c r="G251" s="53">
        <v>3.38</v>
      </c>
      <c r="H251" s="53">
        <v>3.38</v>
      </c>
      <c r="I251" s="53">
        <v>3.38</v>
      </c>
      <c r="J251" s="53">
        <v>3.38</v>
      </c>
      <c r="K251" s="53">
        <v>3.38</v>
      </c>
      <c r="L251" s="53">
        <v>3.38</v>
      </c>
      <c r="M251" s="53">
        <v>3.38</v>
      </c>
    </row>
    <row r="252" spans="1:13" x14ac:dyDescent="0.25">
      <c r="A252" s="227"/>
      <c r="B252" s="230"/>
      <c r="C252" s="25" t="s">
        <v>33</v>
      </c>
      <c r="D252" s="2" t="s">
        <v>14</v>
      </c>
      <c r="E252" s="53"/>
      <c r="F252" s="53"/>
      <c r="G252" s="53"/>
      <c r="H252" s="53"/>
      <c r="I252" s="53"/>
      <c r="J252" s="53"/>
      <c r="K252" s="53"/>
      <c r="L252" s="53"/>
      <c r="M252" s="53"/>
    </row>
    <row r="253" spans="1:13" x14ac:dyDescent="0.25">
      <c r="A253" s="227"/>
      <c r="B253" s="230"/>
      <c r="C253" s="25" t="s">
        <v>34</v>
      </c>
      <c r="D253" s="2" t="s">
        <v>4</v>
      </c>
      <c r="E253" s="53"/>
      <c r="F253" s="53"/>
      <c r="G253" s="53"/>
      <c r="H253" s="53"/>
      <c r="I253" s="53"/>
      <c r="J253" s="53"/>
      <c r="K253" s="53"/>
      <c r="L253" s="53"/>
      <c r="M253" s="53"/>
    </row>
    <row r="254" spans="1:13" x14ac:dyDescent="0.25">
      <c r="A254" s="227"/>
      <c r="B254" s="230"/>
      <c r="C254" s="25" t="s">
        <v>129</v>
      </c>
      <c r="D254" s="1" t="s">
        <v>19</v>
      </c>
      <c r="E254" s="60">
        <v>0.546875</v>
      </c>
      <c r="F254" s="60">
        <v>0.546875</v>
      </c>
      <c r="G254" s="60">
        <v>0.54687499999999989</v>
      </c>
      <c r="H254" s="60">
        <v>0.546875</v>
      </c>
      <c r="I254" s="60">
        <v>0.546875</v>
      </c>
      <c r="J254" s="60">
        <v>0.546875</v>
      </c>
      <c r="K254" s="60">
        <v>0.546875</v>
      </c>
      <c r="L254" s="60">
        <v>0.546875</v>
      </c>
      <c r="M254" s="60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53">
        <v>0.64</v>
      </c>
      <c r="F255" s="53">
        <v>0.64</v>
      </c>
      <c r="G255" s="53">
        <v>0.64</v>
      </c>
      <c r="H255" s="53">
        <v>0.64</v>
      </c>
      <c r="I255" s="53">
        <v>0.64</v>
      </c>
      <c r="J255" s="53">
        <v>0.64</v>
      </c>
      <c r="K255" s="53">
        <v>0.64</v>
      </c>
      <c r="L255" s="53">
        <v>0.64</v>
      </c>
      <c r="M255" s="53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53">
        <v>20</v>
      </c>
      <c r="F256" s="53">
        <v>20</v>
      </c>
      <c r="G256" s="53">
        <v>20</v>
      </c>
      <c r="H256" s="53">
        <v>20</v>
      </c>
      <c r="I256" s="53">
        <v>20</v>
      </c>
      <c r="J256" s="53">
        <v>20</v>
      </c>
      <c r="K256" s="53">
        <v>20</v>
      </c>
      <c r="L256" s="53">
        <v>20</v>
      </c>
      <c r="M256" s="53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61">
        <v>890.31004540991637</v>
      </c>
      <c r="F257" s="61">
        <v>866.55038046146274</v>
      </c>
      <c r="G257" s="61">
        <v>803.19127393225313</v>
      </c>
      <c r="H257" s="61">
        <v>716.07250245458999</v>
      </c>
      <c r="I257" s="61">
        <v>597.27417771232194</v>
      </c>
      <c r="J257" s="61">
        <v>508.57142857142856</v>
      </c>
      <c r="K257" s="61">
        <v>508.57142857142856</v>
      </c>
      <c r="L257" s="61">
        <v>508.57142857142856</v>
      </c>
      <c r="M257" s="61">
        <v>508.57142857142856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56">
        <v>0</v>
      </c>
      <c r="F258" s="56">
        <v>0</v>
      </c>
      <c r="G258" s="56">
        <v>0</v>
      </c>
      <c r="H258" s="56">
        <v>0</v>
      </c>
      <c r="I258" s="56">
        <v>0</v>
      </c>
      <c r="J258" s="56">
        <v>0</v>
      </c>
      <c r="K258" s="56">
        <v>0</v>
      </c>
      <c r="L258" s="56">
        <v>0</v>
      </c>
      <c r="M258" s="56">
        <v>0</v>
      </c>
    </row>
    <row r="259" spans="1:13" x14ac:dyDescent="0.25">
      <c r="A259" s="227"/>
      <c r="B259" s="230"/>
      <c r="C259" s="25" t="s">
        <v>133</v>
      </c>
      <c r="D259" s="1" t="s">
        <v>8</v>
      </c>
      <c r="E259" s="55">
        <v>52.688365243004426</v>
      </c>
      <c r="F259" s="55">
        <v>69.477761413843893</v>
      </c>
      <c r="G259" s="55">
        <v>114.24948453608249</v>
      </c>
      <c r="H259" s="55">
        <v>175.81060382916056</v>
      </c>
      <c r="I259" s="55">
        <v>259.75758468335789</v>
      </c>
      <c r="J259" s="55">
        <v>427.65154639175262</v>
      </c>
      <c r="K259" s="55">
        <v>595.54550810014734</v>
      </c>
      <c r="L259" s="55">
        <v>595.54550810014734</v>
      </c>
      <c r="M259" s="55">
        <v>595.54550810014734</v>
      </c>
    </row>
    <row r="260" spans="1:13" x14ac:dyDescent="0.25">
      <c r="A260" s="227"/>
      <c r="B260" s="230"/>
      <c r="C260" s="25" t="s">
        <v>134</v>
      </c>
      <c r="D260" s="1" t="s">
        <v>9</v>
      </c>
      <c r="E260" s="53"/>
      <c r="F260" s="53"/>
      <c r="G260" s="53"/>
      <c r="H260" s="53"/>
      <c r="I260" s="53"/>
      <c r="J260" s="53"/>
      <c r="K260" s="53"/>
      <c r="L260" s="53"/>
      <c r="M260" s="53"/>
    </row>
    <row r="261" spans="1:13" x14ac:dyDescent="0.25">
      <c r="A261" s="227"/>
      <c r="B261" s="230"/>
      <c r="C261" s="25" t="s">
        <v>135</v>
      </c>
      <c r="D261" s="1" t="s">
        <v>10</v>
      </c>
      <c r="E261" s="53"/>
      <c r="F261" s="53"/>
      <c r="G261" s="53"/>
      <c r="H261" s="53"/>
      <c r="I261" s="53"/>
      <c r="J261" s="53"/>
      <c r="K261" s="53"/>
      <c r="L261" s="53"/>
      <c r="M261" s="53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53"/>
      <c r="F262" s="53"/>
      <c r="G262" s="53"/>
      <c r="H262" s="53"/>
      <c r="I262" s="53"/>
      <c r="J262" s="53"/>
      <c r="K262" s="53"/>
      <c r="L262" s="53"/>
      <c r="M262" s="53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53">
        <v>40</v>
      </c>
      <c r="F263" s="53">
        <v>40</v>
      </c>
      <c r="G263" s="53">
        <v>40</v>
      </c>
      <c r="H263" s="53">
        <v>40</v>
      </c>
      <c r="I263" s="53">
        <v>40</v>
      </c>
      <c r="J263" s="53">
        <v>40</v>
      </c>
      <c r="K263" s="53">
        <v>40</v>
      </c>
      <c r="L263" s="53">
        <v>40</v>
      </c>
      <c r="M263" s="53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55">
        <v>300</v>
      </c>
      <c r="F264" s="55">
        <v>183.33333333333334</v>
      </c>
      <c r="G264" s="55">
        <v>100</v>
      </c>
      <c r="H264" s="55">
        <v>76</v>
      </c>
      <c r="I264" s="55">
        <v>60</v>
      </c>
      <c r="J264" s="55">
        <v>42.857142857142854</v>
      </c>
      <c r="K264" s="55">
        <v>27.058823529411764</v>
      </c>
      <c r="L264" s="55">
        <v>18.421052631578949</v>
      </c>
      <c r="M264" s="55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56">
        <v>0</v>
      </c>
      <c r="F265" s="56">
        <v>0</v>
      </c>
      <c r="G265" s="56">
        <v>0</v>
      </c>
      <c r="H265" s="56">
        <v>0</v>
      </c>
      <c r="I265" s="56">
        <v>0</v>
      </c>
      <c r="J265" s="56">
        <v>0</v>
      </c>
      <c r="K265" s="56">
        <v>0</v>
      </c>
      <c r="L265" s="56">
        <v>0</v>
      </c>
      <c r="M265" s="56">
        <v>0</v>
      </c>
    </row>
    <row r="266" spans="1:13" x14ac:dyDescent="0.25">
      <c r="A266" s="208"/>
      <c r="B266" s="225"/>
      <c r="C266" s="25" t="s">
        <v>106</v>
      </c>
      <c r="D266" s="1" t="s">
        <v>8</v>
      </c>
      <c r="E266" s="55">
        <v>0</v>
      </c>
      <c r="F266" s="55">
        <v>0</v>
      </c>
      <c r="G266" s="55">
        <v>0</v>
      </c>
      <c r="H266" s="55">
        <v>0</v>
      </c>
      <c r="I266" s="55">
        <v>0</v>
      </c>
      <c r="J266" s="55">
        <v>0</v>
      </c>
      <c r="K266" s="55">
        <v>0</v>
      </c>
      <c r="L266" s="55">
        <v>0</v>
      </c>
      <c r="M266" s="55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53"/>
      <c r="F267" s="53"/>
      <c r="G267" s="53"/>
      <c r="H267" s="53"/>
      <c r="I267" s="53"/>
      <c r="J267" s="53"/>
      <c r="K267" s="53"/>
      <c r="L267" s="53"/>
      <c r="M267" s="53"/>
    </row>
    <row r="268" spans="1:13" x14ac:dyDescent="0.25">
      <c r="A268" s="208"/>
      <c r="B268" s="225"/>
      <c r="C268" s="25" t="s">
        <v>108</v>
      </c>
      <c r="D268" s="1" t="s">
        <v>10</v>
      </c>
      <c r="E268" s="53"/>
      <c r="F268" s="53"/>
      <c r="G268" s="53"/>
      <c r="H268" s="53"/>
      <c r="I268" s="53"/>
      <c r="J268" s="53"/>
      <c r="K268" s="53"/>
      <c r="L268" s="53"/>
      <c r="M268" s="53"/>
    </row>
    <row r="269" spans="1:13" x14ac:dyDescent="0.25">
      <c r="A269" s="208"/>
      <c r="B269" s="225"/>
      <c r="C269" s="26" t="s">
        <v>11</v>
      </c>
      <c r="D269" s="27" t="s">
        <v>10</v>
      </c>
      <c r="E269" s="53"/>
      <c r="F269" s="53"/>
      <c r="G269" s="53"/>
      <c r="H269" s="53"/>
      <c r="I269" s="53"/>
      <c r="J269" s="53"/>
      <c r="K269" s="53"/>
      <c r="L269" s="53"/>
      <c r="M269" s="53"/>
    </row>
    <row r="270" spans="1:13" x14ac:dyDescent="0.25">
      <c r="A270" s="208"/>
      <c r="B270" s="225"/>
      <c r="C270" s="25" t="s">
        <v>12</v>
      </c>
      <c r="D270" s="1" t="s">
        <v>7</v>
      </c>
      <c r="E270" s="56">
        <v>1</v>
      </c>
      <c r="F270" s="56">
        <v>1</v>
      </c>
      <c r="G270" s="56">
        <v>1</v>
      </c>
      <c r="H270" s="56">
        <v>1</v>
      </c>
      <c r="I270" s="56">
        <v>1</v>
      </c>
      <c r="J270" s="56">
        <v>1</v>
      </c>
      <c r="K270" s="56">
        <v>1</v>
      </c>
      <c r="L270" s="56">
        <v>1</v>
      </c>
      <c r="M270" s="56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55">
        <v>31017</v>
      </c>
      <c r="F271" s="55">
        <v>31902</v>
      </c>
      <c r="G271" s="55">
        <v>34262</v>
      </c>
      <c r="H271" s="55">
        <v>37507</v>
      </c>
      <c r="I271" s="55">
        <v>41932</v>
      </c>
      <c r="J271" s="55">
        <v>50782</v>
      </c>
      <c r="K271" s="55">
        <v>80282</v>
      </c>
      <c r="L271" s="55">
        <v>151952</v>
      </c>
      <c r="M271" s="55">
        <v>292470.28399999999</v>
      </c>
    </row>
    <row r="272" spans="1:13" x14ac:dyDescent="0.25">
      <c r="A272" s="208"/>
      <c r="B272" s="225"/>
      <c r="C272" s="25" t="s">
        <v>15</v>
      </c>
      <c r="D272" s="1" t="s">
        <v>4</v>
      </c>
      <c r="E272" s="53">
        <v>40</v>
      </c>
      <c r="F272" s="53">
        <v>40</v>
      </c>
      <c r="G272" s="53">
        <v>40</v>
      </c>
      <c r="H272" s="53">
        <v>40</v>
      </c>
      <c r="I272" s="53">
        <v>40</v>
      </c>
      <c r="J272" s="53">
        <v>40</v>
      </c>
      <c r="K272" s="53">
        <v>40</v>
      </c>
      <c r="L272" s="53">
        <v>40</v>
      </c>
      <c r="M272" s="53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53">
        <v>40</v>
      </c>
      <c r="F273" s="53">
        <v>40</v>
      </c>
      <c r="G273" s="53">
        <v>40</v>
      </c>
      <c r="H273" s="53">
        <v>40</v>
      </c>
      <c r="I273" s="53">
        <v>40</v>
      </c>
      <c r="J273" s="53">
        <v>40</v>
      </c>
      <c r="K273" s="53">
        <v>40</v>
      </c>
      <c r="L273" s="53">
        <v>40</v>
      </c>
      <c r="M273" s="53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53"/>
      <c r="F274" s="53"/>
      <c r="G274" s="53"/>
      <c r="H274" s="53"/>
      <c r="I274" s="53"/>
      <c r="J274" s="53"/>
      <c r="K274" s="53"/>
      <c r="L274" s="53"/>
      <c r="M274" s="53"/>
    </row>
    <row r="275" spans="1:13" x14ac:dyDescent="0.25">
      <c r="A275" s="208"/>
      <c r="B275" s="225"/>
      <c r="C275" s="25" t="s">
        <v>176</v>
      </c>
      <c r="D275" s="1" t="s">
        <v>19</v>
      </c>
      <c r="E275" s="56">
        <v>0</v>
      </c>
      <c r="F275" s="56">
        <v>0</v>
      </c>
      <c r="G275" s="56">
        <v>0</v>
      </c>
      <c r="H275" s="56">
        <v>0</v>
      </c>
      <c r="I275" s="56">
        <v>0</v>
      </c>
      <c r="J275" s="56">
        <v>0</v>
      </c>
      <c r="K275" s="56">
        <v>0</v>
      </c>
      <c r="L275" s="56">
        <v>0</v>
      </c>
      <c r="M275" s="56">
        <v>0</v>
      </c>
    </row>
    <row r="276" spans="1:13" x14ac:dyDescent="0.25">
      <c r="A276" s="208"/>
      <c r="B276" s="225"/>
      <c r="C276" s="25" t="s">
        <v>106</v>
      </c>
      <c r="D276" s="1" t="s">
        <v>8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53"/>
      <c r="F277" s="53"/>
      <c r="G277" s="53"/>
      <c r="H277" s="53"/>
      <c r="I277" s="53"/>
      <c r="J277" s="53"/>
      <c r="K277" s="53"/>
      <c r="L277" s="53"/>
      <c r="M277" s="53"/>
    </row>
    <row r="278" spans="1:13" x14ac:dyDescent="0.25">
      <c r="A278" s="208"/>
      <c r="B278" s="225"/>
      <c r="C278" s="25" t="s">
        <v>108</v>
      </c>
      <c r="D278" s="1" t="s">
        <v>10</v>
      </c>
      <c r="E278" s="53"/>
      <c r="F278" s="53"/>
      <c r="G278" s="53"/>
      <c r="H278" s="53"/>
      <c r="I278" s="53"/>
      <c r="J278" s="53"/>
      <c r="K278" s="53"/>
      <c r="L278" s="53"/>
      <c r="M278" s="53"/>
    </row>
    <row r="279" spans="1:13" x14ac:dyDescent="0.25">
      <c r="A279" s="208"/>
      <c r="B279" s="225"/>
      <c r="C279" s="26" t="s">
        <v>11</v>
      </c>
      <c r="D279" s="27" t="s">
        <v>10</v>
      </c>
      <c r="E279" s="53"/>
      <c r="F279" s="53"/>
      <c r="G279" s="53"/>
      <c r="H279" s="53"/>
      <c r="I279" s="53"/>
      <c r="J279" s="53"/>
      <c r="K279" s="53"/>
      <c r="L279" s="53"/>
      <c r="M279" s="53"/>
    </row>
    <row r="280" spans="1:13" x14ac:dyDescent="0.25">
      <c r="A280" s="208"/>
      <c r="B280" s="225"/>
      <c r="C280" s="25" t="s">
        <v>12</v>
      </c>
      <c r="D280" s="1" t="s">
        <v>7</v>
      </c>
      <c r="E280" s="56">
        <v>1</v>
      </c>
      <c r="F280" s="56">
        <v>1</v>
      </c>
      <c r="G280" s="56">
        <v>1</v>
      </c>
      <c r="H280" s="56">
        <v>1</v>
      </c>
      <c r="I280" s="56">
        <v>1</v>
      </c>
      <c r="J280" s="56">
        <v>1</v>
      </c>
      <c r="K280" s="56">
        <v>1</v>
      </c>
      <c r="L280" s="56">
        <v>1</v>
      </c>
      <c r="M280" s="56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55">
        <v>92256.599999999991</v>
      </c>
      <c r="F281" s="55">
        <v>92691.599999999991</v>
      </c>
      <c r="G281" s="55">
        <v>93851.599999999991</v>
      </c>
      <c r="H281" s="55">
        <v>95446.599999999991</v>
      </c>
      <c r="I281" s="55">
        <v>97621.599999999991</v>
      </c>
      <c r="J281" s="55">
        <v>101971.59999999999</v>
      </c>
      <c r="K281" s="55">
        <v>116471.59999999999</v>
      </c>
      <c r="L281" s="55">
        <v>146921.59999999998</v>
      </c>
      <c r="M281" s="55">
        <v>207821.59999999998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55">
        <v>40</v>
      </c>
      <c r="F282" s="55">
        <v>40</v>
      </c>
      <c r="G282" s="55">
        <v>40</v>
      </c>
      <c r="H282" s="55">
        <v>40</v>
      </c>
      <c r="I282" s="55">
        <v>40</v>
      </c>
      <c r="J282" s="55">
        <v>40</v>
      </c>
      <c r="K282" s="55">
        <v>40</v>
      </c>
      <c r="L282" s="55">
        <v>40</v>
      </c>
      <c r="M282" s="55">
        <v>40</v>
      </c>
    </row>
  </sheetData>
  <sheetProtection algorithmName="SHA-512" hashValue="IUuIdX5XMh8qnJsVXwIZ6Ftekxw7zim7p3K9tiarRlTxO8rZpQ8oxs4QD/5wTA8pdWyArjsfaPO6qrspuhpb1Q==" saltValue="mcjAzy1alY3cs/mNArA2ew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21">
    <tabColor theme="9" tint="-0.249977111117893"/>
  </sheetPr>
  <dimension ref="A1:O282"/>
  <sheetViews>
    <sheetView zoomScale="85" zoomScaleNormal="85" workbookViewId="0">
      <pane ySplit="1" topLeftCell="A80" activePane="bottomLeft" state="frozen"/>
      <selection activeCell="E116" sqref="E116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51">
        <v>15</v>
      </c>
      <c r="F1" s="52">
        <v>30</v>
      </c>
      <c r="G1" s="52">
        <v>70</v>
      </c>
      <c r="H1" s="52">
        <v>125</v>
      </c>
      <c r="I1" s="52">
        <v>200</v>
      </c>
      <c r="J1" s="52">
        <v>350</v>
      </c>
      <c r="K1" s="52">
        <v>850</v>
      </c>
      <c r="L1" s="52">
        <v>1900</v>
      </c>
      <c r="M1" s="52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53">
        <v>20</v>
      </c>
      <c r="F2" s="53">
        <v>20</v>
      </c>
      <c r="G2" s="53">
        <v>20</v>
      </c>
      <c r="H2" s="53">
        <v>20</v>
      </c>
      <c r="I2" s="53">
        <v>20</v>
      </c>
      <c r="J2" s="53">
        <v>20</v>
      </c>
      <c r="K2" s="53">
        <v>20</v>
      </c>
      <c r="L2" s="53">
        <v>20</v>
      </c>
      <c r="M2" s="53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55">
        <v>197.6111183946131</v>
      </c>
      <c r="F3" s="55">
        <v>167.43356959457475</v>
      </c>
      <c r="G3" s="55">
        <v>130.54476264689706</v>
      </c>
      <c r="H3" s="55">
        <v>105.30120481906971</v>
      </c>
      <c r="I3" s="55">
        <v>107.31263157894738</v>
      </c>
      <c r="J3" s="55">
        <v>107.00631578947369</v>
      </c>
      <c r="K3" s="55">
        <v>105.98526315789475</v>
      </c>
      <c r="L3" s="55">
        <v>103.84105263157896</v>
      </c>
      <c r="M3" s="55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53"/>
      <c r="F5" s="53"/>
      <c r="G5" s="53"/>
      <c r="H5" s="53"/>
      <c r="I5" s="53"/>
      <c r="J5" s="53"/>
      <c r="K5" s="53"/>
      <c r="L5" s="53"/>
      <c r="M5" s="53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55">
        <v>5.9283335518383931</v>
      </c>
      <c r="F6" s="55">
        <v>5.0230070878372421</v>
      </c>
      <c r="G6" s="55">
        <v>3.9163428794069115</v>
      </c>
      <c r="H6" s="55">
        <v>3.1590361445720911</v>
      </c>
      <c r="I6" s="55">
        <v>2.0378947368421052</v>
      </c>
      <c r="J6" s="55">
        <v>2.0189473684210526</v>
      </c>
      <c r="K6" s="55">
        <v>1.9557894736842103</v>
      </c>
      <c r="L6" s="55">
        <v>1.8231578947368419</v>
      </c>
      <c r="M6" s="55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55">
        <v>0</v>
      </c>
      <c r="F7" s="55">
        <v>0</v>
      </c>
      <c r="G7" s="55">
        <v>0</v>
      </c>
      <c r="H7" s="55">
        <v>0</v>
      </c>
      <c r="I7" s="55">
        <v>0</v>
      </c>
      <c r="J7" s="55">
        <v>0</v>
      </c>
      <c r="K7" s="55">
        <v>1.6858736842105264E-3</v>
      </c>
      <c r="L7" s="55">
        <v>1.5474947368421053E-3</v>
      </c>
      <c r="M7" s="55">
        <v>1.2707368421052633E-3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55">
        <v>0</v>
      </c>
      <c r="F8" s="53"/>
      <c r="G8" s="53"/>
      <c r="H8" s="53"/>
      <c r="I8" s="53"/>
      <c r="J8" s="53"/>
      <c r="K8" s="53"/>
      <c r="L8" s="53"/>
      <c r="M8" s="53"/>
      <c r="N8" s="54"/>
    </row>
    <row r="9" spans="1:14" x14ac:dyDescent="0.25">
      <c r="A9" s="208"/>
      <c r="B9" s="224"/>
      <c r="C9" s="25" t="s">
        <v>12</v>
      </c>
      <c r="D9" s="1" t="s">
        <v>7</v>
      </c>
      <c r="E9" s="56">
        <v>0.99124999999999996</v>
      </c>
      <c r="F9" s="56">
        <v>0.99124999999999996</v>
      </c>
      <c r="G9" s="56">
        <v>0.99124999999999996</v>
      </c>
      <c r="H9" s="56">
        <v>0.99124999999999996</v>
      </c>
      <c r="I9" s="56">
        <v>0.99124999999999996</v>
      </c>
      <c r="J9" s="56">
        <v>0.99124999999999996</v>
      </c>
      <c r="K9" s="56">
        <v>0.99649999999999994</v>
      </c>
      <c r="L9" s="56">
        <v>0.99649999999999994</v>
      </c>
      <c r="M9" s="56">
        <v>0.99649999999999994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55">
        <v>1524.6</v>
      </c>
      <c r="F10" s="55">
        <v>1749.6</v>
      </c>
      <c r="G10" s="55">
        <v>2349.6</v>
      </c>
      <c r="H10" s="55">
        <v>3174.6</v>
      </c>
      <c r="I10" s="55">
        <v>4299.6000000000004</v>
      </c>
      <c r="J10" s="55">
        <v>14213</v>
      </c>
      <c r="K10" s="55">
        <v>21713</v>
      </c>
      <c r="L10" s="55">
        <v>37463</v>
      </c>
      <c r="M10" s="55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53">
        <v>40</v>
      </c>
      <c r="F11" s="53">
        <v>40</v>
      </c>
      <c r="G11" s="53">
        <v>40</v>
      </c>
      <c r="H11" s="53">
        <v>40</v>
      </c>
      <c r="I11" s="53">
        <v>40</v>
      </c>
      <c r="J11" s="53">
        <v>40</v>
      </c>
      <c r="K11" s="53">
        <v>40</v>
      </c>
      <c r="L11" s="53">
        <v>40</v>
      </c>
      <c r="M11" s="53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53">
        <v>20</v>
      </c>
      <c r="F12" s="53">
        <v>20</v>
      </c>
      <c r="G12" s="53">
        <v>20</v>
      </c>
      <c r="H12" s="53">
        <v>20</v>
      </c>
      <c r="I12" s="53">
        <v>20</v>
      </c>
      <c r="J12" s="53">
        <v>20</v>
      </c>
      <c r="K12" s="53">
        <v>20</v>
      </c>
      <c r="L12" s="53">
        <v>20</v>
      </c>
      <c r="M12" s="53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55">
        <v>507.61727242819484</v>
      </c>
      <c r="F13" s="55">
        <v>320.51156293897873</v>
      </c>
      <c r="G13" s="55">
        <v>182.70097797005911</v>
      </c>
      <c r="H13" s="55">
        <v>124.36485973586129</v>
      </c>
      <c r="I13" s="55">
        <v>111.1</v>
      </c>
      <c r="J13" s="55">
        <v>111.1</v>
      </c>
      <c r="K13" s="55">
        <v>174.7702048892304</v>
      </c>
      <c r="L13" s="55">
        <v>258.33594101773554</v>
      </c>
      <c r="M13" s="55">
        <v>425.4674132747457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56">
        <v>0</v>
      </c>
      <c r="F14" s="56">
        <v>0</v>
      </c>
      <c r="G14" s="56">
        <v>0</v>
      </c>
      <c r="H14" s="56">
        <v>0</v>
      </c>
      <c r="I14" s="56">
        <v>0</v>
      </c>
      <c r="J14" s="56">
        <v>0</v>
      </c>
      <c r="K14" s="56">
        <v>0</v>
      </c>
      <c r="L14" s="56">
        <v>0</v>
      </c>
      <c r="M14" s="56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53"/>
      <c r="F15" s="53"/>
      <c r="G15" s="53"/>
      <c r="H15" s="53"/>
      <c r="I15" s="53"/>
      <c r="J15" s="53"/>
      <c r="K15" s="53"/>
      <c r="L15" s="53"/>
      <c r="M15" s="53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55">
        <v>30.457036345691673</v>
      </c>
      <c r="F16" s="55">
        <v>19.230693776338708</v>
      </c>
      <c r="G16" s="55">
        <v>10.962058678203539</v>
      </c>
      <c r="H16" s="55">
        <v>7.4618915841516733</v>
      </c>
      <c r="I16" s="55">
        <v>7.0406813381716651</v>
      </c>
      <c r="J16" s="55">
        <v>7.0406813381716651</v>
      </c>
      <c r="K16" s="55">
        <v>6.7014586460644257</v>
      </c>
      <c r="L16" s="55">
        <v>6.1534835280450384</v>
      </c>
      <c r="M16" s="55">
        <v>5.0575332920062639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55">
        <v>0</v>
      </c>
      <c r="F17" s="55">
        <v>0</v>
      </c>
      <c r="G17" s="55">
        <v>0</v>
      </c>
      <c r="H17" s="55">
        <v>0</v>
      </c>
      <c r="I17" s="55">
        <v>0</v>
      </c>
      <c r="J17" s="55">
        <v>0</v>
      </c>
      <c r="K17" s="55">
        <v>2.4047861016365463E-3</v>
      </c>
      <c r="L17" s="55">
        <v>2.4047861016365463E-3</v>
      </c>
      <c r="M17" s="55">
        <v>2.4047861016365463E-3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55">
        <v>0</v>
      </c>
      <c r="F18" s="55">
        <v>0</v>
      </c>
      <c r="G18" s="55">
        <v>0</v>
      </c>
      <c r="H18" s="55">
        <v>0</v>
      </c>
      <c r="I18" s="55">
        <v>0</v>
      </c>
      <c r="J18" s="55">
        <v>0</v>
      </c>
      <c r="K18" s="55">
        <v>0</v>
      </c>
      <c r="L18" s="55">
        <v>0</v>
      </c>
      <c r="M18" s="55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56">
        <v>0.85200000000000031</v>
      </c>
      <c r="F19" s="56">
        <v>0.85200000000000031</v>
      </c>
      <c r="G19" s="56">
        <v>0.85200000000000031</v>
      </c>
      <c r="H19" s="56">
        <v>0.85200000000000031</v>
      </c>
      <c r="I19" s="56">
        <v>0.85200000000000031</v>
      </c>
      <c r="J19" s="56">
        <v>0.85200000000000031</v>
      </c>
      <c r="K19" s="56">
        <v>0.85200000000000031</v>
      </c>
      <c r="L19" s="56">
        <v>0.95558333333333323</v>
      </c>
      <c r="M19" s="56">
        <v>0.95558333333333323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53"/>
      <c r="F20" s="53"/>
      <c r="G20" s="53"/>
      <c r="H20" s="53"/>
      <c r="I20" s="53"/>
      <c r="J20" s="53"/>
      <c r="K20" s="53"/>
      <c r="L20" s="53"/>
      <c r="M20" s="53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53"/>
      <c r="F21" s="53"/>
      <c r="G21" s="53"/>
      <c r="H21" s="53"/>
      <c r="I21" s="53"/>
      <c r="J21" s="53"/>
      <c r="K21" s="53"/>
      <c r="L21" s="53"/>
      <c r="M21" s="53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53">
        <v>20</v>
      </c>
      <c r="F22" s="53">
        <v>20</v>
      </c>
      <c r="G22" s="53">
        <v>20</v>
      </c>
      <c r="H22" s="53">
        <v>20</v>
      </c>
      <c r="I22" s="53">
        <v>20</v>
      </c>
      <c r="J22" s="53">
        <v>20</v>
      </c>
      <c r="K22" s="53">
        <v>20</v>
      </c>
      <c r="L22" s="53">
        <v>20</v>
      </c>
      <c r="M22" s="53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55">
        <v>778.63646317000416</v>
      </c>
      <c r="F23" s="55">
        <v>556.01242307421592</v>
      </c>
      <c r="G23" s="55">
        <v>433.81353547553391</v>
      </c>
      <c r="H23" s="55">
        <v>433.81353547553391</v>
      </c>
      <c r="I23" s="55">
        <v>433.81353547553391</v>
      </c>
      <c r="J23" s="55">
        <v>433.81353547553391</v>
      </c>
      <c r="K23" s="55">
        <v>1125.1890967142162</v>
      </c>
      <c r="L23" s="55">
        <v>978.8877535076831</v>
      </c>
      <c r="M23" s="55">
        <v>860.49325281850611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56">
        <v>0</v>
      </c>
      <c r="F24" s="56">
        <v>0</v>
      </c>
      <c r="G24" s="56">
        <v>0</v>
      </c>
      <c r="H24" s="56">
        <v>0</v>
      </c>
      <c r="I24" s="56">
        <v>0</v>
      </c>
      <c r="J24" s="56">
        <v>0</v>
      </c>
      <c r="K24" s="56">
        <v>0</v>
      </c>
      <c r="L24" s="56">
        <v>0</v>
      </c>
      <c r="M24" s="56">
        <v>0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53"/>
      <c r="F25" s="53"/>
      <c r="G25" s="53"/>
      <c r="H25" s="53"/>
      <c r="I25" s="53"/>
      <c r="J25" s="53"/>
      <c r="K25" s="53"/>
      <c r="L25" s="53"/>
      <c r="M25" s="53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55">
        <v>11.679546947550062</v>
      </c>
      <c r="F26" s="55">
        <v>8.3401863461132386</v>
      </c>
      <c r="G26" s="55">
        <v>6.5072030321330079</v>
      </c>
      <c r="H26" s="55">
        <v>6.5072030321330079</v>
      </c>
      <c r="I26" s="55">
        <v>6.5072030321330079</v>
      </c>
      <c r="J26" s="55">
        <v>6.5072030321330079</v>
      </c>
      <c r="K26" s="55">
        <v>1.583</v>
      </c>
      <c r="L26" s="55">
        <v>1.583</v>
      </c>
      <c r="M26" s="55">
        <v>1.583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2.0349999999999999E-3</v>
      </c>
      <c r="L27" s="55">
        <v>2.0349999999999999E-3</v>
      </c>
      <c r="M27" s="55">
        <v>2.0349999999999999E-3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55">
        <v>0</v>
      </c>
      <c r="F28" s="55">
        <v>0</v>
      </c>
      <c r="G28" s="55">
        <v>0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5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55">
        <v>0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53">
        <v>3.9299999999999997</v>
      </c>
      <c r="F30" s="53">
        <v>3.9299999999999997</v>
      </c>
      <c r="G30" s="53">
        <v>3.9299999999999997</v>
      </c>
      <c r="H30" s="53">
        <v>3.9299999999999997</v>
      </c>
      <c r="I30" s="53">
        <v>3.9299999999999997</v>
      </c>
      <c r="J30" s="53">
        <v>3.9299999999999997</v>
      </c>
      <c r="K30" s="53">
        <v>3.9299999999999997</v>
      </c>
      <c r="L30" s="53">
        <v>3.9299999999999997</v>
      </c>
      <c r="M30" s="53">
        <v>3.9299999999999997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53"/>
      <c r="F31" s="53"/>
      <c r="G31" s="53"/>
      <c r="H31" s="53"/>
      <c r="I31" s="53"/>
      <c r="J31" s="53"/>
      <c r="K31" s="53"/>
      <c r="L31" s="53"/>
      <c r="M31" s="53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53"/>
      <c r="F32" s="53"/>
      <c r="G32" s="53"/>
      <c r="H32" s="53"/>
      <c r="I32" s="53"/>
      <c r="J32" s="53"/>
      <c r="K32" s="53"/>
      <c r="L32" s="53"/>
      <c r="M32" s="53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53">
        <v>20</v>
      </c>
      <c r="F33" s="53">
        <v>20</v>
      </c>
      <c r="G33" s="53">
        <v>20</v>
      </c>
      <c r="H33" s="53">
        <v>20</v>
      </c>
      <c r="I33" s="53">
        <v>20</v>
      </c>
      <c r="J33" s="53">
        <v>20</v>
      </c>
      <c r="K33" s="53">
        <v>20</v>
      </c>
      <c r="L33" s="53">
        <v>20</v>
      </c>
      <c r="M33" s="53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55">
        <v>778.63646317000416</v>
      </c>
      <c r="F34" s="55">
        <v>556.01242307421592</v>
      </c>
      <c r="G34" s="55">
        <v>433.81353547553391</v>
      </c>
      <c r="H34" s="55">
        <v>433.81353547553391</v>
      </c>
      <c r="I34" s="55">
        <v>433.81353547553391</v>
      </c>
      <c r="J34" s="55">
        <v>433.81353547553391</v>
      </c>
      <c r="K34" s="55">
        <v>1125.1890967142162</v>
      </c>
      <c r="L34" s="55">
        <v>978.8877535076831</v>
      </c>
      <c r="M34" s="55">
        <v>860.49325281850611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56">
        <v>0</v>
      </c>
      <c r="F35" s="56">
        <v>0</v>
      </c>
      <c r="G35" s="56">
        <v>0</v>
      </c>
      <c r="H35" s="56">
        <v>0</v>
      </c>
      <c r="I35" s="56">
        <v>0</v>
      </c>
      <c r="J35" s="56">
        <v>0</v>
      </c>
      <c r="K35" s="56">
        <v>0</v>
      </c>
      <c r="L35" s="56">
        <v>0</v>
      </c>
      <c r="M35" s="56">
        <v>0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53"/>
      <c r="F36" s="53"/>
      <c r="G36" s="53"/>
      <c r="H36" s="53"/>
      <c r="I36" s="53"/>
      <c r="J36" s="53"/>
      <c r="K36" s="53"/>
      <c r="L36" s="53"/>
      <c r="M36" s="53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55">
        <v>11.679546947550062</v>
      </c>
      <c r="F37" s="55">
        <v>8.3401863461132386</v>
      </c>
      <c r="G37" s="55">
        <v>6.5072030321330079</v>
      </c>
      <c r="H37" s="55">
        <v>6.5072030321330079</v>
      </c>
      <c r="I37" s="55">
        <v>6.5072030321330079</v>
      </c>
      <c r="J37" s="55">
        <v>6.5072030321330079</v>
      </c>
      <c r="K37" s="55">
        <v>1.583</v>
      </c>
      <c r="L37" s="55">
        <v>1.583</v>
      </c>
      <c r="M37" s="55">
        <v>1.583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2.0349999999999999E-3</v>
      </c>
      <c r="L38" s="55">
        <v>2.0349999999999999E-3</v>
      </c>
      <c r="M38" s="55">
        <v>2.0349999999999999E-3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53">
        <v>3.6799999999999997</v>
      </c>
      <c r="F41" s="53">
        <v>3.6799999999999997</v>
      </c>
      <c r="G41" s="53">
        <v>3.6799999999999997</v>
      </c>
      <c r="H41" s="53">
        <v>3.6799999999999997</v>
      </c>
      <c r="I41" s="53">
        <v>3.6799999999999997</v>
      </c>
      <c r="J41" s="53">
        <v>3.6799999999999997</v>
      </c>
      <c r="K41" s="53">
        <v>3.6799999999999997</v>
      </c>
      <c r="L41" s="53">
        <v>3.6799999999999997</v>
      </c>
      <c r="M41" s="53">
        <v>3.6799999999999997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53"/>
      <c r="F42" s="53"/>
      <c r="G42" s="53"/>
      <c r="H42" s="53"/>
      <c r="I42" s="53"/>
      <c r="J42" s="53"/>
      <c r="K42" s="53"/>
      <c r="L42" s="53"/>
      <c r="M42" s="53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53"/>
      <c r="F43" s="53"/>
      <c r="G43" s="53"/>
      <c r="H43" s="53"/>
      <c r="I43" s="53"/>
      <c r="J43" s="53"/>
      <c r="K43" s="53"/>
      <c r="L43" s="53"/>
      <c r="M43" s="53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53">
        <v>20</v>
      </c>
      <c r="F44" s="53">
        <v>20</v>
      </c>
      <c r="G44" s="53">
        <v>20</v>
      </c>
      <c r="H44" s="53">
        <v>20</v>
      </c>
      <c r="I44" s="53">
        <v>20</v>
      </c>
      <c r="J44" s="53">
        <v>20</v>
      </c>
      <c r="K44" s="53">
        <v>20</v>
      </c>
      <c r="L44" s="53">
        <v>20</v>
      </c>
      <c r="M44" s="53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55">
        <v>778.63646317000416</v>
      </c>
      <c r="F45" s="55">
        <v>556.01242307421592</v>
      </c>
      <c r="G45" s="55">
        <v>433.81353547553391</v>
      </c>
      <c r="H45" s="55">
        <v>433.81353547553391</v>
      </c>
      <c r="I45" s="55">
        <v>433.81353547553391</v>
      </c>
      <c r="J45" s="55">
        <v>433.81353547553391</v>
      </c>
      <c r="K45" s="55">
        <v>1125.1890967142162</v>
      </c>
      <c r="L45" s="55">
        <v>978.8877535076831</v>
      </c>
      <c r="M45" s="55">
        <v>860.49325281850611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56">
        <v>0</v>
      </c>
      <c r="F46" s="56">
        <v>0</v>
      </c>
      <c r="G46" s="56">
        <v>0</v>
      </c>
      <c r="H46" s="56">
        <v>0</v>
      </c>
      <c r="I46" s="56">
        <v>0</v>
      </c>
      <c r="J46" s="56">
        <v>0</v>
      </c>
      <c r="K46" s="56">
        <v>0</v>
      </c>
      <c r="L46" s="56">
        <v>0</v>
      </c>
      <c r="M46" s="56">
        <v>0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53"/>
      <c r="F47" s="53"/>
      <c r="G47" s="53"/>
      <c r="H47" s="53"/>
      <c r="I47" s="53"/>
      <c r="J47" s="53"/>
      <c r="K47" s="53"/>
      <c r="L47" s="53"/>
      <c r="M47" s="53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55">
        <v>11.679546947550062</v>
      </c>
      <c r="F48" s="55">
        <v>8.3401863461132386</v>
      </c>
      <c r="G48" s="55">
        <v>6.5072030321330079</v>
      </c>
      <c r="H48" s="55">
        <v>6.5072030321330079</v>
      </c>
      <c r="I48" s="55">
        <v>6.5072030321330079</v>
      </c>
      <c r="J48" s="55">
        <v>6.5072030321330079</v>
      </c>
      <c r="K48" s="55">
        <v>1.583</v>
      </c>
      <c r="L48" s="55">
        <v>1.583</v>
      </c>
      <c r="M48" s="55">
        <v>1.583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55">
        <v>0</v>
      </c>
      <c r="F49" s="55">
        <v>0</v>
      </c>
      <c r="G49" s="55">
        <v>0</v>
      </c>
      <c r="H49" s="55">
        <v>0</v>
      </c>
      <c r="I49" s="55">
        <v>0</v>
      </c>
      <c r="J49" s="55">
        <v>0</v>
      </c>
      <c r="K49" s="55">
        <v>2.0349999999999999E-3</v>
      </c>
      <c r="L49" s="55">
        <v>2.0349999999999999E-3</v>
      </c>
      <c r="M49" s="55">
        <v>2.0349999999999999E-3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55">
        <v>0</v>
      </c>
      <c r="F51" s="55">
        <v>0</v>
      </c>
      <c r="G51" s="55">
        <v>0</v>
      </c>
      <c r="H51" s="55">
        <v>0</v>
      </c>
      <c r="I51" s="55">
        <v>0</v>
      </c>
      <c r="J51" s="55">
        <v>0</v>
      </c>
      <c r="K51" s="55">
        <v>0</v>
      </c>
      <c r="L51" s="55">
        <v>0</v>
      </c>
      <c r="M51" s="55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53">
        <v>3.4299999999999997</v>
      </c>
      <c r="F52" s="53">
        <v>3.4299999999999997</v>
      </c>
      <c r="G52" s="53">
        <v>3.4299999999999997</v>
      </c>
      <c r="H52" s="53">
        <v>3.4299999999999997</v>
      </c>
      <c r="I52" s="53">
        <v>3.4299999999999997</v>
      </c>
      <c r="J52" s="53">
        <v>3.4299999999999997</v>
      </c>
      <c r="K52" s="53">
        <v>3.4299999999999997</v>
      </c>
      <c r="L52" s="53">
        <v>3.4299999999999997</v>
      </c>
      <c r="M52" s="53">
        <v>3.4299999999999997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53"/>
      <c r="F53" s="53"/>
      <c r="G53" s="53"/>
      <c r="H53" s="53"/>
      <c r="I53" s="53"/>
      <c r="J53" s="53"/>
      <c r="K53" s="53"/>
      <c r="L53" s="53"/>
      <c r="M53" s="53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53"/>
      <c r="F54" s="53"/>
      <c r="G54" s="53"/>
      <c r="H54" s="53"/>
      <c r="I54" s="53"/>
      <c r="J54" s="53"/>
      <c r="K54" s="53"/>
      <c r="L54" s="53"/>
      <c r="M54" s="53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53">
        <v>20</v>
      </c>
      <c r="F55" s="53">
        <v>20</v>
      </c>
      <c r="G55" s="53">
        <v>20</v>
      </c>
      <c r="H55" s="53">
        <v>20</v>
      </c>
      <c r="I55" s="53">
        <v>20</v>
      </c>
      <c r="J55" s="53">
        <v>20</v>
      </c>
      <c r="K55" s="53">
        <v>20</v>
      </c>
      <c r="L55" s="53">
        <v>20</v>
      </c>
      <c r="M55" s="53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55">
        <v>738.31610915879503</v>
      </c>
      <c r="F56" s="55">
        <v>515.77022112163911</v>
      </c>
      <c r="G56" s="55">
        <v>395.95632283937084</v>
      </c>
      <c r="H56" s="55">
        <v>395.95632283937084</v>
      </c>
      <c r="I56" s="55">
        <v>395.95632283937084</v>
      </c>
      <c r="J56" s="55">
        <v>395.95632283937084</v>
      </c>
      <c r="K56" s="55">
        <v>582.06399999999996</v>
      </c>
      <c r="L56" s="55">
        <v>582.06399999999996</v>
      </c>
      <c r="M56" s="55">
        <v>582.06399999999996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56">
        <v>0</v>
      </c>
      <c r="F57" s="56">
        <v>0</v>
      </c>
      <c r="G57" s="56">
        <v>0</v>
      </c>
      <c r="H57" s="56">
        <v>0</v>
      </c>
      <c r="I57" s="56">
        <v>0</v>
      </c>
      <c r="J57" s="56">
        <v>0</v>
      </c>
      <c r="K57" s="56">
        <v>0</v>
      </c>
      <c r="L57" s="56">
        <v>0</v>
      </c>
      <c r="M57" s="56">
        <v>0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53"/>
      <c r="F58" s="53"/>
      <c r="G58" s="53"/>
      <c r="H58" s="53"/>
      <c r="I58" s="53"/>
      <c r="J58" s="53"/>
      <c r="K58" s="53"/>
      <c r="L58" s="53"/>
      <c r="M58" s="53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55">
        <v>11.074741637381925</v>
      </c>
      <c r="F59" s="55">
        <v>7.7365533168245868</v>
      </c>
      <c r="G59" s="55">
        <v>5.9393448425905628</v>
      </c>
      <c r="H59" s="55">
        <v>5.9393448425905628</v>
      </c>
      <c r="I59" s="55">
        <v>5.9393448425905628</v>
      </c>
      <c r="J59" s="55">
        <v>5.9393448425905628</v>
      </c>
      <c r="K59" s="55">
        <v>1.583</v>
      </c>
      <c r="L59" s="55">
        <v>1.583</v>
      </c>
      <c r="M59" s="55">
        <v>1.583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55">
        <v>0</v>
      </c>
      <c r="F60" s="55">
        <v>0</v>
      </c>
      <c r="G60" s="55">
        <v>0</v>
      </c>
      <c r="H60" s="55">
        <v>0</v>
      </c>
      <c r="I60" s="55">
        <v>0</v>
      </c>
      <c r="J60" s="55">
        <v>0</v>
      </c>
      <c r="K60" s="55">
        <v>2.0349999999999999E-3</v>
      </c>
      <c r="L60" s="55">
        <v>2.0349999999999999E-3</v>
      </c>
      <c r="M60" s="55">
        <v>2.0349999999999999E-3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55">
        <v>0</v>
      </c>
      <c r="F61" s="55">
        <v>0</v>
      </c>
      <c r="G61" s="55">
        <v>0</v>
      </c>
      <c r="H61" s="55">
        <v>0</v>
      </c>
      <c r="I61" s="55">
        <v>0</v>
      </c>
      <c r="J61" s="55">
        <v>0</v>
      </c>
      <c r="K61" s="55">
        <v>0</v>
      </c>
      <c r="L61" s="55">
        <v>0</v>
      </c>
      <c r="M61" s="55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55">
        <v>0</v>
      </c>
      <c r="F62" s="55">
        <v>0</v>
      </c>
      <c r="G62" s="55">
        <v>0</v>
      </c>
      <c r="H62" s="55">
        <v>0</v>
      </c>
      <c r="I62" s="55">
        <v>0</v>
      </c>
      <c r="J62" s="55">
        <v>0</v>
      </c>
      <c r="K62" s="55">
        <v>0</v>
      </c>
      <c r="L62" s="55">
        <v>0</v>
      </c>
      <c r="M62" s="55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53">
        <v>5.0199999999999996</v>
      </c>
      <c r="F63" s="53">
        <v>5.0199999999999996</v>
      </c>
      <c r="G63" s="53">
        <v>5.0199999999999996</v>
      </c>
      <c r="H63" s="53">
        <v>5.0199999999999996</v>
      </c>
      <c r="I63" s="53">
        <v>5.0199999999999996</v>
      </c>
      <c r="J63" s="53">
        <v>5.0199999999999996</v>
      </c>
      <c r="K63" s="53">
        <v>5.0199999999999996</v>
      </c>
      <c r="L63" s="53">
        <v>5.0199999999999996</v>
      </c>
      <c r="M63" s="53">
        <v>5.0199999999999996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53"/>
      <c r="F64" s="53"/>
      <c r="G64" s="53"/>
      <c r="H64" s="53"/>
      <c r="I64" s="53"/>
      <c r="J64" s="53"/>
      <c r="K64" s="53"/>
      <c r="L64" s="53"/>
      <c r="M64" s="53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53"/>
      <c r="F65" s="53"/>
      <c r="G65" s="53"/>
      <c r="H65" s="53"/>
      <c r="I65" s="53"/>
      <c r="J65" s="53"/>
      <c r="K65" s="53"/>
      <c r="L65" s="53"/>
      <c r="M65" s="53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55">
        <v>2962.5638498082421</v>
      </c>
      <c r="F66" s="55">
        <v>2027.1699626993282</v>
      </c>
      <c r="G66" s="55">
        <v>1274.8741817587722</v>
      </c>
      <c r="H66" s="55">
        <v>442.87029020421795</v>
      </c>
      <c r="I66" s="55">
        <v>301.97608311819215</v>
      </c>
      <c r="J66" s="55">
        <v>191.40821792528925</v>
      </c>
      <c r="K66" s="55">
        <v>92.896885443989731</v>
      </c>
      <c r="L66" s="55">
        <v>81.375969664560998</v>
      </c>
      <c r="M66" s="55">
        <v>81.375969664560998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53"/>
      <c r="F67" s="53"/>
      <c r="G67" s="53"/>
      <c r="H67" s="53"/>
      <c r="I67" s="53"/>
      <c r="J67" s="53"/>
      <c r="K67" s="53"/>
      <c r="L67" s="53"/>
      <c r="M67" s="53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53">
        <v>20</v>
      </c>
      <c r="F68" s="53">
        <v>20</v>
      </c>
      <c r="G68" s="53">
        <v>20</v>
      </c>
      <c r="H68" s="53">
        <v>20</v>
      </c>
      <c r="I68" s="53">
        <v>20</v>
      </c>
      <c r="J68" s="53">
        <v>20</v>
      </c>
      <c r="K68" s="53">
        <v>20</v>
      </c>
      <c r="L68" s="53">
        <v>20</v>
      </c>
      <c r="M68" s="53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55">
        <v>738.31610915879503</v>
      </c>
      <c r="F69" s="55">
        <v>515.77022112163911</v>
      </c>
      <c r="G69" s="55">
        <v>395.95632283937084</v>
      </c>
      <c r="H69" s="55">
        <v>395.95632283937084</v>
      </c>
      <c r="I69" s="55">
        <v>395.95632283937084</v>
      </c>
      <c r="J69" s="55">
        <v>395.95632283937084</v>
      </c>
      <c r="K69" s="55">
        <v>582.06399999999996</v>
      </c>
      <c r="L69" s="55">
        <v>582.06399999999996</v>
      </c>
      <c r="M69" s="55">
        <v>582.06399999999996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56">
        <v>0</v>
      </c>
      <c r="F70" s="56">
        <v>0</v>
      </c>
      <c r="G70" s="56">
        <v>0</v>
      </c>
      <c r="H70" s="56">
        <v>0</v>
      </c>
      <c r="I70" s="56">
        <v>0</v>
      </c>
      <c r="J70" s="56">
        <v>0</v>
      </c>
      <c r="K70" s="56">
        <v>0</v>
      </c>
      <c r="L70" s="56">
        <v>0</v>
      </c>
      <c r="M70" s="56">
        <v>0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53"/>
      <c r="F71" s="53"/>
      <c r="G71" s="53"/>
      <c r="H71" s="53"/>
      <c r="I71" s="53"/>
      <c r="J71" s="53"/>
      <c r="K71" s="53"/>
      <c r="L71" s="53"/>
      <c r="M71" s="53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55">
        <v>11.074741637381925</v>
      </c>
      <c r="F72" s="55">
        <v>7.7365533168245868</v>
      </c>
      <c r="G72" s="55">
        <v>5.9393448425905628</v>
      </c>
      <c r="H72" s="55">
        <v>5.9393448425905628</v>
      </c>
      <c r="I72" s="55">
        <v>5.9393448425905628</v>
      </c>
      <c r="J72" s="55">
        <v>5.9393448425905628</v>
      </c>
      <c r="K72" s="55">
        <v>1.583</v>
      </c>
      <c r="L72" s="55">
        <v>1.583</v>
      </c>
      <c r="M72" s="55">
        <v>1.583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2.0349999999999999E-3</v>
      </c>
      <c r="L73" s="55">
        <v>2.0349999999999999E-3</v>
      </c>
      <c r="M73" s="55">
        <v>2.0349999999999999E-3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55">
        <v>0</v>
      </c>
      <c r="F75" s="55">
        <v>0</v>
      </c>
      <c r="G75" s="55">
        <v>0</v>
      </c>
      <c r="H75" s="55">
        <v>0</v>
      </c>
      <c r="I75" s="55">
        <v>0</v>
      </c>
      <c r="J75" s="55">
        <v>0</v>
      </c>
      <c r="K75" s="55">
        <v>0</v>
      </c>
      <c r="L75" s="55">
        <v>0</v>
      </c>
      <c r="M75" s="55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53">
        <v>4.6875</v>
      </c>
      <c r="F76" s="53">
        <v>4.6875</v>
      </c>
      <c r="G76" s="53">
        <v>4.6875</v>
      </c>
      <c r="H76" s="53">
        <v>4.6875</v>
      </c>
      <c r="I76" s="53">
        <v>4.6875</v>
      </c>
      <c r="J76" s="53">
        <v>4.6875</v>
      </c>
      <c r="K76" s="53">
        <v>4.6875</v>
      </c>
      <c r="L76" s="53">
        <v>4.6875</v>
      </c>
      <c r="M76" s="53">
        <v>4.6875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53"/>
      <c r="F77" s="53"/>
      <c r="G77" s="53"/>
      <c r="H77" s="53"/>
      <c r="I77" s="53"/>
      <c r="J77" s="53"/>
      <c r="K77" s="53"/>
      <c r="L77" s="53"/>
      <c r="M77" s="53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53"/>
      <c r="F78" s="53"/>
      <c r="G78" s="53"/>
      <c r="H78" s="53"/>
      <c r="I78" s="53"/>
      <c r="J78" s="53"/>
      <c r="K78" s="53"/>
      <c r="L78" s="53"/>
      <c r="M78" s="53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55">
        <v>2962.5638498082421</v>
      </c>
      <c r="F79" s="55">
        <v>2027.1699626993282</v>
      </c>
      <c r="G79" s="55">
        <v>1274.8741817587722</v>
      </c>
      <c r="H79" s="55">
        <v>442.87029020421795</v>
      </c>
      <c r="I79" s="55">
        <v>301.97608311819215</v>
      </c>
      <c r="J79" s="55">
        <v>191.40821792528925</v>
      </c>
      <c r="K79" s="55">
        <v>92.896885443989731</v>
      </c>
      <c r="L79" s="55">
        <v>81.375969664560998</v>
      </c>
      <c r="M79" s="55">
        <v>81.375969664560998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53"/>
      <c r="F80" s="53"/>
      <c r="G80" s="53"/>
      <c r="H80" s="53"/>
      <c r="I80" s="53"/>
      <c r="J80" s="53"/>
      <c r="K80" s="53"/>
      <c r="L80" s="53"/>
      <c r="M80" s="53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53">
        <v>20</v>
      </c>
      <c r="F81" s="53">
        <v>20</v>
      </c>
      <c r="G81" s="53">
        <v>20</v>
      </c>
      <c r="H81" s="53">
        <v>20</v>
      </c>
      <c r="I81" s="53">
        <v>20</v>
      </c>
      <c r="J81" s="53">
        <v>20</v>
      </c>
      <c r="K81" s="53">
        <v>20</v>
      </c>
      <c r="L81" s="53">
        <v>20</v>
      </c>
      <c r="M81" s="53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55">
        <v>738.31610915879503</v>
      </c>
      <c r="F82" s="55">
        <v>515.77022112163911</v>
      </c>
      <c r="G82" s="55">
        <v>395.95632283937084</v>
      </c>
      <c r="H82" s="55">
        <v>395.95632283937084</v>
      </c>
      <c r="I82" s="55">
        <v>395.95632283937084</v>
      </c>
      <c r="J82" s="55">
        <v>395.95632283937084</v>
      </c>
      <c r="K82" s="55">
        <v>582.06399999999996</v>
      </c>
      <c r="L82" s="55">
        <v>582.06399999999996</v>
      </c>
      <c r="M82" s="55">
        <v>582.06399999999996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56">
        <v>0</v>
      </c>
      <c r="F83" s="56">
        <v>0</v>
      </c>
      <c r="G83" s="56">
        <v>0</v>
      </c>
      <c r="H83" s="56">
        <v>0</v>
      </c>
      <c r="I83" s="56">
        <v>0</v>
      </c>
      <c r="J83" s="56">
        <v>0</v>
      </c>
      <c r="K83" s="56">
        <v>0</v>
      </c>
      <c r="L83" s="56">
        <v>0</v>
      </c>
      <c r="M83" s="56">
        <v>0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53"/>
      <c r="F84" s="53"/>
      <c r="G84" s="53"/>
      <c r="H84" s="53"/>
      <c r="I84" s="53"/>
      <c r="J84" s="53"/>
      <c r="K84" s="53"/>
      <c r="L84" s="53"/>
      <c r="M84" s="53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55">
        <v>11.074741637381925</v>
      </c>
      <c r="F85" s="55">
        <v>7.7365533168245868</v>
      </c>
      <c r="G85" s="55">
        <v>5.9393448425905628</v>
      </c>
      <c r="H85" s="55">
        <v>5.9393448425905628</v>
      </c>
      <c r="I85" s="55">
        <v>5.9393448425905628</v>
      </c>
      <c r="J85" s="55">
        <v>5.9393448425905628</v>
      </c>
      <c r="K85" s="55">
        <v>1.583</v>
      </c>
      <c r="L85" s="55">
        <v>1.583</v>
      </c>
      <c r="M85" s="55">
        <v>1.583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55">
        <v>0</v>
      </c>
      <c r="F86" s="55">
        <v>0</v>
      </c>
      <c r="G86" s="55">
        <v>0</v>
      </c>
      <c r="H86" s="55">
        <v>0</v>
      </c>
      <c r="I86" s="55">
        <v>0</v>
      </c>
      <c r="J86" s="55">
        <v>0</v>
      </c>
      <c r="K86" s="55">
        <v>2.0349999999999999E-3</v>
      </c>
      <c r="L86" s="55">
        <v>2.0349999999999999E-3</v>
      </c>
      <c r="M86" s="55">
        <v>2.0349999999999999E-3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55">
        <v>0</v>
      </c>
      <c r="F87" s="55">
        <v>0</v>
      </c>
      <c r="G87" s="55">
        <v>0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53">
        <v>4.3549999999999995</v>
      </c>
      <c r="F89" s="53">
        <v>4.3549999999999995</v>
      </c>
      <c r="G89" s="53">
        <v>4.3549999999999995</v>
      </c>
      <c r="H89" s="53">
        <v>4.3549999999999995</v>
      </c>
      <c r="I89" s="53">
        <v>4.3549999999999995</v>
      </c>
      <c r="J89" s="53">
        <v>4.3549999999999995</v>
      </c>
      <c r="K89" s="53">
        <v>4.3549999999999995</v>
      </c>
      <c r="L89" s="53">
        <v>4.3549999999999995</v>
      </c>
      <c r="M89" s="53">
        <v>4.3549999999999995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53"/>
      <c r="F90" s="53"/>
      <c r="G90" s="53"/>
      <c r="H90" s="53"/>
      <c r="I90" s="53"/>
      <c r="J90" s="53"/>
      <c r="K90" s="53"/>
      <c r="L90" s="53"/>
      <c r="M90" s="53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53"/>
      <c r="F91" s="53"/>
      <c r="G91" s="53"/>
      <c r="H91" s="53"/>
      <c r="I91" s="53"/>
      <c r="J91" s="53"/>
      <c r="K91" s="53"/>
      <c r="L91" s="53"/>
      <c r="M91" s="53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55">
        <v>2962.5638498082421</v>
      </c>
      <c r="F92" s="55">
        <v>2027.1699626993282</v>
      </c>
      <c r="G92" s="55">
        <v>1274.8741817587722</v>
      </c>
      <c r="H92" s="55">
        <v>442.87029020421795</v>
      </c>
      <c r="I92" s="55">
        <v>301.97608311819215</v>
      </c>
      <c r="J92" s="55">
        <v>191.40821792528925</v>
      </c>
      <c r="K92" s="55">
        <v>92.896885443989731</v>
      </c>
      <c r="L92" s="55">
        <v>81.375969664560998</v>
      </c>
      <c r="M92" s="55">
        <v>81.375969664560998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53"/>
      <c r="F93" s="53"/>
      <c r="G93" s="53"/>
      <c r="H93" s="53"/>
      <c r="I93" s="53"/>
      <c r="J93" s="53"/>
      <c r="K93" s="53"/>
      <c r="L93" s="53"/>
      <c r="M93" s="53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53">
        <v>1</v>
      </c>
      <c r="F94" s="53">
        <v>1</v>
      </c>
      <c r="G94" s="53">
        <v>1</v>
      </c>
      <c r="H94" s="53">
        <v>1</v>
      </c>
      <c r="I94" s="53">
        <v>1</v>
      </c>
      <c r="J94" s="53">
        <v>1</v>
      </c>
      <c r="K94" s="53">
        <v>1</v>
      </c>
      <c r="L94" s="53">
        <v>1</v>
      </c>
      <c r="M94" s="53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53">
        <v>0.35</v>
      </c>
      <c r="F95" s="53">
        <v>0.35</v>
      </c>
      <c r="G95" s="53">
        <v>0.35</v>
      </c>
      <c r="H95" s="53">
        <v>0.35</v>
      </c>
      <c r="I95" s="53">
        <v>0.35</v>
      </c>
      <c r="J95" s="53">
        <v>0.35</v>
      </c>
      <c r="K95" s="53">
        <v>0.35</v>
      </c>
      <c r="L95" s="53">
        <v>0.35</v>
      </c>
      <c r="M95" s="53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53">
        <v>20</v>
      </c>
      <c r="F96" s="53">
        <v>20</v>
      </c>
      <c r="G96" s="53">
        <v>20</v>
      </c>
      <c r="H96" s="53">
        <v>20</v>
      </c>
      <c r="I96" s="53">
        <v>20</v>
      </c>
      <c r="J96" s="53">
        <v>20</v>
      </c>
      <c r="K96" s="53">
        <v>20</v>
      </c>
      <c r="L96" s="53">
        <v>20</v>
      </c>
      <c r="M96" s="53">
        <v>20</v>
      </c>
      <c r="N96" s="54"/>
    </row>
    <row r="97" spans="1:15" x14ac:dyDescent="0.25">
      <c r="A97" s="208"/>
      <c r="B97" s="225"/>
      <c r="C97" s="25" t="s">
        <v>23</v>
      </c>
      <c r="D97" s="1" t="s">
        <v>6</v>
      </c>
      <c r="E97" s="55">
        <v>197.6111183946131</v>
      </c>
      <c r="F97" s="55">
        <v>167.43356959457475</v>
      </c>
      <c r="G97" s="55">
        <v>130.54476264689706</v>
      </c>
      <c r="H97" s="55">
        <v>105.30120481906971</v>
      </c>
      <c r="I97" s="55">
        <v>107.31263157894738</v>
      </c>
      <c r="J97" s="55">
        <v>107.00631578947369</v>
      </c>
      <c r="K97" s="55">
        <v>105.98526315789475</v>
      </c>
      <c r="L97" s="55">
        <v>103.84105263157896</v>
      </c>
      <c r="M97" s="55">
        <v>99.55263157894737</v>
      </c>
      <c r="N97" s="54"/>
    </row>
    <row r="98" spans="1:15" x14ac:dyDescent="0.25">
      <c r="A98" s="208"/>
      <c r="B98" s="225"/>
      <c r="C98" s="25" t="s">
        <v>177</v>
      </c>
      <c r="D98" s="1" t="s">
        <v>19</v>
      </c>
      <c r="E98" s="56">
        <v>0</v>
      </c>
      <c r="F98" s="56">
        <v>0</v>
      </c>
      <c r="G98" s="56">
        <v>0</v>
      </c>
      <c r="H98" s="56">
        <v>0</v>
      </c>
      <c r="I98" s="56">
        <v>0</v>
      </c>
      <c r="J98" s="56">
        <v>0</v>
      </c>
      <c r="K98" s="56">
        <v>0</v>
      </c>
      <c r="L98" s="56">
        <v>0</v>
      </c>
      <c r="M98" s="56">
        <v>0</v>
      </c>
      <c r="N98" s="54"/>
    </row>
    <row r="99" spans="1:15" x14ac:dyDescent="0.25">
      <c r="A99" s="208"/>
      <c r="B99" s="225"/>
      <c r="C99" s="25" t="s">
        <v>114</v>
      </c>
      <c r="D99" s="1" t="s">
        <v>8</v>
      </c>
      <c r="E99" s="53"/>
      <c r="F99" s="53"/>
      <c r="G99" s="53"/>
      <c r="H99" s="53"/>
      <c r="I99" s="53"/>
      <c r="J99" s="53"/>
      <c r="K99" s="53"/>
      <c r="L99" s="53"/>
      <c r="M99" s="53"/>
      <c r="N99" s="54"/>
    </row>
    <row r="100" spans="1:15" x14ac:dyDescent="0.25">
      <c r="A100" s="208"/>
      <c r="B100" s="225"/>
      <c r="C100" s="25" t="s">
        <v>115</v>
      </c>
      <c r="D100" s="1" t="s">
        <v>9</v>
      </c>
      <c r="E100" s="55">
        <v>5.9283335518383931</v>
      </c>
      <c r="F100" s="55">
        <v>5.0230070878372421</v>
      </c>
      <c r="G100" s="55">
        <v>3.9163428794069115</v>
      </c>
      <c r="H100" s="55">
        <v>3.1590361445720911</v>
      </c>
      <c r="I100" s="55">
        <v>2.0378947368421052</v>
      </c>
      <c r="J100" s="55">
        <v>2.0189473684210526</v>
      </c>
      <c r="K100" s="55">
        <v>1.9557894736842103</v>
      </c>
      <c r="L100" s="55">
        <v>1.8231578947368419</v>
      </c>
      <c r="M100" s="55">
        <v>1.557894736842105</v>
      </c>
      <c r="N100" s="54"/>
    </row>
    <row r="101" spans="1:15" x14ac:dyDescent="0.25">
      <c r="A101" s="208"/>
      <c r="B101" s="225"/>
      <c r="C101" s="25" t="s">
        <v>35</v>
      </c>
      <c r="D101" s="1" t="s">
        <v>10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1.6858736842105264E-3</v>
      </c>
      <c r="L101" s="55">
        <v>1.5474947368421053E-3</v>
      </c>
      <c r="M101" s="55">
        <v>1.2707368421052633E-3</v>
      </c>
      <c r="N101" s="54"/>
    </row>
    <row r="102" spans="1:15" x14ac:dyDescent="0.25">
      <c r="A102" s="208"/>
      <c r="B102" s="225"/>
      <c r="C102" s="26" t="s">
        <v>24</v>
      </c>
      <c r="D102" s="27" t="s">
        <v>10</v>
      </c>
      <c r="E102" s="56">
        <v>0</v>
      </c>
      <c r="F102" s="56">
        <v>0</v>
      </c>
      <c r="G102" s="56">
        <v>0</v>
      </c>
      <c r="H102" s="56">
        <v>0</v>
      </c>
      <c r="I102" s="56">
        <v>0</v>
      </c>
      <c r="J102" s="56">
        <v>0</v>
      </c>
      <c r="K102" s="56">
        <v>0</v>
      </c>
      <c r="L102" s="56">
        <v>0</v>
      </c>
      <c r="M102" s="56">
        <v>0</v>
      </c>
      <c r="N102" s="54"/>
    </row>
    <row r="103" spans="1:15" x14ac:dyDescent="0.25">
      <c r="A103" s="208"/>
      <c r="B103" s="225"/>
      <c r="C103" s="25" t="s">
        <v>25</v>
      </c>
      <c r="D103" s="1" t="s">
        <v>7</v>
      </c>
      <c r="E103" s="56">
        <v>0.99124999999999996</v>
      </c>
      <c r="F103" s="56">
        <v>0.99124999999999996</v>
      </c>
      <c r="G103" s="56">
        <v>0.99124999999999996</v>
      </c>
      <c r="H103" s="56">
        <v>0.99124999999999996</v>
      </c>
      <c r="I103" s="56">
        <v>0.99124999999999996</v>
      </c>
      <c r="J103" s="56">
        <v>0.99124999999999996</v>
      </c>
      <c r="K103" s="56">
        <v>0.99649999999999994</v>
      </c>
      <c r="L103" s="56">
        <v>0.99649999999999994</v>
      </c>
      <c r="M103" s="56">
        <v>0.99649999999999994</v>
      </c>
      <c r="N103" s="54"/>
    </row>
    <row r="104" spans="1:15" x14ac:dyDescent="0.25">
      <c r="A104" s="208"/>
      <c r="B104" s="225"/>
      <c r="C104" s="25" t="s">
        <v>26</v>
      </c>
      <c r="D104" s="1" t="s">
        <v>14</v>
      </c>
      <c r="E104" s="55">
        <v>1524.6</v>
      </c>
      <c r="F104" s="55">
        <v>1749.6</v>
      </c>
      <c r="G104" s="55">
        <v>2349.6</v>
      </c>
      <c r="H104" s="55">
        <v>3174.6</v>
      </c>
      <c r="I104" s="55">
        <v>4299.6000000000004</v>
      </c>
      <c r="J104" s="55">
        <v>14213</v>
      </c>
      <c r="K104" s="55">
        <v>21713</v>
      </c>
      <c r="L104" s="55">
        <v>37463</v>
      </c>
      <c r="M104" s="55">
        <v>68963</v>
      </c>
      <c r="N104" s="54"/>
    </row>
    <row r="105" spans="1:15" x14ac:dyDescent="0.25">
      <c r="A105" s="208"/>
      <c r="B105" s="225"/>
      <c r="C105" s="25" t="s">
        <v>27</v>
      </c>
      <c r="D105" s="1" t="s">
        <v>4</v>
      </c>
      <c r="E105" s="53">
        <v>40</v>
      </c>
      <c r="F105" s="53">
        <v>40</v>
      </c>
      <c r="G105" s="53">
        <v>40</v>
      </c>
      <c r="H105" s="53">
        <v>40</v>
      </c>
      <c r="I105" s="53">
        <v>40</v>
      </c>
      <c r="J105" s="53">
        <v>40</v>
      </c>
      <c r="K105" s="53">
        <v>40</v>
      </c>
      <c r="L105" s="53">
        <v>40</v>
      </c>
      <c r="M105" s="53">
        <v>40</v>
      </c>
      <c r="N105" s="54"/>
    </row>
    <row r="106" spans="1:15" x14ac:dyDescent="0.25">
      <c r="A106" s="208"/>
      <c r="B106" s="225"/>
      <c r="C106" s="25" t="s">
        <v>116</v>
      </c>
      <c r="D106" s="1" t="s">
        <v>19</v>
      </c>
      <c r="E106" s="53">
        <v>0.5</v>
      </c>
      <c r="F106" s="53">
        <v>0.5</v>
      </c>
      <c r="G106" s="53">
        <v>0.5</v>
      </c>
      <c r="H106" s="53">
        <v>0.5</v>
      </c>
      <c r="I106" s="53">
        <v>0.5</v>
      </c>
      <c r="J106" s="53">
        <v>0.5</v>
      </c>
      <c r="K106" s="53">
        <v>0.5</v>
      </c>
      <c r="L106" s="53">
        <v>0.5</v>
      </c>
      <c r="M106" s="53">
        <v>0.5</v>
      </c>
      <c r="N106" s="54"/>
      <c r="O106" s="75"/>
    </row>
    <row r="107" spans="1:15" x14ac:dyDescent="0.25">
      <c r="A107" s="208"/>
      <c r="B107" s="225"/>
      <c r="C107" s="25" t="s">
        <v>28</v>
      </c>
      <c r="D107" s="1" t="s">
        <v>19</v>
      </c>
      <c r="E107" s="53">
        <v>1.3</v>
      </c>
      <c r="F107" s="53">
        <v>1.3</v>
      </c>
      <c r="G107" s="53">
        <v>1.3</v>
      </c>
      <c r="H107" s="53">
        <v>1.3</v>
      </c>
      <c r="I107" s="53">
        <v>1.3</v>
      </c>
      <c r="J107" s="53">
        <v>1.3</v>
      </c>
      <c r="K107" s="53">
        <v>1.3</v>
      </c>
      <c r="L107" s="53">
        <v>1.3</v>
      </c>
      <c r="M107" s="53">
        <v>1.3</v>
      </c>
      <c r="N107" s="54"/>
    </row>
    <row r="108" spans="1:15" x14ac:dyDescent="0.25">
      <c r="A108" s="208"/>
      <c r="B108" s="225"/>
      <c r="C108" s="25" t="s">
        <v>29</v>
      </c>
      <c r="D108" s="1" t="s">
        <v>4</v>
      </c>
      <c r="E108" s="53">
        <v>20</v>
      </c>
      <c r="F108" s="53">
        <v>20</v>
      </c>
      <c r="G108" s="53">
        <v>20</v>
      </c>
      <c r="H108" s="53">
        <v>20</v>
      </c>
      <c r="I108" s="53">
        <v>20</v>
      </c>
      <c r="J108" s="53">
        <v>20</v>
      </c>
      <c r="K108" s="53">
        <v>20</v>
      </c>
      <c r="L108" s="53">
        <v>20</v>
      </c>
      <c r="M108" s="53">
        <v>20</v>
      </c>
      <c r="N108" s="54"/>
    </row>
    <row r="109" spans="1:15" x14ac:dyDescent="0.25">
      <c r="A109" s="208"/>
      <c r="B109" s="225"/>
      <c r="C109" s="25" t="s">
        <v>30</v>
      </c>
      <c r="D109" s="1" t="s">
        <v>6</v>
      </c>
      <c r="E109" s="55">
        <v>1090.397833965246</v>
      </c>
      <c r="F109" s="55">
        <v>778.63646317000416</v>
      </c>
      <c r="G109" s="55">
        <v>515.89289850747139</v>
      </c>
      <c r="H109" s="55">
        <v>433.81353547553391</v>
      </c>
      <c r="I109" s="55">
        <v>433.81353547553391</v>
      </c>
      <c r="J109" s="55">
        <v>433.81353547553391</v>
      </c>
      <c r="K109" s="55">
        <v>1268.6839450200719</v>
      </c>
      <c r="L109" s="55">
        <v>1103.7248587624642</v>
      </c>
      <c r="M109" s="55">
        <v>970.23156182094863</v>
      </c>
      <c r="N109" s="54"/>
    </row>
    <row r="110" spans="1:15" x14ac:dyDescent="0.25">
      <c r="A110" s="208"/>
      <c r="B110" s="225"/>
      <c r="C110" s="25" t="s">
        <v>178</v>
      </c>
      <c r="D110" s="1" t="s">
        <v>19</v>
      </c>
      <c r="E110" s="56">
        <v>0</v>
      </c>
      <c r="F110" s="56">
        <v>0</v>
      </c>
      <c r="G110" s="56">
        <v>0</v>
      </c>
      <c r="H110" s="56">
        <v>0</v>
      </c>
      <c r="I110" s="56">
        <v>0</v>
      </c>
      <c r="J110" s="56">
        <v>0</v>
      </c>
      <c r="K110" s="56">
        <v>0</v>
      </c>
      <c r="L110" s="56">
        <v>0</v>
      </c>
      <c r="M110" s="56">
        <v>0</v>
      </c>
      <c r="N110" s="54"/>
    </row>
    <row r="111" spans="1:15" x14ac:dyDescent="0.25">
      <c r="A111" s="208"/>
      <c r="B111" s="225"/>
      <c r="C111" s="25" t="s">
        <v>117</v>
      </c>
      <c r="D111" s="1" t="s">
        <v>8</v>
      </c>
      <c r="E111" s="53"/>
      <c r="F111" s="53"/>
      <c r="G111" s="53"/>
      <c r="H111" s="53"/>
      <c r="I111" s="53"/>
      <c r="J111" s="53"/>
      <c r="K111" s="53"/>
      <c r="L111" s="53"/>
      <c r="M111" s="53"/>
      <c r="N111" s="54"/>
    </row>
    <row r="112" spans="1:15" x14ac:dyDescent="0.25">
      <c r="A112" s="208"/>
      <c r="B112" s="225"/>
      <c r="C112" s="25" t="s">
        <v>118</v>
      </c>
      <c r="D112" s="1" t="s">
        <v>9</v>
      </c>
      <c r="E112" s="53"/>
      <c r="F112" s="53"/>
      <c r="G112" s="53"/>
      <c r="H112" s="53"/>
      <c r="I112" s="53"/>
      <c r="J112" s="53"/>
      <c r="K112" s="53"/>
      <c r="L112" s="53"/>
      <c r="M112" s="53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55">
        <v>0</v>
      </c>
      <c r="F113" s="55">
        <v>0</v>
      </c>
      <c r="G113" s="55">
        <v>0</v>
      </c>
      <c r="H113" s="55">
        <v>0</v>
      </c>
      <c r="I113" s="55">
        <v>0</v>
      </c>
      <c r="J113" s="55">
        <v>0</v>
      </c>
      <c r="K113" s="55">
        <v>0</v>
      </c>
      <c r="L113" s="55">
        <v>2.0349999999999999E-3</v>
      </c>
      <c r="M113" s="55">
        <v>2.0349999999999999E-3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53">
        <v>3.4299999999999997</v>
      </c>
      <c r="F116" s="53">
        <v>3.4299999999999997</v>
      </c>
      <c r="G116" s="53">
        <v>3.4299999999999997</v>
      </c>
      <c r="H116" s="53">
        <v>3.4299999999999997</v>
      </c>
      <c r="I116" s="53">
        <v>3.4299999999999997</v>
      </c>
      <c r="J116" s="53">
        <v>3.4299999999999997</v>
      </c>
      <c r="K116" s="53">
        <v>3.4299999999999997</v>
      </c>
      <c r="L116" s="53">
        <v>3.4299999999999997</v>
      </c>
      <c r="M116" s="53">
        <v>3.4299999999999997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53"/>
      <c r="F117" s="53"/>
      <c r="G117" s="53"/>
      <c r="H117" s="53"/>
      <c r="I117" s="53"/>
      <c r="J117" s="53"/>
      <c r="K117" s="53"/>
      <c r="L117" s="53"/>
      <c r="M117" s="53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53"/>
      <c r="F118" s="53"/>
      <c r="G118" s="53"/>
      <c r="H118" s="53"/>
      <c r="I118" s="53"/>
      <c r="J118" s="53"/>
      <c r="K118" s="53"/>
      <c r="L118" s="53"/>
      <c r="M118" s="53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53">
        <v>1</v>
      </c>
      <c r="F119" s="53">
        <v>1</v>
      </c>
      <c r="G119" s="53">
        <v>1</v>
      </c>
      <c r="H119" s="53">
        <v>1</v>
      </c>
      <c r="I119" s="53">
        <v>1</v>
      </c>
      <c r="J119" s="53">
        <v>1</v>
      </c>
      <c r="K119" s="53">
        <v>1</v>
      </c>
      <c r="L119" s="53">
        <v>1</v>
      </c>
      <c r="M119" s="53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53">
        <v>0.35</v>
      </c>
      <c r="F120" s="53">
        <v>0.35</v>
      </c>
      <c r="G120" s="53">
        <v>0.35</v>
      </c>
      <c r="H120" s="53">
        <v>0.35</v>
      </c>
      <c r="I120" s="53">
        <v>0.35</v>
      </c>
      <c r="J120" s="53">
        <v>0.35</v>
      </c>
      <c r="K120" s="53">
        <v>0.35</v>
      </c>
      <c r="L120" s="53">
        <v>0.35</v>
      </c>
      <c r="M120" s="53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53">
        <v>20</v>
      </c>
      <c r="F121" s="53">
        <v>20</v>
      </c>
      <c r="G121" s="53">
        <v>20</v>
      </c>
      <c r="H121" s="53">
        <v>20</v>
      </c>
      <c r="I121" s="53">
        <v>20</v>
      </c>
      <c r="J121" s="53">
        <v>20</v>
      </c>
      <c r="K121" s="53">
        <v>20</v>
      </c>
      <c r="L121" s="53">
        <v>20</v>
      </c>
      <c r="M121" s="53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55">
        <v>197.6111183946131</v>
      </c>
      <c r="F122" s="55">
        <v>167.43356959457475</v>
      </c>
      <c r="G122" s="55">
        <v>130.54476264689706</v>
      </c>
      <c r="H122" s="55">
        <v>105.30120481906971</v>
      </c>
      <c r="I122" s="55">
        <v>107.31263157894738</v>
      </c>
      <c r="J122" s="55">
        <v>107.00631578947369</v>
      </c>
      <c r="K122" s="55">
        <v>105.98526315789475</v>
      </c>
      <c r="L122" s="55">
        <v>103.84105263157896</v>
      </c>
      <c r="M122" s="55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56">
        <v>0</v>
      </c>
      <c r="F123" s="56">
        <v>0</v>
      </c>
      <c r="G123" s="56">
        <v>0</v>
      </c>
      <c r="H123" s="56">
        <v>0</v>
      </c>
      <c r="I123" s="56">
        <v>0</v>
      </c>
      <c r="J123" s="56">
        <v>0</v>
      </c>
      <c r="K123" s="56">
        <v>0</v>
      </c>
      <c r="L123" s="56">
        <v>0</v>
      </c>
      <c r="M123" s="56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53"/>
      <c r="F124" s="53"/>
      <c r="G124" s="53"/>
      <c r="H124" s="53"/>
      <c r="I124" s="53"/>
      <c r="J124" s="53"/>
      <c r="K124" s="53"/>
      <c r="L124" s="53"/>
      <c r="M124" s="53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55">
        <v>5.9283335518383931</v>
      </c>
      <c r="F125" s="55">
        <v>5.0230070878372421</v>
      </c>
      <c r="G125" s="55">
        <v>3.9163428794069115</v>
      </c>
      <c r="H125" s="55">
        <v>3.1590361445720911</v>
      </c>
      <c r="I125" s="55">
        <v>2.0378947368421052</v>
      </c>
      <c r="J125" s="55">
        <v>2.0189473684210526</v>
      </c>
      <c r="K125" s="55">
        <v>1.9557894736842103</v>
      </c>
      <c r="L125" s="55">
        <v>1.8231578947368419</v>
      </c>
      <c r="M125" s="55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55">
        <v>0</v>
      </c>
      <c r="F126" s="55">
        <v>0</v>
      </c>
      <c r="G126" s="55">
        <v>0</v>
      </c>
      <c r="H126" s="55">
        <v>0</v>
      </c>
      <c r="I126" s="55">
        <v>0</v>
      </c>
      <c r="J126" s="55">
        <v>0</v>
      </c>
      <c r="K126" s="55">
        <v>1.6858736842105264E-3</v>
      </c>
      <c r="L126" s="55">
        <v>1.5474947368421053E-3</v>
      </c>
      <c r="M126" s="55">
        <v>1.2707368421052633E-3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56">
        <v>0.99124999999999996</v>
      </c>
      <c r="F128" s="56">
        <v>0.99124999999999996</v>
      </c>
      <c r="G128" s="56">
        <v>0.99124999999999996</v>
      </c>
      <c r="H128" s="56">
        <v>0.99124999999999996</v>
      </c>
      <c r="I128" s="56">
        <v>0.99124999999999996</v>
      </c>
      <c r="J128" s="56">
        <v>0.99124999999999996</v>
      </c>
      <c r="K128" s="56">
        <v>0.99649999999999994</v>
      </c>
      <c r="L128" s="56">
        <v>0.99649999999999994</v>
      </c>
      <c r="M128" s="56">
        <v>0.99649999999999994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55">
        <v>1524.6</v>
      </c>
      <c r="F129" s="55">
        <v>1749.6</v>
      </c>
      <c r="G129" s="55">
        <v>2349.6</v>
      </c>
      <c r="H129" s="55">
        <v>3174.6</v>
      </c>
      <c r="I129" s="55">
        <v>4299.6000000000004</v>
      </c>
      <c r="J129" s="55">
        <v>14213</v>
      </c>
      <c r="K129" s="55">
        <v>21713</v>
      </c>
      <c r="L129" s="55">
        <v>37463</v>
      </c>
      <c r="M129" s="55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53">
        <v>40</v>
      </c>
      <c r="F130" s="53">
        <v>40</v>
      </c>
      <c r="G130" s="53">
        <v>40</v>
      </c>
      <c r="H130" s="53">
        <v>40</v>
      </c>
      <c r="I130" s="53">
        <v>40</v>
      </c>
      <c r="J130" s="53">
        <v>40</v>
      </c>
      <c r="K130" s="53">
        <v>40</v>
      </c>
      <c r="L130" s="53">
        <v>40</v>
      </c>
      <c r="M130" s="53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53">
        <v>0.35</v>
      </c>
      <c r="F131" s="53">
        <v>0.35</v>
      </c>
      <c r="G131" s="53">
        <v>0.35</v>
      </c>
      <c r="H131" s="53">
        <v>0.35</v>
      </c>
      <c r="I131" s="53">
        <v>0.35</v>
      </c>
      <c r="J131" s="53">
        <v>0.35</v>
      </c>
      <c r="K131" s="53">
        <v>0.35</v>
      </c>
      <c r="L131" s="53">
        <v>0.35</v>
      </c>
      <c r="M131" s="53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53">
        <v>1.8571428571428572</v>
      </c>
      <c r="F132" s="53">
        <v>1.8571428571428572</v>
      </c>
      <c r="G132" s="53">
        <v>1.8571428571428572</v>
      </c>
      <c r="H132" s="53">
        <v>1.8571428571428572</v>
      </c>
      <c r="I132" s="53">
        <v>1.8571428571428572</v>
      </c>
      <c r="J132" s="53">
        <v>1.8571428571428572</v>
      </c>
      <c r="K132" s="53">
        <v>1.8571428571428572</v>
      </c>
      <c r="L132" s="53">
        <v>1.8571428571428572</v>
      </c>
      <c r="M132" s="53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53">
        <v>20</v>
      </c>
      <c r="F133" s="53">
        <v>20</v>
      </c>
      <c r="G133" s="53">
        <v>20</v>
      </c>
      <c r="H133" s="53">
        <v>20</v>
      </c>
      <c r="I133" s="53">
        <v>20</v>
      </c>
      <c r="J133" s="53">
        <v>20</v>
      </c>
      <c r="K133" s="53">
        <v>20</v>
      </c>
      <c r="L133" s="53">
        <v>20</v>
      </c>
      <c r="M133" s="53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55">
        <v>6164.6383832423717</v>
      </c>
      <c r="F134" s="55">
        <v>4148.5230456644149</v>
      </c>
      <c r="G134" s="55">
        <v>2556.3762612328273</v>
      </c>
      <c r="H134" s="55">
        <v>2029.3996454702053</v>
      </c>
      <c r="I134" s="55">
        <v>1711.4923611115926</v>
      </c>
      <c r="J134" s="55">
        <v>1355.2644648583628</v>
      </c>
      <c r="K134" s="55">
        <v>1064.4923090556324</v>
      </c>
      <c r="L134" s="55">
        <v>855.19192060813634</v>
      </c>
      <c r="M134" s="55">
        <v>698.34303740823668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56">
        <v>0</v>
      </c>
      <c r="F135" s="56">
        <v>0</v>
      </c>
      <c r="G135" s="56">
        <v>0</v>
      </c>
      <c r="H135" s="56">
        <v>0</v>
      </c>
      <c r="I135" s="56">
        <v>0</v>
      </c>
      <c r="J135" s="56">
        <v>0</v>
      </c>
      <c r="K135" s="56">
        <v>0</v>
      </c>
      <c r="L135" s="56">
        <v>0</v>
      </c>
      <c r="M135" s="56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53"/>
      <c r="F137" s="53"/>
      <c r="G137" s="53"/>
      <c r="H137" s="53"/>
      <c r="I137" s="53"/>
      <c r="J137" s="53"/>
      <c r="K137" s="53"/>
      <c r="L137" s="53"/>
      <c r="M137" s="53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55">
        <v>5.4632155805897732E-2</v>
      </c>
      <c r="F138" s="55">
        <v>6.9225169277652349E-2</v>
      </c>
      <c r="G138" s="55">
        <v>5.5072970988733948E-2</v>
      </c>
      <c r="H138" s="55">
        <v>4.6604222305577481E-2</v>
      </c>
      <c r="I138" s="55">
        <v>4.0289223212275231E-2</v>
      </c>
      <c r="J138" s="55">
        <v>2.4583755873341454E-2</v>
      </c>
      <c r="K138" s="55">
        <v>1.9104989606490121E-2</v>
      </c>
      <c r="L138" s="55">
        <v>1.5182594783541725E-2</v>
      </c>
      <c r="M138" s="55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59">
        <v>0.25</v>
      </c>
      <c r="F142" s="59">
        <v>0.25</v>
      </c>
      <c r="G142" s="59">
        <v>0.25</v>
      </c>
      <c r="H142" s="59">
        <v>0.25</v>
      </c>
      <c r="I142" s="59">
        <v>0.25</v>
      </c>
      <c r="J142" s="59">
        <v>0.25</v>
      </c>
      <c r="K142" s="59">
        <v>0.25</v>
      </c>
      <c r="L142" s="59">
        <v>0.25</v>
      </c>
      <c r="M142" s="59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56">
        <v>0.66625430833964439</v>
      </c>
      <c r="F143" s="56">
        <v>0.66367464936796561</v>
      </c>
      <c r="G143" s="56">
        <v>0.65679555877682227</v>
      </c>
      <c r="H143" s="56">
        <v>0.64733680921400016</v>
      </c>
      <c r="I143" s="56">
        <v>0.63443851435560639</v>
      </c>
      <c r="J143" s="56">
        <v>0.4680070358050421</v>
      </c>
      <c r="K143" s="56">
        <v>0.46713859851464173</v>
      </c>
      <c r="L143" s="56">
        <v>0.46531488020480088</v>
      </c>
      <c r="M143" s="56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56">
        <v>0.25092243745356524</v>
      </c>
      <c r="F144" s="56">
        <v>0.25657675134016689</v>
      </c>
      <c r="G144" s="56">
        <v>0.27165492170443795</v>
      </c>
      <c r="H144" s="56">
        <v>0.29238740595531065</v>
      </c>
      <c r="I144" s="56">
        <v>0.32065897538831889</v>
      </c>
      <c r="J144" s="56">
        <v>0.41290384467151914</v>
      </c>
      <c r="K144" s="56">
        <v>0.41363974384019625</v>
      </c>
      <c r="L144" s="56">
        <v>0.41518513209441815</v>
      </c>
      <c r="M144" s="56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55">
        <v>0</v>
      </c>
      <c r="F145" s="55">
        <v>0</v>
      </c>
      <c r="G145" s="55">
        <v>0</v>
      </c>
      <c r="H145" s="55">
        <v>0</v>
      </c>
      <c r="I145" s="55">
        <v>0</v>
      </c>
      <c r="J145" s="55">
        <v>0</v>
      </c>
      <c r="K145" s="55">
        <v>0</v>
      </c>
      <c r="L145" s="55">
        <v>0</v>
      </c>
      <c r="M145" s="55">
        <v>0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55">
        <v>0</v>
      </c>
      <c r="F146" s="55">
        <v>0</v>
      </c>
      <c r="G146" s="55">
        <v>0</v>
      </c>
      <c r="H146" s="55">
        <v>0</v>
      </c>
      <c r="I146" s="55">
        <v>0</v>
      </c>
      <c r="J146" s="55">
        <v>0</v>
      </c>
      <c r="K146" s="55">
        <v>0</v>
      </c>
      <c r="L146" s="55">
        <v>0</v>
      </c>
      <c r="M146" s="55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53">
        <v>0</v>
      </c>
      <c r="F147" s="53">
        <v>0</v>
      </c>
      <c r="G147" s="53">
        <v>0</v>
      </c>
      <c r="H147" s="53">
        <v>0</v>
      </c>
      <c r="I147" s="53">
        <v>0</v>
      </c>
      <c r="J147" s="53">
        <v>0</v>
      </c>
      <c r="K147" s="53">
        <v>0</v>
      </c>
      <c r="L147" s="53">
        <v>0</v>
      </c>
      <c r="M147" s="53">
        <v>0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53">
        <v>1</v>
      </c>
      <c r="F148" s="53">
        <v>1</v>
      </c>
      <c r="G148" s="53">
        <v>1</v>
      </c>
      <c r="H148" s="53">
        <v>1</v>
      </c>
      <c r="I148" s="53">
        <v>1</v>
      </c>
      <c r="J148" s="53">
        <v>1</v>
      </c>
      <c r="K148" s="53">
        <v>1</v>
      </c>
      <c r="L148" s="53">
        <v>1</v>
      </c>
      <c r="M148" s="53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53">
        <v>0.35</v>
      </c>
      <c r="F149" s="53">
        <v>0.35</v>
      </c>
      <c r="G149" s="53">
        <v>0.35</v>
      </c>
      <c r="H149" s="53">
        <v>0.35</v>
      </c>
      <c r="I149" s="53">
        <v>0.35</v>
      </c>
      <c r="J149" s="53">
        <v>0.35</v>
      </c>
      <c r="K149" s="53">
        <v>0.35</v>
      </c>
      <c r="L149" s="53">
        <v>0.35</v>
      </c>
      <c r="M149" s="53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53">
        <v>20</v>
      </c>
      <c r="F150" s="53">
        <v>20</v>
      </c>
      <c r="G150" s="53">
        <v>20</v>
      </c>
      <c r="H150" s="53">
        <v>20</v>
      </c>
      <c r="I150" s="53">
        <v>20</v>
      </c>
      <c r="J150" s="53">
        <v>20</v>
      </c>
      <c r="K150" s="53">
        <v>20</v>
      </c>
      <c r="L150" s="53">
        <v>20</v>
      </c>
      <c r="M150" s="53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55">
        <v>197.6111183946131</v>
      </c>
      <c r="F151" s="55">
        <v>167.43356959457475</v>
      </c>
      <c r="G151" s="55">
        <v>130.54476264689706</v>
      </c>
      <c r="H151" s="55">
        <v>105.30120481906971</v>
      </c>
      <c r="I151" s="55">
        <v>107.31263157894738</v>
      </c>
      <c r="J151" s="55">
        <v>107.00631578947369</v>
      </c>
      <c r="K151" s="55">
        <v>105.98526315789475</v>
      </c>
      <c r="L151" s="55">
        <v>103.84105263157896</v>
      </c>
      <c r="M151" s="55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56">
        <v>0</v>
      </c>
      <c r="F152" s="56">
        <v>0</v>
      </c>
      <c r="G152" s="56">
        <v>0</v>
      </c>
      <c r="H152" s="56">
        <v>0</v>
      </c>
      <c r="I152" s="56">
        <v>0</v>
      </c>
      <c r="J152" s="56">
        <v>0</v>
      </c>
      <c r="K152" s="56">
        <v>0</v>
      </c>
      <c r="L152" s="56">
        <v>0</v>
      </c>
      <c r="M152" s="56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53"/>
      <c r="F153" s="53"/>
      <c r="G153" s="53"/>
      <c r="H153" s="53"/>
      <c r="I153" s="53"/>
      <c r="J153" s="53"/>
      <c r="K153" s="53"/>
      <c r="L153" s="53"/>
      <c r="M153" s="53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55">
        <v>5.9283335518383931</v>
      </c>
      <c r="F154" s="55">
        <v>5.0230070878372421</v>
      </c>
      <c r="G154" s="55">
        <v>3.9163428794069115</v>
      </c>
      <c r="H154" s="55">
        <v>3.1590361445720911</v>
      </c>
      <c r="I154" s="55">
        <v>2.0378947368421052</v>
      </c>
      <c r="J154" s="55">
        <v>2.0189473684210526</v>
      </c>
      <c r="K154" s="55">
        <v>1.9557894736842103</v>
      </c>
      <c r="L154" s="55">
        <v>1.8231578947368419</v>
      </c>
      <c r="M154" s="55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55">
        <v>0</v>
      </c>
      <c r="F155" s="55">
        <v>0</v>
      </c>
      <c r="G155" s="55">
        <v>0</v>
      </c>
      <c r="H155" s="55">
        <v>0</v>
      </c>
      <c r="I155" s="55">
        <v>0</v>
      </c>
      <c r="J155" s="55">
        <v>0</v>
      </c>
      <c r="K155" s="55">
        <v>1.6858736842105264E-3</v>
      </c>
      <c r="L155" s="55">
        <v>1.5474947368421053E-3</v>
      </c>
      <c r="M155" s="55">
        <v>1.2707368421052633E-3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56">
        <v>0.99124999999999996</v>
      </c>
      <c r="F157" s="56">
        <v>0.99124999999999996</v>
      </c>
      <c r="G157" s="56">
        <v>0.99124999999999996</v>
      </c>
      <c r="H157" s="56">
        <v>0.99124999999999996</v>
      </c>
      <c r="I157" s="56">
        <v>0.99124999999999996</v>
      </c>
      <c r="J157" s="56">
        <v>0.99124999999999996</v>
      </c>
      <c r="K157" s="56">
        <v>0.99649999999999994</v>
      </c>
      <c r="L157" s="56">
        <v>0.99649999999999994</v>
      </c>
      <c r="M157" s="56">
        <v>0.99649999999999994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55">
        <v>1524.6</v>
      </c>
      <c r="F158" s="55">
        <v>1749.6</v>
      </c>
      <c r="G158" s="55">
        <v>2349.6</v>
      </c>
      <c r="H158" s="55">
        <v>3174.6</v>
      </c>
      <c r="I158" s="55">
        <v>4299.6000000000004</v>
      </c>
      <c r="J158" s="55">
        <v>14213</v>
      </c>
      <c r="K158" s="55">
        <v>21713</v>
      </c>
      <c r="L158" s="55">
        <v>37463</v>
      </c>
      <c r="M158" s="55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53">
        <v>40</v>
      </c>
      <c r="F159" s="53">
        <v>40</v>
      </c>
      <c r="G159" s="53">
        <v>40</v>
      </c>
      <c r="H159" s="53">
        <v>40</v>
      </c>
      <c r="I159" s="53">
        <v>40</v>
      </c>
      <c r="J159" s="53">
        <v>40</v>
      </c>
      <c r="K159" s="53">
        <v>40</v>
      </c>
      <c r="L159" s="53">
        <v>40</v>
      </c>
      <c r="M159" s="53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53">
        <v>0.35</v>
      </c>
      <c r="F160" s="53">
        <v>0.35</v>
      </c>
      <c r="G160" s="53">
        <v>0.35</v>
      </c>
      <c r="H160" s="53">
        <v>0.35</v>
      </c>
      <c r="I160" s="53">
        <v>0.35</v>
      </c>
      <c r="J160" s="53">
        <v>0.35</v>
      </c>
      <c r="K160" s="53">
        <v>0.35</v>
      </c>
      <c r="L160" s="53">
        <v>0.35</v>
      </c>
      <c r="M160" s="53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53">
        <v>1.8571428571428572</v>
      </c>
      <c r="F161" s="53">
        <v>1.8571428571428572</v>
      </c>
      <c r="G161" s="53">
        <v>1.8571428571428572</v>
      </c>
      <c r="H161" s="53">
        <v>1.8571428571428572</v>
      </c>
      <c r="I161" s="53">
        <v>1.8571428571428572</v>
      </c>
      <c r="J161" s="53">
        <v>1.8571428571428572</v>
      </c>
      <c r="K161" s="53">
        <v>1.8571428571428572</v>
      </c>
      <c r="L161" s="53">
        <v>1.8571428571428572</v>
      </c>
      <c r="M161" s="53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53">
        <v>20</v>
      </c>
      <c r="F162" s="53">
        <v>20</v>
      </c>
      <c r="G162" s="53">
        <v>20</v>
      </c>
      <c r="H162" s="53">
        <v>20</v>
      </c>
      <c r="I162" s="53">
        <v>20</v>
      </c>
      <c r="J162" s="53">
        <v>20</v>
      </c>
      <c r="K162" s="53">
        <v>20</v>
      </c>
      <c r="L162" s="53">
        <v>20</v>
      </c>
      <c r="M162" s="53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55">
        <v>6164.6383832423717</v>
      </c>
      <c r="F163" s="55">
        <v>4148.5230456644149</v>
      </c>
      <c r="G163" s="55">
        <v>2556.3762612328273</v>
      </c>
      <c r="H163" s="55">
        <v>2029.3996454702053</v>
      </c>
      <c r="I163" s="55">
        <v>1711.4923611115926</v>
      </c>
      <c r="J163" s="55">
        <v>1355.2644648583628</v>
      </c>
      <c r="K163" s="55">
        <v>1064.4923090556324</v>
      </c>
      <c r="L163" s="55">
        <v>855.19192060813634</v>
      </c>
      <c r="M163" s="55">
        <v>698.34303740823668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56">
        <v>0</v>
      </c>
      <c r="F164" s="56">
        <v>0</v>
      </c>
      <c r="G164" s="56">
        <v>0</v>
      </c>
      <c r="H164" s="56">
        <v>0</v>
      </c>
      <c r="I164" s="56">
        <v>0</v>
      </c>
      <c r="J164" s="56">
        <v>0</v>
      </c>
      <c r="K164" s="56">
        <v>0</v>
      </c>
      <c r="L164" s="56">
        <v>0</v>
      </c>
      <c r="M164" s="56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53"/>
      <c r="F165" s="53"/>
      <c r="G165" s="53"/>
      <c r="H165" s="53"/>
      <c r="I165" s="53"/>
      <c r="J165" s="53"/>
      <c r="K165" s="53"/>
      <c r="L165" s="53"/>
      <c r="M165" s="53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53"/>
      <c r="F166" s="53"/>
      <c r="G166" s="53"/>
      <c r="H166" s="53"/>
      <c r="I166" s="53"/>
      <c r="J166" s="53"/>
      <c r="K166" s="53"/>
      <c r="L166" s="53"/>
      <c r="M166" s="53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55">
        <v>5.4632155805897732E-2</v>
      </c>
      <c r="F167" s="55">
        <v>6.9225169277652349E-2</v>
      </c>
      <c r="G167" s="55">
        <v>5.5072970988733948E-2</v>
      </c>
      <c r="H167" s="55">
        <v>4.6604222305577481E-2</v>
      </c>
      <c r="I167" s="55">
        <v>4.0289223212275231E-2</v>
      </c>
      <c r="J167" s="55">
        <v>2.4583755873341454E-2</v>
      </c>
      <c r="K167" s="55">
        <v>1.9104989606490121E-2</v>
      </c>
      <c r="L167" s="55">
        <v>1.5182594783541725E-2</v>
      </c>
      <c r="M167" s="55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55">
        <v>0</v>
      </c>
      <c r="F168" s="55">
        <v>0</v>
      </c>
      <c r="G168" s="55">
        <v>0</v>
      </c>
      <c r="H168" s="55">
        <v>0</v>
      </c>
      <c r="I168" s="55">
        <v>0</v>
      </c>
      <c r="J168" s="55">
        <v>0</v>
      </c>
      <c r="K168" s="55">
        <v>0</v>
      </c>
      <c r="L168" s="55">
        <v>0</v>
      </c>
      <c r="M168" s="55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53"/>
      <c r="F169" s="53"/>
      <c r="G169" s="53"/>
      <c r="H169" s="53"/>
      <c r="I169" s="53"/>
      <c r="J169" s="53"/>
      <c r="K169" s="53"/>
      <c r="L169" s="53"/>
      <c r="M169" s="53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53"/>
      <c r="F170" s="53"/>
      <c r="G170" s="53"/>
      <c r="H170" s="53"/>
      <c r="I170" s="53"/>
      <c r="J170" s="53"/>
      <c r="K170" s="53"/>
      <c r="L170" s="53"/>
      <c r="M170" s="53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59">
        <v>0.5</v>
      </c>
      <c r="F171" s="59">
        <v>0.5</v>
      </c>
      <c r="G171" s="59">
        <v>0.5</v>
      </c>
      <c r="H171" s="59">
        <v>0.5</v>
      </c>
      <c r="I171" s="59">
        <v>0.5</v>
      </c>
      <c r="J171" s="59">
        <v>0.5</v>
      </c>
      <c r="K171" s="59">
        <v>0.5</v>
      </c>
      <c r="L171" s="59">
        <v>0.5</v>
      </c>
      <c r="M171" s="59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56">
        <v>0.66625430833964439</v>
      </c>
      <c r="F172" s="56">
        <v>0.66367464936796561</v>
      </c>
      <c r="G172" s="56">
        <v>0.65679555877682227</v>
      </c>
      <c r="H172" s="56">
        <v>0.64733680921400016</v>
      </c>
      <c r="I172" s="56">
        <v>0.63443851435560639</v>
      </c>
      <c r="J172" s="56">
        <v>0.4680070358050421</v>
      </c>
      <c r="K172" s="56">
        <v>0.46713859851464173</v>
      </c>
      <c r="L172" s="56">
        <v>0.46531488020480088</v>
      </c>
      <c r="M172" s="56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56">
        <v>0.25092243745356524</v>
      </c>
      <c r="F173" s="56">
        <v>0.25657675134016689</v>
      </c>
      <c r="G173" s="56">
        <v>0.27165492170443795</v>
      </c>
      <c r="H173" s="56">
        <v>0.29238740595531065</v>
      </c>
      <c r="I173" s="56">
        <v>0.32065897538831889</v>
      </c>
      <c r="J173" s="56">
        <v>0.41290384467151914</v>
      </c>
      <c r="K173" s="56">
        <v>0.41363974384019625</v>
      </c>
      <c r="L173" s="56">
        <v>0.41518513209441815</v>
      </c>
      <c r="M173" s="56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53">
        <v>0</v>
      </c>
      <c r="F176" s="53">
        <v>0</v>
      </c>
      <c r="G176" s="53">
        <v>0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60">
        <v>1</v>
      </c>
      <c r="F177" s="60">
        <v>1</v>
      </c>
      <c r="G177" s="60">
        <v>1</v>
      </c>
      <c r="H177" s="60">
        <v>1</v>
      </c>
      <c r="I177" s="60">
        <v>1</v>
      </c>
      <c r="J177" s="60">
        <v>1</v>
      </c>
      <c r="K177" s="60">
        <v>1</v>
      </c>
      <c r="L177" s="60">
        <v>1</v>
      </c>
      <c r="M177" s="60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53">
        <v>0.8</v>
      </c>
      <c r="F178" s="53">
        <v>0.8</v>
      </c>
      <c r="G178" s="53">
        <v>0.8</v>
      </c>
      <c r="H178" s="53">
        <v>0.8</v>
      </c>
      <c r="I178" s="53">
        <v>0.8</v>
      </c>
      <c r="J178" s="53">
        <v>0.8</v>
      </c>
      <c r="K178" s="53">
        <v>0.8</v>
      </c>
      <c r="L178" s="53">
        <v>0.8</v>
      </c>
      <c r="M178" s="53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53">
        <v>20</v>
      </c>
      <c r="F179" s="53">
        <v>20</v>
      </c>
      <c r="G179" s="53">
        <v>20</v>
      </c>
      <c r="H179" s="53">
        <v>20</v>
      </c>
      <c r="I179" s="53">
        <v>20</v>
      </c>
      <c r="J179" s="53">
        <v>20</v>
      </c>
      <c r="K179" s="53">
        <v>20</v>
      </c>
      <c r="L179" s="53">
        <v>20</v>
      </c>
      <c r="M179" s="53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55">
        <v>197.6111183946131</v>
      </c>
      <c r="F180" s="55">
        <v>167.43356959457475</v>
      </c>
      <c r="G180" s="55">
        <v>130.54476264689706</v>
      </c>
      <c r="H180" s="55">
        <v>105.30120481906971</v>
      </c>
      <c r="I180" s="55">
        <v>107.31263157894738</v>
      </c>
      <c r="J180" s="55">
        <v>107.00631578947369</v>
      </c>
      <c r="K180" s="55">
        <v>105.98526315789475</v>
      </c>
      <c r="L180" s="55">
        <v>103.84105263157896</v>
      </c>
      <c r="M180" s="55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56">
        <v>0</v>
      </c>
      <c r="F181" s="56">
        <v>0</v>
      </c>
      <c r="G181" s="56">
        <v>0</v>
      </c>
      <c r="H181" s="56">
        <v>0</v>
      </c>
      <c r="I181" s="56">
        <v>0</v>
      </c>
      <c r="J181" s="56">
        <v>0</v>
      </c>
      <c r="K181" s="56">
        <v>0</v>
      </c>
      <c r="L181" s="56">
        <v>0</v>
      </c>
      <c r="M181" s="56">
        <v>0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53"/>
      <c r="F182" s="53"/>
      <c r="G182" s="53"/>
      <c r="H182" s="53"/>
      <c r="I182" s="53"/>
      <c r="J182" s="53"/>
      <c r="K182" s="53"/>
      <c r="L182" s="53"/>
      <c r="M182" s="53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55">
        <v>5.9283335518383931</v>
      </c>
      <c r="F183" s="55">
        <v>5.0230070878372421</v>
      </c>
      <c r="G183" s="55">
        <v>3.9163428794069115</v>
      </c>
      <c r="H183" s="55">
        <v>3.1590361445720911</v>
      </c>
      <c r="I183" s="55">
        <v>2.0378947368421052</v>
      </c>
      <c r="J183" s="55">
        <v>2.0189473684210526</v>
      </c>
      <c r="K183" s="55">
        <v>1.9557894736842103</v>
      </c>
      <c r="L183" s="55">
        <v>1.8231578947368419</v>
      </c>
      <c r="M183" s="55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1.6858736842105264E-3</v>
      </c>
      <c r="L184" s="55">
        <v>1.5474947368421053E-3</v>
      </c>
      <c r="M184" s="55">
        <v>1.2707368421052633E-3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55">
        <v>0</v>
      </c>
      <c r="F185" s="55">
        <v>0</v>
      </c>
      <c r="G185" s="55">
        <v>0</v>
      </c>
      <c r="H185" s="55">
        <v>0</v>
      </c>
      <c r="I185" s="55">
        <v>0</v>
      </c>
      <c r="J185" s="55">
        <v>0</v>
      </c>
      <c r="K185" s="55">
        <v>0</v>
      </c>
      <c r="L185" s="55">
        <v>0</v>
      </c>
      <c r="M185" s="55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56">
        <v>0.99124999999999996</v>
      </c>
      <c r="F186" s="56">
        <v>0.99124999999999996</v>
      </c>
      <c r="G186" s="56">
        <v>0.99124999999999996</v>
      </c>
      <c r="H186" s="56">
        <v>0.99124999999999996</v>
      </c>
      <c r="I186" s="56">
        <v>0.99124999999999996</v>
      </c>
      <c r="J186" s="56">
        <v>0.99124999999999996</v>
      </c>
      <c r="K186" s="56">
        <v>0.99649999999999994</v>
      </c>
      <c r="L186" s="56">
        <v>0.99649999999999994</v>
      </c>
      <c r="M186" s="56">
        <v>0.99649999999999994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55">
        <v>1524.6</v>
      </c>
      <c r="F187" s="55">
        <v>1749.6</v>
      </c>
      <c r="G187" s="55">
        <v>2349.6</v>
      </c>
      <c r="H187" s="55">
        <v>3174.6</v>
      </c>
      <c r="I187" s="55">
        <v>4299.6000000000004</v>
      </c>
      <c r="J187" s="55">
        <v>14213</v>
      </c>
      <c r="K187" s="55">
        <v>21713</v>
      </c>
      <c r="L187" s="55">
        <v>37463</v>
      </c>
      <c r="M187" s="55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53">
        <v>40</v>
      </c>
      <c r="F188" s="53">
        <v>40</v>
      </c>
      <c r="G188" s="53">
        <v>40</v>
      </c>
      <c r="H188" s="53">
        <v>40</v>
      </c>
      <c r="I188" s="53">
        <v>40</v>
      </c>
      <c r="J188" s="53">
        <v>40</v>
      </c>
      <c r="K188" s="53">
        <v>40</v>
      </c>
      <c r="L188" s="53">
        <v>40</v>
      </c>
      <c r="M188" s="53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60">
        <v>0.3125</v>
      </c>
      <c r="F189" s="60">
        <v>0.3125</v>
      </c>
      <c r="G189" s="60">
        <v>0.3125</v>
      </c>
      <c r="H189" s="60">
        <v>0.3125</v>
      </c>
      <c r="I189" s="60">
        <v>0.3125</v>
      </c>
      <c r="J189" s="60">
        <v>0.3125</v>
      </c>
      <c r="K189" s="60">
        <v>0.3125</v>
      </c>
      <c r="L189" s="60">
        <v>0.3125</v>
      </c>
      <c r="M189" s="60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53">
        <v>0.64</v>
      </c>
      <c r="F190" s="53">
        <v>0.64</v>
      </c>
      <c r="G190" s="53">
        <v>0.64</v>
      </c>
      <c r="H190" s="53">
        <v>0.64</v>
      </c>
      <c r="I190" s="53">
        <v>0.64</v>
      </c>
      <c r="J190" s="53">
        <v>0.64</v>
      </c>
      <c r="K190" s="53">
        <v>0.64</v>
      </c>
      <c r="L190" s="53">
        <v>0.64</v>
      </c>
      <c r="M190" s="53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53">
        <v>20</v>
      </c>
      <c r="F191" s="53">
        <v>20</v>
      </c>
      <c r="G191" s="53">
        <v>20</v>
      </c>
      <c r="H191" s="53">
        <v>20</v>
      </c>
      <c r="I191" s="53">
        <v>20</v>
      </c>
      <c r="J191" s="53">
        <v>20</v>
      </c>
      <c r="K191" s="53">
        <v>20</v>
      </c>
      <c r="L191" s="53">
        <v>20</v>
      </c>
      <c r="M191" s="53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61">
        <v>877.91003708184292</v>
      </c>
      <c r="F192" s="55">
        <v>864.68237166000415</v>
      </c>
      <c r="G192" s="55">
        <v>829.40859720176718</v>
      </c>
      <c r="H192" s="55">
        <v>780.90715732169144</v>
      </c>
      <c r="I192" s="55">
        <v>714.76883021249728</v>
      </c>
      <c r="J192" s="55">
        <v>582.49217599410895</v>
      </c>
      <c r="K192" s="55">
        <v>496.07142857142856</v>
      </c>
      <c r="L192" s="55">
        <v>496.07142857142856</v>
      </c>
      <c r="M192" s="55">
        <v>496.07142857142856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56">
        <v>0</v>
      </c>
      <c r="F193" s="56">
        <v>0</v>
      </c>
      <c r="G193" s="56">
        <v>0</v>
      </c>
      <c r="H193" s="56">
        <v>0</v>
      </c>
      <c r="I193" s="56">
        <v>0</v>
      </c>
      <c r="J193" s="56">
        <v>0</v>
      </c>
      <c r="K193" s="56">
        <v>0</v>
      </c>
      <c r="L193" s="56">
        <v>0</v>
      </c>
      <c r="M193" s="56">
        <v>0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55">
        <v>50.989543446244483</v>
      </c>
      <c r="F194" s="55">
        <v>67.502798232695142</v>
      </c>
      <c r="G194" s="55">
        <v>111.53814432989691</v>
      </c>
      <c r="H194" s="55">
        <v>172.08674521354934</v>
      </c>
      <c r="I194" s="55">
        <v>254.65301914580263</v>
      </c>
      <c r="J194" s="55">
        <v>419.78556701030925</v>
      </c>
      <c r="K194" s="55">
        <v>584.91811487481596</v>
      </c>
      <c r="L194" s="55">
        <v>584.91811487481596</v>
      </c>
      <c r="M194" s="55">
        <v>584.91811487481596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53"/>
      <c r="F195" s="53"/>
      <c r="G195" s="53"/>
      <c r="H195" s="53"/>
      <c r="I195" s="53"/>
      <c r="J195" s="53"/>
      <c r="K195" s="53"/>
      <c r="L195" s="53"/>
      <c r="M195" s="53"/>
    </row>
    <row r="196" spans="1:14" x14ac:dyDescent="0.25">
      <c r="A196" s="208"/>
      <c r="B196" s="225"/>
      <c r="C196" s="25" t="s">
        <v>135</v>
      </c>
      <c r="D196" s="1" t="s">
        <v>10</v>
      </c>
      <c r="E196" s="53"/>
      <c r="F196" s="53"/>
      <c r="G196" s="53"/>
      <c r="H196" s="53"/>
      <c r="I196" s="53"/>
      <c r="J196" s="53"/>
      <c r="K196" s="53"/>
      <c r="L196" s="53"/>
      <c r="M196" s="53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53"/>
      <c r="F197" s="53"/>
      <c r="G197" s="53"/>
      <c r="H197" s="53"/>
      <c r="I197" s="53"/>
      <c r="J197" s="53"/>
      <c r="K197" s="53"/>
      <c r="L197" s="53"/>
      <c r="M197" s="53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53">
        <v>1</v>
      </c>
      <c r="F198" s="53">
        <v>1</v>
      </c>
      <c r="G198" s="53">
        <v>1</v>
      </c>
      <c r="H198" s="53">
        <v>1</v>
      </c>
      <c r="I198" s="53">
        <v>1</v>
      </c>
      <c r="J198" s="53">
        <v>1</v>
      </c>
      <c r="K198" s="53">
        <v>1</v>
      </c>
      <c r="L198" s="53">
        <v>1</v>
      </c>
      <c r="M198" s="53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53">
        <v>0.65</v>
      </c>
      <c r="F199" s="53">
        <v>0.65</v>
      </c>
      <c r="G199" s="53">
        <v>0.65</v>
      </c>
      <c r="H199" s="53">
        <v>0.65</v>
      </c>
      <c r="I199" s="53">
        <v>0.65</v>
      </c>
      <c r="J199" s="53">
        <v>0.65</v>
      </c>
      <c r="K199" s="53">
        <v>0.65</v>
      </c>
      <c r="L199" s="53">
        <v>0.65</v>
      </c>
      <c r="M199" s="53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53">
        <v>20</v>
      </c>
      <c r="F200" s="53">
        <v>20</v>
      </c>
      <c r="G200" s="53">
        <v>20</v>
      </c>
      <c r="H200" s="53">
        <v>20</v>
      </c>
      <c r="I200" s="53">
        <v>20</v>
      </c>
      <c r="J200" s="53">
        <v>20</v>
      </c>
      <c r="K200" s="53">
        <v>20</v>
      </c>
      <c r="L200" s="53">
        <v>20</v>
      </c>
      <c r="M200" s="53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55">
        <v>197.6111183946131</v>
      </c>
      <c r="F201" s="55">
        <v>167.43356959457475</v>
      </c>
      <c r="G201" s="55">
        <v>130.54476264689706</v>
      </c>
      <c r="H201" s="55">
        <v>105.30120481906971</v>
      </c>
      <c r="I201" s="55">
        <v>107.31263157894738</v>
      </c>
      <c r="J201" s="55">
        <v>107.00631578947369</v>
      </c>
      <c r="K201" s="55">
        <v>105.98526315789475</v>
      </c>
      <c r="L201" s="55">
        <v>103.84105263157896</v>
      </c>
      <c r="M201" s="55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56">
        <v>0</v>
      </c>
      <c r="F202" s="56">
        <v>0</v>
      </c>
      <c r="G202" s="56">
        <v>0</v>
      </c>
      <c r="H202" s="56">
        <v>0</v>
      </c>
      <c r="I202" s="56">
        <v>0</v>
      </c>
      <c r="J202" s="56">
        <v>0</v>
      </c>
      <c r="K202" s="56">
        <v>0</v>
      </c>
      <c r="L202" s="56">
        <v>0</v>
      </c>
      <c r="M202" s="56">
        <v>0</v>
      </c>
    </row>
    <row r="203" spans="1:14" x14ac:dyDescent="0.25">
      <c r="A203" s="208"/>
      <c r="B203" s="225"/>
      <c r="C203" s="25" t="s">
        <v>114</v>
      </c>
      <c r="D203" s="1" t="s">
        <v>8</v>
      </c>
      <c r="E203" s="53"/>
      <c r="F203" s="53"/>
      <c r="G203" s="53"/>
      <c r="H203" s="53"/>
      <c r="I203" s="53"/>
      <c r="J203" s="53"/>
      <c r="K203" s="53"/>
      <c r="L203" s="53"/>
      <c r="M203" s="53"/>
    </row>
    <row r="204" spans="1:14" x14ac:dyDescent="0.25">
      <c r="A204" s="208"/>
      <c r="B204" s="225"/>
      <c r="C204" s="25" t="s">
        <v>115</v>
      </c>
      <c r="D204" s="1" t="s">
        <v>9</v>
      </c>
      <c r="E204" s="55">
        <v>5.9283335518383931</v>
      </c>
      <c r="F204" s="55">
        <v>5.0230070878372421</v>
      </c>
      <c r="G204" s="55">
        <v>3.9163428794069115</v>
      </c>
      <c r="H204" s="55">
        <v>3.1590361445720911</v>
      </c>
      <c r="I204" s="55">
        <v>2.0378947368421052</v>
      </c>
      <c r="J204" s="55">
        <v>2.0189473684210526</v>
      </c>
      <c r="K204" s="55">
        <v>1.9557894736842103</v>
      </c>
      <c r="L204" s="55">
        <v>1.8231578947368419</v>
      </c>
      <c r="M204" s="55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55">
        <v>0</v>
      </c>
      <c r="F205" s="55">
        <v>0</v>
      </c>
      <c r="G205" s="55">
        <v>0</v>
      </c>
      <c r="H205" s="55">
        <v>0</v>
      </c>
      <c r="I205" s="55">
        <v>0</v>
      </c>
      <c r="J205" s="55">
        <v>0</v>
      </c>
      <c r="K205" s="55">
        <v>1.6858736842105264E-3</v>
      </c>
      <c r="L205" s="55">
        <v>1.5474947368421053E-3</v>
      </c>
      <c r="M205" s="55">
        <v>1.2707368421052633E-3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55">
        <v>0</v>
      </c>
      <c r="F206" s="55">
        <v>0</v>
      </c>
      <c r="G206" s="55">
        <v>0</v>
      </c>
      <c r="H206" s="55">
        <v>0</v>
      </c>
      <c r="I206" s="55">
        <v>0</v>
      </c>
      <c r="J206" s="55">
        <v>0</v>
      </c>
      <c r="K206" s="55">
        <v>0</v>
      </c>
      <c r="L206" s="55">
        <v>0</v>
      </c>
      <c r="M206" s="55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56">
        <v>0.99124999999999996</v>
      </c>
      <c r="F207" s="56">
        <v>0.99124999999999996</v>
      </c>
      <c r="G207" s="56">
        <v>0.99124999999999996</v>
      </c>
      <c r="H207" s="56">
        <v>0.99124999999999996</v>
      </c>
      <c r="I207" s="56">
        <v>0.99124999999999996</v>
      </c>
      <c r="J207" s="56">
        <v>0.99124999999999996</v>
      </c>
      <c r="K207" s="56">
        <v>0.99649999999999994</v>
      </c>
      <c r="L207" s="56">
        <v>0.99649999999999994</v>
      </c>
      <c r="M207" s="56">
        <v>0.99649999999999994</v>
      </c>
    </row>
    <row r="208" spans="1:14" x14ac:dyDescent="0.25">
      <c r="A208" s="208"/>
      <c r="B208" s="225"/>
      <c r="C208" s="25" t="s">
        <v>26</v>
      </c>
      <c r="D208" s="1" t="s">
        <v>14</v>
      </c>
      <c r="E208" s="55">
        <v>1524.6</v>
      </c>
      <c r="F208" s="55">
        <v>1749.6</v>
      </c>
      <c r="G208" s="55">
        <v>2349.6</v>
      </c>
      <c r="H208" s="55">
        <v>3174.6</v>
      </c>
      <c r="I208" s="55">
        <v>4299.6000000000004</v>
      </c>
      <c r="J208" s="55">
        <v>14213</v>
      </c>
      <c r="K208" s="55">
        <v>21713</v>
      </c>
      <c r="L208" s="55">
        <v>37463</v>
      </c>
      <c r="M208" s="55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53">
        <v>40</v>
      </c>
      <c r="F209" s="53">
        <v>40</v>
      </c>
      <c r="G209" s="53">
        <v>40</v>
      </c>
      <c r="H209" s="53">
        <v>40</v>
      </c>
      <c r="I209" s="53">
        <v>40</v>
      </c>
      <c r="J209" s="53">
        <v>40</v>
      </c>
      <c r="K209" s="53">
        <v>40</v>
      </c>
      <c r="L209" s="53">
        <v>40</v>
      </c>
      <c r="M209" s="53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60">
        <v>0.546875</v>
      </c>
      <c r="F210" s="60">
        <v>0.546875</v>
      </c>
      <c r="G210" s="60">
        <v>0.54687499999999989</v>
      </c>
      <c r="H210" s="60">
        <v>0.546875</v>
      </c>
      <c r="I210" s="60">
        <v>0.546875</v>
      </c>
      <c r="J210" s="60">
        <v>0.546875</v>
      </c>
      <c r="K210" s="60">
        <v>0.546875</v>
      </c>
      <c r="L210" s="60">
        <v>0.546875</v>
      </c>
      <c r="M210" s="60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53">
        <v>0.64</v>
      </c>
      <c r="F211" s="53">
        <v>0.64</v>
      </c>
      <c r="G211" s="53">
        <v>0.64</v>
      </c>
      <c r="H211" s="53">
        <v>0.64</v>
      </c>
      <c r="I211" s="53">
        <v>0.64</v>
      </c>
      <c r="J211" s="53">
        <v>0.64</v>
      </c>
      <c r="K211" s="53">
        <v>0.64</v>
      </c>
      <c r="L211" s="53">
        <v>0.64</v>
      </c>
      <c r="M211" s="53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53">
        <v>20</v>
      </c>
      <c r="F212" s="53">
        <v>20</v>
      </c>
      <c r="G212" s="53">
        <v>20</v>
      </c>
      <c r="H212" s="53">
        <v>20</v>
      </c>
      <c r="I212" s="53">
        <v>20</v>
      </c>
      <c r="J212" s="53">
        <v>20</v>
      </c>
      <c r="K212" s="53">
        <v>20</v>
      </c>
      <c r="L212" s="53">
        <v>20</v>
      </c>
      <c r="M212" s="53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61">
        <v>867.98928801546379</v>
      </c>
      <c r="F213" s="55">
        <v>844.84087352724589</v>
      </c>
      <c r="G213" s="55">
        <v>783.11176822533128</v>
      </c>
      <c r="H213" s="55">
        <v>698.23424843519865</v>
      </c>
      <c r="I213" s="55">
        <v>582.49217599410895</v>
      </c>
      <c r="J213" s="55">
        <v>496.07142857142856</v>
      </c>
      <c r="K213" s="55">
        <v>496.07142857142856</v>
      </c>
      <c r="L213" s="55">
        <v>496.07142857142856</v>
      </c>
      <c r="M213" s="55">
        <v>496.07142857142856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56">
        <v>0</v>
      </c>
      <c r="F214" s="56">
        <v>0</v>
      </c>
      <c r="G214" s="56">
        <v>0</v>
      </c>
      <c r="H214" s="56">
        <v>0</v>
      </c>
      <c r="I214" s="56">
        <v>0</v>
      </c>
      <c r="J214" s="56">
        <v>0</v>
      </c>
      <c r="K214" s="56">
        <v>0</v>
      </c>
      <c r="L214" s="56">
        <v>0</v>
      </c>
      <c r="M214" s="56">
        <v>0</v>
      </c>
    </row>
    <row r="215" spans="1:13" x14ac:dyDescent="0.25">
      <c r="A215" s="208"/>
      <c r="B215" s="225"/>
      <c r="C215" s="25" t="s">
        <v>133</v>
      </c>
      <c r="D215" s="1" t="s">
        <v>8</v>
      </c>
      <c r="E215" s="55">
        <v>50.989543446244483</v>
      </c>
      <c r="F215" s="55">
        <v>67.502798232695142</v>
      </c>
      <c r="G215" s="55">
        <v>111.53814432989691</v>
      </c>
      <c r="H215" s="55">
        <v>172.08674521354934</v>
      </c>
      <c r="I215" s="55">
        <v>254.65301914580263</v>
      </c>
      <c r="J215" s="55">
        <v>419.78556701030925</v>
      </c>
      <c r="K215" s="55">
        <v>584.91811487481596</v>
      </c>
      <c r="L215" s="55">
        <v>584.91811487481596</v>
      </c>
      <c r="M215" s="55">
        <v>584.91811487481596</v>
      </c>
    </row>
    <row r="216" spans="1:13" x14ac:dyDescent="0.25">
      <c r="A216" s="208"/>
      <c r="B216" s="225"/>
      <c r="C216" s="25" t="s">
        <v>134</v>
      </c>
      <c r="D216" s="1" t="s">
        <v>9</v>
      </c>
      <c r="E216" s="53"/>
      <c r="F216" s="53"/>
      <c r="G216" s="53"/>
      <c r="H216" s="53"/>
      <c r="I216" s="53"/>
      <c r="J216" s="53"/>
      <c r="K216" s="53"/>
      <c r="L216" s="53"/>
      <c r="M216" s="53"/>
    </row>
    <row r="217" spans="1:13" x14ac:dyDescent="0.25">
      <c r="A217" s="208"/>
      <c r="B217" s="225"/>
      <c r="C217" s="25" t="s">
        <v>135</v>
      </c>
      <c r="D217" s="1" t="s">
        <v>10</v>
      </c>
      <c r="E217" s="53"/>
      <c r="F217" s="53"/>
      <c r="G217" s="53"/>
      <c r="H217" s="53"/>
      <c r="I217" s="53"/>
      <c r="J217" s="53"/>
      <c r="K217" s="53"/>
      <c r="L217" s="53"/>
      <c r="M217" s="53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53"/>
      <c r="F218" s="53"/>
      <c r="G218" s="53"/>
      <c r="H218" s="53"/>
      <c r="I218" s="53"/>
      <c r="J218" s="53"/>
      <c r="K218" s="53"/>
      <c r="L218" s="53"/>
      <c r="M218" s="53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60">
        <v>1</v>
      </c>
      <c r="F219" s="60">
        <v>1</v>
      </c>
      <c r="G219" s="60">
        <v>1</v>
      </c>
      <c r="H219" s="60">
        <v>1</v>
      </c>
      <c r="I219" s="60">
        <v>1</v>
      </c>
      <c r="J219" s="60">
        <v>1</v>
      </c>
      <c r="K219" s="60">
        <v>1</v>
      </c>
      <c r="L219" s="60">
        <v>1</v>
      </c>
      <c r="M219" s="60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53">
        <v>0.8</v>
      </c>
      <c r="F220" s="53">
        <v>0.8</v>
      </c>
      <c r="G220" s="53">
        <v>0.8</v>
      </c>
      <c r="H220" s="53">
        <v>0.8</v>
      </c>
      <c r="I220" s="53">
        <v>0.8</v>
      </c>
      <c r="J220" s="53">
        <v>0.8</v>
      </c>
      <c r="K220" s="53">
        <v>0.8</v>
      </c>
      <c r="L220" s="53">
        <v>0.8</v>
      </c>
      <c r="M220" s="53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53">
        <v>20</v>
      </c>
      <c r="F221" s="53">
        <v>20</v>
      </c>
      <c r="G221" s="53">
        <v>20</v>
      </c>
      <c r="H221" s="53">
        <v>20</v>
      </c>
      <c r="I221" s="53">
        <v>20</v>
      </c>
      <c r="J221" s="53">
        <v>20</v>
      </c>
      <c r="K221" s="53">
        <v>20</v>
      </c>
      <c r="L221" s="53">
        <v>20</v>
      </c>
      <c r="M221" s="53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55">
        <v>778.63646317000416</v>
      </c>
      <c r="F222" s="55">
        <v>556.01242307421592</v>
      </c>
      <c r="G222" s="55">
        <v>433.81353547553391</v>
      </c>
      <c r="H222" s="55">
        <v>433.81353547553391</v>
      </c>
      <c r="I222" s="55">
        <v>433.81353547553391</v>
      </c>
      <c r="J222" s="55">
        <v>433.81353547553391</v>
      </c>
      <c r="K222" s="55">
        <v>1125.1890967142162</v>
      </c>
      <c r="L222" s="55">
        <v>978.8877535076831</v>
      </c>
      <c r="M222" s="55">
        <v>860.49325281850611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56">
        <v>0</v>
      </c>
      <c r="F223" s="56">
        <v>0</v>
      </c>
      <c r="G223" s="56">
        <v>0</v>
      </c>
      <c r="H223" s="56">
        <v>0</v>
      </c>
      <c r="I223" s="56">
        <v>0</v>
      </c>
      <c r="J223" s="56">
        <v>0</v>
      </c>
      <c r="K223" s="56">
        <v>0</v>
      </c>
      <c r="L223" s="56">
        <v>0</v>
      </c>
      <c r="M223" s="56">
        <v>0</v>
      </c>
    </row>
    <row r="224" spans="1:13" x14ac:dyDescent="0.25">
      <c r="A224" s="227"/>
      <c r="B224" s="230"/>
      <c r="C224" s="25" t="s">
        <v>117</v>
      </c>
      <c r="D224" s="1" t="s">
        <v>8</v>
      </c>
      <c r="E224" s="53"/>
      <c r="F224" s="53"/>
      <c r="G224" s="53"/>
      <c r="H224" s="53"/>
      <c r="I224" s="53"/>
      <c r="J224" s="53"/>
      <c r="K224" s="53"/>
      <c r="L224" s="53"/>
      <c r="M224" s="53"/>
    </row>
    <row r="225" spans="1:13" x14ac:dyDescent="0.25">
      <c r="A225" s="227"/>
      <c r="B225" s="230"/>
      <c r="C225" s="25" t="s">
        <v>118</v>
      </c>
      <c r="D225" s="1" t="s">
        <v>9</v>
      </c>
      <c r="E225" s="53"/>
      <c r="F225" s="53"/>
      <c r="G225" s="53"/>
      <c r="H225" s="53"/>
      <c r="I225" s="53"/>
      <c r="J225" s="53"/>
      <c r="K225" s="53"/>
      <c r="L225" s="53"/>
      <c r="M225" s="53"/>
    </row>
    <row r="226" spans="1:13" x14ac:dyDescent="0.25">
      <c r="A226" s="227"/>
      <c r="B226" s="230"/>
      <c r="C226" s="25" t="s">
        <v>119</v>
      </c>
      <c r="D226" s="1" t="s">
        <v>10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2.0349999999999999E-3</v>
      </c>
      <c r="L226" s="55">
        <v>2.0349999999999999E-3</v>
      </c>
      <c r="M226" s="55">
        <v>2.0349999999999999E-3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55">
        <v>0</v>
      </c>
      <c r="F228" s="55">
        <v>0</v>
      </c>
      <c r="G228" s="55">
        <v>0</v>
      </c>
      <c r="H228" s="55">
        <v>0</v>
      </c>
      <c r="I228" s="55">
        <v>0</v>
      </c>
      <c r="J228" s="55">
        <v>0</v>
      </c>
      <c r="K228" s="55">
        <v>0</v>
      </c>
      <c r="L228" s="55">
        <v>0</v>
      </c>
      <c r="M228" s="55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53">
        <v>3.4299999999999997</v>
      </c>
      <c r="F229" s="53">
        <v>3.4299999999999997</v>
      </c>
      <c r="G229" s="53">
        <v>3.4299999999999997</v>
      </c>
      <c r="H229" s="53">
        <v>3.4299999999999997</v>
      </c>
      <c r="I229" s="53">
        <v>3.4299999999999997</v>
      </c>
      <c r="J229" s="53">
        <v>3.4299999999999997</v>
      </c>
      <c r="K229" s="53">
        <v>3.4299999999999997</v>
      </c>
      <c r="L229" s="53">
        <v>3.4299999999999997</v>
      </c>
      <c r="M229" s="53">
        <v>3.4299999999999997</v>
      </c>
    </row>
    <row r="230" spans="1:13" x14ac:dyDescent="0.25">
      <c r="A230" s="227"/>
      <c r="B230" s="230"/>
      <c r="C230" s="25" t="s">
        <v>33</v>
      </c>
      <c r="D230" s="2" t="s">
        <v>14</v>
      </c>
      <c r="E230" s="53"/>
      <c r="F230" s="53"/>
      <c r="G230" s="53"/>
      <c r="H230" s="53"/>
      <c r="I230" s="53"/>
      <c r="J230" s="53"/>
      <c r="K230" s="53"/>
      <c r="L230" s="53"/>
      <c r="M230" s="53"/>
    </row>
    <row r="231" spans="1:13" x14ac:dyDescent="0.25">
      <c r="A231" s="227"/>
      <c r="B231" s="230"/>
      <c r="C231" s="25" t="s">
        <v>34</v>
      </c>
      <c r="D231" s="2" t="s">
        <v>4</v>
      </c>
      <c r="E231" s="53"/>
      <c r="F231" s="53"/>
      <c r="G231" s="53"/>
      <c r="H231" s="53"/>
      <c r="I231" s="53"/>
      <c r="J231" s="53"/>
      <c r="K231" s="53"/>
      <c r="L231" s="53"/>
      <c r="M231" s="53"/>
    </row>
    <row r="232" spans="1:13" x14ac:dyDescent="0.25">
      <c r="A232" s="227"/>
      <c r="B232" s="230"/>
      <c r="C232" s="25" t="s">
        <v>129</v>
      </c>
      <c r="D232" s="1" t="s">
        <v>19</v>
      </c>
      <c r="E232" s="60">
        <v>0.3125</v>
      </c>
      <c r="F232" s="60">
        <v>0.3125</v>
      </c>
      <c r="G232" s="60">
        <v>0.3125</v>
      </c>
      <c r="H232" s="60">
        <v>0.3125</v>
      </c>
      <c r="I232" s="60">
        <v>0.3125</v>
      </c>
      <c r="J232" s="60">
        <v>0.3125</v>
      </c>
      <c r="K232" s="60">
        <v>0.3125</v>
      </c>
      <c r="L232" s="60">
        <v>0.3125</v>
      </c>
      <c r="M232" s="60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53">
        <v>0.64</v>
      </c>
      <c r="F233" s="53">
        <v>0.64</v>
      </c>
      <c r="G233" s="53">
        <v>0.64</v>
      </c>
      <c r="H233" s="53">
        <v>0.64</v>
      </c>
      <c r="I233" s="53">
        <v>0.64</v>
      </c>
      <c r="J233" s="53">
        <v>0.64</v>
      </c>
      <c r="K233" s="53">
        <v>0.64</v>
      </c>
      <c r="L233" s="53">
        <v>0.64</v>
      </c>
      <c r="M233" s="53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53">
        <v>20</v>
      </c>
      <c r="F234" s="53">
        <v>20</v>
      </c>
      <c r="G234" s="53">
        <v>20</v>
      </c>
      <c r="H234" s="53">
        <v>20</v>
      </c>
      <c r="I234" s="53">
        <v>20</v>
      </c>
      <c r="J234" s="53">
        <v>20</v>
      </c>
      <c r="K234" s="53">
        <v>20</v>
      </c>
      <c r="L234" s="53">
        <v>20</v>
      </c>
      <c r="M234" s="53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61">
        <v>877.91003708184292</v>
      </c>
      <c r="F235" s="61">
        <v>864.68237166000415</v>
      </c>
      <c r="G235" s="61">
        <v>829.40859720176718</v>
      </c>
      <c r="H235" s="61">
        <v>780.90715732169144</v>
      </c>
      <c r="I235" s="61">
        <v>714.76883021249728</v>
      </c>
      <c r="J235" s="61">
        <v>582.49217599410895</v>
      </c>
      <c r="K235" s="61">
        <v>496.07142857142856</v>
      </c>
      <c r="L235" s="61">
        <v>496.07142857142856</v>
      </c>
      <c r="M235" s="61">
        <v>496.07142857142856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56">
        <v>0</v>
      </c>
      <c r="F236" s="56">
        <v>0</v>
      </c>
      <c r="G236" s="56">
        <v>0</v>
      </c>
      <c r="H236" s="56">
        <v>0</v>
      </c>
      <c r="I236" s="56">
        <v>0</v>
      </c>
      <c r="J236" s="56">
        <v>0</v>
      </c>
      <c r="K236" s="56">
        <v>0</v>
      </c>
      <c r="L236" s="56">
        <v>0</v>
      </c>
      <c r="M236" s="56">
        <v>0</v>
      </c>
    </row>
    <row r="237" spans="1:13" x14ac:dyDescent="0.25">
      <c r="A237" s="227"/>
      <c r="B237" s="230"/>
      <c r="C237" s="25" t="s">
        <v>133</v>
      </c>
      <c r="D237" s="1" t="s">
        <v>8</v>
      </c>
      <c r="E237" s="55">
        <v>50.989543446244483</v>
      </c>
      <c r="F237" s="55">
        <v>67.502798232695142</v>
      </c>
      <c r="G237" s="55">
        <v>111.53814432989691</v>
      </c>
      <c r="H237" s="55">
        <v>172.08674521354934</v>
      </c>
      <c r="I237" s="55">
        <v>254.65301914580263</v>
      </c>
      <c r="J237" s="55">
        <v>419.78556701030925</v>
      </c>
      <c r="K237" s="55">
        <v>584.91811487481596</v>
      </c>
      <c r="L237" s="55">
        <v>584.91811487481596</v>
      </c>
      <c r="M237" s="55">
        <v>584.91811487481596</v>
      </c>
    </row>
    <row r="238" spans="1:13" x14ac:dyDescent="0.25">
      <c r="A238" s="227"/>
      <c r="B238" s="230"/>
      <c r="C238" s="25" t="s">
        <v>134</v>
      </c>
      <c r="D238" s="1" t="s">
        <v>9</v>
      </c>
      <c r="E238" s="53"/>
      <c r="F238" s="53"/>
      <c r="G238" s="53"/>
      <c r="H238" s="53"/>
      <c r="I238" s="53"/>
      <c r="J238" s="53"/>
      <c r="K238" s="53"/>
      <c r="L238" s="53"/>
      <c r="M238" s="53"/>
    </row>
    <row r="239" spans="1:13" x14ac:dyDescent="0.25">
      <c r="A239" s="227"/>
      <c r="B239" s="230"/>
      <c r="C239" s="25" t="s">
        <v>135</v>
      </c>
      <c r="D239" s="1" t="s">
        <v>10</v>
      </c>
      <c r="E239" s="53"/>
      <c r="F239" s="53"/>
      <c r="G239" s="53"/>
      <c r="H239" s="53"/>
      <c r="I239" s="53"/>
      <c r="J239" s="53"/>
      <c r="K239" s="53"/>
      <c r="L239" s="53"/>
      <c r="M239" s="53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53"/>
      <c r="F240" s="53"/>
      <c r="G240" s="53"/>
      <c r="H240" s="53"/>
      <c r="I240" s="53"/>
      <c r="J240" s="53"/>
      <c r="K240" s="53"/>
      <c r="L240" s="53"/>
      <c r="M240" s="53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60">
        <v>1</v>
      </c>
      <c r="F241" s="60">
        <v>1</v>
      </c>
      <c r="G241" s="60">
        <v>1</v>
      </c>
      <c r="H241" s="60">
        <v>1</v>
      </c>
      <c r="I241" s="60">
        <v>1</v>
      </c>
      <c r="J241" s="60">
        <v>1</v>
      </c>
      <c r="K241" s="60">
        <v>1</v>
      </c>
      <c r="L241" s="60">
        <v>1</v>
      </c>
      <c r="M241" s="60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53">
        <v>0.65</v>
      </c>
      <c r="F242" s="53">
        <v>0.65</v>
      </c>
      <c r="G242" s="53">
        <v>0.65</v>
      </c>
      <c r="H242" s="53">
        <v>0.65</v>
      </c>
      <c r="I242" s="53">
        <v>0.65</v>
      </c>
      <c r="J242" s="53">
        <v>0.65</v>
      </c>
      <c r="K242" s="53">
        <v>0.65</v>
      </c>
      <c r="L242" s="53">
        <v>0.65</v>
      </c>
      <c r="M242" s="53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53">
        <v>20</v>
      </c>
      <c r="F243" s="53">
        <v>20</v>
      </c>
      <c r="G243" s="53">
        <v>20</v>
      </c>
      <c r="H243" s="53">
        <v>20</v>
      </c>
      <c r="I243" s="53">
        <v>20</v>
      </c>
      <c r="J243" s="53">
        <v>20</v>
      </c>
      <c r="K243" s="53">
        <v>20</v>
      </c>
      <c r="L243" s="53">
        <v>20</v>
      </c>
      <c r="M243" s="53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55">
        <v>778.63646317000416</v>
      </c>
      <c r="F244" s="55">
        <v>556.01242307421592</v>
      </c>
      <c r="G244" s="55">
        <v>433.81353547553391</v>
      </c>
      <c r="H244" s="55">
        <v>433.81353547553391</v>
      </c>
      <c r="I244" s="55">
        <v>433.81353547553391</v>
      </c>
      <c r="J244" s="55">
        <v>433.81353547553391</v>
      </c>
      <c r="K244" s="55">
        <v>1125.1890967142162</v>
      </c>
      <c r="L244" s="55">
        <v>978.8877535076831</v>
      </c>
      <c r="M244" s="55">
        <v>860.49325281850611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56">
        <v>0</v>
      </c>
      <c r="F245" s="56">
        <v>0</v>
      </c>
      <c r="G245" s="56">
        <v>0</v>
      </c>
      <c r="H245" s="56">
        <v>0</v>
      </c>
      <c r="I245" s="56">
        <v>0</v>
      </c>
      <c r="J245" s="56">
        <v>0</v>
      </c>
      <c r="K245" s="56">
        <v>0</v>
      </c>
      <c r="L245" s="56">
        <v>0</v>
      </c>
      <c r="M245" s="56">
        <v>0</v>
      </c>
    </row>
    <row r="246" spans="1:13" x14ac:dyDescent="0.25">
      <c r="A246" s="227"/>
      <c r="B246" s="230"/>
      <c r="C246" s="25" t="s">
        <v>117</v>
      </c>
      <c r="D246" s="1" t="s">
        <v>8</v>
      </c>
      <c r="E246" s="53"/>
      <c r="F246" s="53"/>
      <c r="G246" s="53"/>
      <c r="H246" s="53"/>
      <c r="I246" s="53"/>
      <c r="J246" s="53"/>
      <c r="K246" s="53"/>
      <c r="L246" s="53"/>
      <c r="M246" s="53"/>
    </row>
    <row r="247" spans="1:13" x14ac:dyDescent="0.25">
      <c r="A247" s="227"/>
      <c r="B247" s="230"/>
      <c r="C247" s="25" t="s">
        <v>118</v>
      </c>
      <c r="D247" s="1" t="s">
        <v>9</v>
      </c>
      <c r="E247" s="53"/>
      <c r="F247" s="53"/>
      <c r="G247" s="53"/>
      <c r="H247" s="53"/>
      <c r="I247" s="53"/>
      <c r="J247" s="53"/>
      <c r="K247" s="53"/>
      <c r="L247" s="53"/>
      <c r="M247" s="53"/>
    </row>
    <row r="248" spans="1:13" x14ac:dyDescent="0.25">
      <c r="A248" s="227"/>
      <c r="B248" s="230"/>
      <c r="C248" s="25" t="s">
        <v>119</v>
      </c>
      <c r="D248" s="1" t="s">
        <v>10</v>
      </c>
      <c r="E248" s="55">
        <v>0</v>
      </c>
      <c r="F248" s="55">
        <v>0</v>
      </c>
      <c r="G248" s="55">
        <v>0</v>
      </c>
      <c r="H248" s="55">
        <v>0</v>
      </c>
      <c r="I248" s="55">
        <v>0</v>
      </c>
      <c r="J248" s="55">
        <v>0</v>
      </c>
      <c r="K248" s="55">
        <v>2.0349999999999999E-3</v>
      </c>
      <c r="L248" s="55">
        <v>2.0349999999999999E-3</v>
      </c>
      <c r="M248" s="55">
        <v>2.0349999999999999E-3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55">
        <v>0</v>
      </c>
      <c r="F249" s="55">
        <v>0</v>
      </c>
      <c r="G249" s="55">
        <v>0</v>
      </c>
      <c r="H249" s="55">
        <v>0</v>
      </c>
      <c r="I249" s="55">
        <v>0</v>
      </c>
      <c r="J249" s="55">
        <v>0</v>
      </c>
      <c r="K249" s="55">
        <v>0</v>
      </c>
      <c r="L249" s="55">
        <v>0</v>
      </c>
      <c r="M249" s="55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53">
        <v>3.4299999999999997</v>
      </c>
      <c r="F251" s="53">
        <v>3.4299999999999997</v>
      </c>
      <c r="G251" s="53">
        <v>3.4299999999999997</v>
      </c>
      <c r="H251" s="53">
        <v>3.4299999999999997</v>
      </c>
      <c r="I251" s="53">
        <v>3.4299999999999997</v>
      </c>
      <c r="J251" s="53">
        <v>3.4299999999999997</v>
      </c>
      <c r="K251" s="53">
        <v>3.4299999999999997</v>
      </c>
      <c r="L251" s="53">
        <v>3.4299999999999997</v>
      </c>
      <c r="M251" s="53">
        <v>3.4299999999999997</v>
      </c>
    </row>
    <row r="252" spans="1:13" x14ac:dyDescent="0.25">
      <c r="A252" s="227"/>
      <c r="B252" s="230"/>
      <c r="C252" s="25" t="s">
        <v>33</v>
      </c>
      <c r="D252" s="2" t="s">
        <v>14</v>
      </c>
      <c r="E252" s="53"/>
      <c r="F252" s="53"/>
      <c r="G252" s="53"/>
      <c r="H252" s="53"/>
      <c r="I252" s="53"/>
      <c r="J252" s="53"/>
      <c r="K252" s="53"/>
      <c r="L252" s="53"/>
      <c r="M252" s="53"/>
    </row>
    <row r="253" spans="1:13" x14ac:dyDescent="0.25">
      <c r="A253" s="227"/>
      <c r="B253" s="230"/>
      <c r="C253" s="25" t="s">
        <v>34</v>
      </c>
      <c r="D253" s="2" t="s">
        <v>4</v>
      </c>
      <c r="E253" s="53"/>
      <c r="F253" s="53"/>
      <c r="G253" s="53"/>
      <c r="H253" s="53"/>
      <c r="I253" s="53"/>
      <c r="J253" s="53"/>
      <c r="K253" s="53"/>
      <c r="L253" s="53"/>
      <c r="M253" s="53"/>
    </row>
    <row r="254" spans="1:13" x14ac:dyDescent="0.25">
      <c r="A254" s="227"/>
      <c r="B254" s="230"/>
      <c r="C254" s="25" t="s">
        <v>129</v>
      </c>
      <c r="D254" s="1" t="s">
        <v>19</v>
      </c>
      <c r="E254" s="60">
        <v>0.546875</v>
      </c>
      <c r="F254" s="60">
        <v>0.546875</v>
      </c>
      <c r="G254" s="60">
        <v>0.54687499999999989</v>
      </c>
      <c r="H254" s="60">
        <v>0.546875</v>
      </c>
      <c r="I254" s="60">
        <v>0.546875</v>
      </c>
      <c r="J254" s="60">
        <v>0.546875</v>
      </c>
      <c r="K254" s="60">
        <v>0.546875</v>
      </c>
      <c r="L254" s="60">
        <v>0.546875</v>
      </c>
      <c r="M254" s="60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53">
        <v>0.64</v>
      </c>
      <c r="F255" s="53">
        <v>0.64</v>
      </c>
      <c r="G255" s="53">
        <v>0.64</v>
      </c>
      <c r="H255" s="53">
        <v>0.64</v>
      </c>
      <c r="I255" s="53">
        <v>0.64</v>
      </c>
      <c r="J255" s="53">
        <v>0.64</v>
      </c>
      <c r="K255" s="53">
        <v>0.64</v>
      </c>
      <c r="L255" s="53">
        <v>0.64</v>
      </c>
      <c r="M255" s="53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53">
        <v>20</v>
      </c>
      <c r="F256" s="53">
        <v>20</v>
      </c>
      <c r="G256" s="53">
        <v>20</v>
      </c>
      <c r="H256" s="53">
        <v>20</v>
      </c>
      <c r="I256" s="53">
        <v>20</v>
      </c>
      <c r="J256" s="53">
        <v>20</v>
      </c>
      <c r="K256" s="53">
        <v>20</v>
      </c>
      <c r="L256" s="53">
        <v>20</v>
      </c>
      <c r="M256" s="53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61">
        <v>867.98928801546379</v>
      </c>
      <c r="F257" s="61">
        <v>844.84087352724589</v>
      </c>
      <c r="G257" s="61">
        <v>783.11176822533128</v>
      </c>
      <c r="H257" s="61">
        <v>698.23424843519865</v>
      </c>
      <c r="I257" s="61">
        <v>582.49217599410895</v>
      </c>
      <c r="J257" s="61">
        <v>496.07142857142856</v>
      </c>
      <c r="K257" s="61">
        <v>496.07142857142856</v>
      </c>
      <c r="L257" s="61">
        <v>496.07142857142856</v>
      </c>
      <c r="M257" s="61">
        <v>496.07142857142856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56">
        <v>0</v>
      </c>
      <c r="F258" s="56">
        <v>0</v>
      </c>
      <c r="G258" s="56">
        <v>0</v>
      </c>
      <c r="H258" s="56">
        <v>0</v>
      </c>
      <c r="I258" s="56">
        <v>0</v>
      </c>
      <c r="J258" s="56">
        <v>0</v>
      </c>
      <c r="K258" s="56">
        <v>0</v>
      </c>
      <c r="L258" s="56">
        <v>0</v>
      </c>
      <c r="M258" s="56">
        <v>0</v>
      </c>
    </row>
    <row r="259" spans="1:13" x14ac:dyDescent="0.25">
      <c r="A259" s="227"/>
      <c r="B259" s="230"/>
      <c r="C259" s="25" t="s">
        <v>133</v>
      </c>
      <c r="D259" s="1" t="s">
        <v>8</v>
      </c>
      <c r="E259" s="55">
        <v>50.989543446244483</v>
      </c>
      <c r="F259" s="55">
        <v>67.502798232695142</v>
      </c>
      <c r="G259" s="55">
        <v>111.53814432989691</v>
      </c>
      <c r="H259" s="55">
        <v>172.08674521354934</v>
      </c>
      <c r="I259" s="55">
        <v>254.65301914580263</v>
      </c>
      <c r="J259" s="55">
        <v>419.78556701030925</v>
      </c>
      <c r="K259" s="55">
        <v>584.91811487481596</v>
      </c>
      <c r="L259" s="55">
        <v>584.91811487481596</v>
      </c>
      <c r="M259" s="55">
        <v>584.91811487481596</v>
      </c>
    </row>
    <row r="260" spans="1:13" x14ac:dyDescent="0.25">
      <c r="A260" s="227"/>
      <c r="B260" s="230"/>
      <c r="C260" s="25" t="s">
        <v>134</v>
      </c>
      <c r="D260" s="1" t="s">
        <v>9</v>
      </c>
      <c r="E260" s="53"/>
      <c r="F260" s="53"/>
      <c r="G260" s="53"/>
      <c r="H260" s="53"/>
      <c r="I260" s="53"/>
      <c r="J260" s="53"/>
      <c r="K260" s="53"/>
      <c r="L260" s="53"/>
      <c r="M260" s="53"/>
    </row>
    <row r="261" spans="1:13" x14ac:dyDescent="0.25">
      <c r="A261" s="227"/>
      <c r="B261" s="230"/>
      <c r="C261" s="25" t="s">
        <v>135</v>
      </c>
      <c r="D261" s="1" t="s">
        <v>10</v>
      </c>
      <c r="E261" s="53"/>
      <c r="F261" s="53"/>
      <c r="G261" s="53"/>
      <c r="H261" s="53"/>
      <c r="I261" s="53"/>
      <c r="J261" s="53"/>
      <c r="K261" s="53"/>
      <c r="L261" s="53"/>
      <c r="M261" s="53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53"/>
      <c r="F262" s="53"/>
      <c r="G262" s="53"/>
      <c r="H262" s="53"/>
      <c r="I262" s="53"/>
      <c r="J262" s="53"/>
      <c r="K262" s="53"/>
      <c r="L262" s="53"/>
      <c r="M262" s="53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53">
        <v>40</v>
      </c>
      <c r="F263" s="53">
        <v>40</v>
      </c>
      <c r="G263" s="53">
        <v>40</v>
      </c>
      <c r="H263" s="53">
        <v>40</v>
      </c>
      <c r="I263" s="53">
        <v>40</v>
      </c>
      <c r="J263" s="53">
        <v>40</v>
      </c>
      <c r="K263" s="53">
        <v>40</v>
      </c>
      <c r="L263" s="53">
        <v>40</v>
      </c>
      <c r="M263" s="53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55">
        <v>300</v>
      </c>
      <c r="F264" s="55">
        <v>183.33333333333334</v>
      </c>
      <c r="G264" s="55">
        <v>100</v>
      </c>
      <c r="H264" s="55">
        <v>76</v>
      </c>
      <c r="I264" s="55">
        <v>60</v>
      </c>
      <c r="J264" s="55">
        <v>42.857142857142854</v>
      </c>
      <c r="K264" s="55">
        <v>27.058823529411764</v>
      </c>
      <c r="L264" s="55">
        <v>18.421052631578949</v>
      </c>
      <c r="M264" s="55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56">
        <v>0</v>
      </c>
      <c r="F265" s="56">
        <v>0</v>
      </c>
      <c r="G265" s="56">
        <v>0</v>
      </c>
      <c r="H265" s="56">
        <v>0</v>
      </c>
      <c r="I265" s="56">
        <v>0</v>
      </c>
      <c r="J265" s="56">
        <v>0</v>
      </c>
      <c r="K265" s="56">
        <v>0</v>
      </c>
      <c r="L265" s="56">
        <v>0</v>
      </c>
      <c r="M265" s="56">
        <v>0</v>
      </c>
    </row>
    <row r="266" spans="1:13" x14ac:dyDescent="0.25">
      <c r="A266" s="208"/>
      <c r="B266" s="225"/>
      <c r="C266" s="25" t="s">
        <v>106</v>
      </c>
      <c r="D266" s="1" t="s">
        <v>8</v>
      </c>
      <c r="E266" s="55">
        <v>0</v>
      </c>
      <c r="F266" s="55">
        <v>0</v>
      </c>
      <c r="G266" s="55">
        <v>0</v>
      </c>
      <c r="H266" s="55">
        <v>0</v>
      </c>
      <c r="I266" s="55">
        <v>0</v>
      </c>
      <c r="J266" s="55">
        <v>0</v>
      </c>
      <c r="K266" s="55">
        <v>0</v>
      </c>
      <c r="L266" s="55">
        <v>0</v>
      </c>
      <c r="M266" s="55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53"/>
      <c r="F267" s="53"/>
      <c r="G267" s="53"/>
      <c r="H267" s="53"/>
      <c r="I267" s="53"/>
      <c r="J267" s="53"/>
      <c r="K267" s="53"/>
      <c r="L267" s="53"/>
      <c r="M267" s="53"/>
    </row>
    <row r="268" spans="1:13" x14ac:dyDescent="0.25">
      <c r="A268" s="208"/>
      <c r="B268" s="225"/>
      <c r="C268" s="25" t="s">
        <v>108</v>
      </c>
      <c r="D268" s="1" t="s">
        <v>10</v>
      </c>
      <c r="E268" s="53"/>
      <c r="F268" s="53"/>
      <c r="G268" s="53"/>
      <c r="H268" s="53"/>
      <c r="I268" s="53"/>
      <c r="J268" s="53"/>
      <c r="K268" s="53"/>
      <c r="L268" s="53"/>
      <c r="M268" s="53"/>
    </row>
    <row r="269" spans="1:13" x14ac:dyDescent="0.25">
      <c r="A269" s="208"/>
      <c r="B269" s="225"/>
      <c r="C269" s="26" t="s">
        <v>11</v>
      </c>
      <c r="D269" s="27" t="s">
        <v>10</v>
      </c>
      <c r="E269" s="53"/>
      <c r="F269" s="53"/>
      <c r="G269" s="53"/>
      <c r="H269" s="53"/>
      <c r="I269" s="53"/>
      <c r="J269" s="53"/>
      <c r="K269" s="53"/>
      <c r="L269" s="53"/>
      <c r="M269" s="53"/>
    </row>
    <row r="270" spans="1:13" x14ac:dyDescent="0.25">
      <c r="A270" s="208"/>
      <c r="B270" s="225"/>
      <c r="C270" s="25" t="s">
        <v>12</v>
      </c>
      <c r="D270" s="1" t="s">
        <v>7</v>
      </c>
      <c r="E270" s="56">
        <v>1</v>
      </c>
      <c r="F270" s="56">
        <v>1</v>
      </c>
      <c r="G270" s="56">
        <v>1</v>
      </c>
      <c r="H270" s="56">
        <v>1</v>
      </c>
      <c r="I270" s="56">
        <v>1</v>
      </c>
      <c r="J270" s="56">
        <v>1</v>
      </c>
      <c r="K270" s="56">
        <v>1</v>
      </c>
      <c r="L270" s="56">
        <v>1</v>
      </c>
      <c r="M270" s="56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55">
        <v>31017</v>
      </c>
      <c r="F271" s="55">
        <v>31902</v>
      </c>
      <c r="G271" s="55">
        <v>34262</v>
      </c>
      <c r="H271" s="55">
        <v>37507</v>
      </c>
      <c r="I271" s="55">
        <v>41932</v>
      </c>
      <c r="J271" s="55">
        <v>50782</v>
      </c>
      <c r="K271" s="55">
        <v>80282</v>
      </c>
      <c r="L271" s="55">
        <v>151952</v>
      </c>
      <c r="M271" s="55">
        <v>292470.28399999999</v>
      </c>
    </row>
    <row r="272" spans="1:13" x14ac:dyDescent="0.25">
      <c r="A272" s="208"/>
      <c r="B272" s="225"/>
      <c r="C272" s="25" t="s">
        <v>15</v>
      </c>
      <c r="D272" s="1" t="s">
        <v>4</v>
      </c>
      <c r="E272" s="53">
        <v>40</v>
      </c>
      <c r="F272" s="53">
        <v>40</v>
      </c>
      <c r="G272" s="53">
        <v>40</v>
      </c>
      <c r="H272" s="53">
        <v>40</v>
      </c>
      <c r="I272" s="53">
        <v>40</v>
      </c>
      <c r="J272" s="53">
        <v>40</v>
      </c>
      <c r="K272" s="53">
        <v>40</v>
      </c>
      <c r="L272" s="53">
        <v>40</v>
      </c>
      <c r="M272" s="53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53">
        <v>40</v>
      </c>
      <c r="F273" s="53">
        <v>40</v>
      </c>
      <c r="G273" s="53">
        <v>40</v>
      </c>
      <c r="H273" s="53">
        <v>40</v>
      </c>
      <c r="I273" s="53">
        <v>40</v>
      </c>
      <c r="J273" s="53">
        <v>40</v>
      </c>
      <c r="K273" s="53">
        <v>40</v>
      </c>
      <c r="L273" s="53">
        <v>40</v>
      </c>
      <c r="M273" s="53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53"/>
      <c r="F274" s="53"/>
      <c r="G274" s="53"/>
      <c r="H274" s="53"/>
      <c r="I274" s="53"/>
      <c r="J274" s="53"/>
      <c r="K274" s="53"/>
      <c r="L274" s="53"/>
      <c r="M274" s="53"/>
    </row>
    <row r="275" spans="1:13" x14ac:dyDescent="0.25">
      <c r="A275" s="208"/>
      <c r="B275" s="225"/>
      <c r="C275" s="25" t="s">
        <v>176</v>
      </c>
      <c r="D275" s="1" t="s">
        <v>19</v>
      </c>
      <c r="E275" s="56">
        <v>0</v>
      </c>
      <c r="F275" s="56">
        <v>0</v>
      </c>
      <c r="G275" s="56">
        <v>0</v>
      </c>
      <c r="H275" s="56">
        <v>0</v>
      </c>
      <c r="I275" s="56">
        <v>0</v>
      </c>
      <c r="J275" s="56">
        <v>0</v>
      </c>
      <c r="K275" s="56">
        <v>0</v>
      </c>
      <c r="L275" s="56">
        <v>0</v>
      </c>
      <c r="M275" s="56">
        <v>0</v>
      </c>
    </row>
    <row r="276" spans="1:13" x14ac:dyDescent="0.25">
      <c r="A276" s="208"/>
      <c r="B276" s="225"/>
      <c r="C276" s="25" t="s">
        <v>106</v>
      </c>
      <c r="D276" s="1" t="s">
        <v>8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53"/>
      <c r="F277" s="53"/>
      <c r="G277" s="53"/>
      <c r="H277" s="53"/>
      <c r="I277" s="53"/>
      <c r="J277" s="53"/>
      <c r="K277" s="53"/>
      <c r="L277" s="53"/>
      <c r="M277" s="53"/>
    </row>
    <row r="278" spans="1:13" x14ac:dyDescent="0.25">
      <c r="A278" s="208"/>
      <c r="B278" s="225"/>
      <c r="C278" s="25" t="s">
        <v>108</v>
      </c>
      <c r="D278" s="1" t="s">
        <v>10</v>
      </c>
      <c r="E278" s="53"/>
      <c r="F278" s="53"/>
      <c r="G278" s="53"/>
      <c r="H278" s="53"/>
      <c r="I278" s="53"/>
      <c r="J278" s="53"/>
      <c r="K278" s="53"/>
      <c r="L278" s="53"/>
      <c r="M278" s="53"/>
    </row>
    <row r="279" spans="1:13" x14ac:dyDescent="0.25">
      <c r="A279" s="208"/>
      <c r="B279" s="225"/>
      <c r="C279" s="26" t="s">
        <v>11</v>
      </c>
      <c r="D279" s="27" t="s">
        <v>10</v>
      </c>
      <c r="E279" s="53"/>
      <c r="F279" s="53"/>
      <c r="G279" s="53"/>
      <c r="H279" s="53"/>
      <c r="I279" s="53"/>
      <c r="J279" s="53"/>
      <c r="K279" s="53"/>
      <c r="L279" s="53"/>
      <c r="M279" s="53"/>
    </row>
    <row r="280" spans="1:13" x14ac:dyDescent="0.25">
      <c r="A280" s="208"/>
      <c r="B280" s="225"/>
      <c r="C280" s="25" t="s">
        <v>12</v>
      </c>
      <c r="D280" s="1" t="s">
        <v>7</v>
      </c>
      <c r="E280" s="56">
        <v>1</v>
      </c>
      <c r="F280" s="56">
        <v>1</v>
      </c>
      <c r="G280" s="56">
        <v>1</v>
      </c>
      <c r="H280" s="56">
        <v>1</v>
      </c>
      <c r="I280" s="56">
        <v>1</v>
      </c>
      <c r="J280" s="56">
        <v>1</v>
      </c>
      <c r="K280" s="56">
        <v>1</v>
      </c>
      <c r="L280" s="56">
        <v>1</v>
      </c>
      <c r="M280" s="56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55">
        <v>92256.599999999991</v>
      </c>
      <c r="F281" s="55">
        <v>92691.599999999991</v>
      </c>
      <c r="G281" s="55">
        <v>93851.599999999991</v>
      </c>
      <c r="H281" s="55">
        <v>95446.599999999991</v>
      </c>
      <c r="I281" s="55">
        <v>97621.599999999991</v>
      </c>
      <c r="J281" s="55">
        <v>101971.59999999999</v>
      </c>
      <c r="K281" s="55">
        <v>116471.59999999999</v>
      </c>
      <c r="L281" s="55">
        <v>146921.59999999998</v>
      </c>
      <c r="M281" s="55">
        <v>207821.59999999998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55">
        <v>40</v>
      </c>
      <c r="F282" s="55">
        <v>40</v>
      </c>
      <c r="G282" s="55">
        <v>40</v>
      </c>
      <c r="H282" s="55">
        <v>40</v>
      </c>
      <c r="I282" s="55">
        <v>40</v>
      </c>
      <c r="J282" s="55">
        <v>40</v>
      </c>
      <c r="K282" s="55">
        <v>40</v>
      </c>
      <c r="L282" s="55">
        <v>40</v>
      </c>
      <c r="M282" s="55">
        <v>40</v>
      </c>
    </row>
  </sheetData>
  <sheetProtection algorithmName="SHA-512" hashValue="5gt5SFZ4grfbs2HtkNWyqyCAOfqDml/uEk2mzLaErX2eSiRJfCJUeMIYFAydelfbFqTa5i1qqg2erOq+Nl6j0Q==" saltValue="S6JvrwXCFR3q3pGXxKWVbw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2">
    <tabColor theme="9" tint="-0.249977111117893"/>
  </sheetPr>
  <dimension ref="A1:O282"/>
  <sheetViews>
    <sheetView zoomScale="85" zoomScaleNormal="85" workbookViewId="0">
      <pane ySplit="1" topLeftCell="A158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5" customWidth="1"/>
    <col min="2" max="2" width="20.140625" style="35" bestFit="1" customWidth="1"/>
    <col min="3" max="3" width="45.42578125" style="30" customWidth="1"/>
    <col min="4" max="4" width="12.140625" style="31" customWidth="1"/>
    <col min="5" max="12" width="12.28515625" style="63" bestFit="1" customWidth="1"/>
    <col min="13" max="13" width="13.42578125" style="63" bestFit="1" customWidth="1"/>
    <col min="14" max="14" width="15" style="35" customWidth="1"/>
    <col min="15" max="16384" width="10.85546875" style="35"/>
  </cols>
  <sheetData>
    <row r="1" spans="1:14" ht="15.75" x14ac:dyDescent="0.25">
      <c r="A1" s="49"/>
      <c r="B1" s="50" t="s">
        <v>0</v>
      </c>
      <c r="C1" s="33" t="s">
        <v>1</v>
      </c>
      <c r="D1" s="34" t="s">
        <v>2</v>
      </c>
      <c r="E1" s="51">
        <v>15</v>
      </c>
      <c r="F1" s="52">
        <v>30</v>
      </c>
      <c r="G1" s="52">
        <v>70</v>
      </c>
      <c r="H1" s="52">
        <v>125</v>
      </c>
      <c r="I1" s="52">
        <v>200</v>
      </c>
      <c r="J1" s="52">
        <v>350</v>
      </c>
      <c r="K1" s="52">
        <v>850</v>
      </c>
      <c r="L1" s="52">
        <v>1900</v>
      </c>
      <c r="M1" s="52">
        <v>4000</v>
      </c>
    </row>
    <row r="2" spans="1:14" x14ac:dyDescent="0.25">
      <c r="A2" s="208">
        <v>1</v>
      </c>
      <c r="B2" s="224" t="s">
        <v>3</v>
      </c>
      <c r="C2" s="25" t="s">
        <v>105</v>
      </c>
      <c r="D2" s="1" t="s">
        <v>4</v>
      </c>
      <c r="E2" s="53">
        <v>20</v>
      </c>
      <c r="F2" s="53">
        <v>20</v>
      </c>
      <c r="G2" s="53">
        <v>20</v>
      </c>
      <c r="H2" s="53">
        <v>20</v>
      </c>
      <c r="I2" s="53">
        <v>20</v>
      </c>
      <c r="J2" s="53">
        <v>20</v>
      </c>
      <c r="K2" s="53">
        <v>20</v>
      </c>
      <c r="L2" s="53">
        <v>20</v>
      </c>
      <c r="M2" s="53">
        <v>20</v>
      </c>
      <c r="N2" s="54"/>
    </row>
    <row r="3" spans="1:14" x14ac:dyDescent="0.25">
      <c r="A3" s="208"/>
      <c r="B3" s="224"/>
      <c r="C3" s="25" t="s">
        <v>5</v>
      </c>
      <c r="D3" s="1" t="s">
        <v>6</v>
      </c>
      <c r="E3" s="55">
        <v>192.56641637688614</v>
      </c>
      <c r="F3" s="55">
        <v>163.18945257039451</v>
      </c>
      <c r="G3" s="55">
        <v>127.27927465146402</v>
      </c>
      <c r="H3" s="55">
        <v>102.70540718565383</v>
      </c>
      <c r="I3" s="55">
        <v>107.31263157894738</v>
      </c>
      <c r="J3" s="55">
        <v>107.00631578947369</v>
      </c>
      <c r="K3" s="55">
        <v>105.98526315789475</v>
      </c>
      <c r="L3" s="55">
        <v>103.84105263157896</v>
      </c>
      <c r="M3" s="55">
        <v>99.55263157894737</v>
      </c>
      <c r="N3" s="54"/>
    </row>
    <row r="4" spans="1:14" x14ac:dyDescent="0.25">
      <c r="A4" s="208"/>
      <c r="B4" s="224"/>
      <c r="C4" s="25" t="s">
        <v>176</v>
      </c>
      <c r="D4" s="1" t="s">
        <v>19</v>
      </c>
      <c r="E4" s="56">
        <v>0</v>
      </c>
      <c r="F4" s="56">
        <v>0</v>
      </c>
      <c r="G4" s="56">
        <v>0</v>
      </c>
      <c r="H4" s="56">
        <v>0</v>
      </c>
      <c r="I4" s="56">
        <v>0</v>
      </c>
      <c r="J4" s="56">
        <v>0</v>
      </c>
      <c r="K4" s="56">
        <v>0</v>
      </c>
      <c r="L4" s="56">
        <v>0</v>
      </c>
      <c r="M4" s="56">
        <v>0</v>
      </c>
      <c r="N4" s="54"/>
    </row>
    <row r="5" spans="1:14" x14ac:dyDescent="0.25">
      <c r="A5" s="208"/>
      <c r="B5" s="224"/>
      <c r="C5" s="25" t="s">
        <v>106</v>
      </c>
      <c r="D5" s="1" t="s">
        <v>8</v>
      </c>
      <c r="E5" s="53"/>
      <c r="F5" s="53"/>
      <c r="G5" s="53"/>
      <c r="H5" s="53"/>
      <c r="I5" s="53"/>
      <c r="J5" s="53"/>
      <c r="K5" s="53"/>
      <c r="L5" s="53"/>
      <c r="M5" s="53"/>
      <c r="N5" s="54"/>
    </row>
    <row r="6" spans="1:14" x14ac:dyDescent="0.25">
      <c r="A6" s="208"/>
      <c r="B6" s="224"/>
      <c r="C6" s="25" t="s">
        <v>107</v>
      </c>
      <c r="D6" s="1" t="s">
        <v>9</v>
      </c>
      <c r="E6" s="55">
        <v>5.7769924913065838</v>
      </c>
      <c r="F6" s="55">
        <v>4.8956835771118348</v>
      </c>
      <c r="G6" s="55">
        <v>3.8183782395439203</v>
      </c>
      <c r="H6" s="55">
        <v>3.0811622155696146</v>
      </c>
      <c r="I6" s="55">
        <v>2.0378947368421052</v>
      </c>
      <c r="J6" s="55">
        <v>2.0189473684210526</v>
      </c>
      <c r="K6" s="55">
        <v>1.9557894736842103</v>
      </c>
      <c r="L6" s="55">
        <v>1.8231578947368419</v>
      </c>
      <c r="M6" s="55">
        <v>1.557894736842105</v>
      </c>
      <c r="N6" s="54"/>
    </row>
    <row r="7" spans="1:14" x14ac:dyDescent="0.25">
      <c r="A7" s="208"/>
      <c r="B7" s="224"/>
      <c r="C7" s="25" t="s">
        <v>108</v>
      </c>
      <c r="D7" s="1" t="s">
        <v>10</v>
      </c>
      <c r="E7" s="55">
        <v>0</v>
      </c>
      <c r="F7" s="55">
        <v>0</v>
      </c>
      <c r="G7" s="55">
        <v>0</v>
      </c>
      <c r="H7" s="55">
        <v>0</v>
      </c>
      <c r="I7" s="55">
        <v>0</v>
      </c>
      <c r="J7" s="55">
        <v>0</v>
      </c>
      <c r="K7" s="55">
        <v>1.7051368421052632E-3</v>
      </c>
      <c r="L7" s="55">
        <v>1.5645473684210527E-3</v>
      </c>
      <c r="M7" s="55">
        <v>1.2833684210526316E-3</v>
      </c>
      <c r="N7" s="54"/>
    </row>
    <row r="8" spans="1:14" x14ac:dyDescent="0.25">
      <c r="A8" s="208"/>
      <c r="B8" s="224"/>
      <c r="C8" s="26" t="s">
        <v>11</v>
      </c>
      <c r="D8" s="27" t="s">
        <v>10</v>
      </c>
      <c r="E8" s="55">
        <v>0</v>
      </c>
      <c r="F8" s="53"/>
      <c r="G8" s="53"/>
      <c r="H8" s="53"/>
      <c r="I8" s="53"/>
      <c r="J8" s="53"/>
      <c r="K8" s="53"/>
      <c r="L8" s="53"/>
      <c r="M8" s="53"/>
      <c r="N8" s="54"/>
    </row>
    <row r="9" spans="1:14" x14ac:dyDescent="0.25">
      <c r="A9" s="208"/>
      <c r="B9" s="224"/>
      <c r="C9" s="25" t="s">
        <v>12</v>
      </c>
      <c r="D9" s="1" t="s">
        <v>7</v>
      </c>
      <c r="E9" s="56">
        <v>0.99749999999999994</v>
      </c>
      <c r="F9" s="56">
        <v>0.99749999999999994</v>
      </c>
      <c r="G9" s="56">
        <v>0.99749999999999994</v>
      </c>
      <c r="H9" s="56">
        <v>0.99749999999999994</v>
      </c>
      <c r="I9" s="56">
        <v>0.99749999999999994</v>
      </c>
      <c r="J9" s="56">
        <v>0.99749999999999994</v>
      </c>
      <c r="K9" s="56">
        <v>0.999</v>
      </c>
      <c r="L9" s="56">
        <v>0.999</v>
      </c>
      <c r="M9" s="56">
        <v>0.999</v>
      </c>
      <c r="N9" s="54"/>
    </row>
    <row r="10" spans="1:14" x14ac:dyDescent="0.25">
      <c r="A10" s="208"/>
      <c r="B10" s="224"/>
      <c r="C10" s="25" t="s">
        <v>13</v>
      </c>
      <c r="D10" s="1" t="s">
        <v>14</v>
      </c>
      <c r="E10" s="55">
        <v>1524.6</v>
      </c>
      <c r="F10" s="55">
        <v>1749.6</v>
      </c>
      <c r="G10" s="55">
        <v>2349.6</v>
      </c>
      <c r="H10" s="55">
        <v>3174.6</v>
      </c>
      <c r="I10" s="55">
        <v>4299.6000000000004</v>
      </c>
      <c r="J10" s="55">
        <v>14213</v>
      </c>
      <c r="K10" s="55">
        <v>21713</v>
      </c>
      <c r="L10" s="55">
        <v>37463</v>
      </c>
      <c r="M10" s="55">
        <v>68963</v>
      </c>
      <c r="N10" s="54"/>
    </row>
    <row r="11" spans="1:14" x14ac:dyDescent="0.25">
      <c r="A11" s="208"/>
      <c r="B11" s="224"/>
      <c r="C11" s="25" t="s">
        <v>15</v>
      </c>
      <c r="D11" s="1" t="s">
        <v>4</v>
      </c>
      <c r="E11" s="53">
        <v>40</v>
      </c>
      <c r="F11" s="53">
        <v>40</v>
      </c>
      <c r="G11" s="53">
        <v>40</v>
      </c>
      <c r="H11" s="53">
        <v>40</v>
      </c>
      <c r="I11" s="53">
        <v>40</v>
      </c>
      <c r="J11" s="53">
        <v>40</v>
      </c>
      <c r="K11" s="53">
        <v>40</v>
      </c>
      <c r="L11" s="53">
        <v>40</v>
      </c>
      <c r="M11" s="53">
        <v>40</v>
      </c>
      <c r="N11" s="54"/>
    </row>
    <row r="12" spans="1:14" x14ac:dyDescent="0.25">
      <c r="A12" s="208">
        <v>2</v>
      </c>
      <c r="B12" s="224" t="s">
        <v>16</v>
      </c>
      <c r="C12" s="25" t="s">
        <v>105</v>
      </c>
      <c r="D12" s="1" t="s">
        <v>4</v>
      </c>
      <c r="E12" s="53">
        <v>20</v>
      </c>
      <c r="F12" s="53">
        <v>20</v>
      </c>
      <c r="G12" s="53">
        <v>20</v>
      </c>
      <c r="H12" s="53">
        <v>20</v>
      </c>
      <c r="I12" s="53">
        <v>20</v>
      </c>
      <c r="J12" s="53">
        <v>20</v>
      </c>
      <c r="K12" s="53">
        <v>20</v>
      </c>
      <c r="L12" s="53">
        <v>20</v>
      </c>
      <c r="M12" s="53">
        <v>20</v>
      </c>
      <c r="N12" s="54"/>
    </row>
    <row r="13" spans="1:14" x14ac:dyDescent="0.25">
      <c r="A13" s="208"/>
      <c r="B13" s="224"/>
      <c r="C13" s="25" t="s">
        <v>5</v>
      </c>
      <c r="D13" s="1" t="s">
        <v>6</v>
      </c>
      <c r="E13" s="55">
        <v>494.71174673968642</v>
      </c>
      <c r="F13" s="55">
        <v>312.36296273633667</v>
      </c>
      <c r="G13" s="55">
        <v>178.05603719956605</v>
      </c>
      <c r="H13" s="55">
        <v>121.20304082376755</v>
      </c>
      <c r="I13" s="55">
        <v>109.6</v>
      </c>
      <c r="J13" s="55">
        <v>109.6</v>
      </c>
      <c r="K13" s="55">
        <v>171.91447304854711</v>
      </c>
      <c r="L13" s="55">
        <v>255.68869759648467</v>
      </c>
      <c r="M13" s="55">
        <v>423.23714669235983</v>
      </c>
      <c r="N13" s="54"/>
    </row>
    <row r="14" spans="1:14" x14ac:dyDescent="0.25">
      <c r="A14" s="208"/>
      <c r="B14" s="224"/>
      <c r="C14" s="25" t="s">
        <v>176</v>
      </c>
      <c r="D14" s="1" t="s">
        <v>19</v>
      </c>
      <c r="E14" s="56">
        <v>0</v>
      </c>
      <c r="F14" s="56">
        <v>0</v>
      </c>
      <c r="G14" s="56">
        <v>0</v>
      </c>
      <c r="H14" s="56">
        <v>0</v>
      </c>
      <c r="I14" s="56">
        <v>0</v>
      </c>
      <c r="J14" s="56">
        <v>0</v>
      </c>
      <c r="K14" s="56">
        <v>0</v>
      </c>
      <c r="L14" s="56">
        <v>0</v>
      </c>
      <c r="M14" s="56">
        <v>0</v>
      </c>
      <c r="N14" s="54"/>
    </row>
    <row r="15" spans="1:14" x14ac:dyDescent="0.25">
      <c r="A15" s="208"/>
      <c r="B15" s="224"/>
      <c r="C15" s="25" t="s">
        <v>106</v>
      </c>
      <c r="D15" s="1" t="s">
        <v>8</v>
      </c>
      <c r="E15" s="53"/>
      <c r="F15" s="53"/>
      <c r="G15" s="53"/>
      <c r="H15" s="53"/>
      <c r="I15" s="53"/>
      <c r="J15" s="53"/>
      <c r="K15" s="53"/>
      <c r="L15" s="53"/>
      <c r="M15" s="53"/>
      <c r="N15" s="54"/>
    </row>
    <row r="16" spans="1:14" x14ac:dyDescent="0.25">
      <c r="A16" s="208"/>
      <c r="B16" s="224"/>
      <c r="C16" s="25" t="s">
        <v>107</v>
      </c>
      <c r="D16" s="1" t="s">
        <v>9</v>
      </c>
      <c r="E16" s="55">
        <v>29.682704804381178</v>
      </c>
      <c r="F16" s="55">
        <v>18.741777764180195</v>
      </c>
      <c r="G16" s="55">
        <v>10.683362231973959</v>
      </c>
      <c r="H16" s="55">
        <v>7.2721824494260519</v>
      </c>
      <c r="I16" s="55">
        <v>6.8624146125191272</v>
      </c>
      <c r="J16" s="55">
        <v>6.8624146125191272</v>
      </c>
      <c r="K16" s="55">
        <v>6.5392098262047078</v>
      </c>
      <c r="L16" s="55">
        <v>6.0171097867737213</v>
      </c>
      <c r="M16" s="55">
        <v>4.9729097079117501</v>
      </c>
      <c r="N16" s="54"/>
    </row>
    <row r="17" spans="1:14" x14ac:dyDescent="0.25">
      <c r="A17" s="208"/>
      <c r="B17" s="224"/>
      <c r="C17" s="25" t="s">
        <v>108</v>
      </c>
      <c r="D17" s="1" t="s">
        <v>10</v>
      </c>
      <c r="E17" s="55">
        <v>0</v>
      </c>
      <c r="F17" s="55">
        <v>0</v>
      </c>
      <c r="G17" s="55">
        <v>0</v>
      </c>
      <c r="H17" s="55">
        <v>0</v>
      </c>
      <c r="I17" s="55">
        <v>0</v>
      </c>
      <c r="J17" s="55">
        <v>0</v>
      </c>
      <c r="K17" s="55">
        <v>2.4763769947298963E-3</v>
      </c>
      <c r="L17" s="55">
        <v>2.4763769947298963E-3</v>
      </c>
      <c r="M17" s="55">
        <v>2.4763769947298963E-3</v>
      </c>
      <c r="N17" s="54"/>
    </row>
    <row r="18" spans="1:14" x14ac:dyDescent="0.25">
      <c r="A18" s="208"/>
      <c r="B18" s="224"/>
      <c r="C18" s="26" t="s">
        <v>11</v>
      </c>
      <c r="D18" s="27" t="s">
        <v>10</v>
      </c>
      <c r="E18" s="55">
        <v>0</v>
      </c>
      <c r="F18" s="55">
        <v>0</v>
      </c>
      <c r="G18" s="55">
        <v>0</v>
      </c>
      <c r="H18" s="55">
        <v>0</v>
      </c>
      <c r="I18" s="55">
        <v>0</v>
      </c>
      <c r="J18" s="55">
        <v>0</v>
      </c>
      <c r="K18" s="55">
        <v>0</v>
      </c>
      <c r="L18" s="55">
        <v>0</v>
      </c>
      <c r="M18" s="55">
        <v>0</v>
      </c>
      <c r="N18" s="54"/>
    </row>
    <row r="19" spans="1:14" x14ac:dyDescent="0.25">
      <c r="A19" s="208"/>
      <c r="B19" s="224"/>
      <c r="C19" s="25" t="s">
        <v>12</v>
      </c>
      <c r="D19" s="1" t="s">
        <v>7</v>
      </c>
      <c r="E19" s="56">
        <v>0.87200000000000033</v>
      </c>
      <c r="F19" s="56">
        <v>0.87200000000000033</v>
      </c>
      <c r="G19" s="56">
        <v>0.87200000000000033</v>
      </c>
      <c r="H19" s="56">
        <v>0.87200000000000033</v>
      </c>
      <c r="I19" s="56">
        <v>0.87200000000000033</v>
      </c>
      <c r="J19" s="56">
        <v>0.87200000000000033</v>
      </c>
      <c r="K19" s="56">
        <v>0.87200000000000033</v>
      </c>
      <c r="L19" s="56">
        <v>0.95516666666666661</v>
      </c>
      <c r="M19" s="56">
        <v>0.95516666666666661</v>
      </c>
      <c r="N19" s="54"/>
    </row>
    <row r="20" spans="1:14" x14ac:dyDescent="0.25">
      <c r="A20" s="208"/>
      <c r="B20" s="224"/>
      <c r="C20" s="25" t="s">
        <v>13</v>
      </c>
      <c r="D20" s="1" t="s">
        <v>14</v>
      </c>
      <c r="E20" s="53"/>
      <c r="F20" s="53"/>
      <c r="G20" s="53"/>
      <c r="H20" s="53"/>
      <c r="I20" s="53"/>
      <c r="J20" s="53"/>
      <c r="K20" s="53"/>
      <c r="L20" s="53"/>
      <c r="M20" s="53"/>
      <c r="N20" s="54"/>
    </row>
    <row r="21" spans="1:14" x14ac:dyDescent="0.25">
      <c r="A21" s="208"/>
      <c r="B21" s="224"/>
      <c r="C21" s="25" t="s">
        <v>15</v>
      </c>
      <c r="D21" s="1" t="s">
        <v>4</v>
      </c>
      <c r="E21" s="53"/>
      <c r="F21" s="53"/>
      <c r="G21" s="53"/>
      <c r="H21" s="53"/>
      <c r="I21" s="53"/>
      <c r="J21" s="53"/>
      <c r="K21" s="53"/>
      <c r="L21" s="53"/>
      <c r="M21" s="53"/>
      <c r="N21" s="54"/>
    </row>
    <row r="22" spans="1:14" ht="14.45" customHeight="1" x14ac:dyDescent="0.25">
      <c r="A22" s="208">
        <v>3</v>
      </c>
      <c r="B22" s="225" t="s">
        <v>148</v>
      </c>
      <c r="C22" s="25" t="s">
        <v>105</v>
      </c>
      <c r="D22" s="1" t="s">
        <v>4</v>
      </c>
      <c r="E22" s="53">
        <v>20</v>
      </c>
      <c r="F22" s="53">
        <v>20</v>
      </c>
      <c r="G22" s="53">
        <v>20</v>
      </c>
      <c r="H22" s="53">
        <v>20</v>
      </c>
      <c r="I22" s="53">
        <v>20</v>
      </c>
      <c r="J22" s="53">
        <v>20</v>
      </c>
      <c r="K22" s="53">
        <v>20</v>
      </c>
      <c r="L22" s="53">
        <v>20</v>
      </c>
      <c r="M22" s="53">
        <v>20</v>
      </c>
      <c r="N22" s="54"/>
    </row>
    <row r="23" spans="1:14" x14ac:dyDescent="0.25">
      <c r="A23" s="208"/>
      <c r="B23" s="225"/>
      <c r="C23" s="25" t="s">
        <v>5</v>
      </c>
      <c r="D23" s="1" t="s">
        <v>6</v>
      </c>
      <c r="E23" s="55">
        <v>756.50213541090761</v>
      </c>
      <c r="F23" s="55">
        <v>540.20663720034383</v>
      </c>
      <c r="G23" s="55">
        <v>421.48150193390472</v>
      </c>
      <c r="H23" s="55">
        <v>421.48150193390472</v>
      </c>
      <c r="I23" s="55">
        <v>421.48150193390472</v>
      </c>
      <c r="J23" s="55">
        <v>421.48150193390472</v>
      </c>
      <c r="K23" s="55">
        <v>1120.903443434433</v>
      </c>
      <c r="L23" s="55">
        <v>975.21226311391229</v>
      </c>
      <c r="M23" s="55">
        <v>857.30536609258718</v>
      </c>
      <c r="N23" s="54"/>
    </row>
    <row r="24" spans="1:14" x14ac:dyDescent="0.25">
      <c r="A24" s="208"/>
      <c r="B24" s="225"/>
      <c r="C24" s="25" t="s">
        <v>176</v>
      </c>
      <c r="D24" s="1" t="s">
        <v>19</v>
      </c>
      <c r="E24" s="56">
        <v>0</v>
      </c>
      <c r="F24" s="56">
        <v>0</v>
      </c>
      <c r="G24" s="56">
        <v>0</v>
      </c>
      <c r="H24" s="56">
        <v>0</v>
      </c>
      <c r="I24" s="56">
        <v>0</v>
      </c>
      <c r="J24" s="56">
        <v>0</v>
      </c>
      <c r="K24" s="56">
        <v>0</v>
      </c>
      <c r="L24" s="56">
        <v>0</v>
      </c>
      <c r="M24" s="56">
        <v>0</v>
      </c>
      <c r="N24" s="54"/>
    </row>
    <row r="25" spans="1:14" x14ac:dyDescent="0.25">
      <c r="A25" s="208"/>
      <c r="B25" s="225"/>
      <c r="C25" s="25" t="s">
        <v>106</v>
      </c>
      <c r="D25" s="1" t="s">
        <v>8</v>
      </c>
      <c r="E25" s="53"/>
      <c r="F25" s="53"/>
      <c r="G25" s="53"/>
      <c r="H25" s="53"/>
      <c r="I25" s="53"/>
      <c r="J25" s="53"/>
      <c r="K25" s="53"/>
      <c r="L25" s="53"/>
      <c r="M25" s="53"/>
      <c r="N25" s="54"/>
    </row>
    <row r="26" spans="1:14" x14ac:dyDescent="0.25">
      <c r="A26" s="208"/>
      <c r="B26" s="225"/>
      <c r="C26" s="25" t="s">
        <v>107</v>
      </c>
      <c r="D26" s="1" t="s">
        <v>9</v>
      </c>
      <c r="E26" s="55">
        <v>11.347532031163613</v>
      </c>
      <c r="F26" s="55">
        <v>8.103099558005157</v>
      </c>
      <c r="G26" s="55">
        <v>6.3222225290085703</v>
      </c>
      <c r="H26" s="55">
        <v>6.3222225290085703</v>
      </c>
      <c r="I26" s="55">
        <v>6.3222225290085703</v>
      </c>
      <c r="J26" s="55">
        <v>6.3222225290085703</v>
      </c>
      <c r="K26" s="55">
        <v>1.538</v>
      </c>
      <c r="L26" s="55">
        <v>1.538</v>
      </c>
      <c r="M26" s="55">
        <v>1.538</v>
      </c>
      <c r="N26" s="54"/>
    </row>
    <row r="27" spans="1:14" x14ac:dyDescent="0.25">
      <c r="A27" s="208"/>
      <c r="B27" s="225"/>
      <c r="C27" s="25" t="s">
        <v>108</v>
      </c>
      <c r="D27" s="1" t="s">
        <v>10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2.0100000000000001E-3</v>
      </c>
      <c r="L27" s="55">
        <v>2.0100000000000001E-3</v>
      </c>
      <c r="M27" s="55">
        <v>2.0100000000000001E-3</v>
      </c>
      <c r="N27" s="54"/>
    </row>
    <row r="28" spans="1:14" ht="18.75" x14ac:dyDescent="0.25">
      <c r="A28" s="208"/>
      <c r="B28" s="225"/>
      <c r="C28" s="26" t="s">
        <v>109</v>
      </c>
      <c r="D28" s="27" t="s">
        <v>17</v>
      </c>
      <c r="E28" s="55">
        <v>0</v>
      </c>
      <c r="F28" s="55">
        <v>0</v>
      </c>
      <c r="G28" s="55">
        <v>0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5">
        <v>0</v>
      </c>
      <c r="N28" s="54"/>
    </row>
    <row r="29" spans="1:14" x14ac:dyDescent="0.25">
      <c r="A29" s="208"/>
      <c r="B29" s="225"/>
      <c r="C29" s="26" t="s">
        <v>11</v>
      </c>
      <c r="D29" s="27" t="s">
        <v>10</v>
      </c>
      <c r="E29" s="55">
        <v>0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4"/>
    </row>
    <row r="30" spans="1:14" x14ac:dyDescent="0.25">
      <c r="A30" s="208"/>
      <c r="B30" s="225"/>
      <c r="C30" s="25" t="s">
        <v>18</v>
      </c>
      <c r="D30" s="2" t="s">
        <v>19</v>
      </c>
      <c r="E30" s="53">
        <v>3.98</v>
      </c>
      <c r="F30" s="53">
        <v>3.98</v>
      </c>
      <c r="G30" s="53">
        <v>3.98</v>
      </c>
      <c r="H30" s="53">
        <v>3.98</v>
      </c>
      <c r="I30" s="53">
        <v>3.98</v>
      </c>
      <c r="J30" s="53">
        <v>3.98</v>
      </c>
      <c r="K30" s="53">
        <v>3.98</v>
      </c>
      <c r="L30" s="53">
        <v>3.98</v>
      </c>
      <c r="M30" s="53">
        <v>3.98</v>
      </c>
      <c r="N30" s="54"/>
    </row>
    <row r="31" spans="1:14" x14ac:dyDescent="0.25">
      <c r="A31" s="208"/>
      <c r="B31" s="225"/>
      <c r="C31" s="25" t="s">
        <v>13</v>
      </c>
      <c r="D31" s="1" t="s">
        <v>14</v>
      </c>
      <c r="E31" s="53"/>
      <c r="F31" s="53"/>
      <c r="G31" s="53"/>
      <c r="H31" s="53"/>
      <c r="I31" s="53"/>
      <c r="J31" s="53"/>
      <c r="K31" s="53"/>
      <c r="L31" s="53"/>
      <c r="M31" s="53"/>
      <c r="N31" s="54"/>
    </row>
    <row r="32" spans="1:14" x14ac:dyDescent="0.25">
      <c r="A32" s="208"/>
      <c r="B32" s="225"/>
      <c r="C32" s="25" t="s">
        <v>15</v>
      </c>
      <c r="D32" s="1" t="s">
        <v>4</v>
      </c>
      <c r="E32" s="53"/>
      <c r="F32" s="53"/>
      <c r="G32" s="53"/>
      <c r="H32" s="53"/>
      <c r="I32" s="53"/>
      <c r="J32" s="53"/>
      <c r="K32" s="53"/>
      <c r="L32" s="53"/>
      <c r="M32" s="53"/>
      <c r="N32" s="54"/>
    </row>
    <row r="33" spans="1:14" ht="14.45" customHeight="1" x14ac:dyDescent="0.25">
      <c r="A33" s="208">
        <v>4</v>
      </c>
      <c r="B33" s="225" t="s">
        <v>149</v>
      </c>
      <c r="C33" s="25" t="s">
        <v>105</v>
      </c>
      <c r="D33" s="1" t="s">
        <v>4</v>
      </c>
      <c r="E33" s="53">
        <v>20</v>
      </c>
      <c r="F33" s="53">
        <v>20</v>
      </c>
      <c r="G33" s="53">
        <v>20</v>
      </c>
      <c r="H33" s="53">
        <v>20</v>
      </c>
      <c r="I33" s="53">
        <v>20</v>
      </c>
      <c r="J33" s="53">
        <v>20</v>
      </c>
      <c r="K33" s="53">
        <v>20</v>
      </c>
      <c r="L33" s="53">
        <v>20</v>
      </c>
      <c r="M33" s="53">
        <v>20</v>
      </c>
      <c r="N33" s="54"/>
    </row>
    <row r="34" spans="1:14" x14ac:dyDescent="0.25">
      <c r="A34" s="208"/>
      <c r="B34" s="225"/>
      <c r="C34" s="25" t="s">
        <v>5</v>
      </c>
      <c r="D34" s="1" t="s">
        <v>6</v>
      </c>
      <c r="E34" s="55">
        <v>756.50213541090761</v>
      </c>
      <c r="F34" s="55">
        <v>540.20663720034383</v>
      </c>
      <c r="G34" s="55">
        <v>421.48150193390472</v>
      </c>
      <c r="H34" s="55">
        <v>421.48150193390472</v>
      </c>
      <c r="I34" s="55">
        <v>421.48150193390472</v>
      </c>
      <c r="J34" s="55">
        <v>421.48150193390472</v>
      </c>
      <c r="K34" s="55">
        <v>1120.903443434433</v>
      </c>
      <c r="L34" s="55">
        <v>975.21226311391229</v>
      </c>
      <c r="M34" s="55">
        <v>857.30536609258718</v>
      </c>
      <c r="N34" s="54"/>
    </row>
    <row r="35" spans="1:14" x14ac:dyDescent="0.25">
      <c r="A35" s="208"/>
      <c r="B35" s="225"/>
      <c r="C35" s="25" t="s">
        <v>176</v>
      </c>
      <c r="D35" s="1" t="s">
        <v>19</v>
      </c>
      <c r="E35" s="56">
        <v>0</v>
      </c>
      <c r="F35" s="56">
        <v>0</v>
      </c>
      <c r="G35" s="56">
        <v>0</v>
      </c>
      <c r="H35" s="56">
        <v>0</v>
      </c>
      <c r="I35" s="56">
        <v>0</v>
      </c>
      <c r="J35" s="56">
        <v>0</v>
      </c>
      <c r="K35" s="56">
        <v>0</v>
      </c>
      <c r="L35" s="56">
        <v>0</v>
      </c>
      <c r="M35" s="56">
        <v>0</v>
      </c>
      <c r="N35" s="54"/>
    </row>
    <row r="36" spans="1:14" x14ac:dyDescent="0.25">
      <c r="A36" s="208"/>
      <c r="B36" s="225"/>
      <c r="C36" s="25" t="s">
        <v>106</v>
      </c>
      <c r="D36" s="1" t="s">
        <v>8</v>
      </c>
      <c r="E36" s="53"/>
      <c r="F36" s="53"/>
      <c r="G36" s="53"/>
      <c r="H36" s="53"/>
      <c r="I36" s="53"/>
      <c r="J36" s="53"/>
      <c r="K36" s="53"/>
      <c r="L36" s="53"/>
      <c r="M36" s="53"/>
      <c r="N36" s="54"/>
    </row>
    <row r="37" spans="1:14" x14ac:dyDescent="0.25">
      <c r="A37" s="208"/>
      <c r="B37" s="225"/>
      <c r="C37" s="25" t="s">
        <v>107</v>
      </c>
      <c r="D37" s="1" t="s">
        <v>9</v>
      </c>
      <c r="E37" s="55">
        <v>11.347532031163613</v>
      </c>
      <c r="F37" s="55">
        <v>8.103099558005157</v>
      </c>
      <c r="G37" s="55">
        <v>6.3222225290085703</v>
      </c>
      <c r="H37" s="55">
        <v>6.3222225290085703</v>
      </c>
      <c r="I37" s="55">
        <v>6.3222225290085703</v>
      </c>
      <c r="J37" s="55">
        <v>6.3222225290085703</v>
      </c>
      <c r="K37" s="55">
        <v>1.538</v>
      </c>
      <c r="L37" s="55">
        <v>1.538</v>
      </c>
      <c r="M37" s="55">
        <v>1.538</v>
      </c>
      <c r="N37" s="54"/>
    </row>
    <row r="38" spans="1:14" x14ac:dyDescent="0.25">
      <c r="A38" s="208"/>
      <c r="B38" s="225"/>
      <c r="C38" s="25" t="s">
        <v>108</v>
      </c>
      <c r="D38" s="1" t="s">
        <v>10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2.0100000000000001E-3</v>
      </c>
      <c r="L38" s="55">
        <v>2.0100000000000001E-3</v>
      </c>
      <c r="M38" s="55">
        <v>2.0100000000000001E-3</v>
      </c>
      <c r="N38" s="54"/>
    </row>
    <row r="39" spans="1:14" ht="18.75" x14ac:dyDescent="0.25">
      <c r="A39" s="208"/>
      <c r="B39" s="225"/>
      <c r="C39" s="26" t="s">
        <v>109</v>
      </c>
      <c r="D39" s="27" t="s">
        <v>17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4"/>
    </row>
    <row r="40" spans="1:14" x14ac:dyDescent="0.25">
      <c r="A40" s="208"/>
      <c r="B40" s="225"/>
      <c r="C40" s="26" t="s">
        <v>11</v>
      </c>
      <c r="D40" s="27" t="s">
        <v>10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4"/>
    </row>
    <row r="41" spans="1:14" x14ac:dyDescent="0.25">
      <c r="A41" s="208"/>
      <c r="B41" s="225"/>
      <c r="C41" s="25" t="s">
        <v>18</v>
      </c>
      <c r="D41" s="2" t="s">
        <v>19</v>
      </c>
      <c r="E41" s="53">
        <v>3.73</v>
      </c>
      <c r="F41" s="53">
        <v>3.73</v>
      </c>
      <c r="G41" s="53">
        <v>3.73</v>
      </c>
      <c r="H41" s="53">
        <v>3.73</v>
      </c>
      <c r="I41" s="53">
        <v>3.73</v>
      </c>
      <c r="J41" s="53">
        <v>3.73</v>
      </c>
      <c r="K41" s="53">
        <v>3.73</v>
      </c>
      <c r="L41" s="53">
        <v>3.73</v>
      </c>
      <c r="M41" s="53">
        <v>3.73</v>
      </c>
      <c r="N41" s="54"/>
    </row>
    <row r="42" spans="1:14" x14ac:dyDescent="0.25">
      <c r="A42" s="208"/>
      <c r="B42" s="225"/>
      <c r="C42" s="25" t="s">
        <v>13</v>
      </c>
      <c r="D42" s="1" t="s">
        <v>14</v>
      </c>
      <c r="E42" s="53"/>
      <c r="F42" s="53"/>
      <c r="G42" s="53"/>
      <c r="H42" s="53"/>
      <c r="I42" s="53"/>
      <c r="J42" s="53"/>
      <c r="K42" s="53"/>
      <c r="L42" s="53"/>
      <c r="M42" s="53"/>
      <c r="N42" s="54"/>
    </row>
    <row r="43" spans="1:14" x14ac:dyDescent="0.25">
      <c r="A43" s="208"/>
      <c r="B43" s="225"/>
      <c r="C43" s="25" t="s">
        <v>15</v>
      </c>
      <c r="D43" s="1" t="s">
        <v>4</v>
      </c>
      <c r="E43" s="53"/>
      <c r="F43" s="53"/>
      <c r="G43" s="53"/>
      <c r="H43" s="53"/>
      <c r="I43" s="53"/>
      <c r="J43" s="53"/>
      <c r="K43" s="53"/>
      <c r="L43" s="53"/>
      <c r="M43" s="53"/>
      <c r="N43" s="54"/>
    </row>
    <row r="44" spans="1:14" ht="14.45" customHeight="1" x14ac:dyDescent="0.25">
      <c r="A44" s="208">
        <v>5</v>
      </c>
      <c r="B44" s="225" t="s">
        <v>150</v>
      </c>
      <c r="C44" s="25" t="s">
        <v>105</v>
      </c>
      <c r="D44" s="1" t="s">
        <v>4</v>
      </c>
      <c r="E44" s="53">
        <v>20</v>
      </c>
      <c r="F44" s="53">
        <v>20</v>
      </c>
      <c r="G44" s="53">
        <v>20</v>
      </c>
      <c r="H44" s="53">
        <v>20</v>
      </c>
      <c r="I44" s="53">
        <v>20</v>
      </c>
      <c r="J44" s="53">
        <v>20</v>
      </c>
      <c r="K44" s="53">
        <v>20</v>
      </c>
      <c r="L44" s="53">
        <v>20</v>
      </c>
      <c r="M44" s="53">
        <v>20</v>
      </c>
      <c r="N44" s="54"/>
    </row>
    <row r="45" spans="1:14" x14ac:dyDescent="0.25">
      <c r="A45" s="208"/>
      <c r="B45" s="225"/>
      <c r="C45" s="25" t="s">
        <v>20</v>
      </c>
      <c r="D45" s="1" t="s">
        <v>6</v>
      </c>
      <c r="E45" s="55">
        <v>756.50213541090761</v>
      </c>
      <c r="F45" s="55">
        <v>540.20663720034383</v>
      </c>
      <c r="G45" s="55">
        <v>421.48150193390472</v>
      </c>
      <c r="H45" s="55">
        <v>421.48150193390472</v>
      </c>
      <c r="I45" s="55">
        <v>421.48150193390472</v>
      </c>
      <c r="J45" s="55">
        <v>421.48150193390472</v>
      </c>
      <c r="K45" s="55">
        <v>1120.903443434433</v>
      </c>
      <c r="L45" s="55">
        <v>975.21226311391229</v>
      </c>
      <c r="M45" s="55">
        <v>857.30536609258718</v>
      </c>
      <c r="N45" s="54"/>
    </row>
    <row r="46" spans="1:14" x14ac:dyDescent="0.25">
      <c r="A46" s="208"/>
      <c r="B46" s="225"/>
      <c r="C46" s="25" t="s">
        <v>176</v>
      </c>
      <c r="D46" s="1" t="s">
        <v>19</v>
      </c>
      <c r="E46" s="56">
        <v>0</v>
      </c>
      <c r="F46" s="56">
        <v>0</v>
      </c>
      <c r="G46" s="56">
        <v>0</v>
      </c>
      <c r="H46" s="56">
        <v>0</v>
      </c>
      <c r="I46" s="56">
        <v>0</v>
      </c>
      <c r="J46" s="56">
        <v>0</v>
      </c>
      <c r="K46" s="56">
        <v>0</v>
      </c>
      <c r="L46" s="56">
        <v>0</v>
      </c>
      <c r="M46" s="56">
        <v>0</v>
      </c>
      <c r="N46" s="54"/>
    </row>
    <row r="47" spans="1:14" x14ac:dyDescent="0.25">
      <c r="A47" s="208"/>
      <c r="B47" s="225"/>
      <c r="C47" s="25" t="s">
        <v>106</v>
      </c>
      <c r="D47" s="1" t="s">
        <v>8</v>
      </c>
      <c r="E47" s="53"/>
      <c r="F47" s="53"/>
      <c r="G47" s="53"/>
      <c r="H47" s="53"/>
      <c r="I47" s="53"/>
      <c r="J47" s="53"/>
      <c r="K47" s="53"/>
      <c r="L47" s="53"/>
      <c r="M47" s="53"/>
      <c r="N47" s="54"/>
    </row>
    <row r="48" spans="1:14" x14ac:dyDescent="0.25">
      <c r="A48" s="208"/>
      <c r="B48" s="225"/>
      <c r="C48" s="25" t="s">
        <v>107</v>
      </c>
      <c r="D48" s="1" t="s">
        <v>9</v>
      </c>
      <c r="E48" s="55">
        <v>11.347532031163613</v>
      </c>
      <c r="F48" s="55">
        <v>8.103099558005157</v>
      </c>
      <c r="G48" s="55">
        <v>6.3222225290085703</v>
      </c>
      <c r="H48" s="55">
        <v>6.3222225290085703</v>
      </c>
      <c r="I48" s="55">
        <v>6.3222225290085703</v>
      </c>
      <c r="J48" s="55">
        <v>6.3222225290085703</v>
      </c>
      <c r="K48" s="55">
        <v>1.538</v>
      </c>
      <c r="L48" s="55">
        <v>1.538</v>
      </c>
      <c r="M48" s="55">
        <v>1.538</v>
      </c>
      <c r="N48" s="54"/>
    </row>
    <row r="49" spans="1:14" x14ac:dyDescent="0.25">
      <c r="A49" s="208"/>
      <c r="B49" s="225"/>
      <c r="C49" s="25" t="s">
        <v>108</v>
      </c>
      <c r="D49" s="1" t="s">
        <v>10</v>
      </c>
      <c r="E49" s="55">
        <v>0</v>
      </c>
      <c r="F49" s="55">
        <v>0</v>
      </c>
      <c r="G49" s="55">
        <v>0</v>
      </c>
      <c r="H49" s="55">
        <v>0</v>
      </c>
      <c r="I49" s="55">
        <v>0</v>
      </c>
      <c r="J49" s="55">
        <v>0</v>
      </c>
      <c r="K49" s="55">
        <v>2.0100000000000001E-3</v>
      </c>
      <c r="L49" s="55">
        <v>2.0100000000000001E-3</v>
      </c>
      <c r="M49" s="55">
        <v>2.0100000000000001E-3</v>
      </c>
      <c r="N49" s="54"/>
    </row>
    <row r="50" spans="1:14" ht="18.75" x14ac:dyDescent="0.25">
      <c r="A50" s="208"/>
      <c r="B50" s="225"/>
      <c r="C50" s="26" t="s">
        <v>109</v>
      </c>
      <c r="D50" s="27" t="s">
        <v>17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4"/>
    </row>
    <row r="51" spans="1:14" x14ac:dyDescent="0.25">
      <c r="A51" s="208"/>
      <c r="B51" s="225"/>
      <c r="C51" s="26" t="s">
        <v>11</v>
      </c>
      <c r="D51" s="27" t="s">
        <v>10</v>
      </c>
      <c r="E51" s="55">
        <v>0</v>
      </c>
      <c r="F51" s="55">
        <v>0</v>
      </c>
      <c r="G51" s="55">
        <v>0</v>
      </c>
      <c r="H51" s="55">
        <v>0</v>
      </c>
      <c r="I51" s="55">
        <v>0</v>
      </c>
      <c r="J51" s="55">
        <v>0</v>
      </c>
      <c r="K51" s="55">
        <v>0</v>
      </c>
      <c r="L51" s="55">
        <v>0</v>
      </c>
      <c r="M51" s="55">
        <v>0</v>
      </c>
      <c r="N51" s="54"/>
    </row>
    <row r="52" spans="1:14" x14ac:dyDescent="0.25">
      <c r="A52" s="208"/>
      <c r="B52" s="225"/>
      <c r="C52" s="25" t="s">
        <v>18</v>
      </c>
      <c r="D52" s="2" t="s">
        <v>19</v>
      </c>
      <c r="E52" s="53">
        <v>3.48</v>
      </c>
      <c r="F52" s="53">
        <v>3.48</v>
      </c>
      <c r="G52" s="53">
        <v>3.48</v>
      </c>
      <c r="H52" s="53">
        <v>3.48</v>
      </c>
      <c r="I52" s="53">
        <v>3.48</v>
      </c>
      <c r="J52" s="53">
        <v>3.48</v>
      </c>
      <c r="K52" s="53">
        <v>3.48</v>
      </c>
      <c r="L52" s="53">
        <v>3.48</v>
      </c>
      <c r="M52" s="53">
        <v>3.48</v>
      </c>
      <c r="N52" s="54"/>
    </row>
    <row r="53" spans="1:14" x14ac:dyDescent="0.25">
      <c r="A53" s="208"/>
      <c r="B53" s="225"/>
      <c r="C53" s="25" t="s">
        <v>13</v>
      </c>
      <c r="D53" s="2" t="s">
        <v>14</v>
      </c>
      <c r="E53" s="53"/>
      <c r="F53" s="53"/>
      <c r="G53" s="53"/>
      <c r="H53" s="53"/>
      <c r="I53" s="53"/>
      <c r="J53" s="53"/>
      <c r="K53" s="53"/>
      <c r="L53" s="53"/>
      <c r="M53" s="53"/>
      <c r="N53" s="54"/>
    </row>
    <row r="54" spans="1:14" x14ac:dyDescent="0.25">
      <c r="A54" s="208"/>
      <c r="B54" s="225"/>
      <c r="C54" s="25" t="s">
        <v>15</v>
      </c>
      <c r="D54" s="2" t="s">
        <v>4</v>
      </c>
      <c r="E54" s="53"/>
      <c r="F54" s="53"/>
      <c r="G54" s="53"/>
      <c r="H54" s="53"/>
      <c r="I54" s="53"/>
      <c r="J54" s="53"/>
      <c r="K54" s="53"/>
      <c r="L54" s="53"/>
      <c r="M54" s="53"/>
      <c r="N54" s="54"/>
    </row>
    <row r="55" spans="1:14" ht="14.45" customHeight="1" x14ac:dyDescent="0.25">
      <c r="A55" s="208">
        <v>6</v>
      </c>
      <c r="B55" s="225" t="s">
        <v>151</v>
      </c>
      <c r="C55" s="25" t="s">
        <v>105</v>
      </c>
      <c r="D55" s="1" t="s">
        <v>4</v>
      </c>
      <c r="E55" s="53">
        <v>20</v>
      </c>
      <c r="F55" s="53">
        <v>20</v>
      </c>
      <c r="G55" s="53">
        <v>20</v>
      </c>
      <c r="H55" s="53">
        <v>20</v>
      </c>
      <c r="I55" s="53">
        <v>20</v>
      </c>
      <c r="J55" s="53">
        <v>20</v>
      </c>
      <c r="K55" s="53">
        <v>20</v>
      </c>
      <c r="L55" s="53">
        <v>20</v>
      </c>
      <c r="M55" s="53">
        <v>20</v>
      </c>
      <c r="N55" s="54"/>
    </row>
    <row r="56" spans="1:14" x14ac:dyDescent="0.25">
      <c r="A56" s="208"/>
      <c r="B56" s="225"/>
      <c r="C56" s="25" t="s">
        <v>20</v>
      </c>
      <c r="D56" s="1" t="s">
        <v>6</v>
      </c>
      <c r="E56" s="55">
        <v>690.37350466796431</v>
      </c>
      <c r="F56" s="55">
        <v>482.27864832153284</v>
      </c>
      <c r="G56" s="55">
        <v>370.24487330434692</v>
      </c>
      <c r="H56" s="55">
        <v>370.24487330434692</v>
      </c>
      <c r="I56" s="55">
        <v>370.24487330434692</v>
      </c>
      <c r="J56" s="55">
        <v>370.24487330434692</v>
      </c>
      <c r="K56" s="55">
        <v>566.30399999999997</v>
      </c>
      <c r="L56" s="55">
        <v>566.30399999999997</v>
      </c>
      <c r="M56" s="55">
        <v>566.30399999999997</v>
      </c>
      <c r="N56" s="54"/>
    </row>
    <row r="57" spans="1:14" x14ac:dyDescent="0.25">
      <c r="A57" s="208"/>
      <c r="B57" s="225"/>
      <c r="C57" s="25" t="s">
        <v>176</v>
      </c>
      <c r="D57" s="1" t="s">
        <v>19</v>
      </c>
      <c r="E57" s="56">
        <v>0</v>
      </c>
      <c r="F57" s="56">
        <v>0</v>
      </c>
      <c r="G57" s="56">
        <v>0</v>
      </c>
      <c r="H57" s="56">
        <v>0</v>
      </c>
      <c r="I57" s="56">
        <v>0</v>
      </c>
      <c r="J57" s="56">
        <v>0</v>
      </c>
      <c r="K57" s="56">
        <v>0</v>
      </c>
      <c r="L57" s="56">
        <v>0</v>
      </c>
      <c r="M57" s="56">
        <v>0</v>
      </c>
      <c r="N57" s="54"/>
    </row>
    <row r="58" spans="1:14" x14ac:dyDescent="0.25">
      <c r="A58" s="208"/>
      <c r="B58" s="225"/>
      <c r="C58" s="25" t="s">
        <v>106</v>
      </c>
      <c r="D58" s="1" t="s">
        <v>8</v>
      </c>
      <c r="E58" s="53"/>
      <c r="F58" s="53"/>
      <c r="G58" s="53"/>
      <c r="H58" s="53"/>
      <c r="I58" s="53"/>
      <c r="J58" s="53"/>
      <c r="K58" s="53"/>
      <c r="L58" s="53"/>
      <c r="M58" s="53"/>
      <c r="N58" s="54"/>
    </row>
    <row r="59" spans="1:14" x14ac:dyDescent="0.25">
      <c r="A59" s="208"/>
      <c r="B59" s="225"/>
      <c r="C59" s="25" t="s">
        <v>107</v>
      </c>
      <c r="D59" s="1" t="s">
        <v>9</v>
      </c>
      <c r="E59" s="55">
        <v>10.355602570019464</v>
      </c>
      <c r="F59" s="55">
        <v>7.234179724822992</v>
      </c>
      <c r="G59" s="55">
        <v>5.5536730995652039</v>
      </c>
      <c r="H59" s="55">
        <v>5.5536730995652039</v>
      </c>
      <c r="I59" s="55">
        <v>5.5536730995652039</v>
      </c>
      <c r="J59" s="55">
        <v>5.5536730995652039</v>
      </c>
      <c r="K59" s="55">
        <v>1.538</v>
      </c>
      <c r="L59" s="55">
        <v>1.538</v>
      </c>
      <c r="M59" s="55">
        <v>1.538</v>
      </c>
      <c r="N59" s="54"/>
    </row>
    <row r="60" spans="1:14" x14ac:dyDescent="0.25">
      <c r="A60" s="208"/>
      <c r="B60" s="225"/>
      <c r="C60" s="25" t="s">
        <v>108</v>
      </c>
      <c r="D60" s="1" t="s">
        <v>10</v>
      </c>
      <c r="E60" s="55">
        <v>0</v>
      </c>
      <c r="F60" s="55">
        <v>0</v>
      </c>
      <c r="G60" s="55">
        <v>0</v>
      </c>
      <c r="H60" s="55">
        <v>0</v>
      </c>
      <c r="I60" s="55">
        <v>0</v>
      </c>
      <c r="J60" s="55">
        <v>0</v>
      </c>
      <c r="K60" s="55">
        <v>2.0100000000000001E-3</v>
      </c>
      <c r="L60" s="55">
        <v>2.0100000000000001E-3</v>
      </c>
      <c r="M60" s="55">
        <v>2.0100000000000001E-3</v>
      </c>
      <c r="N60" s="54"/>
    </row>
    <row r="61" spans="1:14" ht="18.75" x14ac:dyDescent="0.25">
      <c r="A61" s="208"/>
      <c r="B61" s="225"/>
      <c r="C61" s="26" t="s">
        <v>109</v>
      </c>
      <c r="D61" s="27" t="s">
        <v>17</v>
      </c>
      <c r="E61" s="55">
        <v>0</v>
      </c>
      <c r="F61" s="55">
        <v>0</v>
      </c>
      <c r="G61" s="55">
        <v>0</v>
      </c>
      <c r="H61" s="55">
        <v>0</v>
      </c>
      <c r="I61" s="55">
        <v>0</v>
      </c>
      <c r="J61" s="55">
        <v>0</v>
      </c>
      <c r="K61" s="55">
        <v>0</v>
      </c>
      <c r="L61" s="55">
        <v>0</v>
      </c>
      <c r="M61" s="55">
        <v>0</v>
      </c>
      <c r="N61" s="54"/>
    </row>
    <row r="62" spans="1:14" x14ac:dyDescent="0.25">
      <c r="A62" s="208"/>
      <c r="B62" s="225"/>
      <c r="C62" s="26" t="s">
        <v>11</v>
      </c>
      <c r="D62" s="27" t="s">
        <v>10</v>
      </c>
      <c r="E62" s="55">
        <v>0</v>
      </c>
      <c r="F62" s="55">
        <v>0</v>
      </c>
      <c r="G62" s="55">
        <v>0</v>
      </c>
      <c r="H62" s="55">
        <v>0</v>
      </c>
      <c r="I62" s="55">
        <v>0</v>
      </c>
      <c r="J62" s="55">
        <v>0</v>
      </c>
      <c r="K62" s="55">
        <v>0</v>
      </c>
      <c r="L62" s="55">
        <v>0</v>
      </c>
      <c r="M62" s="55">
        <v>0</v>
      </c>
      <c r="N62" s="54"/>
    </row>
    <row r="63" spans="1:14" x14ac:dyDescent="0.25">
      <c r="A63" s="208"/>
      <c r="B63" s="225"/>
      <c r="C63" s="25" t="s">
        <v>18</v>
      </c>
      <c r="D63" s="2" t="s">
        <v>19</v>
      </c>
      <c r="E63" s="53">
        <v>5.22</v>
      </c>
      <c r="F63" s="53">
        <v>5.22</v>
      </c>
      <c r="G63" s="53">
        <v>5.22</v>
      </c>
      <c r="H63" s="53">
        <v>5.22</v>
      </c>
      <c r="I63" s="53">
        <v>5.22</v>
      </c>
      <c r="J63" s="53">
        <v>5.22</v>
      </c>
      <c r="K63" s="53">
        <v>5.22</v>
      </c>
      <c r="L63" s="53">
        <v>5.22</v>
      </c>
      <c r="M63" s="53">
        <v>5.22</v>
      </c>
      <c r="N63" s="54"/>
    </row>
    <row r="64" spans="1:14" x14ac:dyDescent="0.25">
      <c r="A64" s="208"/>
      <c r="B64" s="225"/>
      <c r="C64" s="25" t="s">
        <v>13</v>
      </c>
      <c r="D64" s="1" t="s">
        <v>14</v>
      </c>
      <c r="E64" s="53"/>
      <c r="F64" s="53"/>
      <c r="G64" s="53"/>
      <c r="H64" s="53"/>
      <c r="I64" s="53"/>
      <c r="J64" s="53"/>
      <c r="K64" s="53"/>
      <c r="L64" s="53"/>
      <c r="M64" s="53"/>
      <c r="N64" s="54"/>
    </row>
    <row r="65" spans="1:14" x14ac:dyDescent="0.25">
      <c r="A65" s="208"/>
      <c r="B65" s="225"/>
      <c r="C65" s="25" t="s">
        <v>15</v>
      </c>
      <c r="D65" s="1" t="s">
        <v>4</v>
      </c>
      <c r="E65" s="53"/>
      <c r="F65" s="53"/>
      <c r="G65" s="53"/>
      <c r="H65" s="53"/>
      <c r="I65" s="53"/>
      <c r="J65" s="53"/>
      <c r="K65" s="53"/>
      <c r="L65" s="53"/>
      <c r="M65" s="53"/>
      <c r="N65" s="54"/>
    </row>
    <row r="66" spans="1:14" x14ac:dyDescent="0.25">
      <c r="A66" s="208"/>
      <c r="B66" s="225"/>
      <c r="C66" s="25" t="s">
        <v>110</v>
      </c>
      <c r="D66" s="1" t="s">
        <v>6</v>
      </c>
      <c r="E66" s="55">
        <v>3105.227139824588</v>
      </c>
      <c r="F66" s="55">
        <v>2124.7890355573581</v>
      </c>
      <c r="G66" s="55">
        <v>1336.2661902848918</v>
      </c>
      <c r="H66" s="55">
        <v>464.19686267796163</v>
      </c>
      <c r="I66" s="55">
        <v>316.51784616801797</v>
      </c>
      <c r="J66" s="55">
        <v>200.62554706645031</v>
      </c>
      <c r="K66" s="55">
        <v>97.370367192094207</v>
      </c>
      <c r="L66" s="55">
        <v>85.294657716252502</v>
      </c>
      <c r="M66" s="55">
        <v>85.294657716252502</v>
      </c>
      <c r="N66" s="54"/>
    </row>
    <row r="67" spans="1:14" x14ac:dyDescent="0.25">
      <c r="A67" s="208"/>
      <c r="B67" s="225"/>
      <c r="C67" s="25" t="s">
        <v>111</v>
      </c>
      <c r="D67" s="1" t="s">
        <v>4</v>
      </c>
      <c r="E67" s="53"/>
      <c r="F67" s="53"/>
      <c r="G67" s="53"/>
      <c r="H67" s="53"/>
      <c r="I67" s="53"/>
      <c r="J67" s="53"/>
      <c r="K67" s="53"/>
      <c r="L67" s="53"/>
      <c r="M67" s="53"/>
      <c r="N67" s="54"/>
    </row>
    <row r="68" spans="1:14" ht="14.45" customHeight="1" x14ac:dyDescent="0.25">
      <c r="A68" s="208">
        <v>7</v>
      </c>
      <c r="B68" s="225" t="s">
        <v>152</v>
      </c>
      <c r="C68" s="25" t="s">
        <v>105</v>
      </c>
      <c r="D68" s="1" t="s">
        <v>4</v>
      </c>
      <c r="E68" s="53">
        <v>20</v>
      </c>
      <c r="F68" s="53">
        <v>20</v>
      </c>
      <c r="G68" s="53">
        <v>20</v>
      </c>
      <c r="H68" s="53">
        <v>20</v>
      </c>
      <c r="I68" s="53">
        <v>20</v>
      </c>
      <c r="J68" s="53">
        <v>20</v>
      </c>
      <c r="K68" s="53">
        <v>20</v>
      </c>
      <c r="L68" s="53">
        <v>20</v>
      </c>
      <c r="M68" s="53">
        <v>20</v>
      </c>
      <c r="N68" s="54"/>
    </row>
    <row r="69" spans="1:14" x14ac:dyDescent="0.25">
      <c r="A69" s="208"/>
      <c r="B69" s="225"/>
      <c r="C69" s="25" t="s">
        <v>20</v>
      </c>
      <c r="D69" s="1" t="s">
        <v>6</v>
      </c>
      <c r="E69" s="55">
        <v>690.37350466796431</v>
      </c>
      <c r="F69" s="55">
        <v>482.27864832153284</v>
      </c>
      <c r="G69" s="55">
        <v>370.24487330434692</v>
      </c>
      <c r="H69" s="55">
        <v>370.24487330434692</v>
      </c>
      <c r="I69" s="55">
        <v>370.24487330434692</v>
      </c>
      <c r="J69" s="55">
        <v>370.24487330434692</v>
      </c>
      <c r="K69" s="55">
        <v>566.30399999999997</v>
      </c>
      <c r="L69" s="55">
        <v>566.30399999999997</v>
      </c>
      <c r="M69" s="55">
        <v>566.30399999999997</v>
      </c>
      <c r="N69" s="54"/>
    </row>
    <row r="70" spans="1:14" x14ac:dyDescent="0.25">
      <c r="A70" s="208"/>
      <c r="B70" s="225"/>
      <c r="C70" s="25" t="s">
        <v>176</v>
      </c>
      <c r="D70" s="1" t="s">
        <v>19</v>
      </c>
      <c r="E70" s="56">
        <v>0</v>
      </c>
      <c r="F70" s="56">
        <v>0</v>
      </c>
      <c r="G70" s="56">
        <v>0</v>
      </c>
      <c r="H70" s="56">
        <v>0</v>
      </c>
      <c r="I70" s="56">
        <v>0</v>
      </c>
      <c r="J70" s="56">
        <v>0</v>
      </c>
      <c r="K70" s="56">
        <v>0</v>
      </c>
      <c r="L70" s="56">
        <v>0</v>
      </c>
      <c r="M70" s="56">
        <v>0</v>
      </c>
      <c r="N70" s="54"/>
    </row>
    <row r="71" spans="1:14" x14ac:dyDescent="0.25">
      <c r="A71" s="208"/>
      <c r="B71" s="225"/>
      <c r="C71" s="25" t="s">
        <v>106</v>
      </c>
      <c r="D71" s="1" t="s">
        <v>8</v>
      </c>
      <c r="E71" s="53"/>
      <c r="F71" s="53"/>
      <c r="G71" s="53"/>
      <c r="H71" s="53"/>
      <c r="I71" s="53"/>
      <c r="J71" s="53"/>
      <c r="K71" s="53"/>
      <c r="L71" s="53"/>
      <c r="M71" s="53"/>
      <c r="N71" s="54"/>
    </row>
    <row r="72" spans="1:14" x14ac:dyDescent="0.25">
      <c r="A72" s="208"/>
      <c r="B72" s="225"/>
      <c r="C72" s="25" t="s">
        <v>107</v>
      </c>
      <c r="D72" s="1" t="s">
        <v>9</v>
      </c>
      <c r="E72" s="55">
        <v>10.355602570019464</v>
      </c>
      <c r="F72" s="55">
        <v>7.234179724822992</v>
      </c>
      <c r="G72" s="55">
        <v>5.5536730995652039</v>
      </c>
      <c r="H72" s="55">
        <v>5.5536730995652039</v>
      </c>
      <c r="I72" s="55">
        <v>5.5536730995652039</v>
      </c>
      <c r="J72" s="55">
        <v>5.5536730995652039</v>
      </c>
      <c r="K72" s="55">
        <v>1.538</v>
      </c>
      <c r="L72" s="55">
        <v>1.538</v>
      </c>
      <c r="M72" s="55">
        <v>1.538</v>
      </c>
      <c r="N72" s="54"/>
    </row>
    <row r="73" spans="1:14" x14ac:dyDescent="0.25">
      <c r="A73" s="208"/>
      <c r="B73" s="225"/>
      <c r="C73" s="25" t="s">
        <v>108</v>
      </c>
      <c r="D73" s="1" t="s">
        <v>10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2.0100000000000001E-3</v>
      </c>
      <c r="L73" s="55">
        <v>2.0100000000000001E-3</v>
      </c>
      <c r="M73" s="55">
        <v>2.0100000000000001E-3</v>
      </c>
      <c r="N73" s="54"/>
    </row>
    <row r="74" spans="1:14" ht="18.75" x14ac:dyDescent="0.25">
      <c r="A74" s="208"/>
      <c r="B74" s="225"/>
      <c r="C74" s="26" t="s">
        <v>109</v>
      </c>
      <c r="D74" s="27" t="s">
        <v>17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4"/>
    </row>
    <row r="75" spans="1:14" x14ac:dyDescent="0.25">
      <c r="A75" s="208"/>
      <c r="B75" s="225"/>
      <c r="C75" s="26" t="s">
        <v>11</v>
      </c>
      <c r="D75" s="27" t="s">
        <v>10</v>
      </c>
      <c r="E75" s="55">
        <v>0</v>
      </c>
      <c r="F75" s="55">
        <v>0</v>
      </c>
      <c r="G75" s="55">
        <v>0</v>
      </c>
      <c r="H75" s="55">
        <v>0</v>
      </c>
      <c r="I75" s="55">
        <v>0</v>
      </c>
      <c r="J75" s="55">
        <v>0</v>
      </c>
      <c r="K75" s="55">
        <v>0</v>
      </c>
      <c r="L75" s="55">
        <v>0</v>
      </c>
      <c r="M75" s="55">
        <v>0</v>
      </c>
      <c r="N75" s="54"/>
    </row>
    <row r="76" spans="1:14" x14ac:dyDescent="0.25">
      <c r="A76" s="208"/>
      <c r="B76" s="225"/>
      <c r="C76" s="25" t="s">
        <v>18</v>
      </c>
      <c r="D76" s="2" t="s">
        <v>19</v>
      </c>
      <c r="E76" s="53">
        <v>4.875</v>
      </c>
      <c r="F76" s="53">
        <v>4.875</v>
      </c>
      <c r="G76" s="53">
        <v>4.875</v>
      </c>
      <c r="H76" s="53">
        <v>4.875</v>
      </c>
      <c r="I76" s="53">
        <v>4.875</v>
      </c>
      <c r="J76" s="53">
        <v>4.875</v>
      </c>
      <c r="K76" s="53">
        <v>4.875</v>
      </c>
      <c r="L76" s="53">
        <v>4.875</v>
      </c>
      <c r="M76" s="53">
        <v>4.875</v>
      </c>
      <c r="N76" s="54"/>
    </row>
    <row r="77" spans="1:14" x14ac:dyDescent="0.25">
      <c r="A77" s="208"/>
      <c r="B77" s="225"/>
      <c r="C77" s="25" t="s">
        <v>13</v>
      </c>
      <c r="D77" s="1" t="s">
        <v>14</v>
      </c>
      <c r="E77" s="53"/>
      <c r="F77" s="53"/>
      <c r="G77" s="53"/>
      <c r="H77" s="53"/>
      <c r="I77" s="53"/>
      <c r="J77" s="53"/>
      <c r="K77" s="53"/>
      <c r="L77" s="53"/>
      <c r="M77" s="53"/>
      <c r="N77" s="54"/>
    </row>
    <row r="78" spans="1:14" x14ac:dyDescent="0.25">
      <c r="A78" s="208"/>
      <c r="B78" s="225"/>
      <c r="C78" s="25" t="s">
        <v>15</v>
      </c>
      <c r="D78" s="1" t="s">
        <v>4</v>
      </c>
      <c r="E78" s="53"/>
      <c r="F78" s="53"/>
      <c r="G78" s="53"/>
      <c r="H78" s="53"/>
      <c r="I78" s="53"/>
      <c r="J78" s="53"/>
      <c r="K78" s="53"/>
      <c r="L78" s="53"/>
      <c r="M78" s="53"/>
      <c r="N78" s="54"/>
    </row>
    <row r="79" spans="1:14" x14ac:dyDescent="0.25">
      <c r="A79" s="208"/>
      <c r="B79" s="225"/>
      <c r="C79" s="25" t="s">
        <v>110</v>
      </c>
      <c r="D79" s="1" t="s">
        <v>6</v>
      </c>
      <c r="E79" s="55">
        <v>3105.227139824588</v>
      </c>
      <c r="F79" s="55">
        <v>2124.7890355573581</v>
      </c>
      <c r="G79" s="55">
        <v>1336.2661902848918</v>
      </c>
      <c r="H79" s="55">
        <v>464.19686267796163</v>
      </c>
      <c r="I79" s="55">
        <v>316.51784616801797</v>
      </c>
      <c r="J79" s="55">
        <v>200.62554706645031</v>
      </c>
      <c r="K79" s="55">
        <v>97.370367192094207</v>
      </c>
      <c r="L79" s="55">
        <v>85.294657716252502</v>
      </c>
      <c r="M79" s="55">
        <v>85.294657716252502</v>
      </c>
      <c r="N79" s="54"/>
    </row>
    <row r="80" spans="1:14" x14ac:dyDescent="0.25">
      <c r="A80" s="208"/>
      <c r="B80" s="225"/>
      <c r="C80" s="25" t="s">
        <v>111</v>
      </c>
      <c r="D80" s="1" t="s">
        <v>4</v>
      </c>
      <c r="E80" s="53"/>
      <c r="F80" s="53"/>
      <c r="G80" s="53"/>
      <c r="H80" s="53"/>
      <c r="I80" s="53"/>
      <c r="J80" s="53"/>
      <c r="K80" s="53"/>
      <c r="L80" s="53"/>
      <c r="M80" s="53"/>
      <c r="N80" s="54"/>
    </row>
    <row r="81" spans="1:14" ht="14.45" customHeight="1" x14ac:dyDescent="0.25">
      <c r="A81" s="208">
        <v>8</v>
      </c>
      <c r="B81" s="225" t="s">
        <v>153</v>
      </c>
      <c r="C81" s="25" t="s">
        <v>105</v>
      </c>
      <c r="D81" s="1" t="s">
        <v>4</v>
      </c>
      <c r="E81" s="53">
        <v>20</v>
      </c>
      <c r="F81" s="53">
        <v>20</v>
      </c>
      <c r="G81" s="53">
        <v>20</v>
      </c>
      <c r="H81" s="53">
        <v>20</v>
      </c>
      <c r="I81" s="53">
        <v>20</v>
      </c>
      <c r="J81" s="53">
        <v>20</v>
      </c>
      <c r="K81" s="53">
        <v>20</v>
      </c>
      <c r="L81" s="53">
        <v>20</v>
      </c>
      <c r="M81" s="53">
        <v>20</v>
      </c>
      <c r="N81" s="54"/>
    </row>
    <row r="82" spans="1:14" x14ac:dyDescent="0.25">
      <c r="A82" s="208"/>
      <c r="B82" s="225"/>
      <c r="C82" s="25" t="s">
        <v>20</v>
      </c>
      <c r="D82" s="1" t="s">
        <v>6</v>
      </c>
      <c r="E82" s="55">
        <v>690.37350466796431</v>
      </c>
      <c r="F82" s="55">
        <v>482.27864832153284</v>
      </c>
      <c r="G82" s="55">
        <v>370.24487330434692</v>
      </c>
      <c r="H82" s="55">
        <v>370.24487330434692</v>
      </c>
      <c r="I82" s="55">
        <v>370.24487330434692</v>
      </c>
      <c r="J82" s="55">
        <v>370.24487330434692</v>
      </c>
      <c r="K82" s="55">
        <v>566.30399999999997</v>
      </c>
      <c r="L82" s="55">
        <v>566.30399999999997</v>
      </c>
      <c r="M82" s="55">
        <v>566.30399999999997</v>
      </c>
      <c r="N82" s="54"/>
    </row>
    <row r="83" spans="1:14" x14ac:dyDescent="0.25">
      <c r="A83" s="208"/>
      <c r="B83" s="225"/>
      <c r="C83" s="25" t="s">
        <v>176</v>
      </c>
      <c r="D83" s="1" t="s">
        <v>19</v>
      </c>
      <c r="E83" s="56">
        <v>0</v>
      </c>
      <c r="F83" s="56">
        <v>0</v>
      </c>
      <c r="G83" s="56">
        <v>0</v>
      </c>
      <c r="H83" s="56">
        <v>0</v>
      </c>
      <c r="I83" s="56">
        <v>0</v>
      </c>
      <c r="J83" s="56">
        <v>0</v>
      </c>
      <c r="K83" s="56">
        <v>0</v>
      </c>
      <c r="L83" s="56">
        <v>0</v>
      </c>
      <c r="M83" s="56">
        <v>0</v>
      </c>
      <c r="N83" s="54"/>
    </row>
    <row r="84" spans="1:14" x14ac:dyDescent="0.25">
      <c r="A84" s="208"/>
      <c r="B84" s="225"/>
      <c r="C84" s="25" t="s">
        <v>106</v>
      </c>
      <c r="D84" s="1" t="s">
        <v>8</v>
      </c>
      <c r="E84" s="53"/>
      <c r="F84" s="53"/>
      <c r="G84" s="53"/>
      <c r="H84" s="53"/>
      <c r="I84" s="53"/>
      <c r="J84" s="53"/>
      <c r="K84" s="53"/>
      <c r="L84" s="53"/>
      <c r="M84" s="53"/>
      <c r="N84" s="54"/>
    </row>
    <row r="85" spans="1:14" x14ac:dyDescent="0.25">
      <c r="A85" s="208"/>
      <c r="B85" s="225"/>
      <c r="C85" s="25" t="s">
        <v>107</v>
      </c>
      <c r="D85" s="1" t="s">
        <v>9</v>
      </c>
      <c r="E85" s="55">
        <v>10.355602570019464</v>
      </c>
      <c r="F85" s="55">
        <v>7.234179724822992</v>
      </c>
      <c r="G85" s="55">
        <v>5.5536730995652039</v>
      </c>
      <c r="H85" s="55">
        <v>5.5536730995652039</v>
      </c>
      <c r="I85" s="55">
        <v>5.5536730995652039</v>
      </c>
      <c r="J85" s="55">
        <v>5.5536730995652039</v>
      </c>
      <c r="K85" s="55">
        <v>1.538</v>
      </c>
      <c r="L85" s="55">
        <v>1.538</v>
      </c>
      <c r="M85" s="55">
        <v>1.538</v>
      </c>
      <c r="N85" s="54"/>
    </row>
    <row r="86" spans="1:14" x14ac:dyDescent="0.25">
      <c r="A86" s="208"/>
      <c r="B86" s="225"/>
      <c r="C86" s="25" t="s">
        <v>108</v>
      </c>
      <c r="D86" s="1" t="s">
        <v>10</v>
      </c>
      <c r="E86" s="55">
        <v>0</v>
      </c>
      <c r="F86" s="55">
        <v>0</v>
      </c>
      <c r="G86" s="55">
        <v>0</v>
      </c>
      <c r="H86" s="55">
        <v>0</v>
      </c>
      <c r="I86" s="55">
        <v>0</v>
      </c>
      <c r="J86" s="55">
        <v>0</v>
      </c>
      <c r="K86" s="55">
        <v>2.0100000000000001E-3</v>
      </c>
      <c r="L86" s="55">
        <v>2.0100000000000001E-3</v>
      </c>
      <c r="M86" s="55">
        <v>2.0100000000000001E-3</v>
      </c>
      <c r="N86" s="54"/>
    </row>
    <row r="87" spans="1:14" ht="18.75" x14ac:dyDescent="0.25">
      <c r="A87" s="208"/>
      <c r="B87" s="225"/>
      <c r="C87" s="26" t="s">
        <v>109</v>
      </c>
      <c r="D87" s="27" t="s">
        <v>17</v>
      </c>
      <c r="E87" s="55">
        <v>0</v>
      </c>
      <c r="F87" s="55">
        <v>0</v>
      </c>
      <c r="G87" s="55">
        <v>0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4"/>
    </row>
    <row r="88" spans="1:14" x14ac:dyDescent="0.25">
      <c r="A88" s="208"/>
      <c r="B88" s="225"/>
      <c r="C88" s="26" t="s">
        <v>11</v>
      </c>
      <c r="D88" s="27" t="s">
        <v>10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4"/>
    </row>
    <row r="89" spans="1:14" x14ac:dyDescent="0.25">
      <c r="A89" s="208"/>
      <c r="B89" s="225"/>
      <c r="C89" s="25" t="s">
        <v>18</v>
      </c>
      <c r="D89" s="2" t="s">
        <v>19</v>
      </c>
      <c r="E89" s="53">
        <v>4.5299999999999994</v>
      </c>
      <c r="F89" s="53">
        <v>4.5299999999999994</v>
      </c>
      <c r="G89" s="53">
        <v>4.5299999999999994</v>
      </c>
      <c r="H89" s="53">
        <v>4.5299999999999994</v>
      </c>
      <c r="I89" s="53">
        <v>4.5299999999999994</v>
      </c>
      <c r="J89" s="53">
        <v>4.5299999999999994</v>
      </c>
      <c r="K89" s="53">
        <v>4.5299999999999994</v>
      </c>
      <c r="L89" s="53">
        <v>4.5299999999999994</v>
      </c>
      <c r="M89" s="53">
        <v>4.5299999999999994</v>
      </c>
      <c r="N89" s="54"/>
    </row>
    <row r="90" spans="1:14" x14ac:dyDescent="0.25">
      <c r="A90" s="208"/>
      <c r="B90" s="225"/>
      <c r="C90" s="25" t="s">
        <v>13</v>
      </c>
      <c r="D90" s="2" t="s">
        <v>14</v>
      </c>
      <c r="E90" s="53"/>
      <c r="F90" s="53"/>
      <c r="G90" s="53"/>
      <c r="H90" s="53"/>
      <c r="I90" s="53"/>
      <c r="J90" s="53"/>
      <c r="K90" s="53"/>
      <c r="L90" s="53"/>
      <c r="M90" s="53"/>
      <c r="N90" s="54"/>
    </row>
    <row r="91" spans="1:14" x14ac:dyDescent="0.25">
      <c r="A91" s="208"/>
      <c r="B91" s="225"/>
      <c r="C91" s="25" t="s">
        <v>15</v>
      </c>
      <c r="D91" s="1" t="s">
        <v>4</v>
      </c>
      <c r="E91" s="53"/>
      <c r="F91" s="53"/>
      <c r="G91" s="53"/>
      <c r="H91" s="53"/>
      <c r="I91" s="53"/>
      <c r="J91" s="53"/>
      <c r="K91" s="53"/>
      <c r="L91" s="53"/>
      <c r="M91" s="53"/>
      <c r="N91" s="54"/>
    </row>
    <row r="92" spans="1:14" x14ac:dyDescent="0.25">
      <c r="A92" s="208"/>
      <c r="B92" s="225"/>
      <c r="C92" s="25" t="s">
        <v>110</v>
      </c>
      <c r="D92" s="1" t="s">
        <v>6</v>
      </c>
      <c r="E92" s="55">
        <v>3105.227139824588</v>
      </c>
      <c r="F92" s="55">
        <v>2124.7890355573581</v>
      </c>
      <c r="G92" s="55">
        <v>1336.2661902848918</v>
      </c>
      <c r="H92" s="55">
        <v>464.19686267796163</v>
      </c>
      <c r="I92" s="55">
        <v>316.51784616801797</v>
      </c>
      <c r="J92" s="55">
        <v>200.62554706645031</v>
      </c>
      <c r="K92" s="55">
        <v>97.370367192094207</v>
      </c>
      <c r="L92" s="55">
        <v>85.294657716252502</v>
      </c>
      <c r="M92" s="55">
        <v>85.294657716252502</v>
      </c>
      <c r="N92" s="54"/>
    </row>
    <row r="93" spans="1:14" x14ac:dyDescent="0.25">
      <c r="A93" s="208"/>
      <c r="B93" s="225"/>
      <c r="C93" s="25" t="s">
        <v>111</v>
      </c>
      <c r="D93" s="1" t="s">
        <v>4</v>
      </c>
      <c r="E93" s="53"/>
      <c r="F93" s="53"/>
      <c r="G93" s="53"/>
      <c r="H93" s="53"/>
      <c r="I93" s="53"/>
      <c r="J93" s="53"/>
      <c r="K93" s="53"/>
      <c r="L93" s="53"/>
      <c r="M93" s="53"/>
      <c r="N93" s="54"/>
    </row>
    <row r="94" spans="1:14" ht="15" customHeight="1" x14ac:dyDescent="0.25">
      <c r="A94" s="208">
        <v>9</v>
      </c>
      <c r="B94" s="225" t="s">
        <v>112</v>
      </c>
      <c r="C94" s="25" t="s">
        <v>113</v>
      </c>
      <c r="D94" s="1" t="s">
        <v>19</v>
      </c>
      <c r="E94" s="53">
        <v>1</v>
      </c>
      <c r="F94" s="53">
        <v>1</v>
      </c>
      <c r="G94" s="53">
        <v>1</v>
      </c>
      <c r="H94" s="53">
        <v>1</v>
      </c>
      <c r="I94" s="53">
        <v>1</v>
      </c>
      <c r="J94" s="53">
        <v>1</v>
      </c>
      <c r="K94" s="53">
        <v>1</v>
      </c>
      <c r="L94" s="53">
        <v>1</v>
      </c>
      <c r="M94" s="53">
        <v>1</v>
      </c>
      <c r="N94" s="54"/>
    </row>
    <row r="95" spans="1:14" x14ac:dyDescent="0.25">
      <c r="A95" s="208"/>
      <c r="B95" s="225"/>
      <c r="C95" s="25" t="s">
        <v>21</v>
      </c>
      <c r="D95" s="1" t="s">
        <v>19</v>
      </c>
      <c r="E95" s="53">
        <v>0.35</v>
      </c>
      <c r="F95" s="53">
        <v>0.35</v>
      </c>
      <c r="G95" s="53">
        <v>0.35</v>
      </c>
      <c r="H95" s="53">
        <v>0.35</v>
      </c>
      <c r="I95" s="53">
        <v>0.35</v>
      </c>
      <c r="J95" s="53">
        <v>0.35</v>
      </c>
      <c r="K95" s="53">
        <v>0.35</v>
      </c>
      <c r="L95" s="53">
        <v>0.35</v>
      </c>
      <c r="M95" s="53">
        <v>0.35</v>
      </c>
      <c r="N95" s="54"/>
    </row>
    <row r="96" spans="1:14" x14ac:dyDescent="0.25">
      <c r="A96" s="208"/>
      <c r="B96" s="225"/>
      <c r="C96" s="25" t="s">
        <v>22</v>
      </c>
      <c r="D96" s="1" t="s">
        <v>4</v>
      </c>
      <c r="E96" s="53">
        <v>20</v>
      </c>
      <c r="F96" s="53">
        <v>20</v>
      </c>
      <c r="G96" s="53">
        <v>20</v>
      </c>
      <c r="H96" s="53">
        <v>20</v>
      </c>
      <c r="I96" s="53">
        <v>20</v>
      </c>
      <c r="J96" s="53">
        <v>20</v>
      </c>
      <c r="K96" s="53">
        <v>20</v>
      </c>
      <c r="L96" s="53">
        <v>20</v>
      </c>
      <c r="M96" s="53">
        <v>20</v>
      </c>
      <c r="N96" s="54"/>
    </row>
    <row r="97" spans="1:15" x14ac:dyDescent="0.25">
      <c r="A97" s="208"/>
      <c r="B97" s="225"/>
      <c r="C97" s="25" t="s">
        <v>23</v>
      </c>
      <c r="D97" s="1" t="s">
        <v>6</v>
      </c>
      <c r="E97" s="55">
        <v>192.56641637688614</v>
      </c>
      <c r="F97" s="55">
        <v>163.18945257039451</v>
      </c>
      <c r="G97" s="55">
        <v>127.27927465146402</v>
      </c>
      <c r="H97" s="55">
        <v>102.70540718565383</v>
      </c>
      <c r="I97" s="55">
        <v>107.31263157894738</v>
      </c>
      <c r="J97" s="55">
        <v>107.00631578947369</v>
      </c>
      <c r="K97" s="55">
        <v>105.98526315789475</v>
      </c>
      <c r="L97" s="55">
        <v>103.84105263157896</v>
      </c>
      <c r="M97" s="55">
        <v>99.55263157894737</v>
      </c>
      <c r="N97" s="54"/>
    </row>
    <row r="98" spans="1:15" x14ac:dyDescent="0.25">
      <c r="A98" s="208"/>
      <c r="B98" s="225"/>
      <c r="C98" s="25" t="s">
        <v>177</v>
      </c>
      <c r="D98" s="1" t="s">
        <v>19</v>
      </c>
      <c r="E98" s="56">
        <v>0</v>
      </c>
      <c r="F98" s="56">
        <v>0</v>
      </c>
      <c r="G98" s="56">
        <v>0</v>
      </c>
      <c r="H98" s="56">
        <v>0</v>
      </c>
      <c r="I98" s="56">
        <v>0</v>
      </c>
      <c r="J98" s="56">
        <v>0</v>
      </c>
      <c r="K98" s="56">
        <v>0</v>
      </c>
      <c r="L98" s="56">
        <v>0</v>
      </c>
      <c r="M98" s="56">
        <v>0</v>
      </c>
      <c r="N98" s="54"/>
    </row>
    <row r="99" spans="1:15" x14ac:dyDescent="0.25">
      <c r="A99" s="208"/>
      <c r="B99" s="225"/>
      <c r="C99" s="25" t="s">
        <v>114</v>
      </c>
      <c r="D99" s="1" t="s">
        <v>8</v>
      </c>
      <c r="E99" s="53"/>
      <c r="F99" s="53"/>
      <c r="G99" s="53"/>
      <c r="H99" s="53"/>
      <c r="I99" s="53"/>
      <c r="J99" s="53"/>
      <c r="K99" s="53"/>
      <c r="L99" s="53"/>
      <c r="M99" s="53"/>
      <c r="N99" s="54"/>
    </row>
    <row r="100" spans="1:15" x14ac:dyDescent="0.25">
      <c r="A100" s="208"/>
      <c r="B100" s="225"/>
      <c r="C100" s="25" t="s">
        <v>115</v>
      </c>
      <c r="D100" s="1" t="s">
        <v>9</v>
      </c>
      <c r="E100" s="55">
        <v>5.7769924913065838</v>
      </c>
      <c r="F100" s="55">
        <v>4.8956835771118348</v>
      </c>
      <c r="G100" s="55">
        <v>3.8183782395439203</v>
      </c>
      <c r="H100" s="55">
        <v>3.0811622155696146</v>
      </c>
      <c r="I100" s="55">
        <v>2.0378947368421052</v>
      </c>
      <c r="J100" s="55">
        <v>2.0189473684210526</v>
      </c>
      <c r="K100" s="55">
        <v>1.9557894736842103</v>
      </c>
      <c r="L100" s="55">
        <v>1.8231578947368419</v>
      </c>
      <c r="M100" s="55">
        <v>1.557894736842105</v>
      </c>
      <c r="N100" s="54"/>
    </row>
    <row r="101" spans="1:15" x14ac:dyDescent="0.25">
      <c r="A101" s="208"/>
      <c r="B101" s="225"/>
      <c r="C101" s="25" t="s">
        <v>35</v>
      </c>
      <c r="D101" s="1" t="s">
        <v>10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1.7051368421052632E-3</v>
      </c>
      <c r="L101" s="55">
        <v>1.5645473684210527E-3</v>
      </c>
      <c r="M101" s="55">
        <v>1.2833684210526316E-3</v>
      </c>
      <c r="N101" s="54"/>
    </row>
    <row r="102" spans="1:15" x14ac:dyDescent="0.25">
      <c r="A102" s="208"/>
      <c r="B102" s="225"/>
      <c r="C102" s="26" t="s">
        <v>24</v>
      </c>
      <c r="D102" s="27" t="s">
        <v>10</v>
      </c>
      <c r="E102" s="56">
        <v>0</v>
      </c>
      <c r="F102" s="56">
        <v>0</v>
      </c>
      <c r="G102" s="56">
        <v>0</v>
      </c>
      <c r="H102" s="56">
        <v>0</v>
      </c>
      <c r="I102" s="56">
        <v>0</v>
      </c>
      <c r="J102" s="56">
        <v>0</v>
      </c>
      <c r="K102" s="56">
        <v>0</v>
      </c>
      <c r="L102" s="56">
        <v>0</v>
      </c>
      <c r="M102" s="56">
        <v>0</v>
      </c>
      <c r="N102" s="54"/>
    </row>
    <row r="103" spans="1:15" x14ac:dyDescent="0.25">
      <c r="A103" s="208"/>
      <c r="B103" s="225"/>
      <c r="C103" s="25" t="s">
        <v>25</v>
      </c>
      <c r="D103" s="1" t="s">
        <v>7</v>
      </c>
      <c r="E103" s="56">
        <v>0.99749999999999994</v>
      </c>
      <c r="F103" s="56">
        <v>0.99749999999999994</v>
      </c>
      <c r="G103" s="56">
        <v>0.99749999999999994</v>
      </c>
      <c r="H103" s="56">
        <v>0.99749999999999994</v>
      </c>
      <c r="I103" s="56">
        <v>0.99749999999999994</v>
      </c>
      <c r="J103" s="56">
        <v>0.99749999999999994</v>
      </c>
      <c r="K103" s="56">
        <v>0.999</v>
      </c>
      <c r="L103" s="56">
        <v>0.999</v>
      </c>
      <c r="M103" s="56">
        <v>0.999</v>
      </c>
      <c r="N103" s="54"/>
    </row>
    <row r="104" spans="1:15" x14ac:dyDescent="0.25">
      <c r="A104" s="208"/>
      <c r="B104" s="225"/>
      <c r="C104" s="25" t="s">
        <v>26</v>
      </c>
      <c r="D104" s="1" t="s">
        <v>14</v>
      </c>
      <c r="E104" s="55">
        <v>1524.6</v>
      </c>
      <c r="F104" s="55">
        <v>1749.6</v>
      </c>
      <c r="G104" s="55">
        <v>2349.6</v>
      </c>
      <c r="H104" s="55">
        <v>3174.6</v>
      </c>
      <c r="I104" s="55">
        <v>4299.6000000000004</v>
      </c>
      <c r="J104" s="55">
        <v>14213</v>
      </c>
      <c r="K104" s="55">
        <v>21713</v>
      </c>
      <c r="L104" s="55">
        <v>37463</v>
      </c>
      <c r="M104" s="55">
        <v>68963</v>
      </c>
      <c r="N104" s="54"/>
    </row>
    <row r="105" spans="1:15" x14ac:dyDescent="0.25">
      <c r="A105" s="208"/>
      <c r="B105" s="225"/>
      <c r="C105" s="25" t="s">
        <v>27</v>
      </c>
      <c r="D105" s="1" t="s">
        <v>4</v>
      </c>
      <c r="E105" s="53">
        <v>40</v>
      </c>
      <c r="F105" s="53">
        <v>40</v>
      </c>
      <c r="G105" s="53">
        <v>40</v>
      </c>
      <c r="H105" s="53">
        <v>40</v>
      </c>
      <c r="I105" s="53">
        <v>40</v>
      </c>
      <c r="J105" s="53">
        <v>40</v>
      </c>
      <c r="K105" s="53">
        <v>40</v>
      </c>
      <c r="L105" s="53">
        <v>40</v>
      </c>
      <c r="M105" s="53">
        <v>40</v>
      </c>
      <c r="N105" s="54"/>
    </row>
    <row r="106" spans="1:15" x14ac:dyDescent="0.25">
      <c r="A106" s="208"/>
      <c r="B106" s="225"/>
      <c r="C106" s="25" t="s">
        <v>116</v>
      </c>
      <c r="D106" s="1" t="s">
        <v>19</v>
      </c>
      <c r="E106" s="53">
        <v>0.5</v>
      </c>
      <c r="F106" s="53">
        <v>0.5</v>
      </c>
      <c r="G106" s="53">
        <v>0.5</v>
      </c>
      <c r="H106" s="53">
        <v>0.5</v>
      </c>
      <c r="I106" s="53">
        <v>0.5</v>
      </c>
      <c r="J106" s="53">
        <v>0.5</v>
      </c>
      <c r="K106" s="53">
        <v>0.5</v>
      </c>
      <c r="L106" s="53">
        <v>0.5</v>
      </c>
      <c r="M106" s="53">
        <v>0.5</v>
      </c>
      <c r="N106" s="54"/>
      <c r="O106" s="75"/>
    </row>
    <row r="107" spans="1:15" x14ac:dyDescent="0.25">
      <c r="A107" s="208"/>
      <c r="B107" s="225"/>
      <c r="C107" s="25" t="s">
        <v>28</v>
      </c>
      <c r="D107" s="1" t="s">
        <v>19</v>
      </c>
      <c r="E107" s="53">
        <v>1.3</v>
      </c>
      <c r="F107" s="53">
        <v>1.3</v>
      </c>
      <c r="G107" s="53">
        <v>1.3</v>
      </c>
      <c r="H107" s="53">
        <v>1.3</v>
      </c>
      <c r="I107" s="53">
        <v>1.3</v>
      </c>
      <c r="J107" s="53">
        <v>1.3</v>
      </c>
      <c r="K107" s="53">
        <v>1.3</v>
      </c>
      <c r="L107" s="53">
        <v>1.3</v>
      </c>
      <c r="M107" s="53">
        <v>1.3</v>
      </c>
      <c r="N107" s="54"/>
    </row>
    <row r="108" spans="1:15" x14ac:dyDescent="0.25">
      <c r="A108" s="208"/>
      <c r="B108" s="225"/>
      <c r="C108" s="25" t="s">
        <v>29</v>
      </c>
      <c r="D108" s="1" t="s">
        <v>4</v>
      </c>
      <c r="E108" s="53">
        <v>20</v>
      </c>
      <c r="F108" s="53">
        <v>20</v>
      </c>
      <c r="G108" s="53">
        <v>20</v>
      </c>
      <c r="H108" s="53">
        <v>20</v>
      </c>
      <c r="I108" s="53">
        <v>20</v>
      </c>
      <c r="J108" s="53">
        <v>20</v>
      </c>
      <c r="K108" s="53">
        <v>20</v>
      </c>
      <c r="L108" s="53">
        <v>20</v>
      </c>
      <c r="M108" s="53">
        <v>20</v>
      </c>
      <c r="N108" s="54"/>
    </row>
    <row r="109" spans="1:15" x14ac:dyDescent="0.25">
      <c r="A109" s="208"/>
      <c r="B109" s="225"/>
      <c r="C109" s="25" t="s">
        <v>30</v>
      </c>
      <c r="D109" s="1" t="s">
        <v>6</v>
      </c>
      <c r="E109" s="55">
        <v>1059.4010540988941</v>
      </c>
      <c r="F109" s="55">
        <v>756.50213541090761</v>
      </c>
      <c r="G109" s="55">
        <v>501.22759185375315</v>
      </c>
      <c r="H109" s="55">
        <v>421.48150193390472</v>
      </c>
      <c r="I109" s="55">
        <v>421.48150193390472</v>
      </c>
      <c r="J109" s="55">
        <v>421.48150193390472</v>
      </c>
      <c r="K109" s="55">
        <v>1263.7926377407807</v>
      </c>
      <c r="L109" s="55">
        <v>1099.5292106353315</v>
      </c>
      <c r="M109" s="55">
        <v>966.59191860788746</v>
      </c>
      <c r="N109" s="54"/>
    </row>
    <row r="110" spans="1:15" x14ac:dyDescent="0.25">
      <c r="A110" s="208"/>
      <c r="B110" s="225"/>
      <c r="C110" s="25" t="s">
        <v>178</v>
      </c>
      <c r="D110" s="1" t="s">
        <v>19</v>
      </c>
      <c r="E110" s="56">
        <v>0</v>
      </c>
      <c r="F110" s="56">
        <v>0</v>
      </c>
      <c r="G110" s="56">
        <v>0</v>
      </c>
      <c r="H110" s="56">
        <v>0</v>
      </c>
      <c r="I110" s="56">
        <v>0</v>
      </c>
      <c r="J110" s="56">
        <v>0</v>
      </c>
      <c r="K110" s="56">
        <v>0</v>
      </c>
      <c r="L110" s="56">
        <v>0</v>
      </c>
      <c r="M110" s="56">
        <v>0</v>
      </c>
      <c r="N110" s="54"/>
    </row>
    <row r="111" spans="1:15" x14ac:dyDescent="0.25">
      <c r="A111" s="208"/>
      <c r="B111" s="225"/>
      <c r="C111" s="25" t="s">
        <v>117</v>
      </c>
      <c r="D111" s="1" t="s">
        <v>8</v>
      </c>
      <c r="E111" s="53"/>
      <c r="F111" s="53"/>
      <c r="G111" s="53"/>
      <c r="H111" s="53"/>
      <c r="I111" s="53"/>
      <c r="J111" s="53"/>
      <c r="K111" s="53"/>
      <c r="L111" s="53"/>
      <c r="M111" s="53"/>
      <c r="N111" s="54"/>
    </row>
    <row r="112" spans="1:15" x14ac:dyDescent="0.25">
      <c r="A112" s="208"/>
      <c r="B112" s="225"/>
      <c r="C112" s="25" t="s">
        <v>118</v>
      </c>
      <c r="D112" s="1" t="s">
        <v>9</v>
      </c>
      <c r="E112" s="53"/>
      <c r="F112" s="53"/>
      <c r="G112" s="53"/>
      <c r="H112" s="53"/>
      <c r="I112" s="53"/>
      <c r="J112" s="53"/>
      <c r="K112" s="53"/>
      <c r="L112" s="53"/>
      <c r="M112" s="53"/>
      <c r="N112" s="54"/>
    </row>
    <row r="113" spans="1:15" x14ac:dyDescent="0.25">
      <c r="A113" s="208"/>
      <c r="B113" s="225"/>
      <c r="C113" s="25" t="s">
        <v>119</v>
      </c>
      <c r="D113" s="1" t="s">
        <v>10</v>
      </c>
      <c r="E113" s="55">
        <v>0</v>
      </c>
      <c r="F113" s="55">
        <v>0</v>
      </c>
      <c r="G113" s="55">
        <v>0</v>
      </c>
      <c r="H113" s="55">
        <v>0</v>
      </c>
      <c r="I113" s="55">
        <v>0</v>
      </c>
      <c r="J113" s="55">
        <v>0</v>
      </c>
      <c r="K113" s="55">
        <v>0</v>
      </c>
      <c r="L113" s="55">
        <v>2.0100000000000001E-3</v>
      </c>
      <c r="M113" s="55">
        <v>2.0100000000000001E-3</v>
      </c>
      <c r="N113" s="57"/>
      <c r="O113" s="58"/>
    </row>
    <row r="114" spans="1:15" ht="18.75" x14ac:dyDescent="0.25">
      <c r="A114" s="208"/>
      <c r="B114" s="225"/>
      <c r="C114" s="26" t="s">
        <v>120</v>
      </c>
      <c r="D114" s="27" t="s">
        <v>17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4"/>
    </row>
    <row r="115" spans="1:15" x14ac:dyDescent="0.25">
      <c r="A115" s="208"/>
      <c r="B115" s="225"/>
      <c r="C115" s="26" t="s">
        <v>31</v>
      </c>
      <c r="D115" s="27" t="s">
        <v>10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4"/>
    </row>
    <row r="116" spans="1:15" x14ac:dyDescent="0.25">
      <c r="A116" s="208"/>
      <c r="B116" s="225"/>
      <c r="C116" s="25" t="s">
        <v>32</v>
      </c>
      <c r="D116" s="2" t="s">
        <v>19</v>
      </c>
      <c r="E116" s="53">
        <v>3.48</v>
      </c>
      <c r="F116" s="53">
        <v>3.48</v>
      </c>
      <c r="G116" s="53">
        <v>3.48</v>
      </c>
      <c r="H116" s="53">
        <v>3.48</v>
      </c>
      <c r="I116" s="53">
        <v>3.48</v>
      </c>
      <c r="J116" s="53">
        <v>3.48</v>
      </c>
      <c r="K116" s="53">
        <v>3.48</v>
      </c>
      <c r="L116" s="53">
        <v>3.48</v>
      </c>
      <c r="M116" s="53">
        <v>3.48</v>
      </c>
      <c r="N116" s="54"/>
    </row>
    <row r="117" spans="1:15" x14ac:dyDescent="0.25">
      <c r="A117" s="208"/>
      <c r="B117" s="225"/>
      <c r="C117" s="25" t="s">
        <v>33</v>
      </c>
      <c r="D117" s="2" t="s">
        <v>14</v>
      </c>
      <c r="E117" s="53"/>
      <c r="F117" s="53"/>
      <c r="G117" s="53"/>
      <c r="H117" s="53"/>
      <c r="I117" s="53"/>
      <c r="J117" s="53"/>
      <c r="K117" s="53"/>
      <c r="L117" s="53"/>
      <c r="M117" s="53"/>
      <c r="N117" s="54"/>
    </row>
    <row r="118" spans="1:15" x14ac:dyDescent="0.25">
      <c r="A118" s="208"/>
      <c r="B118" s="225"/>
      <c r="C118" s="25" t="s">
        <v>34</v>
      </c>
      <c r="D118" s="2" t="s">
        <v>4</v>
      </c>
      <c r="E118" s="53"/>
      <c r="F118" s="53"/>
      <c r="G118" s="53"/>
      <c r="H118" s="53"/>
      <c r="I118" s="53"/>
      <c r="J118" s="53"/>
      <c r="K118" s="53"/>
      <c r="L118" s="53"/>
      <c r="M118" s="53"/>
      <c r="N118" s="54"/>
    </row>
    <row r="119" spans="1:15" ht="15" customHeight="1" x14ac:dyDescent="0.25">
      <c r="A119" s="208">
        <v>10</v>
      </c>
      <c r="B119" s="225" t="s">
        <v>179</v>
      </c>
      <c r="C119" s="25" t="s">
        <v>113</v>
      </c>
      <c r="D119" s="1" t="s">
        <v>19</v>
      </c>
      <c r="E119" s="53">
        <v>1</v>
      </c>
      <c r="F119" s="53">
        <v>1</v>
      </c>
      <c r="G119" s="53">
        <v>1</v>
      </c>
      <c r="H119" s="53">
        <v>1</v>
      </c>
      <c r="I119" s="53">
        <v>1</v>
      </c>
      <c r="J119" s="53">
        <v>1</v>
      </c>
      <c r="K119" s="53">
        <v>1</v>
      </c>
      <c r="L119" s="53">
        <v>1</v>
      </c>
      <c r="M119" s="53">
        <v>1</v>
      </c>
      <c r="N119" s="54"/>
    </row>
    <row r="120" spans="1:15" x14ac:dyDescent="0.25">
      <c r="A120" s="208"/>
      <c r="B120" s="225"/>
      <c r="C120" s="25" t="s">
        <v>21</v>
      </c>
      <c r="D120" s="1" t="s">
        <v>19</v>
      </c>
      <c r="E120" s="53">
        <v>0.35</v>
      </c>
      <c r="F120" s="53">
        <v>0.35</v>
      </c>
      <c r="G120" s="53">
        <v>0.35</v>
      </c>
      <c r="H120" s="53">
        <v>0.35</v>
      </c>
      <c r="I120" s="53">
        <v>0.35</v>
      </c>
      <c r="J120" s="53">
        <v>0.35</v>
      </c>
      <c r="K120" s="53">
        <v>0.35</v>
      </c>
      <c r="L120" s="53">
        <v>0.35</v>
      </c>
      <c r="M120" s="53">
        <v>0.35</v>
      </c>
      <c r="N120" s="54"/>
    </row>
    <row r="121" spans="1:15" x14ac:dyDescent="0.25">
      <c r="A121" s="208"/>
      <c r="B121" s="225"/>
      <c r="C121" s="25" t="s">
        <v>22</v>
      </c>
      <c r="D121" s="1" t="s">
        <v>4</v>
      </c>
      <c r="E121" s="53">
        <v>20</v>
      </c>
      <c r="F121" s="53">
        <v>20</v>
      </c>
      <c r="G121" s="53">
        <v>20</v>
      </c>
      <c r="H121" s="53">
        <v>20</v>
      </c>
      <c r="I121" s="53">
        <v>20</v>
      </c>
      <c r="J121" s="53">
        <v>20</v>
      </c>
      <c r="K121" s="53">
        <v>20</v>
      </c>
      <c r="L121" s="53">
        <v>20</v>
      </c>
      <c r="M121" s="53">
        <v>20</v>
      </c>
      <c r="N121" s="54"/>
    </row>
    <row r="122" spans="1:15" x14ac:dyDescent="0.25">
      <c r="A122" s="208"/>
      <c r="B122" s="225"/>
      <c r="C122" s="25" t="s">
        <v>23</v>
      </c>
      <c r="D122" s="1" t="s">
        <v>6</v>
      </c>
      <c r="E122" s="55">
        <v>192.56641637688614</v>
      </c>
      <c r="F122" s="55">
        <v>163.18945257039451</v>
      </c>
      <c r="G122" s="55">
        <v>127.27927465146402</v>
      </c>
      <c r="H122" s="55">
        <v>102.70540718565383</v>
      </c>
      <c r="I122" s="55">
        <v>107.31263157894738</v>
      </c>
      <c r="J122" s="55">
        <v>107.00631578947369</v>
      </c>
      <c r="K122" s="55">
        <v>105.98526315789475</v>
      </c>
      <c r="L122" s="55">
        <v>103.84105263157896</v>
      </c>
      <c r="M122" s="55">
        <v>99.55263157894737</v>
      </c>
      <c r="N122" s="54"/>
    </row>
    <row r="123" spans="1:15" x14ac:dyDescent="0.25">
      <c r="A123" s="208"/>
      <c r="B123" s="225"/>
      <c r="C123" s="25" t="s">
        <v>177</v>
      </c>
      <c r="D123" s="1" t="s">
        <v>19</v>
      </c>
      <c r="E123" s="56">
        <v>0</v>
      </c>
      <c r="F123" s="56">
        <v>0</v>
      </c>
      <c r="G123" s="56">
        <v>0</v>
      </c>
      <c r="H123" s="56">
        <v>0</v>
      </c>
      <c r="I123" s="56">
        <v>0</v>
      </c>
      <c r="J123" s="56">
        <v>0</v>
      </c>
      <c r="K123" s="56">
        <v>0</v>
      </c>
      <c r="L123" s="56">
        <v>0</v>
      </c>
      <c r="M123" s="56">
        <v>0</v>
      </c>
      <c r="N123" s="54"/>
    </row>
    <row r="124" spans="1:15" x14ac:dyDescent="0.25">
      <c r="A124" s="208"/>
      <c r="B124" s="225"/>
      <c r="C124" s="25" t="s">
        <v>114</v>
      </c>
      <c r="D124" s="1" t="s">
        <v>8</v>
      </c>
      <c r="E124" s="53"/>
      <c r="F124" s="53"/>
      <c r="G124" s="53"/>
      <c r="H124" s="53"/>
      <c r="I124" s="53"/>
      <c r="J124" s="53"/>
      <c r="K124" s="53"/>
      <c r="L124" s="53"/>
      <c r="M124" s="53"/>
      <c r="N124" s="54"/>
    </row>
    <row r="125" spans="1:15" x14ac:dyDescent="0.25">
      <c r="A125" s="208"/>
      <c r="B125" s="225"/>
      <c r="C125" s="25" t="s">
        <v>115</v>
      </c>
      <c r="D125" s="1" t="s">
        <v>9</v>
      </c>
      <c r="E125" s="55">
        <v>5.7769924913065838</v>
      </c>
      <c r="F125" s="55">
        <v>4.8956835771118348</v>
      </c>
      <c r="G125" s="55">
        <v>3.8183782395439203</v>
      </c>
      <c r="H125" s="55">
        <v>3.0811622155696146</v>
      </c>
      <c r="I125" s="55">
        <v>2.0378947368421052</v>
      </c>
      <c r="J125" s="55">
        <v>2.0189473684210526</v>
      </c>
      <c r="K125" s="55">
        <v>1.9557894736842103</v>
      </c>
      <c r="L125" s="55">
        <v>1.8231578947368419</v>
      </c>
      <c r="M125" s="55">
        <v>1.557894736842105</v>
      </c>
      <c r="N125" s="54"/>
    </row>
    <row r="126" spans="1:15" x14ac:dyDescent="0.25">
      <c r="A126" s="208"/>
      <c r="B126" s="225"/>
      <c r="C126" s="25" t="s">
        <v>35</v>
      </c>
      <c r="D126" s="1" t="s">
        <v>10</v>
      </c>
      <c r="E126" s="55">
        <v>0</v>
      </c>
      <c r="F126" s="55">
        <v>0</v>
      </c>
      <c r="G126" s="55">
        <v>0</v>
      </c>
      <c r="H126" s="55">
        <v>0</v>
      </c>
      <c r="I126" s="55">
        <v>0</v>
      </c>
      <c r="J126" s="55">
        <v>0</v>
      </c>
      <c r="K126" s="55">
        <v>1.7051368421052632E-3</v>
      </c>
      <c r="L126" s="55">
        <v>1.5645473684210527E-3</v>
      </c>
      <c r="M126" s="55">
        <v>1.2833684210526316E-3</v>
      </c>
      <c r="N126" s="54"/>
    </row>
    <row r="127" spans="1:15" x14ac:dyDescent="0.25">
      <c r="A127" s="208"/>
      <c r="B127" s="225"/>
      <c r="C127" s="26" t="s">
        <v>24</v>
      </c>
      <c r="D127" s="27" t="s">
        <v>10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4"/>
    </row>
    <row r="128" spans="1:15" x14ac:dyDescent="0.25">
      <c r="A128" s="208"/>
      <c r="B128" s="225"/>
      <c r="C128" s="25" t="s">
        <v>25</v>
      </c>
      <c r="D128" s="1" t="s">
        <v>7</v>
      </c>
      <c r="E128" s="56">
        <v>0.99749999999999994</v>
      </c>
      <c r="F128" s="56">
        <v>0.99749999999999994</v>
      </c>
      <c r="G128" s="56">
        <v>0.99749999999999994</v>
      </c>
      <c r="H128" s="56">
        <v>0.99749999999999994</v>
      </c>
      <c r="I128" s="56">
        <v>0.99749999999999994</v>
      </c>
      <c r="J128" s="56">
        <v>0.99749999999999994</v>
      </c>
      <c r="K128" s="56">
        <v>0.999</v>
      </c>
      <c r="L128" s="56">
        <v>0.999</v>
      </c>
      <c r="M128" s="56">
        <v>0.999</v>
      </c>
      <c r="N128" s="54"/>
    </row>
    <row r="129" spans="1:14" x14ac:dyDescent="0.25">
      <c r="A129" s="208"/>
      <c r="B129" s="225"/>
      <c r="C129" s="25" t="s">
        <v>26</v>
      </c>
      <c r="D129" s="1" t="s">
        <v>14</v>
      </c>
      <c r="E129" s="55">
        <v>1524.6</v>
      </c>
      <c r="F129" s="55">
        <v>1749.6</v>
      </c>
      <c r="G129" s="55">
        <v>2349.6</v>
      </c>
      <c r="H129" s="55">
        <v>3174.6</v>
      </c>
      <c r="I129" s="55">
        <v>4299.6000000000004</v>
      </c>
      <c r="J129" s="55">
        <v>14213</v>
      </c>
      <c r="K129" s="55">
        <v>21713</v>
      </c>
      <c r="L129" s="55">
        <v>37463</v>
      </c>
      <c r="M129" s="55">
        <v>68963</v>
      </c>
      <c r="N129" s="54"/>
    </row>
    <row r="130" spans="1:14" x14ac:dyDescent="0.25">
      <c r="A130" s="208"/>
      <c r="B130" s="225"/>
      <c r="C130" s="25" t="s">
        <v>27</v>
      </c>
      <c r="D130" s="1" t="s">
        <v>4</v>
      </c>
      <c r="E130" s="53">
        <v>40</v>
      </c>
      <c r="F130" s="53">
        <v>40</v>
      </c>
      <c r="G130" s="53">
        <v>40</v>
      </c>
      <c r="H130" s="53">
        <v>40</v>
      </c>
      <c r="I130" s="53">
        <v>40</v>
      </c>
      <c r="J130" s="53">
        <v>40</v>
      </c>
      <c r="K130" s="53">
        <v>40</v>
      </c>
      <c r="L130" s="53">
        <v>40</v>
      </c>
      <c r="M130" s="53">
        <v>40</v>
      </c>
      <c r="N130" s="54"/>
    </row>
    <row r="131" spans="1:14" x14ac:dyDescent="0.25">
      <c r="A131" s="208"/>
      <c r="B131" s="225"/>
      <c r="C131" s="25" t="s">
        <v>121</v>
      </c>
      <c r="D131" s="1" t="s">
        <v>19</v>
      </c>
      <c r="E131" s="53">
        <v>0.35</v>
      </c>
      <c r="F131" s="53">
        <v>0.35</v>
      </c>
      <c r="G131" s="53">
        <v>0.35</v>
      </c>
      <c r="H131" s="53">
        <v>0.35</v>
      </c>
      <c r="I131" s="53">
        <v>0.35</v>
      </c>
      <c r="J131" s="53">
        <v>0.35</v>
      </c>
      <c r="K131" s="53">
        <v>0.35</v>
      </c>
      <c r="L131" s="53">
        <v>0.35</v>
      </c>
      <c r="M131" s="53">
        <v>0.35</v>
      </c>
      <c r="N131" s="54"/>
    </row>
    <row r="132" spans="1:14" x14ac:dyDescent="0.25">
      <c r="A132" s="208"/>
      <c r="B132" s="225"/>
      <c r="C132" s="25" t="s">
        <v>36</v>
      </c>
      <c r="D132" s="1" t="s">
        <v>19</v>
      </c>
      <c r="E132" s="53">
        <v>1.8571428571428572</v>
      </c>
      <c r="F132" s="53">
        <v>1.8571428571428572</v>
      </c>
      <c r="G132" s="53">
        <v>1.8571428571428572</v>
      </c>
      <c r="H132" s="53">
        <v>1.8571428571428572</v>
      </c>
      <c r="I132" s="53">
        <v>1.8571428571428572</v>
      </c>
      <c r="J132" s="53">
        <v>1.8571428571428572</v>
      </c>
      <c r="K132" s="53">
        <v>1.8571428571428572</v>
      </c>
      <c r="L132" s="53">
        <v>1.8571428571428572</v>
      </c>
      <c r="M132" s="53">
        <v>1.8571428571428572</v>
      </c>
      <c r="N132" s="54"/>
    </row>
    <row r="133" spans="1:14" x14ac:dyDescent="0.25">
      <c r="A133" s="208"/>
      <c r="B133" s="225"/>
      <c r="C133" s="25" t="s">
        <v>37</v>
      </c>
      <c r="D133" s="1" t="s">
        <v>4</v>
      </c>
      <c r="E133" s="53">
        <v>20</v>
      </c>
      <c r="F133" s="53">
        <v>20</v>
      </c>
      <c r="G133" s="53">
        <v>20</v>
      </c>
      <c r="H133" s="53">
        <v>20</v>
      </c>
      <c r="I133" s="53">
        <v>20</v>
      </c>
      <c r="J133" s="53">
        <v>20</v>
      </c>
      <c r="K133" s="53">
        <v>20</v>
      </c>
      <c r="L133" s="53">
        <v>20</v>
      </c>
      <c r="M133" s="53">
        <v>20</v>
      </c>
      <c r="N133" s="54"/>
    </row>
    <row r="134" spans="1:14" x14ac:dyDescent="0.25">
      <c r="A134" s="208"/>
      <c r="B134" s="225"/>
      <c r="C134" s="25" t="s">
        <v>38</v>
      </c>
      <c r="D134" s="1" t="s">
        <v>6</v>
      </c>
      <c r="E134" s="55">
        <v>6026.3877491334342</v>
      </c>
      <c r="F134" s="55">
        <v>4043.5340683802879</v>
      </c>
      <c r="G134" s="55">
        <v>2482.706791769042</v>
      </c>
      <c r="H134" s="55">
        <v>1970.6064607058622</v>
      </c>
      <c r="I134" s="55">
        <v>1675.7711440547848</v>
      </c>
      <c r="J134" s="55">
        <v>1316.9956928123304</v>
      </c>
      <c r="K134" s="55">
        <v>1036.1348879875416</v>
      </c>
      <c r="L134" s="55">
        <v>833.65074245015387</v>
      </c>
      <c r="M134" s="55">
        <v>681.69161459745465</v>
      </c>
      <c r="N134" s="54"/>
    </row>
    <row r="135" spans="1:14" x14ac:dyDescent="0.25">
      <c r="A135" s="208"/>
      <c r="B135" s="225"/>
      <c r="C135" s="25" t="s">
        <v>180</v>
      </c>
      <c r="D135" s="1" t="s">
        <v>19</v>
      </c>
      <c r="E135" s="56">
        <v>0</v>
      </c>
      <c r="F135" s="56">
        <v>0</v>
      </c>
      <c r="G135" s="56">
        <v>0</v>
      </c>
      <c r="H135" s="56">
        <v>0</v>
      </c>
      <c r="I135" s="56">
        <v>0</v>
      </c>
      <c r="J135" s="56">
        <v>0</v>
      </c>
      <c r="K135" s="56">
        <v>0</v>
      </c>
      <c r="L135" s="56">
        <v>0</v>
      </c>
      <c r="M135" s="56">
        <v>0</v>
      </c>
      <c r="N135" s="54"/>
    </row>
    <row r="136" spans="1:14" x14ac:dyDescent="0.25">
      <c r="A136" s="208"/>
      <c r="B136" s="225"/>
      <c r="C136" s="25" t="s">
        <v>122</v>
      </c>
      <c r="D136" s="1" t="s">
        <v>8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4"/>
    </row>
    <row r="137" spans="1:14" x14ac:dyDescent="0.25">
      <c r="A137" s="208"/>
      <c r="B137" s="225"/>
      <c r="C137" s="25" t="s">
        <v>123</v>
      </c>
      <c r="D137" s="1" t="s">
        <v>9</v>
      </c>
      <c r="E137" s="53"/>
      <c r="F137" s="53"/>
      <c r="G137" s="53"/>
      <c r="H137" s="53"/>
      <c r="I137" s="53"/>
      <c r="J137" s="53"/>
      <c r="K137" s="53"/>
      <c r="L137" s="53"/>
      <c r="M137" s="53"/>
      <c r="N137" s="54"/>
    </row>
    <row r="138" spans="1:14" x14ac:dyDescent="0.25">
      <c r="A138" s="208"/>
      <c r="B138" s="225"/>
      <c r="C138" s="25" t="s">
        <v>39</v>
      </c>
      <c r="D138" s="1" t="s">
        <v>10</v>
      </c>
      <c r="E138" s="55">
        <v>5.4632155805897732E-2</v>
      </c>
      <c r="F138" s="55">
        <v>6.9225169277652349E-2</v>
      </c>
      <c r="G138" s="55">
        <v>5.5072970988733948E-2</v>
      </c>
      <c r="H138" s="55">
        <v>4.6604222305577481E-2</v>
      </c>
      <c r="I138" s="55">
        <v>4.0289223212275231E-2</v>
      </c>
      <c r="J138" s="55">
        <v>2.4583755873341454E-2</v>
      </c>
      <c r="K138" s="55">
        <v>1.9104989606490121E-2</v>
      </c>
      <c r="L138" s="55">
        <v>1.5182594783541725E-2</v>
      </c>
      <c r="M138" s="55">
        <v>1.3307545040231683E-2</v>
      </c>
      <c r="N138" s="54"/>
    </row>
    <row r="139" spans="1:14" x14ac:dyDescent="0.25">
      <c r="A139" s="208"/>
      <c r="B139" s="225"/>
      <c r="C139" s="26" t="s">
        <v>40</v>
      </c>
      <c r="D139" s="27" t="s">
        <v>10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4"/>
    </row>
    <row r="140" spans="1:14" x14ac:dyDescent="0.25">
      <c r="A140" s="208"/>
      <c r="B140" s="225"/>
      <c r="C140" s="25" t="s">
        <v>41</v>
      </c>
      <c r="D140" s="1" t="s">
        <v>14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4"/>
    </row>
    <row r="141" spans="1:14" x14ac:dyDescent="0.25">
      <c r="A141" s="208"/>
      <c r="B141" s="225"/>
      <c r="C141" s="25" t="s">
        <v>42</v>
      </c>
      <c r="D141" s="1" t="s">
        <v>4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4"/>
    </row>
    <row r="142" spans="1:14" x14ac:dyDescent="0.25">
      <c r="A142" s="208"/>
      <c r="B142" s="225"/>
      <c r="C142" s="25" t="s">
        <v>43</v>
      </c>
      <c r="D142" s="1" t="s">
        <v>7</v>
      </c>
      <c r="E142" s="59">
        <v>0.25</v>
      </c>
      <c r="F142" s="59">
        <v>0.25</v>
      </c>
      <c r="G142" s="59">
        <v>0.25</v>
      </c>
      <c r="H142" s="59">
        <v>0.25</v>
      </c>
      <c r="I142" s="59">
        <v>0.25</v>
      </c>
      <c r="J142" s="59">
        <v>0.25</v>
      </c>
      <c r="K142" s="59">
        <v>0.25</v>
      </c>
      <c r="L142" s="59">
        <v>0.25</v>
      </c>
      <c r="M142" s="59">
        <v>0.25</v>
      </c>
      <c r="N142" s="54"/>
    </row>
    <row r="143" spans="1:14" x14ac:dyDescent="0.25">
      <c r="A143" s="208"/>
      <c r="B143" s="225"/>
      <c r="C143" s="28" t="s">
        <v>44</v>
      </c>
      <c r="D143" s="1" t="s">
        <v>7</v>
      </c>
      <c r="E143" s="56">
        <v>0.66625430833964439</v>
      </c>
      <c r="F143" s="56">
        <v>0.66367464936796561</v>
      </c>
      <c r="G143" s="56">
        <v>0.65679555877682227</v>
      </c>
      <c r="H143" s="56">
        <v>0.64733680921400016</v>
      </c>
      <c r="I143" s="56">
        <v>0.63443851435560639</v>
      </c>
      <c r="J143" s="56">
        <v>0.4680070358050421</v>
      </c>
      <c r="K143" s="56">
        <v>0.46713859851464173</v>
      </c>
      <c r="L143" s="56">
        <v>0.46531488020480088</v>
      </c>
      <c r="M143" s="56">
        <v>0.47</v>
      </c>
      <c r="N143" s="54"/>
    </row>
    <row r="144" spans="1:14" x14ac:dyDescent="0.25">
      <c r="A144" s="208"/>
      <c r="B144" s="225"/>
      <c r="C144" s="28" t="s">
        <v>45</v>
      </c>
      <c r="D144" s="1" t="s">
        <v>7</v>
      </c>
      <c r="E144" s="56">
        <v>0.25092243745356524</v>
      </c>
      <c r="F144" s="56">
        <v>0.25657675134016689</v>
      </c>
      <c r="G144" s="56">
        <v>0.27165492170443795</v>
      </c>
      <c r="H144" s="56">
        <v>0.29238740595531065</v>
      </c>
      <c r="I144" s="56">
        <v>0.32065897538831889</v>
      </c>
      <c r="J144" s="56">
        <v>0.41290384467151914</v>
      </c>
      <c r="K144" s="56">
        <v>0.41363974384019625</v>
      </c>
      <c r="L144" s="56">
        <v>0.41518513209441815</v>
      </c>
      <c r="M144" s="56">
        <v>0.41599999999999998</v>
      </c>
      <c r="N144" s="54"/>
    </row>
    <row r="145" spans="1:14" x14ac:dyDescent="0.25">
      <c r="A145" s="208"/>
      <c r="B145" s="225"/>
      <c r="C145" s="29" t="s">
        <v>124</v>
      </c>
      <c r="D145" s="27" t="s">
        <v>10</v>
      </c>
      <c r="E145" s="55">
        <v>0</v>
      </c>
      <c r="F145" s="55">
        <v>0</v>
      </c>
      <c r="G145" s="55">
        <v>0</v>
      </c>
      <c r="H145" s="55">
        <v>0</v>
      </c>
      <c r="I145" s="55">
        <v>0</v>
      </c>
      <c r="J145" s="55">
        <v>0</v>
      </c>
      <c r="K145" s="55">
        <v>0</v>
      </c>
      <c r="L145" s="55">
        <v>0</v>
      </c>
      <c r="M145" s="55">
        <v>0</v>
      </c>
      <c r="N145" s="54"/>
    </row>
    <row r="146" spans="1:14" x14ac:dyDescent="0.25">
      <c r="A146" s="208"/>
      <c r="B146" s="225"/>
      <c r="C146" s="29" t="s">
        <v>125</v>
      </c>
      <c r="D146" s="27" t="s">
        <v>126</v>
      </c>
      <c r="E146" s="55">
        <v>0</v>
      </c>
      <c r="F146" s="55">
        <v>0</v>
      </c>
      <c r="G146" s="55">
        <v>0</v>
      </c>
      <c r="H146" s="55">
        <v>0</v>
      </c>
      <c r="I146" s="55">
        <v>0</v>
      </c>
      <c r="J146" s="55">
        <v>0</v>
      </c>
      <c r="K146" s="55">
        <v>0</v>
      </c>
      <c r="L146" s="55">
        <v>0</v>
      </c>
      <c r="M146" s="55">
        <v>0</v>
      </c>
      <c r="N146" s="54"/>
    </row>
    <row r="147" spans="1:14" x14ac:dyDescent="0.25">
      <c r="A147" s="208"/>
      <c r="B147" s="225"/>
      <c r="C147" s="29" t="s">
        <v>127</v>
      </c>
      <c r="D147" s="27" t="s">
        <v>128</v>
      </c>
      <c r="E147" s="53">
        <v>0</v>
      </c>
      <c r="F147" s="53">
        <v>0</v>
      </c>
      <c r="G147" s="53">
        <v>0</v>
      </c>
      <c r="H147" s="53">
        <v>0</v>
      </c>
      <c r="I147" s="53">
        <v>0</v>
      </c>
      <c r="J147" s="53">
        <v>0</v>
      </c>
      <c r="K147" s="53">
        <v>0</v>
      </c>
      <c r="L147" s="53">
        <v>0</v>
      </c>
      <c r="M147" s="53">
        <v>0</v>
      </c>
      <c r="N147" s="54"/>
    </row>
    <row r="148" spans="1:14" ht="15" customHeight="1" x14ac:dyDescent="0.25">
      <c r="A148" s="208">
        <v>11</v>
      </c>
      <c r="B148" s="225" t="s">
        <v>181</v>
      </c>
      <c r="C148" s="25" t="s">
        <v>113</v>
      </c>
      <c r="D148" s="1" t="s">
        <v>19</v>
      </c>
      <c r="E148" s="53">
        <v>1</v>
      </c>
      <c r="F148" s="53">
        <v>1</v>
      </c>
      <c r="G148" s="53">
        <v>1</v>
      </c>
      <c r="H148" s="53">
        <v>1</v>
      </c>
      <c r="I148" s="53">
        <v>1</v>
      </c>
      <c r="J148" s="53">
        <v>1</v>
      </c>
      <c r="K148" s="53">
        <v>1</v>
      </c>
      <c r="L148" s="53">
        <v>1</v>
      </c>
      <c r="M148" s="53">
        <v>1</v>
      </c>
      <c r="N148" s="54"/>
    </row>
    <row r="149" spans="1:14" x14ac:dyDescent="0.25">
      <c r="A149" s="208"/>
      <c r="B149" s="225"/>
      <c r="C149" s="25" t="s">
        <v>21</v>
      </c>
      <c r="D149" s="1" t="s">
        <v>19</v>
      </c>
      <c r="E149" s="53">
        <v>0.35</v>
      </c>
      <c r="F149" s="53">
        <v>0.35</v>
      </c>
      <c r="G149" s="53">
        <v>0.35</v>
      </c>
      <c r="H149" s="53">
        <v>0.35</v>
      </c>
      <c r="I149" s="53">
        <v>0.35</v>
      </c>
      <c r="J149" s="53">
        <v>0.35</v>
      </c>
      <c r="K149" s="53">
        <v>0.35</v>
      </c>
      <c r="L149" s="53">
        <v>0.35</v>
      </c>
      <c r="M149" s="53">
        <v>0.35</v>
      </c>
      <c r="N149" s="54"/>
    </row>
    <row r="150" spans="1:14" x14ac:dyDescent="0.25">
      <c r="A150" s="208"/>
      <c r="B150" s="225"/>
      <c r="C150" s="25" t="s">
        <v>22</v>
      </c>
      <c r="D150" s="1" t="s">
        <v>4</v>
      </c>
      <c r="E150" s="53">
        <v>20</v>
      </c>
      <c r="F150" s="53">
        <v>20</v>
      </c>
      <c r="G150" s="53">
        <v>20</v>
      </c>
      <c r="H150" s="53">
        <v>20</v>
      </c>
      <c r="I150" s="53">
        <v>20</v>
      </c>
      <c r="J150" s="53">
        <v>20</v>
      </c>
      <c r="K150" s="53">
        <v>20</v>
      </c>
      <c r="L150" s="53">
        <v>20</v>
      </c>
      <c r="M150" s="53">
        <v>20</v>
      </c>
      <c r="N150" s="54"/>
    </row>
    <row r="151" spans="1:14" x14ac:dyDescent="0.25">
      <c r="A151" s="208"/>
      <c r="B151" s="225"/>
      <c r="C151" s="25" t="s">
        <v>23</v>
      </c>
      <c r="D151" s="1" t="s">
        <v>6</v>
      </c>
      <c r="E151" s="55">
        <v>192.56641637688614</v>
      </c>
      <c r="F151" s="55">
        <v>163.18945257039451</v>
      </c>
      <c r="G151" s="55">
        <v>127.27927465146402</v>
      </c>
      <c r="H151" s="55">
        <v>102.70540718565383</v>
      </c>
      <c r="I151" s="55">
        <v>107.31263157894738</v>
      </c>
      <c r="J151" s="55">
        <v>107.00631578947369</v>
      </c>
      <c r="K151" s="55">
        <v>105.98526315789475</v>
      </c>
      <c r="L151" s="55">
        <v>103.84105263157896</v>
      </c>
      <c r="M151" s="55">
        <v>99.55263157894737</v>
      </c>
      <c r="N151" s="54"/>
    </row>
    <row r="152" spans="1:14" x14ac:dyDescent="0.25">
      <c r="A152" s="208"/>
      <c r="B152" s="225"/>
      <c r="C152" s="25" t="s">
        <v>177</v>
      </c>
      <c r="D152" s="1" t="s">
        <v>19</v>
      </c>
      <c r="E152" s="56">
        <v>0</v>
      </c>
      <c r="F152" s="56">
        <v>0</v>
      </c>
      <c r="G152" s="56">
        <v>0</v>
      </c>
      <c r="H152" s="56">
        <v>0</v>
      </c>
      <c r="I152" s="56">
        <v>0</v>
      </c>
      <c r="J152" s="56">
        <v>0</v>
      </c>
      <c r="K152" s="56">
        <v>0</v>
      </c>
      <c r="L152" s="56">
        <v>0</v>
      </c>
      <c r="M152" s="56">
        <v>0</v>
      </c>
      <c r="N152" s="54"/>
    </row>
    <row r="153" spans="1:14" x14ac:dyDescent="0.25">
      <c r="A153" s="208"/>
      <c r="B153" s="225"/>
      <c r="C153" s="25" t="s">
        <v>114</v>
      </c>
      <c r="D153" s="1" t="s">
        <v>8</v>
      </c>
      <c r="E153" s="53"/>
      <c r="F153" s="53"/>
      <c r="G153" s="53"/>
      <c r="H153" s="53"/>
      <c r="I153" s="53"/>
      <c r="J153" s="53"/>
      <c r="K153" s="53"/>
      <c r="L153" s="53"/>
      <c r="M153" s="53"/>
      <c r="N153" s="54"/>
    </row>
    <row r="154" spans="1:14" x14ac:dyDescent="0.25">
      <c r="A154" s="208"/>
      <c r="B154" s="225"/>
      <c r="C154" s="25" t="s">
        <v>115</v>
      </c>
      <c r="D154" s="1" t="s">
        <v>9</v>
      </c>
      <c r="E154" s="55">
        <v>5.7769924913065838</v>
      </c>
      <c r="F154" s="55">
        <v>4.8956835771118348</v>
      </c>
      <c r="G154" s="55">
        <v>3.8183782395439203</v>
      </c>
      <c r="H154" s="55">
        <v>3.0811622155696146</v>
      </c>
      <c r="I154" s="55">
        <v>2.0378947368421052</v>
      </c>
      <c r="J154" s="55">
        <v>2.0189473684210526</v>
      </c>
      <c r="K154" s="55">
        <v>1.9557894736842103</v>
      </c>
      <c r="L154" s="55">
        <v>1.8231578947368419</v>
      </c>
      <c r="M154" s="55">
        <v>1.557894736842105</v>
      </c>
      <c r="N154" s="54"/>
    </row>
    <row r="155" spans="1:14" x14ac:dyDescent="0.25">
      <c r="A155" s="208"/>
      <c r="B155" s="225"/>
      <c r="C155" s="25" t="s">
        <v>35</v>
      </c>
      <c r="D155" s="1" t="s">
        <v>10</v>
      </c>
      <c r="E155" s="55">
        <v>0</v>
      </c>
      <c r="F155" s="55">
        <v>0</v>
      </c>
      <c r="G155" s="55">
        <v>0</v>
      </c>
      <c r="H155" s="55">
        <v>0</v>
      </c>
      <c r="I155" s="55">
        <v>0</v>
      </c>
      <c r="J155" s="55">
        <v>0</v>
      </c>
      <c r="K155" s="55">
        <v>1.7051368421052632E-3</v>
      </c>
      <c r="L155" s="55">
        <v>1.5645473684210527E-3</v>
      </c>
      <c r="M155" s="55">
        <v>1.2833684210526316E-3</v>
      </c>
      <c r="N155" s="54"/>
    </row>
    <row r="156" spans="1:14" x14ac:dyDescent="0.25">
      <c r="A156" s="208"/>
      <c r="B156" s="225"/>
      <c r="C156" s="26" t="s">
        <v>24</v>
      </c>
      <c r="D156" s="27" t="s">
        <v>10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4"/>
    </row>
    <row r="157" spans="1:14" x14ac:dyDescent="0.25">
      <c r="A157" s="208"/>
      <c r="B157" s="225"/>
      <c r="C157" s="25" t="s">
        <v>25</v>
      </c>
      <c r="D157" s="1" t="s">
        <v>7</v>
      </c>
      <c r="E157" s="56">
        <v>0.99749999999999994</v>
      </c>
      <c r="F157" s="56">
        <v>0.99749999999999994</v>
      </c>
      <c r="G157" s="56">
        <v>0.99749999999999994</v>
      </c>
      <c r="H157" s="56">
        <v>0.99749999999999994</v>
      </c>
      <c r="I157" s="56">
        <v>0.99749999999999994</v>
      </c>
      <c r="J157" s="56">
        <v>0.99749999999999994</v>
      </c>
      <c r="K157" s="56">
        <v>0.999</v>
      </c>
      <c r="L157" s="56">
        <v>0.999</v>
      </c>
      <c r="M157" s="56">
        <v>0.999</v>
      </c>
      <c r="N157" s="54"/>
    </row>
    <row r="158" spans="1:14" x14ac:dyDescent="0.25">
      <c r="A158" s="208"/>
      <c r="B158" s="225"/>
      <c r="C158" s="25" t="s">
        <v>26</v>
      </c>
      <c r="D158" s="1" t="s">
        <v>14</v>
      </c>
      <c r="E158" s="55">
        <v>1524.6</v>
      </c>
      <c r="F158" s="55">
        <v>1749.6</v>
      </c>
      <c r="G158" s="55">
        <v>2349.6</v>
      </c>
      <c r="H158" s="55">
        <v>3174.6</v>
      </c>
      <c r="I158" s="55">
        <v>4299.6000000000004</v>
      </c>
      <c r="J158" s="55">
        <v>14213</v>
      </c>
      <c r="K158" s="55">
        <v>21713</v>
      </c>
      <c r="L158" s="55">
        <v>37463</v>
      </c>
      <c r="M158" s="55">
        <v>68963</v>
      </c>
      <c r="N158" s="54"/>
    </row>
    <row r="159" spans="1:14" x14ac:dyDescent="0.25">
      <c r="A159" s="208"/>
      <c r="B159" s="225"/>
      <c r="C159" s="25" t="s">
        <v>27</v>
      </c>
      <c r="D159" s="1" t="s">
        <v>4</v>
      </c>
      <c r="E159" s="53">
        <v>40</v>
      </c>
      <c r="F159" s="53">
        <v>40</v>
      </c>
      <c r="G159" s="53">
        <v>40</v>
      </c>
      <c r="H159" s="53">
        <v>40</v>
      </c>
      <c r="I159" s="53">
        <v>40</v>
      </c>
      <c r="J159" s="53">
        <v>40</v>
      </c>
      <c r="K159" s="53">
        <v>40</v>
      </c>
      <c r="L159" s="53">
        <v>40</v>
      </c>
      <c r="M159" s="53">
        <v>40</v>
      </c>
      <c r="N159" s="54"/>
    </row>
    <row r="160" spans="1:14" x14ac:dyDescent="0.25">
      <c r="A160" s="208"/>
      <c r="B160" s="225"/>
      <c r="C160" s="25" t="s">
        <v>121</v>
      </c>
      <c r="D160" s="1" t="s">
        <v>19</v>
      </c>
      <c r="E160" s="53">
        <v>0.35</v>
      </c>
      <c r="F160" s="53">
        <v>0.35</v>
      </c>
      <c r="G160" s="53">
        <v>0.35</v>
      </c>
      <c r="H160" s="53">
        <v>0.35</v>
      </c>
      <c r="I160" s="53">
        <v>0.35</v>
      </c>
      <c r="J160" s="53">
        <v>0.35</v>
      </c>
      <c r="K160" s="53">
        <v>0.35</v>
      </c>
      <c r="L160" s="53">
        <v>0.35</v>
      </c>
      <c r="M160" s="53">
        <v>0.35</v>
      </c>
      <c r="N160" s="54"/>
    </row>
    <row r="161" spans="1:14" x14ac:dyDescent="0.25">
      <c r="A161" s="208"/>
      <c r="B161" s="225"/>
      <c r="C161" s="25" t="s">
        <v>36</v>
      </c>
      <c r="D161" s="1" t="s">
        <v>19</v>
      </c>
      <c r="E161" s="53">
        <v>1.8571428571428572</v>
      </c>
      <c r="F161" s="53">
        <v>1.8571428571428572</v>
      </c>
      <c r="G161" s="53">
        <v>1.8571428571428572</v>
      </c>
      <c r="H161" s="53">
        <v>1.8571428571428572</v>
      </c>
      <c r="I161" s="53">
        <v>1.8571428571428572</v>
      </c>
      <c r="J161" s="53">
        <v>1.8571428571428572</v>
      </c>
      <c r="K161" s="53">
        <v>1.8571428571428572</v>
      </c>
      <c r="L161" s="53">
        <v>1.8571428571428572</v>
      </c>
      <c r="M161" s="53">
        <v>1.8571428571428572</v>
      </c>
      <c r="N161" s="54"/>
    </row>
    <row r="162" spans="1:14" x14ac:dyDescent="0.25">
      <c r="A162" s="208"/>
      <c r="B162" s="225"/>
      <c r="C162" s="25" t="s">
        <v>37</v>
      </c>
      <c r="D162" s="1" t="s">
        <v>4</v>
      </c>
      <c r="E162" s="53">
        <v>20</v>
      </c>
      <c r="F162" s="53">
        <v>20</v>
      </c>
      <c r="G162" s="53">
        <v>20</v>
      </c>
      <c r="H162" s="53">
        <v>20</v>
      </c>
      <c r="I162" s="53">
        <v>20</v>
      </c>
      <c r="J162" s="53">
        <v>20</v>
      </c>
      <c r="K162" s="53">
        <v>20</v>
      </c>
      <c r="L162" s="53">
        <v>20</v>
      </c>
      <c r="M162" s="53">
        <v>20</v>
      </c>
      <c r="N162" s="54"/>
    </row>
    <row r="163" spans="1:14" x14ac:dyDescent="0.25">
      <c r="A163" s="208"/>
      <c r="B163" s="225"/>
      <c r="C163" s="25" t="s">
        <v>38</v>
      </c>
      <c r="D163" s="1" t="s">
        <v>6</v>
      </c>
      <c r="E163" s="55">
        <v>6026.3877491334342</v>
      </c>
      <c r="F163" s="55">
        <v>4043.5340683802879</v>
      </c>
      <c r="G163" s="55">
        <v>2482.706791769042</v>
      </c>
      <c r="H163" s="55">
        <v>1970.6064607058622</v>
      </c>
      <c r="I163" s="55">
        <v>1675.7711440547848</v>
      </c>
      <c r="J163" s="55">
        <v>1316.9956928123304</v>
      </c>
      <c r="K163" s="55">
        <v>1036.1348879875416</v>
      </c>
      <c r="L163" s="55">
        <v>833.65074245015387</v>
      </c>
      <c r="M163" s="55">
        <v>681.69161459745465</v>
      </c>
      <c r="N163" s="54"/>
    </row>
    <row r="164" spans="1:14" x14ac:dyDescent="0.25">
      <c r="A164" s="208"/>
      <c r="B164" s="225"/>
      <c r="C164" s="25" t="s">
        <v>180</v>
      </c>
      <c r="D164" s="1" t="s">
        <v>19</v>
      </c>
      <c r="E164" s="56">
        <v>0</v>
      </c>
      <c r="F164" s="56">
        <v>0</v>
      </c>
      <c r="G164" s="56">
        <v>0</v>
      </c>
      <c r="H164" s="56">
        <v>0</v>
      </c>
      <c r="I164" s="56">
        <v>0</v>
      </c>
      <c r="J164" s="56">
        <v>0</v>
      </c>
      <c r="K164" s="56">
        <v>0</v>
      </c>
      <c r="L164" s="56">
        <v>0</v>
      </c>
      <c r="M164" s="56">
        <v>0</v>
      </c>
      <c r="N164" s="54"/>
    </row>
    <row r="165" spans="1:14" x14ac:dyDescent="0.25">
      <c r="A165" s="208"/>
      <c r="B165" s="225"/>
      <c r="C165" s="25" t="s">
        <v>122</v>
      </c>
      <c r="D165" s="1" t="s">
        <v>8</v>
      </c>
      <c r="E165" s="53"/>
      <c r="F165" s="53"/>
      <c r="G165" s="53"/>
      <c r="H165" s="53"/>
      <c r="I165" s="53"/>
      <c r="J165" s="53"/>
      <c r="K165" s="53"/>
      <c r="L165" s="53"/>
      <c r="M165" s="53"/>
      <c r="N165" s="54"/>
    </row>
    <row r="166" spans="1:14" x14ac:dyDescent="0.25">
      <c r="A166" s="208"/>
      <c r="B166" s="225"/>
      <c r="C166" s="25" t="s">
        <v>123</v>
      </c>
      <c r="D166" s="1" t="s">
        <v>9</v>
      </c>
      <c r="E166" s="53"/>
      <c r="F166" s="53"/>
      <c r="G166" s="53"/>
      <c r="H166" s="53"/>
      <c r="I166" s="53"/>
      <c r="J166" s="53"/>
      <c r="K166" s="53"/>
      <c r="L166" s="53"/>
      <c r="M166" s="53"/>
      <c r="N166" s="54"/>
    </row>
    <row r="167" spans="1:14" x14ac:dyDescent="0.25">
      <c r="A167" s="208"/>
      <c r="B167" s="225"/>
      <c r="C167" s="25" t="s">
        <v>39</v>
      </c>
      <c r="D167" s="1" t="s">
        <v>10</v>
      </c>
      <c r="E167" s="55">
        <v>5.4632155805897732E-2</v>
      </c>
      <c r="F167" s="55">
        <v>6.9225169277652349E-2</v>
      </c>
      <c r="G167" s="55">
        <v>5.5072970988733948E-2</v>
      </c>
      <c r="H167" s="55">
        <v>4.6604222305577481E-2</v>
      </c>
      <c r="I167" s="55">
        <v>4.0289223212275231E-2</v>
      </c>
      <c r="J167" s="55">
        <v>2.4583755873341454E-2</v>
      </c>
      <c r="K167" s="55">
        <v>1.9104989606490121E-2</v>
      </c>
      <c r="L167" s="55">
        <v>1.5182594783541725E-2</v>
      </c>
      <c r="M167" s="55">
        <v>1.3307545040231683E-2</v>
      </c>
      <c r="N167" s="54"/>
    </row>
    <row r="168" spans="1:14" x14ac:dyDescent="0.25">
      <c r="A168" s="208"/>
      <c r="B168" s="225"/>
      <c r="C168" s="26" t="s">
        <v>40</v>
      </c>
      <c r="D168" s="27" t="s">
        <v>10</v>
      </c>
      <c r="E168" s="55">
        <v>0</v>
      </c>
      <c r="F168" s="55">
        <v>0</v>
      </c>
      <c r="G168" s="55">
        <v>0</v>
      </c>
      <c r="H168" s="55">
        <v>0</v>
      </c>
      <c r="I168" s="55">
        <v>0</v>
      </c>
      <c r="J168" s="55">
        <v>0</v>
      </c>
      <c r="K168" s="55">
        <v>0</v>
      </c>
      <c r="L168" s="55">
        <v>0</v>
      </c>
      <c r="M168" s="55">
        <v>0</v>
      </c>
      <c r="N168" s="54"/>
    </row>
    <row r="169" spans="1:14" x14ac:dyDescent="0.25">
      <c r="A169" s="208"/>
      <c r="B169" s="225"/>
      <c r="C169" s="25" t="s">
        <v>41</v>
      </c>
      <c r="D169" s="1" t="s">
        <v>14</v>
      </c>
      <c r="E169" s="53"/>
      <c r="F169" s="53"/>
      <c r="G169" s="53"/>
      <c r="H169" s="53"/>
      <c r="I169" s="53"/>
      <c r="J169" s="53"/>
      <c r="K169" s="53"/>
      <c r="L169" s="53"/>
      <c r="M169" s="53"/>
      <c r="N169" s="54"/>
    </row>
    <row r="170" spans="1:14" x14ac:dyDescent="0.25">
      <c r="A170" s="208"/>
      <c r="B170" s="225"/>
      <c r="C170" s="25" t="s">
        <v>42</v>
      </c>
      <c r="D170" s="1" t="s">
        <v>4</v>
      </c>
      <c r="E170" s="53"/>
      <c r="F170" s="53"/>
      <c r="G170" s="53"/>
      <c r="H170" s="53"/>
      <c r="I170" s="53"/>
      <c r="J170" s="53"/>
      <c r="K170" s="53"/>
      <c r="L170" s="53"/>
      <c r="M170" s="53"/>
      <c r="N170" s="54"/>
    </row>
    <row r="171" spans="1:14" x14ac:dyDescent="0.25">
      <c r="A171" s="208"/>
      <c r="B171" s="225"/>
      <c r="C171" s="25" t="s">
        <v>43</v>
      </c>
      <c r="D171" s="1" t="s">
        <v>7</v>
      </c>
      <c r="E171" s="59">
        <v>0.5</v>
      </c>
      <c r="F171" s="59">
        <v>0.5</v>
      </c>
      <c r="G171" s="59">
        <v>0.5</v>
      </c>
      <c r="H171" s="59">
        <v>0.5</v>
      </c>
      <c r="I171" s="59">
        <v>0.5</v>
      </c>
      <c r="J171" s="59">
        <v>0.5</v>
      </c>
      <c r="K171" s="59">
        <v>0.5</v>
      </c>
      <c r="L171" s="59">
        <v>0.5</v>
      </c>
      <c r="M171" s="59">
        <v>0.5</v>
      </c>
      <c r="N171" s="54"/>
    </row>
    <row r="172" spans="1:14" ht="14.45" customHeight="1" x14ac:dyDescent="0.25">
      <c r="A172" s="208"/>
      <c r="B172" s="225"/>
      <c r="C172" s="28" t="s">
        <v>44</v>
      </c>
      <c r="D172" s="1" t="s">
        <v>7</v>
      </c>
      <c r="E172" s="56">
        <v>0.66625430833964439</v>
      </c>
      <c r="F172" s="56">
        <v>0.66367464936796561</v>
      </c>
      <c r="G172" s="56">
        <v>0.65679555877682227</v>
      </c>
      <c r="H172" s="56">
        <v>0.64733680921400016</v>
      </c>
      <c r="I172" s="56">
        <v>0.63443851435560639</v>
      </c>
      <c r="J172" s="56">
        <v>0.4680070358050421</v>
      </c>
      <c r="K172" s="56">
        <v>0.46713859851464173</v>
      </c>
      <c r="L172" s="56">
        <v>0.46531488020480088</v>
      </c>
      <c r="M172" s="56">
        <v>0.47</v>
      </c>
      <c r="N172" s="54"/>
    </row>
    <row r="173" spans="1:14" ht="14.45" customHeight="1" x14ac:dyDescent="0.25">
      <c r="A173" s="208"/>
      <c r="B173" s="225"/>
      <c r="C173" s="28" t="s">
        <v>45</v>
      </c>
      <c r="D173" s="1" t="s">
        <v>7</v>
      </c>
      <c r="E173" s="56">
        <v>0.25092243745356524</v>
      </c>
      <c r="F173" s="56">
        <v>0.25657675134016689</v>
      </c>
      <c r="G173" s="56">
        <v>0.27165492170443795</v>
      </c>
      <c r="H173" s="56">
        <v>0.29238740595531065</v>
      </c>
      <c r="I173" s="56">
        <v>0.32065897538831889</v>
      </c>
      <c r="J173" s="56">
        <v>0.41290384467151914</v>
      </c>
      <c r="K173" s="56">
        <v>0.41363974384019625</v>
      </c>
      <c r="L173" s="56">
        <v>0.41518513209441815</v>
      </c>
      <c r="M173" s="56">
        <v>0.41599999999999998</v>
      </c>
      <c r="N173" s="54"/>
    </row>
    <row r="174" spans="1:14" ht="14.45" customHeight="1" x14ac:dyDescent="0.25">
      <c r="A174" s="208"/>
      <c r="B174" s="225"/>
      <c r="C174" s="29" t="s">
        <v>124</v>
      </c>
      <c r="D174" s="27" t="s">
        <v>10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4"/>
    </row>
    <row r="175" spans="1:14" ht="14.45" customHeight="1" x14ac:dyDescent="0.25">
      <c r="A175" s="208"/>
      <c r="B175" s="225"/>
      <c r="C175" s="29" t="s">
        <v>125</v>
      </c>
      <c r="D175" s="27" t="s">
        <v>126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4"/>
    </row>
    <row r="176" spans="1:14" ht="14.45" customHeight="1" x14ac:dyDescent="0.25">
      <c r="A176" s="208"/>
      <c r="B176" s="225"/>
      <c r="C176" s="29" t="s">
        <v>127</v>
      </c>
      <c r="D176" s="27" t="s">
        <v>128</v>
      </c>
      <c r="E176" s="53">
        <v>0</v>
      </c>
      <c r="F176" s="53">
        <v>0</v>
      </c>
      <c r="G176" s="53">
        <v>0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4"/>
    </row>
    <row r="177" spans="1:14" ht="14.45" customHeight="1" x14ac:dyDescent="0.25">
      <c r="A177" s="208">
        <v>12</v>
      </c>
      <c r="B177" s="225" t="s">
        <v>182</v>
      </c>
      <c r="C177" s="25" t="s">
        <v>113</v>
      </c>
      <c r="D177" s="1" t="s">
        <v>19</v>
      </c>
      <c r="E177" s="60">
        <v>1</v>
      </c>
      <c r="F177" s="60">
        <v>1</v>
      </c>
      <c r="G177" s="60">
        <v>1</v>
      </c>
      <c r="H177" s="60">
        <v>1</v>
      </c>
      <c r="I177" s="60">
        <v>1</v>
      </c>
      <c r="J177" s="60">
        <v>1</v>
      </c>
      <c r="K177" s="60">
        <v>1</v>
      </c>
      <c r="L177" s="60">
        <v>1</v>
      </c>
      <c r="M177" s="60">
        <v>1</v>
      </c>
      <c r="N177" s="54"/>
    </row>
    <row r="178" spans="1:14" x14ac:dyDescent="0.25">
      <c r="A178" s="208"/>
      <c r="B178" s="225"/>
      <c r="C178" s="25" t="s">
        <v>21</v>
      </c>
      <c r="D178" s="1" t="s">
        <v>19</v>
      </c>
      <c r="E178" s="53">
        <v>0.8</v>
      </c>
      <c r="F178" s="53">
        <v>0.8</v>
      </c>
      <c r="G178" s="53">
        <v>0.8</v>
      </c>
      <c r="H178" s="53">
        <v>0.8</v>
      </c>
      <c r="I178" s="53">
        <v>0.8</v>
      </c>
      <c r="J178" s="53">
        <v>0.8</v>
      </c>
      <c r="K178" s="53">
        <v>0.8</v>
      </c>
      <c r="L178" s="53">
        <v>0.8</v>
      </c>
      <c r="M178" s="53">
        <v>0.8</v>
      </c>
      <c r="N178" s="54"/>
    </row>
    <row r="179" spans="1:14" x14ac:dyDescent="0.25">
      <c r="A179" s="208"/>
      <c r="B179" s="225"/>
      <c r="C179" s="25" t="s">
        <v>22</v>
      </c>
      <c r="D179" s="1" t="s">
        <v>4</v>
      </c>
      <c r="E179" s="53">
        <v>20</v>
      </c>
      <c r="F179" s="53">
        <v>20</v>
      </c>
      <c r="G179" s="53">
        <v>20</v>
      </c>
      <c r="H179" s="53">
        <v>20</v>
      </c>
      <c r="I179" s="53">
        <v>20</v>
      </c>
      <c r="J179" s="53">
        <v>20</v>
      </c>
      <c r="K179" s="53">
        <v>20</v>
      </c>
      <c r="L179" s="53">
        <v>20</v>
      </c>
      <c r="M179" s="53">
        <v>20</v>
      </c>
      <c r="N179" s="54"/>
    </row>
    <row r="180" spans="1:14" x14ac:dyDescent="0.25">
      <c r="A180" s="208"/>
      <c r="B180" s="225"/>
      <c r="C180" s="25" t="s">
        <v>23</v>
      </c>
      <c r="D180" s="1" t="s">
        <v>6</v>
      </c>
      <c r="E180" s="55">
        <v>192.56641637688614</v>
      </c>
      <c r="F180" s="55">
        <v>163.18945257039451</v>
      </c>
      <c r="G180" s="55">
        <v>127.27927465146402</v>
      </c>
      <c r="H180" s="55">
        <v>102.70540718565383</v>
      </c>
      <c r="I180" s="55">
        <v>107.31263157894738</v>
      </c>
      <c r="J180" s="55">
        <v>107.00631578947369</v>
      </c>
      <c r="K180" s="55">
        <v>105.98526315789475</v>
      </c>
      <c r="L180" s="55">
        <v>103.84105263157896</v>
      </c>
      <c r="M180" s="55">
        <v>99.55263157894737</v>
      </c>
      <c r="N180" s="54"/>
    </row>
    <row r="181" spans="1:14" ht="14.45" customHeight="1" x14ac:dyDescent="0.25">
      <c r="A181" s="208"/>
      <c r="B181" s="225"/>
      <c r="C181" s="25" t="s">
        <v>177</v>
      </c>
      <c r="D181" s="1" t="s">
        <v>19</v>
      </c>
      <c r="E181" s="56">
        <v>0</v>
      </c>
      <c r="F181" s="56">
        <v>0</v>
      </c>
      <c r="G181" s="56">
        <v>0</v>
      </c>
      <c r="H181" s="56">
        <v>0</v>
      </c>
      <c r="I181" s="56">
        <v>0</v>
      </c>
      <c r="J181" s="56">
        <v>0</v>
      </c>
      <c r="K181" s="56">
        <v>0</v>
      </c>
      <c r="L181" s="56">
        <v>0</v>
      </c>
      <c r="M181" s="56">
        <v>0</v>
      </c>
      <c r="N181" s="54"/>
    </row>
    <row r="182" spans="1:14" x14ac:dyDescent="0.25">
      <c r="A182" s="208"/>
      <c r="B182" s="225"/>
      <c r="C182" s="25" t="s">
        <v>114</v>
      </c>
      <c r="D182" s="1" t="s">
        <v>8</v>
      </c>
      <c r="E182" s="53"/>
      <c r="F182" s="53"/>
      <c r="G182" s="53"/>
      <c r="H182" s="53"/>
      <c r="I182" s="53"/>
      <c r="J182" s="53"/>
      <c r="K182" s="53"/>
      <c r="L182" s="53"/>
      <c r="M182" s="53"/>
      <c r="N182" s="54"/>
    </row>
    <row r="183" spans="1:14" x14ac:dyDescent="0.25">
      <c r="A183" s="208"/>
      <c r="B183" s="225"/>
      <c r="C183" s="25" t="s">
        <v>115</v>
      </c>
      <c r="D183" s="1" t="s">
        <v>9</v>
      </c>
      <c r="E183" s="55">
        <v>5.7769924913065838</v>
      </c>
      <c r="F183" s="55">
        <v>4.8956835771118348</v>
      </c>
      <c r="G183" s="55">
        <v>3.8183782395439203</v>
      </c>
      <c r="H183" s="55">
        <v>3.0811622155696146</v>
      </c>
      <c r="I183" s="55">
        <v>2.0378947368421052</v>
      </c>
      <c r="J183" s="55">
        <v>2.0189473684210526</v>
      </c>
      <c r="K183" s="55">
        <v>1.9557894736842103</v>
      </c>
      <c r="L183" s="55">
        <v>1.8231578947368419</v>
      </c>
      <c r="M183" s="55">
        <v>1.557894736842105</v>
      </c>
      <c r="N183" s="54"/>
    </row>
    <row r="184" spans="1:14" x14ac:dyDescent="0.25">
      <c r="A184" s="208"/>
      <c r="B184" s="225"/>
      <c r="C184" s="25" t="s">
        <v>35</v>
      </c>
      <c r="D184" s="1" t="s">
        <v>10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1.7051368421052632E-3</v>
      </c>
      <c r="L184" s="55">
        <v>1.5645473684210527E-3</v>
      </c>
      <c r="M184" s="55">
        <v>1.2833684210526316E-3</v>
      </c>
      <c r="N184" s="54"/>
    </row>
    <row r="185" spans="1:14" x14ac:dyDescent="0.25">
      <c r="A185" s="208"/>
      <c r="B185" s="225"/>
      <c r="C185" s="26" t="s">
        <v>24</v>
      </c>
      <c r="D185" s="27" t="s">
        <v>10</v>
      </c>
      <c r="E185" s="55">
        <v>0</v>
      </c>
      <c r="F185" s="55">
        <v>0</v>
      </c>
      <c r="G185" s="55">
        <v>0</v>
      </c>
      <c r="H185" s="55">
        <v>0</v>
      </c>
      <c r="I185" s="55">
        <v>0</v>
      </c>
      <c r="J185" s="55">
        <v>0</v>
      </c>
      <c r="K185" s="55">
        <v>0</v>
      </c>
      <c r="L185" s="55">
        <v>0</v>
      </c>
      <c r="M185" s="55">
        <v>0</v>
      </c>
      <c r="N185" s="54"/>
    </row>
    <row r="186" spans="1:14" x14ac:dyDescent="0.25">
      <c r="A186" s="208"/>
      <c r="B186" s="225"/>
      <c r="C186" s="25" t="s">
        <v>25</v>
      </c>
      <c r="D186" s="1" t="s">
        <v>7</v>
      </c>
      <c r="E186" s="56">
        <v>0.99749999999999994</v>
      </c>
      <c r="F186" s="56">
        <v>0.99749999999999994</v>
      </c>
      <c r="G186" s="56">
        <v>0.99749999999999994</v>
      </c>
      <c r="H186" s="56">
        <v>0.99749999999999994</v>
      </c>
      <c r="I186" s="56">
        <v>0.99749999999999994</v>
      </c>
      <c r="J186" s="56">
        <v>0.99749999999999994</v>
      </c>
      <c r="K186" s="56">
        <v>0.999</v>
      </c>
      <c r="L186" s="56">
        <v>0.999</v>
      </c>
      <c r="M186" s="56">
        <v>0.999</v>
      </c>
      <c r="N186" s="54"/>
    </row>
    <row r="187" spans="1:14" x14ac:dyDescent="0.25">
      <c r="A187" s="208"/>
      <c r="B187" s="225"/>
      <c r="C187" s="25" t="s">
        <v>26</v>
      </c>
      <c r="D187" s="1" t="s">
        <v>14</v>
      </c>
      <c r="E187" s="55">
        <v>1524.6</v>
      </c>
      <c r="F187" s="55">
        <v>1749.6</v>
      </c>
      <c r="G187" s="55">
        <v>2349.6</v>
      </c>
      <c r="H187" s="55">
        <v>3174.6</v>
      </c>
      <c r="I187" s="55">
        <v>4299.6000000000004</v>
      </c>
      <c r="J187" s="55">
        <v>14213</v>
      </c>
      <c r="K187" s="55">
        <v>21713</v>
      </c>
      <c r="L187" s="55">
        <v>37463</v>
      </c>
      <c r="M187" s="55">
        <v>68963</v>
      </c>
      <c r="N187" s="54"/>
    </row>
    <row r="188" spans="1:14" x14ac:dyDescent="0.25">
      <c r="A188" s="208"/>
      <c r="B188" s="225"/>
      <c r="C188" s="25" t="s">
        <v>27</v>
      </c>
      <c r="D188" s="1" t="s">
        <v>4</v>
      </c>
      <c r="E188" s="53">
        <v>40</v>
      </c>
      <c r="F188" s="53">
        <v>40</v>
      </c>
      <c r="G188" s="53">
        <v>40</v>
      </c>
      <c r="H188" s="53">
        <v>40</v>
      </c>
      <c r="I188" s="53">
        <v>40</v>
      </c>
      <c r="J188" s="53">
        <v>40</v>
      </c>
      <c r="K188" s="53">
        <v>40</v>
      </c>
      <c r="L188" s="53">
        <v>40</v>
      </c>
      <c r="M188" s="53">
        <v>40</v>
      </c>
      <c r="N188" s="54"/>
    </row>
    <row r="189" spans="1:14" x14ac:dyDescent="0.25">
      <c r="A189" s="208"/>
      <c r="B189" s="225"/>
      <c r="C189" s="25" t="s">
        <v>129</v>
      </c>
      <c r="D189" s="1" t="s">
        <v>19</v>
      </c>
      <c r="E189" s="60">
        <v>0.3125</v>
      </c>
      <c r="F189" s="60">
        <v>0.3125</v>
      </c>
      <c r="G189" s="60">
        <v>0.3125</v>
      </c>
      <c r="H189" s="60">
        <v>0.3125</v>
      </c>
      <c r="I189" s="60">
        <v>0.3125</v>
      </c>
      <c r="J189" s="60">
        <v>0.3125</v>
      </c>
      <c r="K189" s="60">
        <v>0.3125</v>
      </c>
      <c r="L189" s="60">
        <v>0.3125</v>
      </c>
      <c r="M189" s="60">
        <v>0.3125</v>
      </c>
      <c r="N189" s="54"/>
    </row>
    <row r="190" spans="1:14" x14ac:dyDescent="0.25">
      <c r="A190" s="208"/>
      <c r="B190" s="225"/>
      <c r="C190" s="25" t="s">
        <v>130</v>
      </c>
      <c r="D190" s="1" t="s">
        <v>19</v>
      </c>
      <c r="E190" s="53">
        <v>0.64</v>
      </c>
      <c r="F190" s="53">
        <v>0.64</v>
      </c>
      <c r="G190" s="53">
        <v>0.64</v>
      </c>
      <c r="H190" s="53">
        <v>0.64</v>
      </c>
      <c r="I190" s="53">
        <v>0.64</v>
      </c>
      <c r="J190" s="53">
        <v>0.64</v>
      </c>
      <c r="K190" s="53">
        <v>0.64</v>
      </c>
      <c r="L190" s="53">
        <v>0.64</v>
      </c>
      <c r="M190" s="53">
        <v>0.64</v>
      </c>
      <c r="N190" s="54"/>
    </row>
    <row r="191" spans="1:14" ht="14.45" customHeight="1" x14ac:dyDescent="0.25">
      <c r="A191" s="208"/>
      <c r="B191" s="225"/>
      <c r="C191" s="28" t="s">
        <v>131</v>
      </c>
      <c r="D191" s="1" t="s">
        <v>4</v>
      </c>
      <c r="E191" s="53">
        <v>20</v>
      </c>
      <c r="F191" s="53">
        <v>20</v>
      </c>
      <c r="G191" s="53">
        <v>20</v>
      </c>
      <c r="H191" s="53">
        <v>20</v>
      </c>
      <c r="I191" s="53">
        <v>20</v>
      </c>
      <c r="J191" s="53">
        <v>20</v>
      </c>
      <c r="K191" s="53">
        <v>20</v>
      </c>
      <c r="L191" s="53">
        <v>20</v>
      </c>
      <c r="M191" s="53">
        <v>20</v>
      </c>
      <c r="N191" s="54"/>
    </row>
    <row r="192" spans="1:14" ht="14.45" customHeight="1" x14ac:dyDescent="0.25">
      <c r="A192" s="208"/>
      <c r="B192" s="225"/>
      <c r="C192" s="28" t="s">
        <v>132</v>
      </c>
      <c r="D192" s="1" t="s">
        <v>6</v>
      </c>
      <c r="E192" s="61">
        <v>855.32731520443224</v>
      </c>
      <c r="F192" s="55">
        <v>842.44893575987089</v>
      </c>
      <c r="G192" s="55">
        <v>808.10659057437408</v>
      </c>
      <c r="H192" s="55">
        <v>760.88586594431581</v>
      </c>
      <c r="I192" s="55">
        <v>696.49396872150919</v>
      </c>
      <c r="J192" s="55">
        <v>567.71017427589595</v>
      </c>
      <c r="K192" s="55">
        <v>483.57142857142856</v>
      </c>
      <c r="L192" s="55">
        <v>483.57142857142856</v>
      </c>
      <c r="M192" s="55">
        <v>483.57142857142856</v>
      </c>
      <c r="N192" s="54"/>
    </row>
    <row r="193" spans="1:14" ht="14.45" customHeight="1" x14ac:dyDescent="0.25">
      <c r="A193" s="208"/>
      <c r="B193" s="225"/>
      <c r="C193" s="25" t="s">
        <v>183</v>
      </c>
      <c r="D193" s="1" t="s">
        <v>19</v>
      </c>
      <c r="E193" s="56">
        <v>0</v>
      </c>
      <c r="F193" s="56">
        <v>0</v>
      </c>
      <c r="G193" s="56">
        <v>0</v>
      </c>
      <c r="H193" s="56">
        <v>0</v>
      </c>
      <c r="I193" s="56">
        <v>0</v>
      </c>
      <c r="J193" s="56">
        <v>0</v>
      </c>
      <c r="K193" s="56">
        <v>0</v>
      </c>
      <c r="L193" s="56">
        <v>0</v>
      </c>
      <c r="M193" s="56">
        <v>0</v>
      </c>
      <c r="N193" s="54"/>
    </row>
    <row r="194" spans="1:14" x14ac:dyDescent="0.25">
      <c r="A194" s="208"/>
      <c r="B194" s="225"/>
      <c r="C194" s="25" t="s">
        <v>133</v>
      </c>
      <c r="D194" s="1" t="s">
        <v>8</v>
      </c>
      <c r="E194" s="55">
        <v>49.290721649484539</v>
      </c>
      <c r="F194" s="55">
        <v>65.52783505154639</v>
      </c>
      <c r="G194" s="55">
        <v>108.82680412371134</v>
      </c>
      <c r="H194" s="55">
        <v>168.36288659793814</v>
      </c>
      <c r="I194" s="55">
        <v>249.54845360824743</v>
      </c>
      <c r="J194" s="55">
        <v>411.91958762886594</v>
      </c>
      <c r="K194" s="55">
        <v>574.29072164948457</v>
      </c>
      <c r="L194" s="55">
        <v>574.29072164948457</v>
      </c>
      <c r="M194" s="55">
        <v>574.29072164948457</v>
      </c>
      <c r="N194" s="54"/>
    </row>
    <row r="195" spans="1:14" x14ac:dyDescent="0.25">
      <c r="A195" s="208"/>
      <c r="B195" s="225"/>
      <c r="C195" s="25" t="s">
        <v>134</v>
      </c>
      <c r="D195" s="1" t="s">
        <v>9</v>
      </c>
      <c r="E195" s="53"/>
      <c r="F195" s="53"/>
      <c r="G195" s="53"/>
      <c r="H195" s="53"/>
      <c r="I195" s="53"/>
      <c r="J195" s="53"/>
      <c r="K195" s="53"/>
      <c r="L195" s="53"/>
      <c r="M195" s="53"/>
    </row>
    <row r="196" spans="1:14" x14ac:dyDescent="0.25">
      <c r="A196" s="208"/>
      <c r="B196" s="225"/>
      <c r="C196" s="25" t="s">
        <v>135</v>
      </c>
      <c r="D196" s="1" t="s">
        <v>10</v>
      </c>
      <c r="E196" s="53"/>
      <c r="F196" s="53"/>
      <c r="G196" s="53"/>
      <c r="H196" s="53"/>
      <c r="I196" s="53"/>
      <c r="J196" s="53"/>
      <c r="K196" s="53"/>
      <c r="L196" s="53"/>
      <c r="M196" s="53"/>
    </row>
    <row r="197" spans="1:14" ht="18.75" x14ac:dyDescent="0.25">
      <c r="A197" s="208"/>
      <c r="B197" s="225"/>
      <c r="C197" s="62" t="s">
        <v>136</v>
      </c>
      <c r="D197" s="27" t="s">
        <v>17</v>
      </c>
      <c r="E197" s="53"/>
      <c r="F197" s="53"/>
      <c r="G197" s="53"/>
      <c r="H197" s="53"/>
      <c r="I197" s="53"/>
      <c r="J197" s="53"/>
      <c r="K197" s="53"/>
      <c r="L197" s="53"/>
      <c r="M197" s="53"/>
    </row>
    <row r="198" spans="1:14" ht="14.45" customHeight="1" x14ac:dyDescent="0.25">
      <c r="A198" s="208">
        <v>13</v>
      </c>
      <c r="B198" s="225" t="s">
        <v>184</v>
      </c>
      <c r="C198" s="25" t="s">
        <v>113</v>
      </c>
      <c r="D198" s="1" t="s">
        <v>19</v>
      </c>
      <c r="E198" s="53">
        <v>1</v>
      </c>
      <c r="F198" s="53">
        <v>1</v>
      </c>
      <c r="G198" s="53">
        <v>1</v>
      </c>
      <c r="H198" s="53">
        <v>1</v>
      </c>
      <c r="I198" s="53">
        <v>1</v>
      </c>
      <c r="J198" s="53">
        <v>1</v>
      </c>
      <c r="K198" s="53">
        <v>1</v>
      </c>
      <c r="L198" s="53">
        <v>1</v>
      </c>
      <c r="M198" s="53">
        <v>1</v>
      </c>
    </row>
    <row r="199" spans="1:14" x14ac:dyDescent="0.25">
      <c r="A199" s="208"/>
      <c r="B199" s="225"/>
      <c r="C199" s="25" t="s">
        <v>21</v>
      </c>
      <c r="D199" s="1" t="s">
        <v>19</v>
      </c>
      <c r="E199" s="53">
        <v>0.65</v>
      </c>
      <c r="F199" s="53">
        <v>0.65</v>
      </c>
      <c r="G199" s="53">
        <v>0.65</v>
      </c>
      <c r="H199" s="53">
        <v>0.65</v>
      </c>
      <c r="I199" s="53">
        <v>0.65</v>
      </c>
      <c r="J199" s="53">
        <v>0.65</v>
      </c>
      <c r="K199" s="53">
        <v>0.65</v>
      </c>
      <c r="L199" s="53">
        <v>0.65</v>
      </c>
      <c r="M199" s="53">
        <v>0.65</v>
      </c>
    </row>
    <row r="200" spans="1:14" x14ac:dyDescent="0.25">
      <c r="A200" s="208"/>
      <c r="B200" s="225"/>
      <c r="C200" s="25" t="s">
        <v>22</v>
      </c>
      <c r="D200" s="1" t="s">
        <v>4</v>
      </c>
      <c r="E200" s="53">
        <v>20</v>
      </c>
      <c r="F200" s="53">
        <v>20</v>
      </c>
      <c r="G200" s="53">
        <v>20</v>
      </c>
      <c r="H200" s="53">
        <v>20</v>
      </c>
      <c r="I200" s="53">
        <v>20</v>
      </c>
      <c r="J200" s="53">
        <v>20</v>
      </c>
      <c r="K200" s="53">
        <v>20</v>
      </c>
      <c r="L200" s="53">
        <v>20</v>
      </c>
      <c r="M200" s="53">
        <v>20</v>
      </c>
    </row>
    <row r="201" spans="1:14" x14ac:dyDescent="0.25">
      <c r="A201" s="208"/>
      <c r="B201" s="225"/>
      <c r="C201" s="25" t="s">
        <v>23</v>
      </c>
      <c r="D201" s="1" t="s">
        <v>6</v>
      </c>
      <c r="E201" s="55">
        <v>192.56641637688614</v>
      </c>
      <c r="F201" s="55">
        <v>163.18945257039451</v>
      </c>
      <c r="G201" s="55">
        <v>127.27927465146402</v>
      </c>
      <c r="H201" s="55">
        <v>102.70540718565383</v>
      </c>
      <c r="I201" s="55">
        <v>107.31263157894738</v>
      </c>
      <c r="J201" s="55">
        <v>107.00631578947369</v>
      </c>
      <c r="K201" s="55">
        <v>105.98526315789475</v>
      </c>
      <c r="L201" s="55">
        <v>103.84105263157896</v>
      </c>
      <c r="M201" s="55">
        <v>99.55263157894737</v>
      </c>
    </row>
    <row r="202" spans="1:14" x14ac:dyDescent="0.25">
      <c r="A202" s="208"/>
      <c r="B202" s="225"/>
      <c r="C202" s="25" t="s">
        <v>177</v>
      </c>
      <c r="D202" s="1" t="s">
        <v>19</v>
      </c>
      <c r="E202" s="56">
        <v>0</v>
      </c>
      <c r="F202" s="56">
        <v>0</v>
      </c>
      <c r="G202" s="56">
        <v>0</v>
      </c>
      <c r="H202" s="56">
        <v>0</v>
      </c>
      <c r="I202" s="56">
        <v>0</v>
      </c>
      <c r="J202" s="56">
        <v>0</v>
      </c>
      <c r="K202" s="56">
        <v>0</v>
      </c>
      <c r="L202" s="56">
        <v>0</v>
      </c>
      <c r="M202" s="56">
        <v>0</v>
      </c>
    </row>
    <row r="203" spans="1:14" x14ac:dyDescent="0.25">
      <c r="A203" s="208"/>
      <c r="B203" s="225"/>
      <c r="C203" s="25" t="s">
        <v>114</v>
      </c>
      <c r="D203" s="1" t="s">
        <v>8</v>
      </c>
      <c r="E203" s="53"/>
      <c r="F203" s="53"/>
      <c r="G203" s="53"/>
      <c r="H203" s="53"/>
      <c r="I203" s="53"/>
      <c r="J203" s="53"/>
      <c r="K203" s="53"/>
      <c r="L203" s="53"/>
      <c r="M203" s="53"/>
    </row>
    <row r="204" spans="1:14" x14ac:dyDescent="0.25">
      <c r="A204" s="208"/>
      <c r="B204" s="225"/>
      <c r="C204" s="25" t="s">
        <v>115</v>
      </c>
      <c r="D204" s="1" t="s">
        <v>9</v>
      </c>
      <c r="E204" s="55">
        <v>5.7769924913065838</v>
      </c>
      <c r="F204" s="55">
        <v>4.8956835771118348</v>
      </c>
      <c r="G204" s="55">
        <v>3.8183782395439203</v>
      </c>
      <c r="H204" s="55">
        <v>3.0811622155696146</v>
      </c>
      <c r="I204" s="55">
        <v>2.0378947368421052</v>
      </c>
      <c r="J204" s="55">
        <v>2.0189473684210526</v>
      </c>
      <c r="K204" s="55">
        <v>1.9557894736842103</v>
      </c>
      <c r="L204" s="55">
        <v>1.8231578947368419</v>
      </c>
      <c r="M204" s="55">
        <v>1.557894736842105</v>
      </c>
    </row>
    <row r="205" spans="1:14" x14ac:dyDescent="0.25">
      <c r="A205" s="208"/>
      <c r="B205" s="225"/>
      <c r="C205" s="25" t="s">
        <v>35</v>
      </c>
      <c r="D205" s="1" t="s">
        <v>10</v>
      </c>
      <c r="E205" s="55">
        <v>0</v>
      </c>
      <c r="F205" s="55">
        <v>0</v>
      </c>
      <c r="G205" s="55">
        <v>0</v>
      </c>
      <c r="H205" s="55">
        <v>0</v>
      </c>
      <c r="I205" s="55">
        <v>0</v>
      </c>
      <c r="J205" s="55">
        <v>0</v>
      </c>
      <c r="K205" s="55">
        <v>1.7051368421052632E-3</v>
      </c>
      <c r="L205" s="55">
        <v>1.5645473684210527E-3</v>
      </c>
      <c r="M205" s="55">
        <v>1.2833684210526316E-3</v>
      </c>
    </row>
    <row r="206" spans="1:14" x14ac:dyDescent="0.25">
      <c r="A206" s="208"/>
      <c r="B206" s="225"/>
      <c r="C206" s="26" t="s">
        <v>24</v>
      </c>
      <c r="D206" s="27" t="s">
        <v>10</v>
      </c>
      <c r="E206" s="55">
        <v>0</v>
      </c>
      <c r="F206" s="55">
        <v>0</v>
      </c>
      <c r="G206" s="55">
        <v>0</v>
      </c>
      <c r="H206" s="55">
        <v>0</v>
      </c>
      <c r="I206" s="55">
        <v>0</v>
      </c>
      <c r="J206" s="55">
        <v>0</v>
      </c>
      <c r="K206" s="55">
        <v>0</v>
      </c>
      <c r="L206" s="55">
        <v>0</v>
      </c>
      <c r="M206" s="55">
        <v>0</v>
      </c>
    </row>
    <row r="207" spans="1:14" x14ac:dyDescent="0.25">
      <c r="A207" s="208"/>
      <c r="B207" s="225"/>
      <c r="C207" s="25" t="s">
        <v>25</v>
      </c>
      <c r="D207" s="1" t="s">
        <v>7</v>
      </c>
      <c r="E207" s="56">
        <v>0.99749999999999994</v>
      </c>
      <c r="F207" s="56">
        <v>0.99749999999999994</v>
      </c>
      <c r="G207" s="56">
        <v>0.99749999999999994</v>
      </c>
      <c r="H207" s="56">
        <v>0.99749999999999994</v>
      </c>
      <c r="I207" s="56">
        <v>0.99749999999999994</v>
      </c>
      <c r="J207" s="56">
        <v>0.99749999999999994</v>
      </c>
      <c r="K207" s="56">
        <v>0.999</v>
      </c>
      <c r="L207" s="56">
        <v>0.999</v>
      </c>
      <c r="M207" s="56">
        <v>0.999</v>
      </c>
    </row>
    <row r="208" spans="1:14" x14ac:dyDescent="0.25">
      <c r="A208" s="208"/>
      <c r="B208" s="225"/>
      <c r="C208" s="25" t="s">
        <v>26</v>
      </c>
      <c r="D208" s="1" t="s">
        <v>14</v>
      </c>
      <c r="E208" s="55">
        <v>1524.6</v>
      </c>
      <c r="F208" s="55">
        <v>1749.6</v>
      </c>
      <c r="G208" s="55">
        <v>2349.6</v>
      </c>
      <c r="H208" s="55">
        <v>3174.6</v>
      </c>
      <c r="I208" s="55">
        <v>4299.6000000000004</v>
      </c>
      <c r="J208" s="55">
        <v>14213</v>
      </c>
      <c r="K208" s="55">
        <v>21713</v>
      </c>
      <c r="L208" s="55">
        <v>37463</v>
      </c>
      <c r="M208" s="55">
        <v>68963</v>
      </c>
    </row>
    <row r="209" spans="1:13" x14ac:dyDescent="0.25">
      <c r="A209" s="208"/>
      <c r="B209" s="225"/>
      <c r="C209" s="25" t="s">
        <v>27</v>
      </c>
      <c r="D209" s="1" t="s">
        <v>4</v>
      </c>
      <c r="E209" s="53">
        <v>40</v>
      </c>
      <c r="F209" s="53">
        <v>40</v>
      </c>
      <c r="G209" s="53">
        <v>40</v>
      </c>
      <c r="H209" s="53">
        <v>40</v>
      </c>
      <c r="I209" s="53">
        <v>40</v>
      </c>
      <c r="J209" s="53">
        <v>40</v>
      </c>
      <c r="K209" s="53">
        <v>40</v>
      </c>
      <c r="L209" s="53">
        <v>40</v>
      </c>
      <c r="M209" s="53">
        <v>40</v>
      </c>
    </row>
    <row r="210" spans="1:13" x14ac:dyDescent="0.25">
      <c r="A210" s="208"/>
      <c r="B210" s="225"/>
      <c r="C210" s="25" t="s">
        <v>129</v>
      </c>
      <c r="D210" s="1" t="s">
        <v>19</v>
      </c>
      <c r="E210" s="60">
        <v>0.546875</v>
      </c>
      <c r="F210" s="60">
        <v>0.546875</v>
      </c>
      <c r="G210" s="60">
        <v>0.54687499999999989</v>
      </c>
      <c r="H210" s="60">
        <v>0.546875</v>
      </c>
      <c r="I210" s="60">
        <v>0.546875</v>
      </c>
      <c r="J210" s="60">
        <v>0.546875</v>
      </c>
      <c r="K210" s="60">
        <v>0.546875</v>
      </c>
      <c r="L210" s="60">
        <v>0.546875</v>
      </c>
      <c r="M210" s="60">
        <v>0.546875</v>
      </c>
    </row>
    <row r="211" spans="1:13" x14ac:dyDescent="0.25">
      <c r="A211" s="208"/>
      <c r="B211" s="225"/>
      <c r="C211" s="25" t="s">
        <v>130</v>
      </c>
      <c r="D211" s="1" t="s">
        <v>19</v>
      </c>
      <c r="E211" s="53">
        <v>0.64</v>
      </c>
      <c r="F211" s="53">
        <v>0.64</v>
      </c>
      <c r="G211" s="53">
        <v>0.64</v>
      </c>
      <c r="H211" s="53">
        <v>0.64</v>
      </c>
      <c r="I211" s="53">
        <v>0.64</v>
      </c>
      <c r="J211" s="53">
        <v>0.64</v>
      </c>
      <c r="K211" s="53">
        <v>0.64</v>
      </c>
      <c r="L211" s="53">
        <v>0.64</v>
      </c>
      <c r="M211" s="53">
        <v>0.64</v>
      </c>
    </row>
    <row r="212" spans="1:13" x14ac:dyDescent="0.25">
      <c r="A212" s="208"/>
      <c r="B212" s="225"/>
      <c r="C212" s="28" t="s">
        <v>131</v>
      </c>
      <c r="D212" s="1" t="s">
        <v>4</v>
      </c>
      <c r="E212" s="53">
        <v>20</v>
      </c>
      <c r="F212" s="53">
        <v>20</v>
      </c>
      <c r="G212" s="53">
        <v>20</v>
      </c>
      <c r="H212" s="53">
        <v>20</v>
      </c>
      <c r="I212" s="53">
        <v>20</v>
      </c>
      <c r="J212" s="53">
        <v>20</v>
      </c>
      <c r="K212" s="53">
        <v>20</v>
      </c>
      <c r="L212" s="53">
        <v>20</v>
      </c>
      <c r="M212" s="53">
        <v>20</v>
      </c>
    </row>
    <row r="213" spans="1:13" x14ac:dyDescent="0.25">
      <c r="A213" s="208"/>
      <c r="B213" s="225"/>
      <c r="C213" s="28" t="s">
        <v>132</v>
      </c>
      <c r="D213" s="1" t="s">
        <v>6</v>
      </c>
      <c r="E213" s="61">
        <v>845.66853062101131</v>
      </c>
      <c r="F213" s="55">
        <v>823.13136659302893</v>
      </c>
      <c r="G213" s="55">
        <v>763.03226251840942</v>
      </c>
      <c r="H213" s="55">
        <v>680.39599441580754</v>
      </c>
      <c r="I213" s="55">
        <v>567.71017427589595</v>
      </c>
      <c r="J213" s="55">
        <v>483.57142857142856</v>
      </c>
      <c r="K213" s="55">
        <v>483.57142857142856</v>
      </c>
      <c r="L213" s="55">
        <v>483.57142857142856</v>
      </c>
      <c r="M213" s="55">
        <v>483.57142857142856</v>
      </c>
    </row>
    <row r="214" spans="1:13" x14ac:dyDescent="0.25">
      <c r="A214" s="208"/>
      <c r="B214" s="225"/>
      <c r="C214" s="25" t="s">
        <v>183</v>
      </c>
      <c r="D214" s="1" t="s">
        <v>19</v>
      </c>
      <c r="E214" s="56">
        <v>0</v>
      </c>
      <c r="F214" s="56">
        <v>0</v>
      </c>
      <c r="G214" s="56">
        <v>0</v>
      </c>
      <c r="H214" s="56">
        <v>0</v>
      </c>
      <c r="I214" s="56">
        <v>0</v>
      </c>
      <c r="J214" s="56">
        <v>0</v>
      </c>
      <c r="K214" s="56">
        <v>0</v>
      </c>
      <c r="L214" s="56">
        <v>0</v>
      </c>
      <c r="M214" s="56">
        <v>0</v>
      </c>
    </row>
    <row r="215" spans="1:13" x14ac:dyDescent="0.25">
      <c r="A215" s="208"/>
      <c r="B215" s="225"/>
      <c r="C215" s="25" t="s">
        <v>133</v>
      </c>
      <c r="D215" s="1" t="s">
        <v>8</v>
      </c>
      <c r="E215" s="55">
        <v>49.290721649484539</v>
      </c>
      <c r="F215" s="55">
        <v>65.52783505154639</v>
      </c>
      <c r="G215" s="55">
        <v>108.82680412371134</v>
      </c>
      <c r="H215" s="55">
        <v>168.36288659793814</v>
      </c>
      <c r="I215" s="55">
        <v>249.54845360824743</v>
      </c>
      <c r="J215" s="55">
        <v>411.91958762886594</v>
      </c>
      <c r="K215" s="55">
        <v>574.29072164948457</v>
      </c>
      <c r="L215" s="55">
        <v>574.29072164948457</v>
      </c>
      <c r="M215" s="55">
        <v>574.29072164948457</v>
      </c>
    </row>
    <row r="216" spans="1:13" x14ac:dyDescent="0.25">
      <c r="A216" s="208"/>
      <c r="B216" s="225"/>
      <c r="C216" s="25" t="s">
        <v>134</v>
      </c>
      <c r="D216" s="1" t="s">
        <v>9</v>
      </c>
      <c r="E216" s="53"/>
      <c r="F216" s="53"/>
      <c r="G216" s="53"/>
      <c r="H216" s="53"/>
      <c r="I216" s="53"/>
      <c r="J216" s="53"/>
      <c r="K216" s="53"/>
      <c r="L216" s="53"/>
      <c r="M216" s="53"/>
    </row>
    <row r="217" spans="1:13" x14ac:dyDescent="0.25">
      <c r="A217" s="208"/>
      <c r="B217" s="225"/>
      <c r="C217" s="25" t="s">
        <v>135</v>
      </c>
      <c r="D217" s="1" t="s">
        <v>10</v>
      </c>
      <c r="E217" s="53"/>
      <c r="F217" s="53"/>
      <c r="G217" s="53"/>
      <c r="H217" s="53"/>
      <c r="I217" s="53"/>
      <c r="J217" s="53"/>
      <c r="K217" s="53"/>
      <c r="L217" s="53"/>
      <c r="M217" s="53"/>
    </row>
    <row r="218" spans="1:13" ht="18.75" x14ac:dyDescent="0.25">
      <c r="A218" s="208"/>
      <c r="B218" s="225"/>
      <c r="C218" s="62" t="s">
        <v>136</v>
      </c>
      <c r="D218" s="27" t="s">
        <v>17</v>
      </c>
      <c r="E218" s="53"/>
      <c r="F218" s="53"/>
      <c r="G218" s="53"/>
      <c r="H218" s="53"/>
      <c r="I218" s="53"/>
      <c r="J218" s="53"/>
      <c r="K218" s="53"/>
      <c r="L218" s="53"/>
      <c r="M218" s="53"/>
    </row>
    <row r="219" spans="1:13" x14ac:dyDescent="0.25">
      <c r="A219" s="226">
        <v>14</v>
      </c>
      <c r="B219" s="229" t="s">
        <v>185</v>
      </c>
      <c r="C219" s="25" t="s">
        <v>116</v>
      </c>
      <c r="D219" s="1" t="s">
        <v>19</v>
      </c>
      <c r="E219" s="60">
        <v>1</v>
      </c>
      <c r="F219" s="60">
        <v>1</v>
      </c>
      <c r="G219" s="60">
        <v>1</v>
      </c>
      <c r="H219" s="60">
        <v>1</v>
      </c>
      <c r="I219" s="60">
        <v>1</v>
      </c>
      <c r="J219" s="60">
        <v>1</v>
      </c>
      <c r="K219" s="60">
        <v>1</v>
      </c>
      <c r="L219" s="60">
        <v>1</v>
      </c>
      <c r="M219" s="60">
        <v>1</v>
      </c>
    </row>
    <row r="220" spans="1:13" x14ac:dyDescent="0.25">
      <c r="A220" s="227"/>
      <c r="B220" s="230"/>
      <c r="C220" s="25" t="s">
        <v>28</v>
      </c>
      <c r="D220" s="1" t="s">
        <v>19</v>
      </c>
      <c r="E220" s="53">
        <v>0.8</v>
      </c>
      <c r="F220" s="53">
        <v>0.8</v>
      </c>
      <c r="G220" s="53">
        <v>0.8</v>
      </c>
      <c r="H220" s="53">
        <v>0.8</v>
      </c>
      <c r="I220" s="53">
        <v>0.8</v>
      </c>
      <c r="J220" s="53">
        <v>0.8</v>
      </c>
      <c r="K220" s="53">
        <v>0.8</v>
      </c>
      <c r="L220" s="53">
        <v>0.8</v>
      </c>
      <c r="M220" s="53">
        <v>0.8</v>
      </c>
    </row>
    <row r="221" spans="1:13" x14ac:dyDescent="0.25">
      <c r="A221" s="227"/>
      <c r="B221" s="230"/>
      <c r="C221" s="25" t="s">
        <v>29</v>
      </c>
      <c r="D221" s="1" t="s">
        <v>4</v>
      </c>
      <c r="E221" s="53">
        <v>20</v>
      </c>
      <c r="F221" s="53">
        <v>20</v>
      </c>
      <c r="G221" s="53">
        <v>20</v>
      </c>
      <c r="H221" s="53">
        <v>20</v>
      </c>
      <c r="I221" s="53">
        <v>20</v>
      </c>
      <c r="J221" s="53">
        <v>20</v>
      </c>
      <c r="K221" s="53">
        <v>20</v>
      </c>
      <c r="L221" s="53">
        <v>20</v>
      </c>
      <c r="M221" s="53">
        <v>20</v>
      </c>
    </row>
    <row r="222" spans="1:13" x14ac:dyDescent="0.25">
      <c r="A222" s="227"/>
      <c r="B222" s="230"/>
      <c r="C222" s="25" t="s">
        <v>30</v>
      </c>
      <c r="D222" s="1" t="s">
        <v>6</v>
      </c>
      <c r="E222" s="55">
        <v>756.50213541090761</v>
      </c>
      <c r="F222" s="55">
        <v>540.20663720034383</v>
      </c>
      <c r="G222" s="55">
        <v>421.48150193390472</v>
      </c>
      <c r="H222" s="55">
        <v>421.48150193390472</v>
      </c>
      <c r="I222" s="55">
        <v>421.48150193390472</v>
      </c>
      <c r="J222" s="55">
        <v>421.48150193390472</v>
      </c>
      <c r="K222" s="55">
        <v>1120.903443434433</v>
      </c>
      <c r="L222" s="55">
        <v>975.21226311391229</v>
      </c>
      <c r="M222" s="55">
        <v>857.30536609258718</v>
      </c>
    </row>
    <row r="223" spans="1:13" x14ac:dyDescent="0.25">
      <c r="A223" s="227"/>
      <c r="B223" s="230"/>
      <c r="C223" s="25" t="s">
        <v>178</v>
      </c>
      <c r="D223" s="1" t="s">
        <v>19</v>
      </c>
      <c r="E223" s="56">
        <v>0</v>
      </c>
      <c r="F223" s="56">
        <v>0</v>
      </c>
      <c r="G223" s="56">
        <v>0</v>
      </c>
      <c r="H223" s="56">
        <v>0</v>
      </c>
      <c r="I223" s="56">
        <v>0</v>
      </c>
      <c r="J223" s="56">
        <v>0</v>
      </c>
      <c r="K223" s="56">
        <v>0</v>
      </c>
      <c r="L223" s="56">
        <v>0</v>
      </c>
      <c r="M223" s="56">
        <v>0</v>
      </c>
    </row>
    <row r="224" spans="1:13" x14ac:dyDescent="0.25">
      <c r="A224" s="227"/>
      <c r="B224" s="230"/>
      <c r="C224" s="25" t="s">
        <v>117</v>
      </c>
      <c r="D224" s="1" t="s">
        <v>8</v>
      </c>
      <c r="E224" s="53"/>
      <c r="F224" s="53"/>
      <c r="G224" s="53"/>
      <c r="H224" s="53"/>
      <c r="I224" s="53"/>
      <c r="J224" s="53"/>
      <c r="K224" s="53"/>
      <c r="L224" s="53"/>
      <c r="M224" s="53"/>
    </row>
    <row r="225" spans="1:13" x14ac:dyDescent="0.25">
      <c r="A225" s="227"/>
      <c r="B225" s="230"/>
      <c r="C225" s="25" t="s">
        <v>118</v>
      </c>
      <c r="D225" s="1" t="s">
        <v>9</v>
      </c>
      <c r="E225" s="53"/>
      <c r="F225" s="53"/>
      <c r="G225" s="53"/>
      <c r="H225" s="53"/>
      <c r="I225" s="53"/>
      <c r="J225" s="53"/>
      <c r="K225" s="53"/>
      <c r="L225" s="53"/>
      <c r="M225" s="53"/>
    </row>
    <row r="226" spans="1:13" x14ac:dyDescent="0.25">
      <c r="A226" s="227"/>
      <c r="B226" s="230"/>
      <c r="C226" s="25" t="s">
        <v>119</v>
      </c>
      <c r="D226" s="1" t="s">
        <v>10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2.0100000000000001E-3</v>
      </c>
      <c r="L226" s="55">
        <v>2.0100000000000001E-3</v>
      </c>
      <c r="M226" s="55">
        <v>2.0100000000000001E-3</v>
      </c>
    </row>
    <row r="227" spans="1:13" ht="18.75" x14ac:dyDescent="0.25">
      <c r="A227" s="227"/>
      <c r="B227" s="230"/>
      <c r="C227" s="26" t="s">
        <v>120</v>
      </c>
      <c r="D227" s="27" t="s">
        <v>17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</row>
    <row r="228" spans="1:13" x14ac:dyDescent="0.25">
      <c r="A228" s="227"/>
      <c r="B228" s="230"/>
      <c r="C228" s="26" t="s">
        <v>31</v>
      </c>
      <c r="D228" s="27" t="s">
        <v>10</v>
      </c>
      <c r="E228" s="55">
        <v>0</v>
      </c>
      <c r="F228" s="55">
        <v>0</v>
      </c>
      <c r="G228" s="55">
        <v>0</v>
      </c>
      <c r="H228" s="55">
        <v>0</v>
      </c>
      <c r="I228" s="55">
        <v>0</v>
      </c>
      <c r="J228" s="55">
        <v>0</v>
      </c>
      <c r="K228" s="55">
        <v>0</v>
      </c>
      <c r="L228" s="55">
        <v>0</v>
      </c>
      <c r="M228" s="55">
        <v>0</v>
      </c>
    </row>
    <row r="229" spans="1:13" x14ac:dyDescent="0.25">
      <c r="A229" s="227"/>
      <c r="B229" s="230"/>
      <c r="C229" s="25" t="s">
        <v>32</v>
      </c>
      <c r="D229" s="2" t="s">
        <v>19</v>
      </c>
      <c r="E229" s="53">
        <v>3.48</v>
      </c>
      <c r="F229" s="53">
        <v>3.48</v>
      </c>
      <c r="G229" s="53">
        <v>3.48</v>
      </c>
      <c r="H229" s="53">
        <v>3.48</v>
      </c>
      <c r="I229" s="53">
        <v>3.48</v>
      </c>
      <c r="J229" s="53">
        <v>3.48</v>
      </c>
      <c r="K229" s="53">
        <v>3.48</v>
      </c>
      <c r="L229" s="53">
        <v>3.48</v>
      </c>
      <c r="M229" s="53">
        <v>3.48</v>
      </c>
    </row>
    <row r="230" spans="1:13" x14ac:dyDescent="0.25">
      <c r="A230" s="227"/>
      <c r="B230" s="230"/>
      <c r="C230" s="25" t="s">
        <v>33</v>
      </c>
      <c r="D230" s="2" t="s">
        <v>14</v>
      </c>
      <c r="E230" s="53"/>
      <c r="F230" s="53"/>
      <c r="G230" s="53"/>
      <c r="H230" s="53"/>
      <c r="I230" s="53"/>
      <c r="J230" s="53"/>
      <c r="K230" s="53"/>
      <c r="L230" s="53"/>
      <c r="M230" s="53"/>
    </row>
    <row r="231" spans="1:13" x14ac:dyDescent="0.25">
      <c r="A231" s="227"/>
      <c r="B231" s="230"/>
      <c r="C231" s="25" t="s">
        <v>34</v>
      </c>
      <c r="D231" s="2" t="s">
        <v>4</v>
      </c>
      <c r="E231" s="53"/>
      <c r="F231" s="53"/>
      <c r="G231" s="53"/>
      <c r="H231" s="53"/>
      <c r="I231" s="53"/>
      <c r="J231" s="53"/>
      <c r="K231" s="53"/>
      <c r="L231" s="53"/>
      <c r="M231" s="53"/>
    </row>
    <row r="232" spans="1:13" x14ac:dyDescent="0.25">
      <c r="A232" s="227"/>
      <c r="B232" s="230"/>
      <c r="C232" s="25" t="s">
        <v>129</v>
      </c>
      <c r="D232" s="1" t="s">
        <v>19</v>
      </c>
      <c r="E232" s="60">
        <v>0.3125</v>
      </c>
      <c r="F232" s="60">
        <v>0.3125</v>
      </c>
      <c r="G232" s="60">
        <v>0.3125</v>
      </c>
      <c r="H232" s="60">
        <v>0.3125</v>
      </c>
      <c r="I232" s="60">
        <v>0.3125</v>
      </c>
      <c r="J232" s="60">
        <v>0.3125</v>
      </c>
      <c r="K232" s="60">
        <v>0.3125</v>
      </c>
      <c r="L232" s="60">
        <v>0.3125</v>
      </c>
      <c r="M232" s="60">
        <v>0.3125</v>
      </c>
    </row>
    <row r="233" spans="1:13" x14ac:dyDescent="0.25">
      <c r="A233" s="227"/>
      <c r="B233" s="230"/>
      <c r="C233" s="25" t="s">
        <v>130</v>
      </c>
      <c r="D233" s="1" t="s">
        <v>19</v>
      </c>
      <c r="E233" s="53">
        <v>0.64</v>
      </c>
      <c r="F233" s="53">
        <v>0.64</v>
      </c>
      <c r="G233" s="53">
        <v>0.64</v>
      </c>
      <c r="H233" s="53">
        <v>0.64</v>
      </c>
      <c r="I233" s="53">
        <v>0.64</v>
      </c>
      <c r="J233" s="53">
        <v>0.64</v>
      </c>
      <c r="K233" s="53">
        <v>0.64</v>
      </c>
      <c r="L233" s="53">
        <v>0.64</v>
      </c>
      <c r="M233" s="53">
        <v>0.64</v>
      </c>
    </row>
    <row r="234" spans="1:13" x14ac:dyDescent="0.25">
      <c r="A234" s="227"/>
      <c r="B234" s="230"/>
      <c r="C234" s="28" t="s">
        <v>131</v>
      </c>
      <c r="D234" s="1" t="s">
        <v>4</v>
      </c>
      <c r="E234" s="53">
        <v>20</v>
      </c>
      <c r="F234" s="53">
        <v>20</v>
      </c>
      <c r="G234" s="53">
        <v>20</v>
      </c>
      <c r="H234" s="53">
        <v>20</v>
      </c>
      <c r="I234" s="53">
        <v>20</v>
      </c>
      <c r="J234" s="53">
        <v>20</v>
      </c>
      <c r="K234" s="53">
        <v>20</v>
      </c>
      <c r="L234" s="53">
        <v>20</v>
      </c>
      <c r="M234" s="53">
        <v>20</v>
      </c>
    </row>
    <row r="235" spans="1:13" x14ac:dyDescent="0.25">
      <c r="A235" s="227"/>
      <c r="B235" s="230"/>
      <c r="C235" s="28" t="s">
        <v>132</v>
      </c>
      <c r="D235" s="1" t="s">
        <v>6</v>
      </c>
      <c r="E235" s="61">
        <v>855.32731520443224</v>
      </c>
      <c r="F235" s="61">
        <v>842.44893575987089</v>
      </c>
      <c r="G235" s="61">
        <v>808.10659057437408</v>
      </c>
      <c r="H235" s="61">
        <v>760.88586594431581</v>
      </c>
      <c r="I235" s="61">
        <v>696.49396872150919</v>
      </c>
      <c r="J235" s="61">
        <v>567.71017427589595</v>
      </c>
      <c r="K235" s="61">
        <v>483.57142857142856</v>
      </c>
      <c r="L235" s="61">
        <v>483.57142857142856</v>
      </c>
      <c r="M235" s="61">
        <v>483.57142857142856</v>
      </c>
    </row>
    <row r="236" spans="1:13" x14ac:dyDescent="0.25">
      <c r="A236" s="227"/>
      <c r="B236" s="230"/>
      <c r="C236" s="28" t="s">
        <v>183</v>
      </c>
      <c r="D236" s="1" t="s">
        <v>19</v>
      </c>
      <c r="E236" s="56">
        <v>0</v>
      </c>
      <c r="F236" s="56">
        <v>0</v>
      </c>
      <c r="G236" s="56">
        <v>0</v>
      </c>
      <c r="H236" s="56">
        <v>0</v>
      </c>
      <c r="I236" s="56">
        <v>0</v>
      </c>
      <c r="J236" s="56">
        <v>0</v>
      </c>
      <c r="K236" s="56">
        <v>0</v>
      </c>
      <c r="L236" s="56">
        <v>0</v>
      </c>
      <c r="M236" s="56">
        <v>0</v>
      </c>
    </row>
    <row r="237" spans="1:13" x14ac:dyDescent="0.25">
      <c r="A237" s="227"/>
      <c r="B237" s="230"/>
      <c r="C237" s="25" t="s">
        <v>133</v>
      </c>
      <c r="D237" s="1" t="s">
        <v>8</v>
      </c>
      <c r="E237" s="55">
        <v>49.290721649484539</v>
      </c>
      <c r="F237" s="55">
        <v>65.52783505154639</v>
      </c>
      <c r="G237" s="55">
        <v>108.82680412371134</v>
      </c>
      <c r="H237" s="55">
        <v>168.36288659793814</v>
      </c>
      <c r="I237" s="55">
        <v>249.54845360824743</v>
      </c>
      <c r="J237" s="55">
        <v>411.91958762886594</v>
      </c>
      <c r="K237" s="55">
        <v>574.29072164948457</v>
      </c>
      <c r="L237" s="55">
        <v>574.29072164948457</v>
      </c>
      <c r="M237" s="55">
        <v>574.29072164948457</v>
      </c>
    </row>
    <row r="238" spans="1:13" x14ac:dyDescent="0.25">
      <c r="A238" s="227"/>
      <c r="B238" s="230"/>
      <c r="C238" s="25" t="s">
        <v>134</v>
      </c>
      <c r="D238" s="1" t="s">
        <v>9</v>
      </c>
      <c r="E238" s="53"/>
      <c r="F238" s="53"/>
      <c r="G238" s="53"/>
      <c r="H238" s="53"/>
      <c r="I238" s="53"/>
      <c r="J238" s="53"/>
      <c r="K238" s="53"/>
      <c r="L238" s="53"/>
      <c r="M238" s="53"/>
    </row>
    <row r="239" spans="1:13" x14ac:dyDescent="0.25">
      <c r="A239" s="227"/>
      <c r="B239" s="230"/>
      <c r="C239" s="25" t="s">
        <v>135</v>
      </c>
      <c r="D239" s="1" t="s">
        <v>10</v>
      </c>
      <c r="E239" s="53"/>
      <c r="F239" s="53"/>
      <c r="G239" s="53"/>
      <c r="H239" s="53"/>
      <c r="I239" s="53"/>
      <c r="J239" s="53"/>
      <c r="K239" s="53"/>
      <c r="L239" s="53"/>
      <c r="M239" s="53"/>
    </row>
    <row r="240" spans="1:13" ht="18.75" x14ac:dyDescent="0.25">
      <c r="A240" s="228"/>
      <c r="B240" s="231"/>
      <c r="C240" s="62" t="s">
        <v>136</v>
      </c>
      <c r="D240" s="27" t="s">
        <v>17</v>
      </c>
      <c r="E240" s="53"/>
      <c r="F240" s="53"/>
      <c r="G240" s="53"/>
      <c r="H240" s="53"/>
      <c r="I240" s="53"/>
      <c r="J240" s="53"/>
      <c r="K240" s="53"/>
      <c r="L240" s="53"/>
      <c r="M240" s="53"/>
    </row>
    <row r="241" spans="1:13" x14ac:dyDescent="0.25">
      <c r="A241" s="226">
        <v>15</v>
      </c>
      <c r="B241" s="229" t="s">
        <v>186</v>
      </c>
      <c r="C241" s="25" t="s">
        <v>116</v>
      </c>
      <c r="D241" s="1" t="s">
        <v>19</v>
      </c>
      <c r="E241" s="60">
        <v>1</v>
      </c>
      <c r="F241" s="60">
        <v>1</v>
      </c>
      <c r="G241" s="60">
        <v>1</v>
      </c>
      <c r="H241" s="60">
        <v>1</v>
      </c>
      <c r="I241" s="60">
        <v>1</v>
      </c>
      <c r="J241" s="60">
        <v>1</v>
      </c>
      <c r="K241" s="60">
        <v>1</v>
      </c>
      <c r="L241" s="60">
        <v>1</v>
      </c>
      <c r="M241" s="60">
        <v>1</v>
      </c>
    </row>
    <row r="242" spans="1:13" x14ac:dyDescent="0.25">
      <c r="A242" s="227"/>
      <c r="B242" s="230"/>
      <c r="C242" s="25" t="s">
        <v>28</v>
      </c>
      <c r="D242" s="1" t="s">
        <v>19</v>
      </c>
      <c r="E242" s="53">
        <v>0.65</v>
      </c>
      <c r="F242" s="53">
        <v>0.65</v>
      </c>
      <c r="G242" s="53">
        <v>0.65</v>
      </c>
      <c r="H242" s="53">
        <v>0.65</v>
      </c>
      <c r="I242" s="53">
        <v>0.65</v>
      </c>
      <c r="J242" s="53">
        <v>0.65</v>
      </c>
      <c r="K242" s="53">
        <v>0.65</v>
      </c>
      <c r="L242" s="53">
        <v>0.65</v>
      </c>
      <c r="M242" s="53">
        <v>0.65</v>
      </c>
    </row>
    <row r="243" spans="1:13" x14ac:dyDescent="0.25">
      <c r="A243" s="227"/>
      <c r="B243" s="230"/>
      <c r="C243" s="25" t="s">
        <v>29</v>
      </c>
      <c r="D243" s="1" t="s">
        <v>4</v>
      </c>
      <c r="E243" s="53">
        <v>20</v>
      </c>
      <c r="F243" s="53">
        <v>20</v>
      </c>
      <c r="G243" s="53">
        <v>20</v>
      </c>
      <c r="H243" s="53">
        <v>20</v>
      </c>
      <c r="I243" s="53">
        <v>20</v>
      </c>
      <c r="J243" s="53">
        <v>20</v>
      </c>
      <c r="K243" s="53">
        <v>20</v>
      </c>
      <c r="L243" s="53">
        <v>20</v>
      </c>
      <c r="M243" s="53">
        <v>20</v>
      </c>
    </row>
    <row r="244" spans="1:13" x14ac:dyDescent="0.25">
      <c r="A244" s="227"/>
      <c r="B244" s="230"/>
      <c r="C244" s="25" t="s">
        <v>30</v>
      </c>
      <c r="D244" s="1" t="s">
        <v>6</v>
      </c>
      <c r="E244" s="55">
        <v>756.50213541090761</v>
      </c>
      <c r="F244" s="55">
        <v>540.20663720034383</v>
      </c>
      <c r="G244" s="55">
        <v>421.48150193390472</v>
      </c>
      <c r="H244" s="55">
        <v>421.48150193390472</v>
      </c>
      <c r="I244" s="55">
        <v>421.48150193390472</v>
      </c>
      <c r="J244" s="55">
        <v>421.48150193390472</v>
      </c>
      <c r="K244" s="55">
        <v>1120.903443434433</v>
      </c>
      <c r="L244" s="55">
        <v>975.21226311391229</v>
      </c>
      <c r="M244" s="55">
        <v>857.30536609258718</v>
      </c>
    </row>
    <row r="245" spans="1:13" x14ac:dyDescent="0.25">
      <c r="A245" s="227"/>
      <c r="B245" s="230"/>
      <c r="C245" s="25" t="s">
        <v>178</v>
      </c>
      <c r="D245" s="1" t="s">
        <v>19</v>
      </c>
      <c r="E245" s="56">
        <v>0</v>
      </c>
      <c r="F245" s="56">
        <v>0</v>
      </c>
      <c r="G245" s="56">
        <v>0</v>
      </c>
      <c r="H245" s="56">
        <v>0</v>
      </c>
      <c r="I245" s="56">
        <v>0</v>
      </c>
      <c r="J245" s="56">
        <v>0</v>
      </c>
      <c r="K245" s="56">
        <v>0</v>
      </c>
      <c r="L245" s="56">
        <v>0</v>
      </c>
      <c r="M245" s="56">
        <v>0</v>
      </c>
    </row>
    <row r="246" spans="1:13" x14ac:dyDescent="0.25">
      <c r="A246" s="227"/>
      <c r="B246" s="230"/>
      <c r="C246" s="25" t="s">
        <v>117</v>
      </c>
      <c r="D246" s="1" t="s">
        <v>8</v>
      </c>
      <c r="E246" s="53"/>
      <c r="F246" s="53"/>
      <c r="G246" s="53"/>
      <c r="H246" s="53"/>
      <c r="I246" s="53"/>
      <c r="J246" s="53"/>
      <c r="K246" s="53"/>
      <c r="L246" s="53"/>
      <c r="M246" s="53"/>
    </row>
    <row r="247" spans="1:13" x14ac:dyDescent="0.25">
      <c r="A247" s="227"/>
      <c r="B247" s="230"/>
      <c r="C247" s="25" t="s">
        <v>118</v>
      </c>
      <c r="D247" s="1" t="s">
        <v>9</v>
      </c>
      <c r="E247" s="53"/>
      <c r="F247" s="53"/>
      <c r="G247" s="53"/>
      <c r="H247" s="53"/>
      <c r="I247" s="53"/>
      <c r="J247" s="53"/>
      <c r="K247" s="53"/>
      <c r="L247" s="53"/>
      <c r="M247" s="53"/>
    </row>
    <row r="248" spans="1:13" x14ac:dyDescent="0.25">
      <c r="A248" s="227"/>
      <c r="B248" s="230"/>
      <c r="C248" s="25" t="s">
        <v>119</v>
      </c>
      <c r="D248" s="1" t="s">
        <v>10</v>
      </c>
      <c r="E248" s="55">
        <v>0</v>
      </c>
      <c r="F248" s="55">
        <v>0</v>
      </c>
      <c r="G248" s="55">
        <v>0</v>
      </c>
      <c r="H248" s="55">
        <v>0</v>
      </c>
      <c r="I248" s="55">
        <v>0</v>
      </c>
      <c r="J248" s="55">
        <v>0</v>
      </c>
      <c r="K248" s="55">
        <v>2.0100000000000001E-3</v>
      </c>
      <c r="L248" s="55">
        <v>2.0100000000000001E-3</v>
      </c>
      <c r="M248" s="55">
        <v>2.0100000000000001E-3</v>
      </c>
    </row>
    <row r="249" spans="1:13" ht="18.75" x14ac:dyDescent="0.25">
      <c r="A249" s="227"/>
      <c r="B249" s="230"/>
      <c r="C249" s="26" t="s">
        <v>120</v>
      </c>
      <c r="D249" s="27" t="s">
        <v>17</v>
      </c>
      <c r="E249" s="55">
        <v>0</v>
      </c>
      <c r="F249" s="55">
        <v>0</v>
      </c>
      <c r="G249" s="55">
        <v>0</v>
      </c>
      <c r="H249" s="55">
        <v>0</v>
      </c>
      <c r="I249" s="55">
        <v>0</v>
      </c>
      <c r="J249" s="55">
        <v>0</v>
      </c>
      <c r="K249" s="55">
        <v>0</v>
      </c>
      <c r="L249" s="55">
        <v>0</v>
      </c>
      <c r="M249" s="55">
        <v>0</v>
      </c>
    </row>
    <row r="250" spans="1:13" x14ac:dyDescent="0.25">
      <c r="A250" s="227"/>
      <c r="B250" s="230"/>
      <c r="C250" s="26" t="s">
        <v>31</v>
      </c>
      <c r="D250" s="27" t="s">
        <v>10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</row>
    <row r="251" spans="1:13" x14ac:dyDescent="0.25">
      <c r="A251" s="227"/>
      <c r="B251" s="230"/>
      <c r="C251" s="25" t="s">
        <v>32</v>
      </c>
      <c r="D251" s="2" t="s">
        <v>19</v>
      </c>
      <c r="E251" s="53">
        <v>3.48</v>
      </c>
      <c r="F251" s="53">
        <v>3.48</v>
      </c>
      <c r="G251" s="53">
        <v>3.48</v>
      </c>
      <c r="H251" s="53">
        <v>3.48</v>
      </c>
      <c r="I251" s="53">
        <v>3.48</v>
      </c>
      <c r="J251" s="53">
        <v>3.48</v>
      </c>
      <c r="K251" s="53">
        <v>3.48</v>
      </c>
      <c r="L251" s="53">
        <v>3.48</v>
      </c>
      <c r="M251" s="53">
        <v>3.48</v>
      </c>
    </row>
    <row r="252" spans="1:13" x14ac:dyDescent="0.25">
      <c r="A252" s="227"/>
      <c r="B252" s="230"/>
      <c r="C252" s="25" t="s">
        <v>33</v>
      </c>
      <c r="D252" s="2" t="s">
        <v>14</v>
      </c>
      <c r="E252" s="53"/>
      <c r="F252" s="53"/>
      <c r="G252" s="53"/>
      <c r="H252" s="53"/>
      <c r="I252" s="53"/>
      <c r="J252" s="53"/>
      <c r="K252" s="53"/>
      <c r="L252" s="53"/>
      <c r="M252" s="53"/>
    </row>
    <row r="253" spans="1:13" x14ac:dyDescent="0.25">
      <c r="A253" s="227"/>
      <c r="B253" s="230"/>
      <c r="C253" s="25" t="s">
        <v>34</v>
      </c>
      <c r="D253" s="2" t="s">
        <v>4</v>
      </c>
      <c r="E253" s="53"/>
      <c r="F253" s="53"/>
      <c r="G253" s="53"/>
      <c r="H253" s="53"/>
      <c r="I253" s="53"/>
      <c r="J253" s="53"/>
      <c r="K253" s="53"/>
      <c r="L253" s="53"/>
      <c r="M253" s="53"/>
    </row>
    <row r="254" spans="1:13" x14ac:dyDescent="0.25">
      <c r="A254" s="227"/>
      <c r="B254" s="230"/>
      <c r="C254" s="25" t="s">
        <v>129</v>
      </c>
      <c r="D254" s="1" t="s">
        <v>19</v>
      </c>
      <c r="E254" s="60">
        <v>0.546875</v>
      </c>
      <c r="F254" s="60">
        <v>0.546875</v>
      </c>
      <c r="G254" s="60">
        <v>0.54687499999999989</v>
      </c>
      <c r="H254" s="60">
        <v>0.546875</v>
      </c>
      <c r="I254" s="60">
        <v>0.546875</v>
      </c>
      <c r="J254" s="60">
        <v>0.546875</v>
      </c>
      <c r="K254" s="60">
        <v>0.546875</v>
      </c>
      <c r="L254" s="60">
        <v>0.546875</v>
      </c>
      <c r="M254" s="60">
        <v>0.546875</v>
      </c>
    </row>
    <row r="255" spans="1:13" x14ac:dyDescent="0.25">
      <c r="A255" s="227"/>
      <c r="B255" s="230"/>
      <c r="C255" s="25" t="s">
        <v>130</v>
      </c>
      <c r="D255" s="1" t="s">
        <v>19</v>
      </c>
      <c r="E255" s="53">
        <v>0.64</v>
      </c>
      <c r="F255" s="53">
        <v>0.64</v>
      </c>
      <c r="G255" s="53">
        <v>0.64</v>
      </c>
      <c r="H255" s="53">
        <v>0.64</v>
      </c>
      <c r="I255" s="53">
        <v>0.64</v>
      </c>
      <c r="J255" s="53">
        <v>0.64</v>
      </c>
      <c r="K255" s="53">
        <v>0.64</v>
      </c>
      <c r="L255" s="53">
        <v>0.64</v>
      </c>
      <c r="M255" s="53">
        <v>0.64</v>
      </c>
    </row>
    <row r="256" spans="1:13" x14ac:dyDescent="0.25">
      <c r="A256" s="227"/>
      <c r="B256" s="230"/>
      <c r="C256" s="28" t="s">
        <v>131</v>
      </c>
      <c r="D256" s="1" t="s">
        <v>4</v>
      </c>
      <c r="E256" s="53">
        <v>20</v>
      </c>
      <c r="F256" s="53">
        <v>20</v>
      </c>
      <c r="G256" s="53">
        <v>20</v>
      </c>
      <c r="H256" s="53">
        <v>20</v>
      </c>
      <c r="I256" s="53">
        <v>20</v>
      </c>
      <c r="J256" s="53">
        <v>20</v>
      </c>
      <c r="K256" s="53">
        <v>20</v>
      </c>
      <c r="L256" s="53">
        <v>20</v>
      </c>
      <c r="M256" s="53">
        <v>20</v>
      </c>
    </row>
    <row r="257" spans="1:13" x14ac:dyDescent="0.25">
      <c r="A257" s="227"/>
      <c r="B257" s="230"/>
      <c r="C257" s="28" t="s">
        <v>132</v>
      </c>
      <c r="D257" s="1" t="s">
        <v>6</v>
      </c>
      <c r="E257" s="61">
        <v>845.66853062101131</v>
      </c>
      <c r="F257" s="61">
        <v>823.13136659302893</v>
      </c>
      <c r="G257" s="61">
        <v>763.03226251840942</v>
      </c>
      <c r="H257" s="61">
        <v>680.39599441580754</v>
      </c>
      <c r="I257" s="61">
        <v>567.71017427589595</v>
      </c>
      <c r="J257" s="61">
        <v>483.57142857142856</v>
      </c>
      <c r="K257" s="61">
        <v>483.57142857142856</v>
      </c>
      <c r="L257" s="61">
        <v>483.57142857142856</v>
      </c>
      <c r="M257" s="61">
        <v>483.57142857142856</v>
      </c>
    </row>
    <row r="258" spans="1:13" x14ac:dyDescent="0.25">
      <c r="A258" s="227"/>
      <c r="B258" s="230"/>
      <c r="C258" s="28" t="s">
        <v>183</v>
      </c>
      <c r="D258" s="1" t="s">
        <v>19</v>
      </c>
      <c r="E258" s="56">
        <v>0</v>
      </c>
      <c r="F258" s="56">
        <v>0</v>
      </c>
      <c r="G258" s="56">
        <v>0</v>
      </c>
      <c r="H258" s="56">
        <v>0</v>
      </c>
      <c r="I258" s="56">
        <v>0</v>
      </c>
      <c r="J258" s="56">
        <v>0</v>
      </c>
      <c r="K258" s="56">
        <v>0</v>
      </c>
      <c r="L258" s="56">
        <v>0</v>
      </c>
      <c r="M258" s="56">
        <v>0</v>
      </c>
    </row>
    <row r="259" spans="1:13" x14ac:dyDescent="0.25">
      <c r="A259" s="227"/>
      <c r="B259" s="230"/>
      <c r="C259" s="25" t="s">
        <v>133</v>
      </c>
      <c r="D259" s="1" t="s">
        <v>8</v>
      </c>
      <c r="E259" s="55">
        <v>49.290721649484539</v>
      </c>
      <c r="F259" s="55">
        <v>65.52783505154639</v>
      </c>
      <c r="G259" s="55">
        <v>108.82680412371134</v>
      </c>
      <c r="H259" s="55">
        <v>168.36288659793814</v>
      </c>
      <c r="I259" s="55">
        <v>249.54845360824743</v>
      </c>
      <c r="J259" s="55">
        <v>411.91958762886594</v>
      </c>
      <c r="K259" s="55">
        <v>574.29072164948457</v>
      </c>
      <c r="L259" s="55">
        <v>574.29072164948457</v>
      </c>
      <c r="M259" s="55">
        <v>574.29072164948457</v>
      </c>
    </row>
    <row r="260" spans="1:13" x14ac:dyDescent="0.25">
      <c r="A260" s="227"/>
      <c r="B260" s="230"/>
      <c r="C260" s="25" t="s">
        <v>134</v>
      </c>
      <c r="D260" s="1" t="s">
        <v>9</v>
      </c>
      <c r="E260" s="53"/>
      <c r="F260" s="53"/>
      <c r="G260" s="53"/>
      <c r="H260" s="53"/>
      <c r="I260" s="53"/>
      <c r="J260" s="53"/>
      <c r="K260" s="53"/>
      <c r="L260" s="53"/>
      <c r="M260" s="53"/>
    </row>
    <row r="261" spans="1:13" x14ac:dyDescent="0.25">
      <c r="A261" s="227"/>
      <c r="B261" s="230"/>
      <c r="C261" s="25" t="s">
        <v>135</v>
      </c>
      <c r="D261" s="1" t="s">
        <v>10</v>
      </c>
      <c r="E261" s="53"/>
      <c r="F261" s="53"/>
      <c r="G261" s="53"/>
      <c r="H261" s="53"/>
      <c r="I261" s="53"/>
      <c r="J261" s="53"/>
      <c r="K261" s="53"/>
      <c r="L261" s="53"/>
      <c r="M261" s="53"/>
    </row>
    <row r="262" spans="1:13" ht="18.75" x14ac:dyDescent="0.25">
      <c r="A262" s="228"/>
      <c r="B262" s="231"/>
      <c r="C262" s="62" t="s">
        <v>136</v>
      </c>
      <c r="D262" s="27" t="s">
        <v>17</v>
      </c>
      <c r="E262" s="53"/>
      <c r="F262" s="53"/>
      <c r="G262" s="53"/>
      <c r="H262" s="53"/>
      <c r="I262" s="53"/>
      <c r="J262" s="53"/>
      <c r="K262" s="53"/>
      <c r="L262" s="53"/>
      <c r="M262" s="53"/>
    </row>
    <row r="263" spans="1:13" x14ac:dyDescent="0.25">
      <c r="A263" s="208">
        <v>16</v>
      </c>
      <c r="B263" s="225" t="s">
        <v>160</v>
      </c>
      <c r="C263" s="25" t="s">
        <v>105</v>
      </c>
      <c r="D263" s="1" t="s">
        <v>4</v>
      </c>
      <c r="E263" s="53">
        <v>40</v>
      </c>
      <c r="F263" s="53">
        <v>40</v>
      </c>
      <c r="G263" s="53">
        <v>40</v>
      </c>
      <c r="H263" s="53">
        <v>40</v>
      </c>
      <c r="I263" s="53">
        <v>40</v>
      </c>
      <c r="J263" s="53">
        <v>40</v>
      </c>
      <c r="K263" s="53">
        <v>40</v>
      </c>
      <c r="L263" s="53">
        <v>40</v>
      </c>
      <c r="M263" s="53">
        <v>40</v>
      </c>
    </row>
    <row r="264" spans="1:13" x14ac:dyDescent="0.25">
      <c r="A264" s="208"/>
      <c r="B264" s="225"/>
      <c r="C264" s="25" t="s">
        <v>5</v>
      </c>
      <c r="D264" s="1" t="s">
        <v>6</v>
      </c>
      <c r="E264" s="55">
        <v>300</v>
      </c>
      <c r="F264" s="55">
        <v>183.33333333333334</v>
      </c>
      <c r="G264" s="55">
        <v>100</v>
      </c>
      <c r="H264" s="55">
        <v>76</v>
      </c>
      <c r="I264" s="55">
        <v>60</v>
      </c>
      <c r="J264" s="55">
        <v>42.857142857142854</v>
      </c>
      <c r="K264" s="55">
        <v>27.058823529411764</v>
      </c>
      <c r="L264" s="55">
        <v>18.421052631578949</v>
      </c>
      <c r="M264" s="55">
        <v>13.75</v>
      </c>
    </row>
    <row r="265" spans="1:13" x14ac:dyDescent="0.25">
      <c r="A265" s="208"/>
      <c r="B265" s="225"/>
      <c r="C265" s="25" t="s">
        <v>176</v>
      </c>
      <c r="D265" s="1" t="s">
        <v>19</v>
      </c>
      <c r="E265" s="56">
        <v>0</v>
      </c>
      <c r="F265" s="56">
        <v>0</v>
      </c>
      <c r="G265" s="56">
        <v>0</v>
      </c>
      <c r="H265" s="56">
        <v>0</v>
      </c>
      <c r="I265" s="56">
        <v>0</v>
      </c>
      <c r="J265" s="56">
        <v>0</v>
      </c>
      <c r="K265" s="56">
        <v>0</v>
      </c>
      <c r="L265" s="56">
        <v>0</v>
      </c>
      <c r="M265" s="56">
        <v>0</v>
      </c>
    </row>
    <row r="266" spans="1:13" x14ac:dyDescent="0.25">
      <c r="A266" s="208"/>
      <c r="B266" s="225"/>
      <c r="C266" s="25" t="s">
        <v>106</v>
      </c>
      <c r="D266" s="1" t="s">
        <v>8</v>
      </c>
      <c r="E266" s="55">
        <v>0</v>
      </c>
      <c r="F266" s="55">
        <v>0</v>
      </c>
      <c r="G266" s="55">
        <v>0</v>
      </c>
      <c r="H266" s="55">
        <v>0</v>
      </c>
      <c r="I266" s="55">
        <v>0</v>
      </c>
      <c r="J266" s="55">
        <v>0</v>
      </c>
      <c r="K266" s="55">
        <v>0</v>
      </c>
      <c r="L266" s="55">
        <v>0</v>
      </c>
      <c r="M266" s="55">
        <v>0</v>
      </c>
    </row>
    <row r="267" spans="1:13" x14ac:dyDescent="0.25">
      <c r="A267" s="208"/>
      <c r="B267" s="225"/>
      <c r="C267" s="25" t="s">
        <v>107</v>
      </c>
      <c r="D267" s="1" t="s">
        <v>9</v>
      </c>
      <c r="E267" s="53"/>
      <c r="F267" s="53"/>
      <c r="G267" s="53"/>
      <c r="H267" s="53"/>
      <c r="I267" s="53"/>
      <c r="J267" s="53"/>
      <c r="K267" s="53"/>
      <c r="L267" s="53"/>
      <c r="M267" s="53"/>
    </row>
    <row r="268" spans="1:13" x14ac:dyDescent="0.25">
      <c r="A268" s="208"/>
      <c r="B268" s="225"/>
      <c r="C268" s="25" t="s">
        <v>108</v>
      </c>
      <c r="D268" s="1" t="s">
        <v>10</v>
      </c>
      <c r="E268" s="53"/>
      <c r="F268" s="53"/>
      <c r="G268" s="53"/>
      <c r="H268" s="53"/>
      <c r="I268" s="53"/>
      <c r="J268" s="53"/>
      <c r="K268" s="53"/>
      <c r="L268" s="53"/>
      <c r="M268" s="53"/>
    </row>
    <row r="269" spans="1:13" x14ac:dyDescent="0.25">
      <c r="A269" s="208"/>
      <c r="B269" s="225"/>
      <c r="C269" s="26" t="s">
        <v>11</v>
      </c>
      <c r="D269" s="27" t="s">
        <v>10</v>
      </c>
      <c r="E269" s="53"/>
      <c r="F269" s="53"/>
      <c r="G269" s="53"/>
      <c r="H269" s="53"/>
      <c r="I269" s="53"/>
      <c r="J269" s="53"/>
      <c r="K269" s="53"/>
      <c r="L269" s="53"/>
      <c r="M269" s="53"/>
    </row>
    <row r="270" spans="1:13" x14ac:dyDescent="0.25">
      <c r="A270" s="208"/>
      <c r="B270" s="225"/>
      <c r="C270" s="25" t="s">
        <v>12</v>
      </c>
      <c r="D270" s="1" t="s">
        <v>7</v>
      </c>
      <c r="E270" s="56">
        <v>1</v>
      </c>
      <c r="F270" s="56">
        <v>1</v>
      </c>
      <c r="G270" s="56">
        <v>1</v>
      </c>
      <c r="H270" s="56">
        <v>1</v>
      </c>
      <c r="I270" s="56">
        <v>1</v>
      </c>
      <c r="J270" s="56">
        <v>1</v>
      </c>
      <c r="K270" s="56">
        <v>1</v>
      </c>
      <c r="L270" s="56">
        <v>1</v>
      </c>
      <c r="M270" s="56">
        <v>1</v>
      </c>
    </row>
    <row r="271" spans="1:13" x14ac:dyDescent="0.25">
      <c r="A271" s="208"/>
      <c r="B271" s="225"/>
      <c r="C271" s="25" t="s">
        <v>13</v>
      </c>
      <c r="D271" s="1" t="s">
        <v>14</v>
      </c>
      <c r="E271" s="55">
        <v>31017</v>
      </c>
      <c r="F271" s="55">
        <v>31902</v>
      </c>
      <c r="G271" s="55">
        <v>34262</v>
      </c>
      <c r="H271" s="55">
        <v>37507</v>
      </c>
      <c r="I271" s="55">
        <v>41932</v>
      </c>
      <c r="J271" s="55">
        <v>50782</v>
      </c>
      <c r="K271" s="55">
        <v>80282</v>
      </c>
      <c r="L271" s="55">
        <v>151952</v>
      </c>
      <c r="M271" s="55">
        <v>292470.28399999999</v>
      </c>
    </row>
    <row r="272" spans="1:13" x14ac:dyDescent="0.25">
      <c r="A272" s="208"/>
      <c r="B272" s="225"/>
      <c r="C272" s="25" t="s">
        <v>15</v>
      </c>
      <c r="D272" s="1" t="s">
        <v>4</v>
      </c>
      <c r="E272" s="53">
        <v>40</v>
      </c>
      <c r="F272" s="53">
        <v>40</v>
      </c>
      <c r="G272" s="53">
        <v>40</v>
      </c>
      <c r="H272" s="53">
        <v>40</v>
      </c>
      <c r="I272" s="53">
        <v>40</v>
      </c>
      <c r="J272" s="53">
        <v>40</v>
      </c>
      <c r="K272" s="53">
        <v>40</v>
      </c>
      <c r="L272" s="53">
        <v>40</v>
      </c>
      <c r="M272" s="53">
        <v>40</v>
      </c>
    </row>
    <row r="273" spans="1:13" x14ac:dyDescent="0.25">
      <c r="A273" s="208">
        <v>17</v>
      </c>
      <c r="B273" s="225" t="s">
        <v>161</v>
      </c>
      <c r="C273" s="25" t="s">
        <v>105</v>
      </c>
      <c r="D273" s="1" t="s">
        <v>4</v>
      </c>
      <c r="E273" s="53">
        <v>40</v>
      </c>
      <c r="F273" s="53">
        <v>40</v>
      </c>
      <c r="G273" s="53">
        <v>40</v>
      </c>
      <c r="H273" s="53">
        <v>40</v>
      </c>
      <c r="I273" s="53">
        <v>40</v>
      </c>
      <c r="J273" s="53">
        <v>40</v>
      </c>
      <c r="K273" s="53">
        <v>40</v>
      </c>
      <c r="L273" s="53">
        <v>40</v>
      </c>
      <c r="M273" s="53">
        <v>40</v>
      </c>
    </row>
    <row r="274" spans="1:13" x14ac:dyDescent="0.25">
      <c r="A274" s="208"/>
      <c r="B274" s="225"/>
      <c r="C274" s="25" t="s">
        <v>5</v>
      </c>
      <c r="D274" s="1" t="s">
        <v>6</v>
      </c>
      <c r="E274" s="53"/>
      <c r="F274" s="53"/>
      <c r="G274" s="53"/>
      <c r="H274" s="53"/>
      <c r="I274" s="53"/>
      <c r="J274" s="53"/>
      <c r="K274" s="53"/>
      <c r="L274" s="53"/>
      <c r="M274" s="53"/>
    </row>
    <row r="275" spans="1:13" x14ac:dyDescent="0.25">
      <c r="A275" s="208"/>
      <c r="B275" s="225"/>
      <c r="C275" s="25" t="s">
        <v>176</v>
      </c>
      <c r="D275" s="1" t="s">
        <v>19</v>
      </c>
      <c r="E275" s="56">
        <v>0</v>
      </c>
      <c r="F275" s="56">
        <v>0</v>
      </c>
      <c r="G275" s="56">
        <v>0</v>
      </c>
      <c r="H275" s="56">
        <v>0</v>
      </c>
      <c r="I275" s="56">
        <v>0</v>
      </c>
      <c r="J275" s="56">
        <v>0</v>
      </c>
      <c r="K275" s="56">
        <v>0</v>
      </c>
      <c r="L275" s="56">
        <v>0</v>
      </c>
      <c r="M275" s="56">
        <v>0</v>
      </c>
    </row>
    <row r="276" spans="1:13" x14ac:dyDescent="0.25">
      <c r="A276" s="208"/>
      <c r="B276" s="225"/>
      <c r="C276" s="25" t="s">
        <v>106</v>
      </c>
      <c r="D276" s="1" t="s">
        <v>8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</row>
    <row r="277" spans="1:13" x14ac:dyDescent="0.25">
      <c r="A277" s="208"/>
      <c r="B277" s="225"/>
      <c r="C277" s="25" t="s">
        <v>107</v>
      </c>
      <c r="D277" s="1" t="s">
        <v>9</v>
      </c>
      <c r="E277" s="53"/>
      <c r="F277" s="53"/>
      <c r="G277" s="53"/>
      <c r="H277" s="53"/>
      <c r="I277" s="53"/>
      <c r="J277" s="53"/>
      <c r="K277" s="53"/>
      <c r="L277" s="53"/>
      <c r="M277" s="53"/>
    </row>
    <row r="278" spans="1:13" x14ac:dyDescent="0.25">
      <c r="A278" s="208"/>
      <c r="B278" s="225"/>
      <c r="C278" s="25" t="s">
        <v>108</v>
      </c>
      <c r="D278" s="1" t="s">
        <v>10</v>
      </c>
      <c r="E278" s="53"/>
      <c r="F278" s="53"/>
      <c r="G278" s="53"/>
      <c r="H278" s="53"/>
      <c r="I278" s="53"/>
      <c r="J278" s="53"/>
      <c r="K278" s="53"/>
      <c r="L278" s="53"/>
      <c r="M278" s="53"/>
    </row>
    <row r="279" spans="1:13" x14ac:dyDescent="0.25">
      <c r="A279" s="208"/>
      <c r="B279" s="225"/>
      <c r="C279" s="26" t="s">
        <v>11</v>
      </c>
      <c r="D279" s="27" t="s">
        <v>10</v>
      </c>
      <c r="E279" s="53"/>
      <c r="F279" s="53"/>
      <c r="G279" s="53"/>
      <c r="H279" s="53"/>
      <c r="I279" s="53"/>
      <c r="J279" s="53"/>
      <c r="K279" s="53"/>
      <c r="L279" s="53"/>
      <c r="M279" s="53"/>
    </row>
    <row r="280" spans="1:13" x14ac:dyDescent="0.25">
      <c r="A280" s="208"/>
      <c r="B280" s="225"/>
      <c r="C280" s="25" t="s">
        <v>12</v>
      </c>
      <c r="D280" s="1" t="s">
        <v>7</v>
      </c>
      <c r="E280" s="56">
        <v>1</v>
      </c>
      <c r="F280" s="56">
        <v>1</v>
      </c>
      <c r="G280" s="56">
        <v>1</v>
      </c>
      <c r="H280" s="56">
        <v>1</v>
      </c>
      <c r="I280" s="56">
        <v>1</v>
      </c>
      <c r="J280" s="56">
        <v>1</v>
      </c>
      <c r="K280" s="56">
        <v>1</v>
      </c>
      <c r="L280" s="56">
        <v>1</v>
      </c>
      <c r="M280" s="56">
        <v>1</v>
      </c>
    </row>
    <row r="281" spans="1:13" x14ac:dyDescent="0.25">
      <c r="A281" s="208"/>
      <c r="B281" s="225"/>
      <c r="C281" s="25" t="s">
        <v>13</v>
      </c>
      <c r="D281" s="1" t="s">
        <v>14</v>
      </c>
      <c r="E281" s="55">
        <v>92256.599999999991</v>
      </c>
      <c r="F281" s="55">
        <v>92691.599999999991</v>
      </c>
      <c r="G281" s="55">
        <v>93851.599999999991</v>
      </c>
      <c r="H281" s="55">
        <v>95446.599999999991</v>
      </c>
      <c r="I281" s="55">
        <v>97621.599999999991</v>
      </c>
      <c r="J281" s="55">
        <v>101971.59999999999</v>
      </c>
      <c r="K281" s="55">
        <v>116471.59999999999</v>
      </c>
      <c r="L281" s="55">
        <v>146921.59999999998</v>
      </c>
      <c r="M281" s="55">
        <v>207821.59999999998</v>
      </c>
    </row>
    <row r="282" spans="1:13" x14ac:dyDescent="0.25">
      <c r="A282" s="208"/>
      <c r="B282" s="225"/>
      <c r="C282" s="25" t="s">
        <v>15</v>
      </c>
      <c r="D282" s="1" t="s">
        <v>4</v>
      </c>
      <c r="E282" s="55">
        <v>40</v>
      </c>
      <c r="F282" s="55">
        <v>40</v>
      </c>
      <c r="G282" s="55">
        <v>40</v>
      </c>
      <c r="H282" s="55">
        <v>40</v>
      </c>
      <c r="I282" s="55">
        <v>40</v>
      </c>
      <c r="J282" s="55">
        <v>40</v>
      </c>
      <c r="K282" s="55">
        <v>40</v>
      </c>
      <c r="L282" s="55">
        <v>40</v>
      </c>
      <c r="M282" s="55">
        <v>40</v>
      </c>
    </row>
  </sheetData>
  <sheetProtection algorithmName="SHA-512" hashValue="3cQ9qGmYQO9kcZV4QDPWj53MnzYuuVgY9tULhBoEcXcVKTYIJ5CC2Qfa+Jytb3Dd+OVcRDXOubt6Nr0+dgf4jA==" saltValue="F0f3qqSEQ8Qq4insk5/yGg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Lies_Mich</vt:lpstr>
      <vt:lpstr>Dashboard</vt:lpstr>
      <vt:lpstr>Originalpreisannahmen</vt:lpstr>
      <vt:lpstr>Preisannahmen</vt:lpstr>
      <vt:lpstr>destatis-Daten</vt:lpstr>
      <vt:lpstr>Fernwärmepreise</vt:lpstr>
      <vt:lpstr>Wärmegestehungskosten</vt:lpstr>
      <vt:lpstr>Energieträgermatrix</vt:lpstr>
      <vt:lpstr>Inputparameter_2023</vt:lpstr>
      <vt:lpstr>Inputparameter_2028</vt:lpstr>
      <vt:lpstr>Inputparameter_2033</vt:lpstr>
      <vt:lpstr>Inputparameter_2038</vt:lpstr>
      <vt:lpstr>Inputparameter_2043</vt:lpstr>
      <vt:lpstr>Inputparameter_2048</vt:lpstr>
      <vt:lpstr>Originalparameter_2023</vt:lpstr>
      <vt:lpstr>Originalparameter_2028</vt:lpstr>
      <vt:lpstr>Originalparameter_2033</vt:lpstr>
      <vt:lpstr>Originalparameter_2038</vt:lpstr>
      <vt:lpstr>Originalparameter_2043</vt:lpstr>
      <vt:lpstr>Originalparameter_2048</vt:lpstr>
    </vt:vector>
  </TitlesOfParts>
  <Company>Fraunhofer IFAM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Ansari, Esmail</dc:creator>
  <cp:lastModifiedBy>Ochoa Ferrino, Adrián</cp:lastModifiedBy>
  <dcterms:created xsi:type="dcterms:W3CDTF">2022-10-13T06:38:55Z</dcterms:created>
  <dcterms:modified xsi:type="dcterms:W3CDTF">2023-11-24T11:49:08Z</dcterms:modified>
</cp:coreProperties>
</file>